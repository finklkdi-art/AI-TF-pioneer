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 ₩&quot;* #,##0&quot; &quot;;&quot;-₩&quot;* #,##0&quot; &quot;;&quot; ₩&quot;* &quot;- &quot;"/>
    <numFmt numFmtId="165" formatCode="&quot; &quot;* #,##0&quot; &quot;;&quot;-&quot;* #,##0&quot; &quot;;&quot; &quot;* &quot;- &quot;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b val="1"/>
      <color indexed="8"/>
      <sz val="24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Arial"/>
      <family val="2"/>
      <color indexed="8"/>
      <sz val="10"/>
    </font>
    <font>
      <name val="맑은 고딕"/>
      <charset val="129"/>
      <family val="3"/>
      <b val="1"/>
      <color indexed="8"/>
      <sz val="12"/>
    </font>
    <font>
      <name val="돋움"/>
      <charset val="129"/>
      <family val="3"/>
      <sz val="8"/>
    </font>
    <font>
      <name val="맑은 고딕"/>
      <charset val="129"/>
      <family val="2"/>
      <color indexed="8"/>
      <sz val="12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2"/>
      <color indexed="8"/>
      <sz val="11"/>
    </font>
    <font>
      <name val="맑은 고딕"/>
      <charset val="129"/>
      <family val="3"/>
      <color indexed="8"/>
      <sz val="12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rgb="FF000000"/>
      <sz val="12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8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b val="1"/>
      <color indexed="8"/>
      <sz val="10"/>
    </font>
    <font>
      <name val="맑은 고딕"/>
      <charset val="129"/>
      <family val="3"/>
      <sz val="10"/>
    </font>
  </fonts>
  <fills count="8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"/>
        <bgColor indexed="64"/>
      </patternFill>
    </fill>
  </fills>
  <borders count="88"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1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</borders>
  <cellStyleXfs count="5">
    <xf numFmtId="0" fontId="0" fillId="0" borderId="0" applyAlignment="1">
      <alignment vertical="center"/>
    </xf>
    <xf numFmtId="0" fontId="1" fillId="0" borderId="0" applyAlignment="1">
      <alignment vertical="center"/>
    </xf>
    <xf numFmtId="0" fontId="5" fillId="0" borderId="0"/>
    <xf numFmtId="0" fontId="5" fillId="0" borderId="0"/>
    <xf numFmtId="0" fontId="5" fillId="0" borderId="0"/>
  </cellStyleXfs>
  <cellXfs count="170">
    <xf numFmtId="0" fontId="0" fillId="0" borderId="0" applyAlignment="1" pivotButton="0" quotePrefix="0" xfId="0">
      <alignment vertical="center"/>
    </xf>
    <xf numFmtId="49" fontId="2" fillId="2" borderId="1" applyAlignment="1" pivotButton="0" quotePrefix="0" xfId="1">
      <alignment horizontal="center" vertical="center"/>
    </xf>
    <xf numFmtId="49" fontId="2" fillId="2" borderId="0" applyAlignment="1" pivotButton="0" quotePrefix="0" xfId="1">
      <alignment horizontal="center" vertical="center"/>
    </xf>
    <xf numFmtId="49" fontId="2" fillId="2" borderId="2" applyAlignment="1" pivotButton="0" quotePrefix="0" xfId="1">
      <alignment horizontal="center" vertical="center"/>
    </xf>
    <xf numFmtId="49" fontId="2" fillId="2" borderId="3" applyAlignment="1" pivotButton="0" quotePrefix="0" xfId="1">
      <alignment horizontal="center" vertical="center"/>
    </xf>
    <xf numFmtId="49" fontId="6" fillId="3" borderId="4" applyAlignment="1" pivotButton="0" quotePrefix="0" xfId="2">
      <alignment horizontal="center" vertical="center"/>
    </xf>
    <xf numFmtId="0" fontId="6" fillId="3" borderId="5" applyAlignment="1" pivotButton="0" quotePrefix="0" xfId="2">
      <alignment horizontal="center" vertical="center"/>
    </xf>
    <xf numFmtId="0" fontId="6" fillId="3" borderId="6" applyAlignment="1" pivotButton="0" quotePrefix="0" xfId="2">
      <alignment horizontal="center" vertical="center"/>
    </xf>
    <xf numFmtId="0" fontId="6" fillId="3" borderId="7" applyAlignment="1" pivotButton="0" quotePrefix="0" xfId="2">
      <alignment horizontal="center" vertical="center"/>
    </xf>
    <xf numFmtId="0" fontId="6" fillId="3" borderId="8" applyAlignment="1" pivotButton="0" quotePrefix="0" xfId="2">
      <alignment horizontal="center" vertical="center"/>
    </xf>
    <xf numFmtId="0" fontId="6" fillId="3" borderId="9" applyAlignment="1" pivotButton="0" quotePrefix="0" xfId="2">
      <alignment horizontal="center" vertical="center"/>
    </xf>
    <xf numFmtId="49" fontId="6" fillId="3" borderId="7" applyAlignment="1" pivotButton="0" quotePrefix="0" xfId="2">
      <alignment horizontal="center" vertical="center"/>
    </xf>
    <xf numFmtId="49" fontId="6" fillId="3" borderId="10" applyAlignment="1" pivotButton="0" quotePrefix="0" xfId="2">
      <alignment horizontal="center" vertical="center"/>
    </xf>
    <xf numFmtId="49" fontId="6" fillId="2" borderId="11" applyAlignment="1" pivotButton="0" quotePrefix="0" xfId="2">
      <alignment horizontal="center" vertical="center"/>
    </xf>
    <xf numFmtId="0" fontId="6" fillId="2" borderId="12" applyAlignment="1" pivotButton="0" quotePrefix="0" xfId="2">
      <alignment horizontal="center" vertical="center"/>
    </xf>
    <xf numFmtId="49" fontId="8" fillId="4" borderId="13" applyAlignment="1" pivotButton="0" quotePrefix="0" xfId="3">
      <alignment horizontal="center" vertical="center"/>
    </xf>
    <xf numFmtId="49" fontId="8" fillId="4" borderId="14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49" fontId="6" fillId="2" borderId="17" applyAlignment="1" pivotButton="0" quotePrefix="0" xfId="2">
      <alignment horizontal="center" vertical="center"/>
    </xf>
    <xf numFmtId="49" fontId="1" fillId="2" borderId="18" applyAlignment="1" pivotButton="0" quotePrefix="0" xfId="3">
      <alignment horizontal="center" vertical="center"/>
    </xf>
    <xf numFmtId="0" fontId="9" fillId="0" borderId="19" applyAlignment="1" pivotButton="0" quotePrefix="0" xfId="4">
      <alignment horizontal="center" vertical="center"/>
    </xf>
    <xf numFmtId="0" fontId="9" fillId="0" borderId="20" applyAlignment="1" pivotButton="0" quotePrefix="0" xfId="4">
      <alignment horizontal="center" vertical="center"/>
    </xf>
    <xf numFmtId="49" fontId="10" fillId="4" borderId="13" applyAlignment="1" pivotButton="0" quotePrefix="0" xfId="3">
      <alignment horizontal="center" vertical="center" wrapText="1"/>
    </xf>
    <xf numFmtId="49" fontId="10" fillId="4" borderId="14" applyAlignment="1" pivotButton="0" quotePrefix="0" xfId="3">
      <alignment horizontal="center" vertical="center"/>
    </xf>
    <xf numFmtId="0" fontId="1" fillId="0" borderId="0" applyAlignment="1" pivotButton="0" quotePrefix="0" xfId="1">
      <alignment horizontal="center" vertical="center" wrapText="1"/>
    </xf>
    <xf numFmtId="0" fontId="1" fillId="0" borderId="21" applyAlignment="1" pivotButton="0" quotePrefix="0" xfId="1">
      <alignment horizontal="center" vertical="center" wrapText="1"/>
    </xf>
    <xf numFmtId="0" fontId="9" fillId="0" borderId="22" applyAlignment="1" pivotButton="0" quotePrefix="0" xfId="4">
      <alignment horizontal="center" vertical="center"/>
    </xf>
    <xf numFmtId="0" fontId="9" fillId="0" borderId="23" applyAlignment="1" pivotButton="0" quotePrefix="0" xfId="4">
      <alignment horizontal="center" vertical="center"/>
    </xf>
    <xf numFmtId="49" fontId="11" fillId="2" borderId="13" applyAlignment="1" pivotButton="0" quotePrefix="0" xfId="2">
      <alignment horizontal="center" vertical="center"/>
    </xf>
    <xf numFmtId="49" fontId="11" fillId="2" borderId="14" applyAlignment="1" pivotButton="0" quotePrefix="0" xfId="2">
      <alignment horizontal="center" vertical="center"/>
    </xf>
    <xf numFmtId="164" fontId="6" fillId="2" borderId="13" applyAlignment="1" pivotButton="0" quotePrefix="0" xfId="2">
      <alignment vertical="center"/>
    </xf>
    <xf numFmtId="49" fontId="6" fillId="2" borderId="14" applyAlignment="1" pivotButton="0" quotePrefix="0" xfId="2">
      <alignment vertical="center"/>
    </xf>
    <xf numFmtId="49" fontId="6" fillId="2" borderId="24" applyAlignment="1" pivotButton="0" quotePrefix="0" xfId="2">
      <alignment horizontal="center" vertical="center"/>
    </xf>
    <xf numFmtId="49" fontId="6" fillId="2" borderId="25" applyAlignment="1" pivotButton="0" quotePrefix="0" xfId="2">
      <alignment horizontal="center" vertical="center"/>
    </xf>
    <xf numFmtId="0" fontId="6" fillId="2" borderId="26" applyAlignment="1" pivotButton="0" quotePrefix="0" xfId="2">
      <alignment horizontal="center" vertical="center"/>
    </xf>
    <xf numFmtId="49" fontId="13" fillId="5" borderId="27" applyAlignment="1" pivotButton="0" quotePrefix="0" xfId="2">
      <alignment horizontal="center" vertical="center"/>
    </xf>
    <xf numFmtId="0" fontId="13" fillId="5" borderId="28" applyAlignment="1" pivotButton="0" quotePrefix="0" xfId="2">
      <alignment horizontal="center" vertical="center"/>
    </xf>
    <xf numFmtId="0" fontId="1" fillId="0" borderId="3" applyAlignment="1" pivotButton="0" quotePrefix="0" xfId="1">
      <alignment horizontal="center" vertical="center" wrapText="1"/>
    </xf>
    <xf numFmtId="0" fontId="1" fillId="0" borderId="29" applyAlignment="1" pivotButton="0" quotePrefix="0" xfId="1">
      <alignment horizontal="center" vertical="center" wrapText="1"/>
    </xf>
    <xf numFmtId="49" fontId="6" fillId="2" borderId="30" applyAlignment="1" pivotButton="0" quotePrefix="0" xfId="2">
      <alignment horizontal="center" vertical="center"/>
    </xf>
    <xf numFmtId="49" fontId="1" fillId="2" borderId="31" applyAlignment="1" pivotButton="0" quotePrefix="0" xfId="3">
      <alignment horizontal="center" vertical="center"/>
    </xf>
    <xf numFmtId="49" fontId="14" fillId="2" borderId="1" applyAlignment="1" pivotButton="0" quotePrefix="0" xfId="1">
      <alignment vertical="center"/>
    </xf>
    <xf numFmtId="0" fontId="1" fillId="2" borderId="0" applyAlignment="1" pivotButton="0" quotePrefix="0" xfId="1">
      <alignment vertical="center"/>
    </xf>
    <xf numFmtId="0" fontId="1" fillId="2" borderId="32" applyAlignment="1" pivotButton="0" quotePrefix="0" xfId="1">
      <alignment vertical="center"/>
    </xf>
    <xf numFmtId="0" fontId="1" fillId="2" borderId="33" applyAlignment="1" pivotButton="0" quotePrefix="0" xfId="1">
      <alignment vertical="center"/>
    </xf>
    <xf numFmtId="0" fontId="14" fillId="6" borderId="34" applyAlignment="1" pivotButton="0" quotePrefix="0" xfId="1">
      <alignment horizontal="center" vertical="center"/>
    </xf>
    <xf numFmtId="0" fontId="14" fillId="6" borderId="35" applyAlignment="1" pivotButton="0" quotePrefix="0" xfId="1">
      <alignment horizontal="center" vertical="center"/>
    </xf>
    <xf numFmtId="49" fontId="14" fillId="6" borderId="36" applyAlignment="1" pivotButton="0" quotePrefix="0" xfId="1">
      <alignment horizontal="center" vertical="center"/>
    </xf>
    <xf numFmtId="49" fontId="14" fillId="6" borderId="36" applyAlignment="1" pivotButton="0" quotePrefix="0" xfId="1">
      <alignment horizontal="center" vertical="center"/>
    </xf>
    <xf numFmtId="49" fontId="14" fillId="6" borderId="37" applyAlignment="1" pivotButton="0" quotePrefix="0" xfId="1">
      <alignment horizontal="center" vertical="center"/>
    </xf>
    <xf numFmtId="49" fontId="14" fillId="6" borderId="38" applyAlignment="1" pivotButton="0" quotePrefix="0" xfId="1">
      <alignment horizontal="center" vertical="center"/>
    </xf>
    <xf numFmtId="49" fontId="14" fillId="6" borderId="39" applyAlignment="1" pivotButton="0" quotePrefix="0" xfId="1">
      <alignment horizontal="center" vertical="center"/>
    </xf>
    <xf numFmtId="49" fontId="14" fillId="6" borderId="40" applyAlignment="1" pivotButton="0" quotePrefix="0" xfId="1">
      <alignment horizontal="center" vertical="center"/>
    </xf>
    <xf numFmtId="49" fontId="15" fillId="2" borderId="41" applyAlignment="1" pivotButton="0" quotePrefix="0" xfId="1">
      <alignment horizontal="center" vertical="center"/>
    </xf>
    <xf numFmtId="49" fontId="15" fillId="2" borderId="42" applyAlignment="1" pivotButton="0" quotePrefix="0" xfId="1">
      <alignment horizontal="center" vertical="center"/>
    </xf>
    <xf numFmtId="0" fontId="15" fillId="0" borderId="43" applyAlignment="1" pivotButton="0" quotePrefix="0" xfId="4">
      <alignment horizontal="center" vertical="center"/>
    </xf>
    <xf numFmtId="165" fontId="15" fillId="2" borderId="44" applyAlignment="1" pivotButton="0" quotePrefix="0" xfId="1">
      <alignment horizontal="center" vertical="center"/>
    </xf>
    <xf numFmtId="165" fontId="15" fillId="2" borderId="45" applyAlignment="1" pivotButton="0" quotePrefix="0" xfId="1">
      <alignment horizontal="center" vertical="center"/>
    </xf>
    <xf numFmtId="165" fontId="15" fillId="2" borderId="46" applyAlignment="1" pivotButton="0" quotePrefix="0" xfId="1">
      <alignment horizontal="center" vertical="center"/>
    </xf>
    <xf numFmtId="0" fontId="16" fillId="2" borderId="47" applyAlignment="1" pivotButton="0" quotePrefix="0" xfId="1">
      <alignment horizontal="left" vertical="center"/>
    </xf>
    <xf numFmtId="0" fontId="16" fillId="2" borderId="48" applyAlignment="1" pivotButton="0" quotePrefix="0" xfId="1">
      <alignment horizontal="left" vertical="center"/>
    </xf>
    <xf numFmtId="49" fontId="15" fillId="2" borderId="49" applyAlignment="1" pivotButton="0" quotePrefix="0" xfId="1">
      <alignment horizontal="center" vertical="center"/>
    </xf>
    <xf numFmtId="49" fontId="15" fillId="2" borderId="50" applyAlignment="1" pivotButton="0" quotePrefix="0" xfId="1">
      <alignment horizontal="center" vertical="center"/>
    </xf>
    <xf numFmtId="49" fontId="14" fillId="3" borderId="51" applyAlignment="1" pivotButton="0" quotePrefix="0" xfId="1">
      <alignment horizontal="center" vertical="center"/>
    </xf>
    <xf numFmtId="49" fontId="14" fillId="3" borderId="47" applyAlignment="1" pivotButton="0" quotePrefix="0" xfId="1">
      <alignment horizontal="center" vertical="center"/>
    </xf>
    <xf numFmtId="49" fontId="14" fillId="3" borderId="52" applyAlignment="1" pivotButton="0" quotePrefix="0" xfId="1">
      <alignment horizontal="center" vertical="center"/>
    </xf>
    <xf numFmtId="165" fontId="14" fillId="3" borderId="43" applyAlignment="1" pivotButton="0" quotePrefix="0" xfId="1">
      <alignment vertical="center"/>
    </xf>
    <xf numFmtId="165" fontId="14" fillId="3" borderId="53" applyAlignment="1" pivotButton="0" quotePrefix="0" xfId="1">
      <alignment vertical="center"/>
    </xf>
    <xf numFmtId="0" fontId="17" fillId="3" borderId="47" applyAlignment="1" pivotButton="0" quotePrefix="0" xfId="1">
      <alignment horizontal="left" vertical="center"/>
    </xf>
    <xf numFmtId="0" fontId="17" fillId="3" borderId="48" applyAlignment="1" pivotButton="0" quotePrefix="0" xfId="1">
      <alignment horizontal="left" vertical="center"/>
    </xf>
    <xf numFmtId="49" fontId="1" fillId="2" borderId="54" applyAlignment="1" pivotButton="0" quotePrefix="0" xfId="1">
      <alignment horizontal="center" vertical="center" wrapText="1"/>
    </xf>
    <xf numFmtId="165" fontId="15" fillId="2" borderId="43" applyAlignment="1" pivotButton="0" quotePrefix="0" xfId="1">
      <alignment horizontal="center" vertical="center"/>
    </xf>
    <xf numFmtId="165" fontId="15" fillId="2" borderId="47" applyAlignment="1" pivotButton="0" quotePrefix="0" xfId="1">
      <alignment horizontal="center" vertical="center"/>
    </xf>
    <xf numFmtId="165" fontId="15" fillId="2" borderId="53" applyAlignment="1" pivotButton="0" quotePrefix="0" xfId="1">
      <alignment horizontal="center" vertical="center"/>
    </xf>
    <xf numFmtId="0" fontId="18" fillId="2" borderId="47" applyAlignment="1" pivotButton="0" quotePrefix="0" xfId="1">
      <alignment horizontal="left" vertical="center"/>
    </xf>
    <xf numFmtId="0" fontId="18" fillId="2" borderId="48" applyAlignment="1" pivotButton="0" quotePrefix="0" xfId="1">
      <alignment horizontal="left" vertical="center"/>
    </xf>
    <xf numFmtId="49" fontId="1" fillId="2" borderId="0" applyAlignment="1" pivotButton="0" quotePrefix="0" xfId="1">
      <alignment horizontal="center" vertical="center" wrapText="1"/>
    </xf>
    <xf numFmtId="0" fontId="18" fillId="2" borderId="47" applyAlignment="1" pivotButton="0" quotePrefix="0" xfId="1">
      <alignment horizontal="left" vertical="center"/>
    </xf>
    <xf numFmtId="0" fontId="18" fillId="2" borderId="48" applyAlignment="1" pivotButton="0" quotePrefix="0" xfId="1">
      <alignment horizontal="left" vertical="center"/>
    </xf>
    <xf numFmtId="49" fontId="15" fillId="4" borderId="55" applyAlignment="1" pivotButton="0" quotePrefix="0" xfId="1">
      <alignment horizontal="center" vertical="center" wrapText="1"/>
    </xf>
    <xf numFmtId="49" fontId="15" fillId="4" borderId="52" applyAlignment="1" pivotButton="0" quotePrefix="0" xfId="1">
      <alignment horizontal="center" vertical="center" wrapText="1"/>
    </xf>
    <xf numFmtId="165" fontId="15" fillId="2" borderId="55" applyAlignment="1" pivotButton="0" quotePrefix="0" xfId="1">
      <alignment horizontal="center" vertical="center"/>
    </xf>
    <xf numFmtId="165" fontId="15" fillId="2" borderId="56" applyAlignment="1" pivotButton="0" quotePrefix="0" xfId="1">
      <alignment horizontal="center" vertical="center"/>
    </xf>
    <xf numFmtId="49" fontId="15" fillId="4" borderId="44" applyAlignment="1" pivotButton="0" quotePrefix="0" xfId="1">
      <alignment horizontal="center" vertical="center" wrapText="1"/>
    </xf>
    <xf numFmtId="165" fontId="15" fillId="2" borderId="44" applyAlignment="1" pivotButton="0" quotePrefix="0" xfId="1">
      <alignment horizontal="center" vertical="center"/>
    </xf>
    <xf numFmtId="165" fontId="15" fillId="2" borderId="57" applyAlignment="1" pivotButton="0" quotePrefix="0" xfId="1">
      <alignment horizontal="center" vertical="center"/>
    </xf>
    <xf numFmtId="49" fontId="15" fillId="4" borderId="58" applyAlignment="1" pivotButton="0" quotePrefix="0" xfId="1">
      <alignment horizontal="center" vertical="center" wrapText="1"/>
    </xf>
    <xf numFmtId="49" fontId="15" fillId="4" borderId="52" applyAlignment="1" pivotButton="0" quotePrefix="0" xfId="1">
      <alignment horizontal="center" vertical="center" wrapText="1"/>
    </xf>
    <xf numFmtId="49" fontId="1" fillId="2" borderId="45" applyAlignment="1" pivotButton="0" quotePrefix="0" xfId="1">
      <alignment horizontal="center" vertical="center" wrapText="1"/>
    </xf>
    <xf numFmtId="165" fontId="15" fillId="2" borderId="43" applyAlignment="1" pivotButton="0" quotePrefix="0" xfId="1">
      <alignment vertical="center"/>
    </xf>
    <xf numFmtId="165" fontId="15" fillId="2" borderId="47" applyAlignment="1" pivotButton="0" quotePrefix="0" xfId="1">
      <alignment vertical="center"/>
    </xf>
    <xf numFmtId="165" fontId="15" fillId="2" borderId="53" applyAlignment="1" pivotButton="0" quotePrefix="0" xfId="1">
      <alignment vertical="center"/>
    </xf>
    <xf numFmtId="49" fontId="14" fillId="7" borderId="59" applyAlignment="1" pivotButton="0" quotePrefix="0" xfId="1">
      <alignment horizontal="center" vertical="center"/>
    </xf>
    <xf numFmtId="49" fontId="14" fillId="7" borderId="43" applyAlignment="1" pivotButton="0" quotePrefix="0" xfId="1">
      <alignment horizontal="center" vertical="center"/>
    </xf>
    <xf numFmtId="165" fontId="14" fillId="7" borderId="43" applyAlignment="1" pivotButton="0" quotePrefix="0" xfId="1">
      <alignment vertical="center"/>
    </xf>
    <xf numFmtId="165" fontId="14" fillId="7" borderId="53" applyAlignment="1" pivotButton="0" quotePrefix="0" xfId="1">
      <alignment vertical="center"/>
    </xf>
    <xf numFmtId="0" fontId="16" fillId="7" borderId="47" applyAlignment="1" pivotButton="0" quotePrefix="0" xfId="1">
      <alignment horizontal="left" vertical="center"/>
    </xf>
    <xf numFmtId="0" fontId="16" fillId="7" borderId="48" applyAlignment="1" pivotButton="0" quotePrefix="0" xfId="1">
      <alignment horizontal="left" vertical="center"/>
    </xf>
    <xf numFmtId="49" fontId="14" fillId="6" borderId="60" applyAlignment="1" pivotButton="0" quotePrefix="0" xfId="1">
      <alignment horizontal="center" vertical="center"/>
    </xf>
    <xf numFmtId="49" fontId="14" fillId="6" borderId="61" applyAlignment="1" pivotButton="0" quotePrefix="0" xfId="1">
      <alignment horizontal="center" vertical="center"/>
    </xf>
    <xf numFmtId="165" fontId="14" fillId="6" borderId="61" applyAlignment="1" pivotButton="0" quotePrefix="0" xfId="1">
      <alignment vertical="center"/>
    </xf>
    <xf numFmtId="165" fontId="14" fillId="6" borderId="62" applyAlignment="1" pivotButton="0" quotePrefix="0" xfId="1">
      <alignment vertical="center"/>
    </xf>
    <xf numFmtId="0" fontId="15" fillId="6" borderId="63" applyAlignment="1" pivotButton="0" quotePrefix="0" xfId="1">
      <alignment horizontal="left" vertical="center"/>
    </xf>
    <xf numFmtId="0" fontId="15" fillId="6" borderId="64" applyAlignment="1" pivotButton="0" quotePrefix="0" xfId="1">
      <alignment horizontal="lef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80" pivotButton="0" quotePrefix="0" xfId="0"/>
    <xf numFmtId="0" fontId="6" fillId="3" borderId="81" applyAlignment="1" pivotButton="0" quotePrefix="0" xfId="2">
      <alignment horizontal="center" vertical="center"/>
    </xf>
    <xf numFmtId="0" fontId="0" fillId="0" borderId="9" pivotButton="0" quotePrefix="0" xfId="0"/>
    <xf numFmtId="49" fontId="6" fillId="3" borderId="83" applyAlignment="1" pivotButton="0" quotePrefix="0" xfId="2">
      <alignment horizontal="center" vertical="center"/>
    </xf>
    <xf numFmtId="0" fontId="0" fillId="0" borderId="10" pivotButton="0" quotePrefix="0" xfId="0"/>
    <xf numFmtId="49" fontId="6" fillId="2" borderId="71" applyAlignment="1" pivotButton="0" quotePrefix="0" xfId="2">
      <alignment horizontal="center" vertical="center"/>
    </xf>
    <xf numFmtId="0" fontId="0" fillId="0" borderId="12" pivotButton="0" quotePrefix="0" xfId="0"/>
    <xf numFmtId="49" fontId="8" fillId="4" borderId="70" applyAlignment="1" pivotButton="0" quotePrefix="0" xfId="3">
      <alignment horizontal="center" vertical="center"/>
    </xf>
    <xf numFmtId="0" fontId="0" fillId="0" borderId="14" pivotButton="0" quotePrefix="0" xfId="0"/>
    <xf numFmtId="0" fontId="1" fillId="0" borderId="84" applyAlignment="1" pivotButton="0" quotePrefix="0" xfId="1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9" fillId="0" borderId="85" applyAlignment="1" pivotButton="0" quotePrefix="0" xfId="4">
      <alignment horizontal="center" vertical="center"/>
    </xf>
    <xf numFmtId="0" fontId="0" fillId="0" borderId="20" pivotButton="0" quotePrefix="0" xfId="0"/>
    <xf numFmtId="49" fontId="10" fillId="4" borderId="70" applyAlignment="1" pivotButton="0" quotePrefix="0" xfId="3">
      <alignment horizontal="center" vertical="center" wrapText="1"/>
    </xf>
    <xf numFmtId="0" fontId="0" fillId="0" borderId="21" pivotButton="0" quotePrefix="0" xfId="0"/>
    <xf numFmtId="0" fontId="9" fillId="0" borderId="86" applyAlignment="1" pivotButton="0" quotePrefix="0" xfId="4">
      <alignment horizontal="center" vertical="center"/>
    </xf>
    <xf numFmtId="0" fontId="0" fillId="0" borderId="23" pivotButton="0" quotePrefix="0" xfId="0"/>
    <xf numFmtId="49" fontId="11" fillId="2" borderId="70" applyAlignment="1" pivotButton="0" quotePrefix="0" xfId="2">
      <alignment horizontal="center" vertical="center"/>
    </xf>
    <xf numFmtId="164" fontId="6" fillId="2" borderId="13" applyAlignment="1" pivotButton="0" quotePrefix="0" xfId="2">
      <alignment vertical="center"/>
    </xf>
    <xf numFmtId="49" fontId="6" fillId="2" borderId="73" applyAlignment="1" pivotButton="0" quotePrefix="0" xfId="2">
      <alignment horizontal="center" vertical="center"/>
    </xf>
    <xf numFmtId="0" fontId="0" fillId="0" borderId="26" pivotButton="0" quotePrefix="0" xfId="0"/>
    <xf numFmtId="49" fontId="13" fillId="5" borderId="74" applyAlignment="1" pivotButton="0" quotePrefix="0" xfId="2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14" fillId="6" borderId="77" applyAlignment="1" pivotButton="0" quotePrefix="0" xfId="1">
      <alignment horizontal="center" vertical="center"/>
    </xf>
    <xf numFmtId="0" fontId="0" fillId="0" borderId="35" pivotButton="0" quotePrefix="0" xfId="0"/>
    <xf numFmtId="0" fontId="0" fillId="0" borderId="40" pivotButton="0" quotePrefix="0" xfId="0"/>
    <xf numFmtId="49" fontId="15" fillId="2" borderId="55" applyAlignment="1" pivotButton="0" quotePrefix="0" xfId="1">
      <alignment horizontal="center" vertical="center"/>
    </xf>
    <xf numFmtId="0" fontId="0" fillId="0" borderId="42" pivotButton="0" quotePrefix="0" xfId="0"/>
    <xf numFmtId="0" fontId="0" fillId="0" borderId="52" pivotButton="0" quotePrefix="0" xfId="0"/>
    <xf numFmtId="165" fontId="15" fillId="2" borderId="44" applyAlignment="1" pivotButton="0" quotePrefix="0" xfId="1">
      <alignment horizontal="center" vertical="center"/>
    </xf>
    <xf numFmtId="165" fontId="15" fillId="2" borderId="45" applyAlignment="1" pivotButton="0" quotePrefix="0" xfId="1">
      <alignment horizontal="center" vertical="center"/>
    </xf>
    <xf numFmtId="165" fontId="15" fillId="2" borderId="46" applyAlignment="1" pivotButton="0" quotePrefix="0" xfId="1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49" fontId="14" fillId="3" borderId="59" applyAlignment="1" pivotButton="0" quotePrefix="0" xfId="1">
      <alignment horizontal="center" vertical="center"/>
    </xf>
    <xf numFmtId="0" fontId="0" fillId="0" borderId="47" pivotButton="0" quotePrefix="0" xfId="0"/>
    <xf numFmtId="165" fontId="14" fillId="3" borderId="43" applyAlignment="1" pivotButton="0" quotePrefix="0" xfId="1">
      <alignment vertical="center"/>
    </xf>
    <xf numFmtId="165" fontId="14" fillId="3" borderId="53" applyAlignment="1" pivotButton="0" quotePrefix="0" xfId="1">
      <alignment vertical="center"/>
    </xf>
    <xf numFmtId="49" fontId="1" fillId="2" borderId="47" applyAlignment="1" pivotButton="0" quotePrefix="0" xfId="1">
      <alignment horizontal="center" vertical="center" wrapText="1"/>
    </xf>
    <xf numFmtId="0" fontId="0" fillId="0" borderId="54" pivotButton="0" quotePrefix="0" xfId="0"/>
    <xf numFmtId="165" fontId="15" fillId="2" borderId="43" applyAlignment="1" pivotButton="0" quotePrefix="0" xfId="1">
      <alignment horizontal="center" vertical="center"/>
    </xf>
    <xf numFmtId="165" fontId="15" fillId="2" borderId="47" applyAlignment="1" pivotButton="0" quotePrefix="0" xfId="1">
      <alignment horizontal="center" vertical="center"/>
    </xf>
    <xf numFmtId="165" fontId="15" fillId="2" borderId="53" applyAlignment="1" pivotButton="0" quotePrefix="0" xfId="1">
      <alignment horizontal="center" vertical="center"/>
    </xf>
    <xf numFmtId="49" fontId="15" fillId="4" borderId="43" applyAlignment="1" pivotButton="0" quotePrefix="0" xfId="1">
      <alignment horizontal="center" vertical="center" wrapText="1"/>
    </xf>
    <xf numFmtId="165" fontId="15" fillId="2" borderId="56" applyAlignment="1" pivotButton="0" quotePrefix="0" xfId="1">
      <alignment horizontal="center" vertical="center"/>
    </xf>
    <xf numFmtId="0" fontId="0" fillId="0" borderId="44" pivotButton="0" quotePrefix="0" xfId="0"/>
    <xf numFmtId="165" fontId="15" fillId="2" borderId="57" applyAlignment="1" pivotButton="0" quotePrefix="0" xfId="1">
      <alignment horizontal="center" vertical="center"/>
    </xf>
    <xf numFmtId="0" fontId="0" fillId="0" borderId="45" pivotButton="0" quotePrefix="0" xfId="0"/>
    <xf numFmtId="165" fontId="15" fillId="2" borderId="43" applyAlignment="1" pivotButton="0" quotePrefix="0" xfId="1">
      <alignment vertical="center"/>
    </xf>
    <xf numFmtId="165" fontId="15" fillId="2" borderId="47" applyAlignment="1" pivotButton="0" quotePrefix="0" xfId="1">
      <alignment vertical="center"/>
    </xf>
    <xf numFmtId="165" fontId="15" fillId="2" borderId="53" applyAlignment="1" pivotButton="0" quotePrefix="0" xfId="1">
      <alignment vertical="center"/>
    </xf>
    <xf numFmtId="165" fontId="14" fillId="7" borderId="43" applyAlignment="1" pivotButton="0" quotePrefix="0" xfId="1">
      <alignment vertical="center"/>
    </xf>
    <xf numFmtId="165" fontId="14" fillId="7" borderId="53" applyAlignment="1" pivotButton="0" quotePrefix="0" xfId="1">
      <alignment vertical="center"/>
    </xf>
    <xf numFmtId="0" fontId="0" fillId="0" borderId="63" pivotButton="0" quotePrefix="0" xfId="0"/>
    <xf numFmtId="0" fontId="0" fillId="0" borderId="65" pivotButton="0" quotePrefix="0" xfId="0"/>
    <xf numFmtId="165" fontId="14" fillId="6" borderId="61" applyAlignment="1" pivotButton="0" quotePrefix="0" xfId="1">
      <alignment vertical="center"/>
    </xf>
    <xf numFmtId="165" fontId="14" fillId="6" borderId="62" applyAlignment="1" pivotButton="0" quotePrefix="0" xfId="1">
      <alignment vertical="center"/>
    </xf>
    <xf numFmtId="0" fontId="0" fillId="0" borderId="64" pivotButton="0" quotePrefix="0" xfId="0"/>
  </cellXfs>
  <cellStyles count="5">
    <cellStyle name="표준" xfId="0" builtinId="0"/>
    <cellStyle name="표준 9 2 2" xfId="1"/>
    <cellStyle name="표준 2 3" xfId="2"/>
    <cellStyle name="표준 6" xfId="3"/>
    <cellStyle name="표준 2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selection activeCell="F16" sqref="F16"/>
    </sheetView>
  </sheetViews>
  <sheetFormatPr baseColWidth="8" defaultRowHeight="16.5"/>
  <cols>
    <col width="14" bestFit="1" customWidth="1" style="105" min="1" max="1"/>
    <col width="15.375" bestFit="1" customWidth="1" style="105" min="3" max="3"/>
    <col width="12" bestFit="1" customWidth="1" style="105" min="4" max="4"/>
    <col width="14.5" bestFit="1" customWidth="1" style="105" min="5" max="5"/>
    <col width="13.875" bestFit="1" customWidth="1" style="105" min="6" max="6"/>
    <col width="14.875" bestFit="1" customWidth="1" style="105" min="7" max="7"/>
    <col width="13.25" bestFit="1" customWidth="1" style="105" min="8" max="9"/>
    <col width="16.375" bestFit="1" customWidth="1" style="105" min="10" max="10"/>
    <col width="26.75" bestFit="1" customWidth="1" style="105" min="11" max="11"/>
  </cols>
  <sheetData>
    <row r="1">
      <c r="A1" s="3" t="inlineStr">
        <is>
          <t>견 적 서</t>
        </is>
      </c>
    </row>
    <row r="2" ht="17.25" customHeight="1" s="105" thickBot="1">
      <c r="A2" s="106" t="n"/>
      <c r="B2" s="107" t="n"/>
      <c r="C2" s="107" t="n"/>
      <c r="D2" s="107" t="n"/>
      <c r="E2" s="107" t="n"/>
      <c r="F2" s="107" t="n"/>
      <c r="G2" s="107" t="n"/>
      <c r="H2" s="107" t="n"/>
      <c r="I2" s="107" t="n"/>
      <c r="J2" s="107" t="n"/>
      <c r="K2" s="107" t="n"/>
    </row>
    <row r="3" ht="17.25" customHeight="1" s="105">
      <c r="A3" s="5" t="inlineStr">
        <is>
          <t>공급받는자</t>
        </is>
      </c>
      <c r="B3" s="108" t="n"/>
      <c r="C3" s="108" t="n"/>
      <c r="D3" s="109" t="n"/>
      <c r="E3" s="110" t="n"/>
      <c r="F3" s="108" t="n"/>
      <c r="G3" s="108" t="n"/>
      <c r="H3" s="108" t="n"/>
      <c r="I3" s="111" t="n"/>
      <c r="J3" s="112" t="inlineStr">
        <is>
          <t>공급자</t>
        </is>
      </c>
      <c r="K3" s="113" t="n"/>
    </row>
    <row r="4" ht="17.25" customHeight="1" s="105">
      <c r="A4" s="114" t="inlineStr">
        <is>
          <t>회사명</t>
        </is>
      </c>
      <c r="B4" s="115" t="n"/>
      <c r="C4" s="116" t="inlineStr">
        <is>
          <t>광고주명</t>
        </is>
      </c>
      <c r="D4" s="117" t="n"/>
      <c r="E4" s="118" t="inlineStr">
        <is>
          <t>아래와 같이 견적 합니다.
[ 산출물: JPG, AI, 인쇄물]</t>
        </is>
      </c>
      <c r="F4" s="119" t="n"/>
      <c r="G4" s="119" t="n"/>
      <c r="H4" s="119" t="n"/>
      <c r="I4" s="120" t="n"/>
      <c r="J4" s="19" t="inlineStr">
        <is>
          <t>회 사 명</t>
        </is>
      </c>
      <c r="K4" s="20" t="inlineStr">
        <is>
          <t>㈜광고대행사</t>
        </is>
      </c>
    </row>
    <row r="5" ht="17.25" customHeight="1" s="105">
      <c r="A5" s="121" t="inlineStr">
        <is>
          <t>Job Name</t>
        </is>
      </c>
      <c r="B5" s="122" t="n"/>
      <c r="C5" s="123" t="n"/>
      <c r="D5" s="117" t="n"/>
      <c r="I5" s="124" t="n"/>
      <c r="J5" s="19" t="inlineStr">
        <is>
          <t>대표이사</t>
        </is>
      </c>
      <c r="K5" s="20" t="inlineStr">
        <is>
          <t>김종현</t>
        </is>
      </c>
    </row>
    <row r="6" ht="17.25" customHeight="1" s="105">
      <c r="A6" s="125" t="inlineStr">
        <is>
          <t>Job</t>
        </is>
      </c>
      <c r="B6" s="126" t="n"/>
      <c r="C6" s="127" t="inlineStr">
        <is>
          <t>KRS00000000</t>
        </is>
      </c>
      <c r="D6" s="117" t="n"/>
      <c r="I6" s="124" t="n"/>
      <c r="J6" s="19" t="inlineStr">
        <is>
          <t>사업자등록번호</t>
        </is>
      </c>
      <c r="K6" s="20" t="inlineStr">
        <is>
          <t>202-81-45960</t>
        </is>
      </c>
    </row>
    <row r="7" ht="17.25" customHeight="1" s="105">
      <c r="A7" s="114" t="inlineStr">
        <is>
          <t>거래가격</t>
        </is>
      </c>
      <c r="B7" s="115" t="n"/>
      <c r="C7" s="128">
        <f>I26</f>
        <v/>
      </c>
      <c r="D7" s="32" t="inlineStr">
        <is>
          <t>(VAT 포함)</t>
        </is>
      </c>
      <c r="I7" s="124" t="n"/>
      <c r="J7" s="33" t="inlineStr">
        <is>
          <t>주소</t>
        </is>
      </c>
      <c r="K7" s="20" t="inlineStr">
        <is>
          <t>서울시 용산구 이태원로 222</t>
        </is>
      </c>
    </row>
    <row r="8" ht="18" customHeight="1" s="105" thickBot="1">
      <c r="A8" s="129" t="inlineStr">
        <is>
          <t>담당자/연락처</t>
        </is>
      </c>
      <c r="B8" s="130" t="n"/>
      <c r="C8" s="131" t="n"/>
      <c r="D8" s="132" t="n"/>
      <c r="E8" s="107" t="n"/>
      <c r="F8" s="107" t="n"/>
      <c r="G8" s="107" t="n"/>
      <c r="H8" s="107" t="n"/>
      <c r="I8" s="133" t="n"/>
      <c r="J8" s="40" t="inlineStr">
        <is>
          <t>담당자/연락처</t>
        </is>
      </c>
      <c r="K8" s="41" t="n"/>
    </row>
    <row r="9" ht="17.25" customHeight="1" s="105" thickBot="1">
      <c r="A9" s="42" t="inlineStr">
        <is>
          <t xml:space="preserve">  [견 적 내 역]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4" t="n"/>
      <c r="K9" s="45" t="n"/>
    </row>
    <row r="10">
      <c r="A10" s="134" t="inlineStr">
        <is>
          <t>구분</t>
        </is>
      </c>
      <c r="B10" s="135" t="n"/>
      <c r="C10" s="49" t="inlineStr">
        <is>
          <t>업무내용</t>
        </is>
      </c>
      <c r="D10" s="135" t="n"/>
      <c r="E10" s="49" t="inlineStr">
        <is>
          <t>사전 견적</t>
        </is>
      </c>
      <c r="F10" s="49" t="inlineStr">
        <is>
          <t>1차 협의 견적</t>
        </is>
      </c>
      <c r="G10" s="49" t="inlineStr">
        <is>
          <t>2차 견적_0000</t>
        </is>
      </c>
      <c r="H10" s="50" t="inlineStr">
        <is>
          <t>완료견적_1차</t>
        </is>
      </c>
      <c r="I10" s="51" t="inlineStr">
        <is>
          <t>최종 금액</t>
        </is>
      </c>
      <c r="J10" s="53" t="inlineStr">
        <is>
          <t>비고</t>
        </is>
      </c>
      <c r="K10" s="136" t="n"/>
    </row>
    <row r="11">
      <c r="A11" s="137" t="inlineStr">
        <is>
          <t>정가항목</t>
        </is>
      </c>
      <c r="B11" s="138" t="n"/>
      <c r="C11" s="56" t="inlineStr">
        <is>
          <t>기획료</t>
        </is>
      </c>
      <c r="D11" s="139" t="n"/>
      <c r="E11" s="140" t="n">
        <v>367000</v>
      </c>
      <c r="F11" s="140" t="n"/>
      <c r="G11" s="140" t="n"/>
      <c r="H11" s="141" t="n"/>
      <c r="I11" s="142" t="n"/>
      <c r="J11" s="61" t="inlineStr">
        <is>
          <t>정가항목 제외</t>
        </is>
      </c>
      <c r="K11" s="143" t="n"/>
    </row>
    <row r="12">
      <c r="A12" s="144" t="n"/>
      <c r="B12" s="145" t="n"/>
      <c r="C12" s="56" t="inlineStr">
        <is>
          <t>카피료</t>
        </is>
      </c>
      <c r="D12" s="139" t="n"/>
      <c r="E12" s="140" t="n">
        <v>428000</v>
      </c>
      <c r="F12" s="140" t="n"/>
      <c r="G12" s="140" t="n"/>
      <c r="H12" s="141" t="n"/>
      <c r="I12" s="142" t="n"/>
      <c r="J12" s="61" t="inlineStr">
        <is>
          <t>정가항목 제외</t>
        </is>
      </c>
      <c r="K12" s="143" t="n"/>
    </row>
    <row r="13">
      <c r="A13" s="144" t="n"/>
      <c r="B13" s="145" t="n"/>
      <c r="C13" s="56" t="inlineStr">
        <is>
          <t>크리에이티브 워크료</t>
        </is>
      </c>
      <c r="D13" s="139" t="n"/>
      <c r="E13" s="140" t="n">
        <v>408000</v>
      </c>
      <c r="F13" s="140" t="n"/>
      <c r="G13" s="140" t="n"/>
      <c r="H13" s="141" t="n"/>
      <c r="I13" s="142" t="n"/>
      <c r="J13" s="61" t="inlineStr">
        <is>
          <t>정가항목 제외</t>
        </is>
      </c>
      <c r="K13" s="143" t="n"/>
    </row>
    <row r="14">
      <c r="A14" s="144" t="n"/>
      <c r="B14" s="145" t="n"/>
      <c r="C14" s="56" t="inlineStr">
        <is>
          <t>디렉션료</t>
        </is>
      </c>
      <c r="D14" s="139" t="n"/>
      <c r="E14" s="140" t="n">
        <v>204000</v>
      </c>
      <c r="F14" s="140" t="n"/>
      <c r="G14" s="140" t="n"/>
      <c r="H14" s="141" t="n"/>
      <c r="I14" s="142" t="n"/>
      <c r="J14" s="61" t="inlineStr">
        <is>
          <t>정가항목 제외</t>
        </is>
      </c>
      <c r="K14" s="143" t="n"/>
    </row>
    <row r="15">
      <c r="A15" s="146" t="inlineStr">
        <is>
          <t>Sub total</t>
        </is>
      </c>
      <c r="B15" s="147" t="n"/>
      <c r="C15" s="147" t="n"/>
      <c r="D15" s="139" t="n"/>
      <c r="E15" s="148">
        <f>SUM(E11:E14)</f>
        <v/>
      </c>
      <c r="F15" s="148">
        <f>SUM(F11:F14)</f>
        <v/>
      </c>
      <c r="G15" s="148">
        <f>SUM(G11:G14)</f>
        <v/>
      </c>
      <c r="H15" s="148">
        <f>SUM(H11:H14)</f>
        <v/>
      </c>
      <c r="I15" s="149" t="n">
        <v>0</v>
      </c>
      <c r="J15" s="70" t="n"/>
      <c r="K15" s="143" t="n"/>
    </row>
    <row r="16">
      <c r="A16" s="150" t="inlineStr">
        <is>
          <t>외주항목</t>
        </is>
      </c>
      <c r="B16" s="151" t="n"/>
      <c r="C16" s="56" t="inlineStr">
        <is>
          <t>기획료</t>
        </is>
      </c>
      <c r="D16" s="139" t="n"/>
      <c r="E16" s="140" t="n">
        <v>2000000</v>
      </c>
      <c r="F16" s="152" t="n">
        <v>1500000</v>
      </c>
      <c r="G16" s="152" t="n">
        <v>1000000</v>
      </c>
      <c r="H16" s="153" t="n">
        <v>1000000</v>
      </c>
      <c r="I16" s="154" t="n">
        <v>1000000</v>
      </c>
      <c r="J16" s="78" t="n"/>
      <c r="K16" s="79" t="n"/>
    </row>
    <row r="17">
      <c r="C17" s="56" t="inlineStr">
        <is>
          <t>시안</t>
        </is>
      </c>
      <c r="D17" s="139" t="n"/>
      <c r="E17" s="140" t="n">
        <v>5000000</v>
      </c>
      <c r="F17" s="152" t="n">
        <v>3000000</v>
      </c>
      <c r="G17" s="152" t="n">
        <v>1500000</v>
      </c>
      <c r="H17" s="153" t="n">
        <v>1500000</v>
      </c>
      <c r="I17" s="154" t="n">
        <v>1500000</v>
      </c>
      <c r="J17" s="79" t="n"/>
      <c r="K17" s="143" t="n"/>
    </row>
    <row r="18">
      <c r="C18" s="56" t="inlineStr">
        <is>
          <t>비주얼 레이아웃</t>
        </is>
      </c>
      <c r="D18" s="139" t="n"/>
      <c r="E18" s="140" t="n">
        <v>1000000</v>
      </c>
      <c r="F18" s="152" t="n">
        <v>800000</v>
      </c>
      <c r="G18" s="152" t="n">
        <v>800000</v>
      </c>
      <c r="H18" s="153" t="n">
        <v>800000</v>
      </c>
      <c r="I18" s="154" t="n">
        <v>800000</v>
      </c>
      <c r="J18" s="79" t="n"/>
      <c r="K18" s="143" t="n"/>
    </row>
    <row r="19">
      <c r="C19" s="155" t="inlineStr">
        <is>
          <t>시안/원고용
이미지 CG 작업</t>
        </is>
      </c>
      <c r="D19" s="88" t="inlineStr">
        <is>
          <t>시안작업</t>
        </is>
      </c>
      <c r="E19" s="152" t="n">
        <v>70000000</v>
      </c>
      <c r="F19" s="152" t="n">
        <v>50000000</v>
      </c>
      <c r="G19" s="152" t="n">
        <v>20000000</v>
      </c>
      <c r="H19" s="156" t="n">
        <v>15000000</v>
      </c>
      <c r="I19" s="154" t="n">
        <v>9000000</v>
      </c>
      <c r="J19" s="79" t="n"/>
      <c r="K19" s="143" t="n"/>
    </row>
    <row r="20">
      <c r="C20" s="157" t="n"/>
      <c r="D20" s="88" t="inlineStr">
        <is>
          <t>원고작업</t>
        </is>
      </c>
      <c r="E20" s="157" t="n"/>
      <c r="F20" s="157" t="n"/>
      <c r="G20" s="157" t="n"/>
      <c r="H20" s="158" t="n">
        <v>7000000</v>
      </c>
      <c r="I20" s="154" t="n">
        <v>6500000</v>
      </c>
      <c r="J20" s="78" t="n"/>
      <c r="K20" s="79" t="n"/>
    </row>
    <row r="21">
      <c r="C21" s="155" t="inlineStr">
        <is>
          <t>AI 이미지 제작 및 스탁 이미지 활용</t>
        </is>
      </c>
      <c r="D21" s="139" t="n"/>
      <c r="E21" s="140" t="n">
        <v>7000000</v>
      </c>
      <c r="F21" s="152" t="n">
        <v>6000000</v>
      </c>
      <c r="G21" s="152" t="n">
        <v>3500000</v>
      </c>
      <c r="H21" s="153" t="n">
        <v>3000000</v>
      </c>
      <c r="I21" s="154" t="n">
        <v>2000000</v>
      </c>
      <c r="J21" s="79" t="n"/>
      <c r="K21" s="143" t="n"/>
    </row>
    <row r="22">
      <c r="C22" s="56" t="inlineStr">
        <is>
          <t>연동 촬영비</t>
        </is>
      </c>
      <c r="D22" s="139" t="n"/>
      <c r="E22" s="140" t="n">
        <v>8000000</v>
      </c>
      <c r="F22" s="152" t="n">
        <v>7000000</v>
      </c>
      <c r="G22" s="152" t="n">
        <v>0</v>
      </c>
      <c r="H22" s="153" t="n">
        <v>1500000</v>
      </c>
      <c r="I22" s="154" t="n">
        <v>0</v>
      </c>
      <c r="J22" s="61" t="n"/>
      <c r="K22" s="143" t="n"/>
    </row>
    <row r="23">
      <c r="A23" s="159" t="n"/>
      <c r="B23" s="159" t="n"/>
      <c r="C23" s="56" t="inlineStr">
        <is>
          <t>바레이션 비용</t>
        </is>
      </c>
      <c r="D23" s="139" t="n"/>
      <c r="E23" s="140" t="n">
        <v>3000000</v>
      </c>
      <c r="F23" s="160" t="n">
        <v>3000000</v>
      </c>
      <c r="G23" s="160" t="n">
        <v>0</v>
      </c>
      <c r="H23" s="161" t="n">
        <v>0</v>
      </c>
      <c r="I23" s="162" t="n">
        <v>0</v>
      </c>
      <c r="J23" s="61" t="n"/>
      <c r="K23" s="143" t="n"/>
    </row>
    <row r="24">
      <c r="A24" s="146" t="inlineStr">
        <is>
          <t>Sub total</t>
        </is>
      </c>
      <c r="B24" s="147" t="n"/>
      <c r="C24" s="147" t="n"/>
      <c r="D24" s="139" t="n"/>
      <c r="E24" s="148">
        <f>SUM(E16:E23)</f>
        <v/>
      </c>
      <c r="F24" s="148">
        <f>SUM(F16:F23)</f>
        <v/>
      </c>
      <c r="G24" s="148">
        <f>SUM(G16:G23)</f>
        <v/>
      </c>
      <c r="H24" s="148">
        <f>SUM(H16:H23)</f>
        <v/>
      </c>
      <c r="I24" s="149">
        <f>SUM(I16:I23)</f>
        <v/>
      </c>
      <c r="J24" s="70" t="n"/>
      <c r="K24" s="143" t="n"/>
    </row>
    <row r="25">
      <c r="A25" s="93" t="inlineStr">
        <is>
          <t>광고대행사 수수료</t>
        </is>
      </c>
      <c r="B25" s="147" t="n"/>
      <c r="C25" s="147" t="n"/>
      <c r="D25" s="139" t="n"/>
      <c r="E25" s="163">
        <f>E24*15%</f>
        <v/>
      </c>
      <c r="F25" s="163">
        <f>F24*15%</f>
        <v/>
      </c>
      <c r="G25" s="163">
        <f>G24*10%</f>
        <v/>
      </c>
      <c r="H25" s="163">
        <f>H24*10%</f>
        <v/>
      </c>
      <c r="I25" s="164">
        <f>I24*10%</f>
        <v/>
      </c>
      <c r="J25" s="98" t="inlineStr">
        <is>
          <t>10% 적용</t>
        </is>
      </c>
      <c r="K25" s="143" t="n"/>
    </row>
    <row r="26" ht="17.25" customHeight="1" s="105" thickBot="1">
      <c r="A26" s="99" t="inlineStr">
        <is>
          <t>TOTAL</t>
        </is>
      </c>
      <c r="B26" s="165" t="n"/>
      <c r="C26" s="165" t="n"/>
      <c r="D26" s="166" t="n"/>
      <c r="E26" s="167">
        <f>SUM(E15,E24,E25)</f>
        <v/>
      </c>
      <c r="F26" s="167">
        <f>ROUNDDOWN(SUM(F15,F24,F25),-4)</f>
        <v/>
      </c>
      <c r="G26" s="167">
        <f>ROUNDDOWN(SUM(G15,G24,G25),-4)</f>
        <v/>
      </c>
      <c r="H26" s="167">
        <f>ROUNDDOWN(SUM(H15,H24,H25),-4)</f>
        <v/>
      </c>
      <c r="I26" s="168">
        <f>ROUNDDOWN(SUM(I15,I24,I25),-4)</f>
        <v/>
      </c>
      <c r="J26" s="104" t="inlineStr">
        <is>
          <t>4자리 이하 절사</t>
        </is>
      </c>
      <c r="K26" s="169" t="n"/>
    </row>
  </sheetData>
  <mergeCells count="51">
    <mergeCell ref="E3:I3"/>
    <mergeCell ref="C6:D6"/>
    <mergeCell ref="J14:K14"/>
    <mergeCell ref="C5:D5"/>
    <mergeCell ref="J10:K10"/>
    <mergeCell ref="J19:K19"/>
    <mergeCell ref="C14:D14"/>
    <mergeCell ref="E19:E20"/>
    <mergeCell ref="J13:K13"/>
    <mergeCell ref="G19:G20"/>
    <mergeCell ref="A6:B6"/>
    <mergeCell ref="C4:D4"/>
    <mergeCell ref="A16:B23"/>
    <mergeCell ref="C10:D10"/>
    <mergeCell ref="C16:D16"/>
    <mergeCell ref="A7:B7"/>
    <mergeCell ref="J23:K23"/>
    <mergeCell ref="J24:K24"/>
    <mergeCell ref="E4:I8"/>
    <mergeCell ref="J15:K15"/>
    <mergeCell ref="A15:D15"/>
    <mergeCell ref="A24:D24"/>
    <mergeCell ref="C22:D22"/>
    <mergeCell ref="J26:K26"/>
    <mergeCell ref="C12:D12"/>
    <mergeCell ref="J11:K11"/>
    <mergeCell ref="C21:D21"/>
    <mergeCell ref="C11:D11"/>
    <mergeCell ref="J25:K25"/>
    <mergeCell ref="A5:B5"/>
    <mergeCell ref="A25:D25"/>
    <mergeCell ref="J22:K22"/>
    <mergeCell ref="C23:D23"/>
    <mergeCell ref="C17:D17"/>
    <mergeCell ref="A8:B8"/>
    <mergeCell ref="C8:D8"/>
    <mergeCell ref="A1:K2"/>
    <mergeCell ref="C19:C20"/>
    <mergeCell ref="A4:B4"/>
    <mergeCell ref="J3:K3"/>
    <mergeCell ref="J21:K21"/>
    <mergeCell ref="F19:F20"/>
    <mergeCell ref="A11:B14"/>
    <mergeCell ref="J12:K12"/>
    <mergeCell ref="A26:D26"/>
    <mergeCell ref="A10:B10"/>
    <mergeCell ref="A3:D3"/>
    <mergeCell ref="J18:K18"/>
    <mergeCell ref="C13:D13"/>
    <mergeCell ref="C18:D18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CHEIL</dc:creator>
  <dcterms:created xsi:type="dcterms:W3CDTF">2026-05-18T08:00:29Z</dcterms:created>
  <dcterms:modified xsi:type="dcterms:W3CDTF">2026-05-18T12:22:50Z</dcterms:modified>
  <cp:lastModifiedBy>CHEIL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NSCPROP" fmtid="{D5CDD505-2E9C-101B-9397-08002B2CF9AE}" pid="2">
    <vt:lpwstr>NSCCustomProperty</vt:lpwstr>
  </property>
</Properties>
</file>