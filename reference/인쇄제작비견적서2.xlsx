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EIL\Desktop\AI TF - pioneer\reference\"/>
    </mc:Choice>
  </mc:AlternateContent>
  <xr:revisionPtr revIDLastSave="0" documentId="8_{E349B236-4CB8-4486-8680-5CBB153AB60A}" xr6:coauthVersionLast="47" xr6:coauthVersionMax="47" xr10:uidLastSave="{00000000-0000-0000-0000-000000000000}"/>
  <bookViews>
    <workbookView xWindow="-120" yWindow="-120" windowWidth="29040" windowHeight="15720" xr2:uid="{E96535EB-AC90-4FB4-A3DD-A801CF195D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5" i="1" l="1"/>
  <c r="E25" i="1"/>
  <c r="I24" i="1"/>
  <c r="H24" i="1"/>
  <c r="H25" i="1" s="1"/>
  <c r="G24" i="1"/>
  <c r="G25" i="1" s="1"/>
  <c r="F24" i="1"/>
  <c r="E24" i="1"/>
  <c r="H15" i="1"/>
  <c r="H26" i="1" s="1"/>
  <c r="G15" i="1"/>
  <c r="G26" i="1" s="1"/>
  <c r="F15" i="1"/>
  <c r="F26" i="1" s="1"/>
  <c r="E15" i="1"/>
  <c r="E26" i="1" s="1"/>
  <c r="I25" i="1" l="1"/>
  <c r="I26" i="1" s="1"/>
  <c r="C7" i="1" s="1"/>
</calcChain>
</file>

<file path=xl/sharedStrings.xml><?xml version="1.0" encoding="utf-8"?>
<sst xmlns="http://schemas.openxmlformats.org/spreadsheetml/2006/main" count="55" uniqueCount="49">
  <si>
    <t>견 적 서</t>
    <phoneticPr fontId="4" type="noConversion"/>
  </si>
  <si>
    <t>공급받는자</t>
  </si>
  <si>
    <t>공급자</t>
  </si>
  <si>
    <t>회사명</t>
    <phoneticPr fontId="7" type="noConversion"/>
  </si>
  <si>
    <t>광고주명</t>
    <phoneticPr fontId="7" type="noConversion"/>
  </si>
  <si>
    <t>아래와 같이 견적 합니다.
[ 산출물: JPG, AI, 인쇄물]</t>
    <phoneticPr fontId="7" type="noConversion"/>
  </si>
  <si>
    <t>회 사 명</t>
  </si>
  <si>
    <t>㈜제일기획</t>
    <phoneticPr fontId="7" type="noConversion"/>
  </si>
  <si>
    <t>Job Name</t>
    <phoneticPr fontId="4" type="noConversion"/>
  </si>
  <si>
    <t>대표이사</t>
  </si>
  <si>
    <t>김종현</t>
    <phoneticPr fontId="7" type="noConversion"/>
  </si>
  <si>
    <t>Job</t>
    <phoneticPr fontId="4" type="noConversion"/>
  </si>
  <si>
    <t>KRS00000000</t>
    <phoneticPr fontId="12" type="noConversion"/>
  </si>
  <si>
    <t>사업자등록번호</t>
  </si>
  <si>
    <t>202-81-45960</t>
    <phoneticPr fontId="7" type="noConversion"/>
  </si>
  <si>
    <t>거래가격</t>
    <phoneticPr fontId="7" type="noConversion"/>
  </si>
  <si>
    <t>(VAT 포함)</t>
    <phoneticPr fontId="7" type="noConversion"/>
  </si>
  <si>
    <t>주소</t>
    <phoneticPr fontId="7" type="noConversion"/>
  </si>
  <si>
    <t>서울시 용산구 이태원로 222</t>
    <phoneticPr fontId="7" type="noConversion"/>
  </si>
  <si>
    <t>담당자/연락처</t>
  </si>
  <si>
    <t xml:space="preserve">  [견 적 내 역]</t>
  </si>
  <si>
    <t>구분</t>
    <phoneticPr fontId="7" type="noConversion"/>
  </si>
  <si>
    <t>업무내용</t>
  </si>
  <si>
    <t>사전 견적</t>
    <phoneticPr fontId="12" type="noConversion"/>
  </si>
  <si>
    <t>1차 협의 견적</t>
    <phoneticPr fontId="7" type="noConversion"/>
  </si>
  <si>
    <t>2차 견적_0000</t>
    <phoneticPr fontId="12" type="noConversion"/>
  </si>
  <si>
    <t>완료견적_1차</t>
    <phoneticPr fontId="12" type="noConversion"/>
  </si>
  <si>
    <t>최종 금액</t>
    <phoneticPr fontId="12" type="noConversion"/>
  </si>
  <si>
    <t>비고</t>
  </si>
  <si>
    <t>정가항목</t>
    <phoneticPr fontId="7" type="noConversion"/>
  </si>
  <si>
    <t>기획료</t>
    <phoneticPr fontId="7" type="noConversion"/>
  </si>
  <si>
    <t>정가항목 제외</t>
    <phoneticPr fontId="12" type="noConversion"/>
  </si>
  <si>
    <t>카피료</t>
    <phoneticPr fontId="7" type="noConversion"/>
  </si>
  <si>
    <t>크리에이티브 워크료</t>
    <phoneticPr fontId="7" type="noConversion"/>
  </si>
  <si>
    <t>디렉션료</t>
    <phoneticPr fontId="7" type="noConversion"/>
  </si>
  <si>
    <t>Sub total</t>
    <phoneticPr fontId="7" type="noConversion"/>
  </si>
  <si>
    <t>외주항목</t>
    <phoneticPr fontId="7" type="noConversion"/>
  </si>
  <si>
    <t>시안</t>
    <phoneticPr fontId="12" type="noConversion"/>
  </si>
  <si>
    <t>비주얼 레이아웃</t>
    <phoneticPr fontId="12" type="noConversion"/>
  </si>
  <si>
    <t>시안/원고용
이미지 CG 작업</t>
    <phoneticPr fontId="7" type="noConversion"/>
  </si>
  <si>
    <t>시안작업</t>
    <phoneticPr fontId="12" type="noConversion"/>
  </si>
  <si>
    <t>원고작업</t>
    <phoneticPr fontId="12" type="noConversion"/>
  </si>
  <si>
    <t>AI 이미지 제작 및 스탁 이미지 활용</t>
    <phoneticPr fontId="7" type="noConversion"/>
  </si>
  <si>
    <t>연동 촬영비</t>
    <phoneticPr fontId="12" type="noConversion"/>
  </si>
  <si>
    <t>바레이션 비용</t>
    <phoneticPr fontId="12" type="noConversion"/>
  </si>
  <si>
    <t>제일기획 수수료</t>
    <phoneticPr fontId="7" type="noConversion"/>
  </si>
  <si>
    <t>10% 적용</t>
    <phoneticPr fontId="3" type="noConversion"/>
  </si>
  <si>
    <t>TOTAL</t>
    <phoneticPr fontId="7" type="noConversion"/>
  </si>
  <si>
    <t>4자리 이하 절사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</si>
</sst>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 ₩&quot;* #,##0&quot; &quot;;&quot;-₩&quot;* #,##0&quot; &quot;;&quot; ₩&quot;* &quot;- &quot;"/>
    <numFmt numFmtId="177" formatCode="&quot; &quot;* #,##0&quot; &quot;;&quot;-&quot;* #,##0&quot; &quot;;&quot; &quot;* &quot;- &quot;"/>
  </numFmts>
  <fonts count="19" x14ac:knownFonts="1">
    <font>
      <sz val="11"/>
      <color theme="1"/>
      <name val="맑은 고딕"/>
      <family val="2"/>
      <charset val="129"/>
      <scheme val="minor"/>
    </font>
    <font>
      <sz val="11"/>
      <color indexed="8"/>
      <name val="맑은 고딕"/>
      <family val="3"/>
      <charset val="129"/>
    </font>
    <font>
      <b/>
      <sz val="24"/>
      <color indexed="8"/>
      <name val="맑은 고딕"/>
      <family val="3"/>
      <charset val="129"/>
    </font>
    <font>
      <sz val="8"/>
      <name val="맑은 고딕"/>
      <family val="2"/>
      <charset val="129"/>
      <scheme val="minor"/>
    </font>
    <font>
      <sz val="8"/>
      <name val="맑은 고딕"/>
      <family val="3"/>
      <charset val="129"/>
    </font>
    <font>
      <sz val="10"/>
      <color indexed="8"/>
      <name val="Arial"/>
      <family val="2"/>
    </font>
    <font>
      <b/>
      <sz val="12"/>
      <color indexed="8"/>
      <name val="맑은 고딕"/>
      <family val="3"/>
      <charset val="129"/>
    </font>
    <font>
      <sz val="8"/>
      <name val="돋움"/>
      <family val="3"/>
      <charset val="129"/>
    </font>
    <font>
      <sz val="12"/>
      <color indexed="8"/>
      <name val="맑은 고딕"/>
      <family val="2"/>
      <charset val="129"/>
    </font>
    <font>
      <b/>
      <sz val="11"/>
      <name val="맑은 고딕"/>
      <family val="3"/>
      <charset val="129"/>
      <scheme val="major"/>
    </font>
    <font>
      <sz val="11"/>
      <color indexed="8"/>
      <name val="맑은 고딕"/>
      <family val="2"/>
      <charset val="129"/>
    </font>
    <font>
      <sz val="12"/>
      <color indexed="8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0"/>
      <color indexed="8"/>
      <name val="맑은 고딕"/>
      <family val="3"/>
      <charset val="129"/>
    </font>
    <font>
      <sz val="10"/>
      <color rgb="FFFF0000"/>
      <name val="맑은 고딕"/>
      <family val="3"/>
      <charset val="129"/>
    </font>
    <font>
      <b/>
      <sz val="10"/>
      <color indexed="8"/>
      <name val="맑은 고딕"/>
      <family val="3"/>
      <charset val="129"/>
    </font>
    <font>
      <sz val="10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auto="1"/>
      </patternFill>
    </fill>
    <fill>
      <patternFill patternType="solid">
        <fgColor rgb="FFFFFFFF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</fills>
  <borders count="65">
    <border>
      <left/>
      <right/>
      <top/>
      <bottom/>
      <diagonal/>
    </border>
    <border>
      <left style="thin">
        <color indexed="10"/>
      </left>
      <right/>
      <top/>
      <bottom/>
      <diagonal/>
    </border>
    <border>
      <left style="thin">
        <color indexed="10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64"/>
      </top>
      <bottom style="thin">
        <color indexed="8"/>
      </bottom>
      <diagonal/>
    </border>
    <border>
      <left style="medium">
        <color indexed="8"/>
      </left>
      <right/>
      <top style="medium">
        <color indexed="64"/>
      </top>
      <bottom style="thin">
        <color indexed="8"/>
      </bottom>
      <diagonal/>
    </border>
    <border>
      <left/>
      <right/>
      <top style="medium">
        <color indexed="64"/>
      </top>
      <bottom style="thin">
        <color indexed="8"/>
      </bottom>
      <diagonal/>
    </border>
    <border>
      <left/>
      <right style="medium">
        <color indexed="8"/>
      </right>
      <top style="medium">
        <color indexed="64"/>
      </top>
      <bottom style="thin">
        <color indexed="8"/>
      </bottom>
      <diagonal/>
    </border>
    <border>
      <left/>
      <right style="medium">
        <color indexed="64"/>
      </right>
      <top style="medium">
        <color indexed="64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 style="medium">
        <color indexed="64"/>
      </bottom>
      <diagonal/>
    </border>
    <border>
      <left/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1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C00000"/>
      </right>
      <top style="medium">
        <color indexed="64"/>
      </top>
      <bottom style="thin">
        <color indexed="64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C00000"/>
      </left>
      <right style="medium">
        <color rgb="FFC00000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00000"/>
      </left>
      <right style="medium">
        <color rgb="FFC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rgb="FFC00000"/>
      </right>
      <top style="thin">
        <color indexed="64"/>
      </top>
      <bottom/>
      <diagonal/>
    </border>
    <border>
      <left style="thin">
        <color indexed="64"/>
      </left>
      <right style="medium">
        <color rgb="FFC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C00000"/>
      </left>
      <right style="medium">
        <color rgb="FFC00000"/>
      </right>
      <top style="thin">
        <color indexed="64"/>
      </top>
      <bottom style="medium">
        <color rgb="FFC0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>
      <alignment vertical="center"/>
    </xf>
    <xf numFmtId="0" fontId="1" fillId="0" borderId="0" applyNumberFormat="0" applyFill="0" applyBorder="0" applyProtection="0">
      <alignment vertical="center"/>
    </xf>
    <xf numFmtId="0" fontId="5" fillId="0" borderId="0" applyNumberFormat="0" applyFill="0" applyBorder="0" applyProtection="0"/>
    <xf numFmtId="0" fontId="5" fillId="0" borderId="0" applyNumberFormat="0" applyFill="0" applyBorder="0" applyProtection="0"/>
    <xf numFmtId="0" fontId="5" fillId="0" borderId="0"/>
  </cellStyleXfs>
  <cellXfs count="105">
    <xf numFmtId="0" fontId="0" fillId="0" borderId="0" xfId="0">
      <alignment vertical="center"/>
    </xf>
    <xf numFmtId="49" fontId="2" fillId="2" borderId="1" xfId="1" applyNumberFormat="1" applyFont="1" applyFill="1" applyBorder="1" applyAlignment="1">
      <alignment horizontal="center" vertical="center"/>
    </xf>
    <xf numFmtId="49" fontId="2" fillId="2" borderId="0" xfId="1" applyNumberFormat="1" applyFont="1" applyFill="1" applyBorder="1" applyAlignment="1">
      <alignment horizontal="center" vertical="center"/>
    </xf>
    <xf numFmtId="49" fontId="2" fillId="2" borderId="2" xfId="1" applyNumberFormat="1" applyFont="1" applyFill="1" applyBorder="1" applyAlignment="1">
      <alignment horizontal="center" vertical="center"/>
    </xf>
    <xf numFmtId="49" fontId="2" fillId="2" borderId="3" xfId="1" applyNumberFormat="1" applyFont="1" applyFill="1" applyBorder="1" applyAlignment="1">
      <alignment horizontal="center" vertical="center"/>
    </xf>
    <xf numFmtId="49" fontId="6" fillId="3" borderId="4" xfId="2" applyNumberFormat="1" applyFont="1" applyFill="1" applyBorder="1" applyAlignment="1">
      <alignment horizontal="center" vertical="center"/>
    </xf>
    <xf numFmtId="0" fontId="6" fillId="3" borderId="5" xfId="2" applyFont="1" applyFill="1" applyBorder="1" applyAlignment="1">
      <alignment horizontal="center" vertical="center"/>
    </xf>
    <xf numFmtId="0" fontId="6" fillId="3" borderId="6" xfId="2" applyFont="1" applyFill="1" applyBorder="1" applyAlignment="1">
      <alignment horizontal="center" vertical="center"/>
    </xf>
    <xf numFmtId="0" fontId="6" fillId="3" borderId="7" xfId="2" applyFont="1" applyFill="1" applyBorder="1" applyAlignment="1">
      <alignment horizontal="center" vertical="center"/>
    </xf>
    <xf numFmtId="0" fontId="6" fillId="3" borderId="8" xfId="2" applyFont="1" applyFill="1" applyBorder="1" applyAlignment="1">
      <alignment horizontal="center" vertical="center"/>
    </xf>
    <xf numFmtId="0" fontId="6" fillId="3" borderId="9" xfId="2" applyFont="1" applyFill="1" applyBorder="1" applyAlignment="1">
      <alignment horizontal="center" vertical="center"/>
    </xf>
    <xf numFmtId="49" fontId="6" fillId="3" borderId="7" xfId="2" applyNumberFormat="1" applyFont="1" applyFill="1" applyBorder="1" applyAlignment="1">
      <alignment horizontal="center" vertical="center"/>
    </xf>
    <xf numFmtId="49" fontId="6" fillId="3" borderId="10" xfId="2" applyNumberFormat="1" applyFont="1" applyFill="1" applyBorder="1" applyAlignment="1">
      <alignment horizontal="center" vertical="center"/>
    </xf>
    <xf numFmtId="49" fontId="6" fillId="2" borderId="11" xfId="2" applyNumberFormat="1" applyFont="1" applyFill="1" applyBorder="1" applyAlignment="1">
      <alignment horizontal="center" vertical="center"/>
    </xf>
    <xf numFmtId="0" fontId="6" fillId="2" borderId="12" xfId="2" applyFont="1" applyFill="1" applyBorder="1" applyAlignment="1">
      <alignment horizontal="center" vertical="center"/>
    </xf>
    <xf numFmtId="49" fontId="8" fillId="4" borderId="13" xfId="3" applyNumberFormat="1" applyFont="1" applyFill="1" applyBorder="1" applyAlignment="1">
      <alignment horizontal="center" vertical="center"/>
    </xf>
    <xf numFmtId="49" fontId="8" fillId="4" borderId="14" xfId="3" applyNumberFormat="1" applyFont="1" applyFill="1" applyBorder="1" applyAlignment="1">
      <alignment horizontal="center" vertical="center"/>
    </xf>
    <xf numFmtId="0" fontId="1" fillId="0" borderId="15" xfId="1" applyNumberFormat="1" applyBorder="1" applyAlignment="1">
      <alignment horizontal="center" vertical="center" wrapText="1"/>
    </xf>
    <xf numFmtId="0" fontId="1" fillId="0" borderId="16" xfId="1" applyNumberFormat="1" applyBorder="1" applyAlignment="1">
      <alignment horizontal="center" vertical="center" wrapText="1"/>
    </xf>
    <xf numFmtId="49" fontId="6" fillId="2" borderId="17" xfId="2" applyNumberFormat="1" applyFont="1" applyFill="1" applyBorder="1" applyAlignment="1">
      <alignment horizontal="center" vertical="center"/>
    </xf>
    <xf numFmtId="49" fontId="1" fillId="2" borderId="18" xfId="3" applyNumberFormat="1" applyFont="1" applyFill="1" applyBorder="1" applyAlignment="1">
      <alignment horizontal="center" vertical="center"/>
    </xf>
    <xf numFmtId="0" fontId="9" fillId="0" borderId="19" xfId="4" applyFont="1" applyBorder="1" applyAlignment="1">
      <alignment horizontal="center" vertical="center"/>
    </xf>
    <xf numFmtId="0" fontId="9" fillId="0" borderId="20" xfId="4" applyFont="1" applyBorder="1" applyAlignment="1">
      <alignment horizontal="center" vertical="center"/>
    </xf>
    <xf numFmtId="49" fontId="10" fillId="4" borderId="13" xfId="3" applyNumberFormat="1" applyFont="1" applyFill="1" applyBorder="1" applyAlignment="1">
      <alignment horizontal="center" vertical="center" wrapText="1"/>
    </xf>
    <xf numFmtId="49" fontId="10" fillId="4" borderId="14" xfId="3" applyNumberFormat="1" applyFont="1" applyFill="1" applyBorder="1" applyAlignment="1">
      <alignment horizontal="center" vertical="center"/>
    </xf>
    <xf numFmtId="0" fontId="1" fillId="0" borderId="0" xfId="1" applyNumberFormat="1" applyBorder="1" applyAlignment="1">
      <alignment horizontal="center" vertical="center" wrapText="1"/>
    </xf>
    <xf numFmtId="0" fontId="1" fillId="0" borderId="21" xfId="1" applyNumberFormat="1" applyBorder="1" applyAlignment="1">
      <alignment horizontal="center" vertical="center" wrapText="1"/>
    </xf>
    <xf numFmtId="0" fontId="9" fillId="0" borderId="22" xfId="4" applyFont="1" applyBorder="1" applyAlignment="1">
      <alignment horizontal="center" vertical="center"/>
    </xf>
    <xf numFmtId="0" fontId="9" fillId="0" borderId="23" xfId="4" applyFont="1" applyBorder="1" applyAlignment="1">
      <alignment horizontal="center" vertical="center"/>
    </xf>
    <xf numFmtId="49" fontId="11" fillId="2" borderId="13" xfId="2" applyNumberFormat="1" applyFont="1" applyFill="1" applyBorder="1" applyAlignment="1">
      <alignment horizontal="center" vertical="center"/>
    </xf>
    <xf numFmtId="49" fontId="11" fillId="2" borderId="14" xfId="2" applyNumberFormat="1" applyFont="1" applyFill="1" applyBorder="1" applyAlignment="1">
      <alignment horizontal="center" vertical="center"/>
    </xf>
    <xf numFmtId="176" fontId="6" fillId="2" borderId="13" xfId="2" applyNumberFormat="1" applyFont="1" applyFill="1" applyBorder="1" applyAlignment="1">
      <alignment vertical="center"/>
    </xf>
    <xf numFmtId="49" fontId="6" fillId="2" borderId="14" xfId="2" applyNumberFormat="1" applyFont="1" applyFill="1" applyBorder="1" applyAlignment="1">
      <alignment vertical="center"/>
    </xf>
    <xf numFmtId="49" fontId="6" fillId="2" borderId="24" xfId="2" applyNumberFormat="1" applyFont="1" applyFill="1" applyBorder="1" applyAlignment="1">
      <alignment horizontal="center" vertical="center"/>
    </xf>
    <xf numFmtId="49" fontId="6" fillId="2" borderId="25" xfId="2" applyNumberFormat="1" applyFont="1" applyFill="1" applyBorder="1" applyAlignment="1">
      <alignment horizontal="center" vertical="center"/>
    </xf>
    <xf numFmtId="0" fontId="6" fillId="2" borderId="26" xfId="2" applyFont="1" applyFill="1" applyBorder="1" applyAlignment="1">
      <alignment horizontal="center" vertical="center"/>
    </xf>
    <xf numFmtId="49" fontId="13" fillId="5" borderId="27" xfId="2" applyNumberFormat="1" applyFont="1" applyFill="1" applyBorder="1" applyAlignment="1">
      <alignment horizontal="center" vertical="center"/>
    </xf>
    <xf numFmtId="0" fontId="13" fillId="5" borderId="28" xfId="2" applyFont="1" applyFill="1" applyBorder="1" applyAlignment="1">
      <alignment horizontal="center" vertical="center"/>
    </xf>
    <xf numFmtId="0" fontId="1" fillId="0" borderId="3" xfId="1" applyNumberFormat="1" applyBorder="1" applyAlignment="1">
      <alignment horizontal="center" vertical="center" wrapText="1"/>
    </xf>
    <xf numFmtId="0" fontId="1" fillId="0" borderId="29" xfId="1" applyNumberFormat="1" applyBorder="1" applyAlignment="1">
      <alignment horizontal="center" vertical="center" wrapText="1"/>
    </xf>
    <xf numFmtId="49" fontId="6" fillId="2" borderId="30" xfId="2" applyNumberFormat="1" applyFont="1" applyFill="1" applyBorder="1" applyAlignment="1">
      <alignment horizontal="center" vertical="center"/>
    </xf>
    <xf numFmtId="49" fontId="1" fillId="2" borderId="31" xfId="3" applyNumberFormat="1" applyFont="1" applyFill="1" applyBorder="1" applyAlignment="1">
      <alignment horizontal="center" vertical="center"/>
    </xf>
    <xf numFmtId="49" fontId="14" fillId="2" borderId="1" xfId="1" applyNumberFormat="1" applyFont="1" applyFill="1" applyBorder="1">
      <alignment vertical="center"/>
    </xf>
    <xf numFmtId="0" fontId="1" fillId="2" borderId="0" xfId="1" applyFill="1" applyBorder="1">
      <alignment vertical="center"/>
    </xf>
    <xf numFmtId="0" fontId="1" fillId="2" borderId="32" xfId="1" applyFill="1" applyBorder="1">
      <alignment vertical="center"/>
    </xf>
    <xf numFmtId="0" fontId="1" fillId="2" borderId="33" xfId="1" applyFill="1" applyBorder="1">
      <alignment vertical="center"/>
    </xf>
    <xf numFmtId="0" fontId="14" fillId="6" borderId="34" xfId="1" applyNumberFormat="1" applyFont="1" applyFill="1" applyBorder="1" applyAlignment="1">
      <alignment horizontal="center" vertical="center"/>
    </xf>
    <xf numFmtId="0" fontId="14" fillId="6" borderId="35" xfId="1" applyNumberFormat="1" applyFont="1" applyFill="1" applyBorder="1" applyAlignment="1">
      <alignment horizontal="center" vertical="center"/>
    </xf>
    <xf numFmtId="49" fontId="14" fillId="6" borderId="36" xfId="1" applyNumberFormat="1" applyFont="1" applyFill="1" applyBorder="1" applyAlignment="1">
      <alignment horizontal="center" vertical="center"/>
    </xf>
    <xf numFmtId="49" fontId="14" fillId="6" borderId="36" xfId="1" applyNumberFormat="1" applyFont="1" applyFill="1" applyBorder="1" applyAlignment="1">
      <alignment horizontal="center" vertical="center"/>
    </xf>
    <xf numFmtId="49" fontId="14" fillId="6" borderId="37" xfId="1" applyNumberFormat="1" applyFont="1" applyFill="1" applyBorder="1" applyAlignment="1">
      <alignment horizontal="center" vertical="center"/>
    </xf>
    <xf numFmtId="49" fontId="14" fillId="6" borderId="38" xfId="1" applyNumberFormat="1" applyFont="1" applyFill="1" applyBorder="1" applyAlignment="1">
      <alignment horizontal="center" vertical="center"/>
    </xf>
    <xf numFmtId="49" fontId="14" fillId="6" borderId="39" xfId="1" applyNumberFormat="1" applyFont="1" applyFill="1" applyBorder="1" applyAlignment="1">
      <alignment horizontal="center" vertical="center"/>
    </xf>
    <xf numFmtId="49" fontId="14" fillId="6" borderId="40" xfId="1" applyNumberFormat="1" applyFont="1" applyFill="1" applyBorder="1" applyAlignment="1">
      <alignment horizontal="center" vertical="center"/>
    </xf>
    <xf numFmtId="49" fontId="15" fillId="2" borderId="41" xfId="1" applyNumberFormat="1" applyFont="1" applyFill="1" applyBorder="1" applyAlignment="1">
      <alignment horizontal="center" vertical="center"/>
    </xf>
    <xf numFmtId="49" fontId="15" fillId="2" borderId="42" xfId="1" applyNumberFormat="1" applyFont="1" applyFill="1" applyBorder="1" applyAlignment="1">
      <alignment horizontal="center" vertical="center"/>
    </xf>
    <xf numFmtId="0" fontId="15" fillId="0" borderId="43" xfId="4" applyFont="1" applyBorder="1" applyAlignment="1">
      <alignment horizontal="center" vertical="center"/>
    </xf>
    <xf numFmtId="177" fontId="15" fillId="2" borderId="44" xfId="1" applyNumberFormat="1" applyFont="1" applyFill="1" applyBorder="1" applyAlignment="1">
      <alignment horizontal="center" vertical="center"/>
    </xf>
    <xf numFmtId="177" fontId="15" fillId="2" borderId="45" xfId="1" applyNumberFormat="1" applyFont="1" applyFill="1" applyBorder="1" applyAlignment="1">
      <alignment horizontal="center" vertical="center"/>
    </xf>
    <xf numFmtId="177" fontId="15" fillId="2" borderId="46" xfId="1" applyNumberFormat="1" applyFont="1" applyFill="1" applyBorder="1" applyAlignment="1">
      <alignment horizontal="center" vertical="center"/>
    </xf>
    <xf numFmtId="0" fontId="16" fillId="2" borderId="47" xfId="1" applyFont="1" applyFill="1" applyBorder="1" applyAlignment="1">
      <alignment horizontal="left" vertical="center"/>
    </xf>
    <xf numFmtId="0" fontId="16" fillId="2" borderId="48" xfId="1" applyFont="1" applyFill="1" applyBorder="1" applyAlignment="1">
      <alignment horizontal="left" vertical="center"/>
    </xf>
    <xf numFmtId="49" fontId="15" fillId="2" borderId="49" xfId="1" applyNumberFormat="1" applyFont="1" applyFill="1" applyBorder="1" applyAlignment="1">
      <alignment horizontal="center" vertical="center"/>
    </xf>
    <xf numFmtId="49" fontId="15" fillId="2" borderId="50" xfId="1" applyNumberFormat="1" applyFont="1" applyFill="1" applyBorder="1" applyAlignment="1">
      <alignment horizontal="center" vertical="center"/>
    </xf>
    <xf numFmtId="49" fontId="14" fillId="3" borderId="51" xfId="1" applyNumberFormat="1" applyFont="1" applyFill="1" applyBorder="1" applyAlignment="1">
      <alignment horizontal="center" vertical="center"/>
    </xf>
    <xf numFmtId="49" fontId="14" fillId="3" borderId="47" xfId="1" applyNumberFormat="1" applyFont="1" applyFill="1" applyBorder="1" applyAlignment="1">
      <alignment horizontal="center" vertical="center"/>
    </xf>
    <xf numFmtId="49" fontId="14" fillId="3" borderId="52" xfId="1" applyNumberFormat="1" applyFont="1" applyFill="1" applyBorder="1" applyAlignment="1">
      <alignment horizontal="center" vertical="center"/>
    </xf>
    <xf numFmtId="177" fontId="14" fillId="3" borderId="43" xfId="1" applyNumberFormat="1" applyFont="1" applyFill="1" applyBorder="1">
      <alignment vertical="center"/>
    </xf>
    <xf numFmtId="177" fontId="14" fillId="3" borderId="53" xfId="1" applyNumberFormat="1" applyFont="1" applyFill="1" applyBorder="1">
      <alignment vertical="center"/>
    </xf>
    <xf numFmtId="0" fontId="17" fillId="3" borderId="47" xfId="1" applyFont="1" applyFill="1" applyBorder="1" applyAlignment="1">
      <alignment horizontal="left" vertical="center"/>
    </xf>
    <xf numFmtId="0" fontId="17" fillId="3" borderId="48" xfId="1" applyFont="1" applyFill="1" applyBorder="1" applyAlignment="1">
      <alignment horizontal="left" vertical="center"/>
    </xf>
    <xf numFmtId="49" fontId="1" fillId="2" borderId="54" xfId="1" applyNumberFormat="1" applyFill="1" applyBorder="1" applyAlignment="1">
      <alignment horizontal="center" vertical="center" wrapText="1"/>
    </xf>
    <xf numFmtId="177" fontId="15" fillId="2" borderId="43" xfId="1" applyNumberFormat="1" applyFont="1" applyFill="1" applyBorder="1" applyAlignment="1">
      <alignment horizontal="center" vertical="center"/>
    </xf>
    <xf numFmtId="177" fontId="15" fillId="2" borderId="47" xfId="1" applyNumberFormat="1" applyFont="1" applyFill="1" applyBorder="1" applyAlignment="1">
      <alignment horizontal="center" vertical="center"/>
    </xf>
    <xf numFmtId="177" fontId="15" fillId="2" borderId="53" xfId="1" applyNumberFormat="1" applyFont="1" applyFill="1" applyBorder="1" applyAlignment="1">
      <alignment horizontal="center" vertical="center"/>
    </xf>
    <xf numFmtId="0" fontId="18" fillId="2" borderId="47" xfId="1" applyFont="1" applyFill="1" applyBorder="1" applyAlignment="1">
      <alignment horizontal="left" vertical="center"/>
    </xf>
    <xf numFmtId="0" fontId="18" fillId="2" borderId="48" xfId="1" applyFont="1" applyFill="1" applyBorder="1" applyAlignment="1">
      <alignment horizontal="left" vertical="center"/>
    </xf>
    <xf numFmtId="49" fontId="1" fillId="2" borderId="0" xfId="1" applyNumberFormat="1" applyFill="1" applyBorder="1" applyAlignment="1">
      <alignment horizontal="center" vertical="center" wrapText="1"/>
    </xf>
    <xf numFmtId="0" fontId="18" fillId="2" borderId="47" xfId="1" applyFont="1" applyFill="1" applyBorder="1" applyAlignment="1">
      <alignment horizontal="left" vertical="center"/>
    </xf>
    <xf numFmtId="0" fontId="18" fillId="2" borderId="48" xfId="1" applyFont="1" applyFill="1" applyBorder="1" applyAlignment="1">
      <alignment horizontal="left" vertical="center"/>
    </xf>
    <xf numFmtId="49" fontId="15" fillId="4" borderId="55" xfId="1" applyNumberFormat="1" applyFont="1" applyFill="1" applyBorder="1" applyAlignment="1">
      <alignment horizontal="center" vertical="center" wrapText="1"/>
    </xf>
    <xf numFmtId="49" fontId="15" fillId="4" borderId="52" xfId="1" applyNumberFormat="1" applyFont="1" applyFill="1" applyBorder="1" applyAlignment="1">
      <alignment horizontal="center" vertical="center" wrapText="1"/>
    </xf>
    <xf numFmtId="177" fontId="15" fillId="2" borderId="55" xfId="1" applyNumberFormat="1" applyFont="1" applyFill="1" applyBorder="1" applyAlignment="1">
      <alignment horizontal="center" vertical="center"/>
    </xf>
    <xf numFmtId="177" fontId="15" fillId="2" borderId="56" xfId="1" applyNumberFormat="1" applyFont="1" applyFill="1" applyBorder="1" applyAlignment="1">
      <alignment horizontal="center" vertical="center"/>
    </xf>
    <xf numFmtId="49" fontId="15" fillId="4" borderId="44" xfId="1" applyNumberFormat="1" applyFont="1" applyFill="1" applyBorder="1" applyAlignment="1">
      <alignment horizontal="center" vertical="center" wrapText="1"/>
    </xf>
    <xf numFmtId="177" fontId="15" fillId="2" borderId="44" xfId="1" applyNumberFormat="1" applyFont="1" applyFill="1" applyBorder="1" applyAlignment="1">
      <alignment horizontal="center" vertical="center"/>
    </xf>
    <xf numFmtId="177" fontId="15" fillId="2" borderId="57" xfId="1" applyNumberFormat="1" applyFont="1" applyFill="1" applyBorder="1" applyAlignment="1">
      <alignment horizontal="center" vertical="center"/>
    </xf>
    <xf numFmtId="49" fontId="15" fillId="4" borderId="58" xfId="1" applyNumberFormat="1" applyFont="1" applyFill="1" applyBorder="1" applyAlignment="1">
      <alignment horizontal="center" vertical="center" wrapText="1"/>
    </xf>
    <xf numFmtId="49" fontId="15" fillId="4" borderId="52" xfId="1" applyNumberFormat="1" applyFont="1" applyFill="1" applyBorder="1" applyAlignment="1">
      <alignment horizontal="center" vertical="center" wrapText="1"/>
    </xf>
    <xf numFmtId="49" fontId="1" fillId="2" borderId="45" xfId="1" applyNumberFormat="1" applyFill="1" applyBorder="1" applyAlignment="1">
      <alignment horizontal="center" vertical="center" wrapText="1"/>
    </xf>
    <xf numFmtId="177" fontId="15" fillId="2" borderId="43" xfId="1" applyNumberFormat="1" applyFont="1" applyFill="1" applyBorder="1">
      <alignment vertical="center"/>
    </xf>
    <xf numFmtId="177" fontId="15" fillId="2" borderId="47" xfId="1" applyNumberFormat="1" applyFont="1" applyFill="1" applyBorder="1">
      <alignment vertical="center"/>
    </xf>
    <xf numFmtId="177" fontId="15" fillId="2" borderId="53" xfId="1" applyNumberFormat="1" applyFont="1" applyFill="1" applyBorder="1">
      <alignment vertical="center"/>
    </xf>
    <xf numFmtId="49" fontId="14" fillId="7" borderId="59" xfId="1" applyNumberFormat="1" applyFont="1" applyFill="1" applyBorder="1" applyAlignment="1">
      <alignment horizontal="center" vertical="center"/>
    </xf>
    <xf numFmtId="49" fontId="14" fillId="7" borderId="43" xfId="1" applyNumberFormat="1" applyFont="1" applyFill="1" applyBorder="1" applyAlignment="1">
      <alignment horizontal="center" vertical="center"/>
    </xf>
    <xf numFmtId="177" fontId="14" fillId="7" borderId="43" xfId="1" applyNumberFormat="1" applyFont="1" applyFill="1" applyBorder="1">
      <alignment vertical="center"/>
    </xf>
    <xf numFmtId="177" fontId="14" fillId="7" borderId="53" xfId="1" applyNumberFormat="1" applyFont="1" applyFill="1" applyBorder="1">
      <alignment vertical="center"/>
    </xf>
    <xf numFmtId="0" fontId="16" fillId="7" borderId="47" xfId="1" applyFont="1" applyFill="1" applyBorder="1" applyAlignment="1">
      <alignment horizontal="left" vertical="center"/>
    </xf>
    <xf numFmtId="0" fontId="16" fillId="7" borderId="48" xfId="1" applyFont="1" applyFill="1" applyBorder="1" applyAlignment="1">
      <alignment horizontal="left" vertical="center"/>
    </xf>
    <xf numFmtId="49" fontId="14" fillId="6" borderId="60" xfId="1" applyNumberFormat="1" applyFont="1" applyFill="1" applyBorder="1" applyAlignment="1">
      <alignment horizontal="center" vertical="center"/>
    </xf>
    <xf numFmtId="49" fontId="14" fillId="6" borderId="61" xfId="1" applyNumberFormat="1" applyFont="1" applyFill="1" applyBorder="1" applyAlignment="1">
      <alignment horizontal="center" vertical="center"/>
    </xf>
    <xf numFmtId="177" fontId="14" fillId="6" borderId="61" xfId="1" applyNumberFormat="1" applyFont="1" applyFill="1" applyBorder="1">
      <alignment vertical="center"/>
    </xf>
    <xf numFmtId="177" fontId="14" fillId="6" borderId="62" xfId="1" applyNumberFormat="1" applyFont="1" applyFill="1" applyBorder="1">
      <alignment vertical="center"/>
    </xf>
    <xf numFmtId="0" fontId="15" fillId="6" borderId="63" xfId="1" applyFont="1" applyFill="1" applyBorder="1" applyAlignment="1">
      <alignment horizontal="left" vertical="center"/>
    </xf>
    <xf numFmtId="0" fontId="15" fillId="6" borderId="64" xfId="1" applyFont="1" applyFill="1" applyBorder="1" applyAlignment="1">
      <alignment horizontal="left" vertical="center"/>
    </xf>
  </cellXfs>
  <cellStyles count="5">
    <cellStyle name="표준" xfId="0" builtinId="0"/>
    <cellStyle name="표준 2 2 2" xfId="4" xr:uid="{C72A3DDD-B5F9-48FF-933D-B0764A3ABC4E}"/>
    <cellStyle name="표준 2 3" xfId="2" xr:uid="{A4EE41A8-2FDE-4BE3-85DF-2952157A9804}"/>
    <cellStyle name="표준 6" xfId="3" xr:uid="{E0B0C44A-15C2-4B42-9C34-70C87B5FF690}"/>
    <cellStyle name="표준 9 2 2" xfId="1" xr:uid="{ED7BEF1C-BC3C-4354-A709-3C320D202D0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7D6A9-2CFC-4C55-8815-3FDAE9AFC5B1}">
  <dimension ref="A1:K26"/>
  <sheetViews>
    <sheetView tabSelected="1" workbookViewId="0">
      <selection activeCell="F16" sqref="F16"/>
    </sheetView>
  </sheetViews>
  <sheetFormatPr defaultRowHeight="16.5" x14ac:dyDescent="0.3"/>
  <cols>
    <col min="1" max="1" width="14" bestFit="1" customWidth="1"/>
    <col min="3" max="3" width="15.375" bestFit="1" customWidth="1"/>
    <col min="4" max="4" width="12" bestFit="1" customWidth="1"/>
    <col min="5" max="5" width="14.5" bestFit="1" customWidth="1"/>
    <col min="6" max="6" width="13.875" bestFit="1" customWidth="1"/>
    <col min="7" max="7" width="14.875" bestFit="1" customWidth="1"/>
    <col min="8" max="9" width="13.25" bestFit="1" customWidth="1"/>
    <col min="10" max="10" width="16.375" bestFit="1" customWidth="1"/>
    <col min="11" max="11" width="26.75" bestFit="1" customWidth="1"/>
  </cols>
  <sheetData>
    <row r="1" spans="1:11" x14ac:dyDescent="0.3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1" ht="17.25" thickBot="1" x14ac:dyDescent="0.35">
      <c r="A2" s="3"/>
      <c r="B2" s="4"/>
      <c r="C2" s="4"/>
      <c r="D2" s="4"/>
      <c r="E2" s="4"/>
      <c r="F2" s="4"/>
      <c r="G2" s="4"/>
      <c r="H2" s="4"/>
      <c r="I2" s="4"/>
      <c r="J2" s="4"/>
      <c r="K2" s="4"/>
    </row>
    <row r="3" spans="1:11" ht="17.25" x14ac:dyDescent="0.3">
      <c r="A3" s="5" t="s">
        <v>1</v>
      </c>
      <c r="B3" s="6"/>
      <c r="C3" s="6"/>
      <c r="D3" s="7"/>
      <c r="E3" s="8"/>
      <c r="F3" s="9"/>
      <c r="G3" s="9"/>
      <c r="H3" s="9"/>
      <c r="I3" s="10"/>
      <c r="J3" s="11" t="s">
        <v>2</v>
      </c>
      <c r="K3" s="12"/>
    </row>
    <row r="4" spans="1:11" ht="17.25" x14ac:dyDescent="0.3">
      <c r="A4" s="13" t="s">
        <v>3</v>
      </c>
      <c r="B4" s="14"/>
      <c r="C4" s="15" t="s">
        <v>4</v>
      </c>
      <c r="D4" s="16"/>
      <c r="E4" s="17" t="s">
        <v>5</v>
      </c>
      <c r="F4" s="17"/>
      <c r="G4" s="17"/>
      <c r="H4" s="17"/>
      <c r="I4" s="18"/>
      <c r="J4" s="19" t="s">
        <v>6</v>
      </c>
      <c r="K4" s="20" t="s">
        <v>7</v>
      </c>
    </row>
    <row r="5" spans="1:11" ht="17.25" x14ac:dyDescent="0.3">
      <c r="A5" s="21" t="s">
        <v>8</v>
      </c>
      <c r="B5" s="22"/>
      <c r="C5" s="23"/>
      <c r="D5" s="24"/>
      <c r="E5" s="25"/>
      <c r="F5" s="25"/>
      <c r="G5" s="25"/>
      <c r="H5" s="25"/>
      <c r="I5" s="26"/>
      <c r="J5" s="19" t="s">
        <v>9</v>
      </c>
      <c r="K5" s="20" t="s">
        <v>10</v>
      </c>
    </row>
    <row r="6" spans="1:11" ht="17.25" x14ac:dyDescent="0.3">
      <c r="A6" s="27" t="s">
        <v>11</v>
      </c>
      <c r="B6" s="28"/>
      <c r="C6" s="29" t="s">
        <v>12</v>
      </c>
      <c r="D6" s="30"/>
      <c r="E6" s="25"/>
      <c r="F6" s="25"/>
      <c r="G6" s="25"/>
      <c r="H6" s="25"/>
      <c r="I6" s="26"/>
      <c r="J6" s="19" t="s">
        <v>13</v>
      </c>
      <c r="K6" s="20" t="s">
        <v>14</v>
      </c>
    </row>
    <row r="7" spans="1:11" ht="17.25" x14ac:dyDescent="0.3">
      <c r="A7" s="13" t="s">
        <v>15</v>
      </c>
      <c r="B7" s="14"/>
      <c r="C7" s="31">
        <f>I26</f>
        <v>22880000</v>
      </c>
      <c r="D7" s="32" t="s">
        <v>16</v>
      </c>
      <c r="E7" s="25"/>
      <c r="F7" s="25"/>
      <c r="G7" s="25"/>
      <c r="H7" s="25"/>
      <c r="I7" s="26"/>
      <c r="J7" s="33" t="s">
        <v>17</v>
      </c>
      <c r="K7" s="20" t="s">
        <v>18</v>
      </c>
    </row>
    <row r="8" spans="1:11" ht="18" thickBot="1" x14ac:dyDescent="0.35">
      <c r="A8" s="34" t="s">
        <v>19</v>
      </c>
      <c r="B8" s="35"/>
      <c r="C8" s="36"/>
      <c r="D8" s="37"/>
      <c r="E8" s="38"/>
      <c r="F8" s="38"/>
      <c r="G8" s="38"/>
      <c r="H8" s="38"/>
      <c r="I8" s="39"/>
      <c r="J8" s="40" t="s">
        <v>19</v>
      </c>
      <c r="K8" s="41"/>
    </row>
    <row r="9" spans="1:11" ht="17.25" thickBot="1" x14ac:dyDescent="0.35">
      <c r="A9" s="42" t="s">
        <v>20</v>
      </c>
      <c r="B9" s="43"/>
      <c r="C9" s="43"/>
      <c r="D9" s="43"/>
      <c r="E9" s="43"/>
      <c r="F9" s="43"/>
      <c r="G9" s="43"/>
      <c r="H9" s="43"/>
      <c r="I9" s="43"/>
      <c r="J9" s="44"/>
      <c r="K9" s="45"/>
    </row>
    <row r="10" spans="1:11" x14ac:dyDescent="0.3">
      <c r="A10" s="46" t="s">
        <v>21</v>
      </c>
      <c r="B10" s="47"/>
      <c r="C10" s="48" t="s">
        <v>22</v>
      </c>
      <c r="D10" s="48"/>
      <c r="E10" s="49" t="s">
        <v>23</v>
      </c>
      <c r="F10" s="49" t="s">
        <v>24</v>
      </c>
      <c r="G10" s="49" t="s">
        <v>25</v>
      </c>
      <c r="H10" s="50" t="s">
        <v>26</v>
      </c>
      <c r="I10" s="51" t="s">
        <v>27</v>
      </c>
      <c r="J10" s="52" t="s">
        <v>28</v>
      </c>
      <c r="K10" s="53"/>
    </row>
    <row r="11" spans="1:11" x14ac:dyDescent="0.3">
      <c r="A11" s="54" t="s">
        <v>29</v>
      </c>
      <c r="B11" s="55"/>
      <c r="C11" s="56" t="s">
        <v>30</v>
      </c>
      <c r="D11" s="56"/>
      <c r="E11" s="57">
        <v>367000</v>
      </c>
      <c r="F11" s="57"/>
      <c r="G11" s="57"/>
      <c r="H11" s="58"/>
      <c r="I11" s="59"/>
      <c r="J11" s="60" t="s">
        <v>31</v>
      </c>
      <c r="K11" s="61"/>
    </row>
    <row r="12" spans="1:11" x14ac:dyDescent="0.3">
      <c r="A12" s="62"/>
      <c r="B12" s="63"/>
      <c r="C12" s="56" t="s">
        <v>32</v>
      </c>
      <c r="D12" s="56"/>
      <c r="E12" s="57">
        <v>428000</v>
      </c>
      <c r="F12" s="57"/>
      <c r="G12" s="57"/>
      <c r="H12" s="58"/>
      <c r="I12" s="59"/>
      <c r="J12" s="60" t="s">
        <v>31</v>
      </c>
      <c r="K12" s="61"/>
    </row>
    <row r="13" spans="1:11" x14ac:dyDescent="0.3">
      <c r="A13" s="62"/>
      <c r="B13" s="63"/>
      <c r="C13" s="56" t="s">
        <v>33</v>
      </c>
      <c r="D13" s="56"/>
      <c r="E13" s="57">
        <v>408000</v>
      </c>
      <c r="F13" s="57"/>
      <c r="G13" s="57"/>
      <c r="H13" s="58"/>
      <c r="I13" s="59"/>
      <c r="J13" s="60" t="s">
        <v>31</v>
      </c>
      <c r="K13" s="61"/>
    </row>
    <row r="14" spans="1:11" x14ac:dyDescent="0.3">
      <c r="A14" s="62"/>
      <c r="B14" s="63"/>
      <c r="C14" s="56" t="s">
        <v>34</v>
      </c>
      <c r="D14" s="56"/>
      <c r="E14" s="57">
        <v>204000</v>
      </c>
      <c r="F14" s="57"/>
      <c r="G14" s="57"/>
      <c r="H14" s="58"/>
      <c r="I14" s="59"/>
      <c r="J14" s="60" t="s">
        <v>31</v>
      </c>
      <c r="K14" s="61"/>
    </row>
    <row r="15" spans="1:11" x14ac:dyDescent="0.3">
      <c r="A15" s="64" t="s">
        <v>35</v>
      </c>
      <c r="B15" s="65"/>
      <c r="C15" s="65"/>
      <c r="D15" s="66"/>
      <c r="E15" s="67">
        <f>SUM(E11:E14)</f>
        <v>1407000</v>
      </c>
      <c r="F15" s="67">
        <f>SUM(F11:F14)</f>
        <v>0</v>
      </c>
      <c r="G15" s="67">
        <f>SUM(G11:G14)</f>
        <v>0</v>
      </c>
      <c r="H15" s="67">
        <f>SUM(H11:H14)</f>
        <v>0</v>
      </c>
      <c r="I15" s="68">
        <v>0</v>
      </c>
      <c r="J15" s="69"/>
      <c r="K15" s="70"/>
    </row>
    <row r="16" spans="1:11" x14ac:dyDescent="0.3">
      <c r="A16" s="71" t="s">
        <v>36</v>
      </c>
      <c r="B16" s="71"/>
      <c r="C16" s="56" t="s">
        <v>30</v>
      </c>
      <c r="D16" s="56"/>
      <c r="E16" s="57">
        <v>2000000</v>
      </c>
      <c r="F16" s="72">
        <v>1500000</v>
      </c>
      <c r="G16" s="72">
        <v>1000000</v>
      </c>
      <c r="H16" s="73">
        <v>1000000</v>
      </c>
      <c r="I16" s="74">
        <v>1000000</v>
      </c>
      <c r="J16" s="75"/>
      <c r="K16" s="76"/>
    </row>
    <row r="17" spans="1:11" x14ac:dyDescent="0.3">
      <c r="A17" s="77"/>
      <c r="B17" s="77"/>
      <c r="C17" s="56" t="s">
        <v>37</v>
      </c>
      <c r="D17" s="56"/>
      <c r="E17" s="57">
        <v>5000000</v>
      </c>
      <c r="F17" s="72">
        <v>3000000</v>
      </c>
      <c r="G17" s="72">
        <v>1500000</v>
      </c>
      <c r="H17" s="73">
        <v>1500000</v>
      </c>
      <c r="I17" s="74">
        <v>1500000</v>
      </c>
      <c r="J17" s="78"/>
      <c r="K17" s="79"/>
    </row>
    <row r="18" spans="1:11" x14ac:dyDescent="0.3">
      <c r="A18" s="77"/>
      <c r="B18" s="77"/>
      <c r="C18" s="56" t="s">
        <v>38</v>
      </c>
      <c r="D18" s="56"/>
      <c r="E18" s="57">
        <v>1000000</v>
      </c>
      <c r="F18" s="72">
        <v>800000</v>
      </c>
      <c r="G18" s="72">
        <v>800000</v>
      </c>
      <c r="H18" s="73">
        <v>800000</v>
      </c>
      <c r="I18" s="74">
        <v>800000</v>
      </c>
      <c r="J18" s="78"/>
      <c r="K18" s="79"/>
    </row>
    <row r="19" spans="1:11" x14ac:dyDescent="0.3">
      <c r="A19" s="77"/>
      <c r="B19" s="77"/>
      <c r="C19" s="80" t="s">
        <v>39</v>
      </c>
      <c r="D19" s="81" t="s">
        <v>40</v>
      </c>
      <c r="E19" s="82">
        <v>70000000</v>
      </c>
      <c r="F19" s="82">
        <v>50000000</v>
      </c>
      <c r="G19" s="82">
        <v>20000000</v>
      </c>
      <c r="H19" s="83">
        <v>15000000</v>
      </c>
      <c r="I19" s="74">
        <v>9000000</v>
      </c>
      <c r="J19" s="78"/>
      <c r="K19" s="79"/>
    </row>
    <row r="20" spans="1:11" x14ac:dyDescent="0.3">
      <c r="A20" s="77"/>
      <c r="B20" s="77"/>
      <c r="C20" s="84"/>
      <c r="D20" s="81" t="s">
        <v>41</v>
      </c>
      <c r="E20" s="85"/>
      <c r="F20" s="85"/>
      <c r="G20" s="85"/>
      <c r="H20" s="86">
        <v>7000000</v>
      </c>
      <c r="I20" s="74">
        <v>6500000</v>
      </c>
      <c r="J20" s="75"/>
      <c r="K20" s="76"/>
    </row>
    <row r="21" spans="1:11" x14ac:dyDescent="0.3">
      <c r="A21" s="77"/>
      <c r="B21" s="77"/>
      <c r="C21" s="87" t="s">
        <v>42</v>
      </c>
      <c r="D21" s="88"/>
      <c r="E21" s="57">
        <v>7000000</v>
      </c>
      <c r="F21" s="72">
        <v>6000000</v>
      </c>
      <c r="G21" s="72">
        <v>3500000</v>
      </c>
      <c r="H21" s="73">
        <v>3000000</v>
      </c>
      <c r="I21" s="74">
        <v>2000000</v>
      </c>
      <c r="J21" s="78"/>
      <c r="K21" s="79"/>
    </row>
    <row r="22" spans="1:11" x14ac:dyDescent="0.3">
      <c r="A22" s="77"/>
      <c r="B22" s="77"/>
      <c r="C22" s="56" t="s">
        <v>43</v>
      </c>
      <c r="D22" s="56"/>
      <c r="E22" s="57">
        <v>8000000</v>
      </c>
      <c r="F22" s="72">
        <v>7000000</v>
      </c>
      <c r="G22" s="72">
        <v>0</v>
      </c>
      <c r="H22" s="73">
        <v>1500000</v>
      </c>
      <c r="I22" s="74">
        <v>0</v>
      </c>
      <c r="J22" s="60"/>
      <c r="K22" s="61"/>
    </row>
    <row r="23" spans="1:11" x14ac:dyDescent="0.3">
      <c r="A23" s="89"/>
      <c r="B23" s="89"/>
      <c r="C23" s="56" t="s">
        <v>44</v>
      </c>
      <c r="D23" s="56"/>
      <c r="E23" s="57">
        <v>3000000</v>
      </c>
      <c r="F23" s="90">
        <v>3000000</v>
      </c>
      <c r="G23" s="90">
        <v>0</v>
      </c>
      <c r="H23" s="91">
        <v>0</v>
      </c>
      <c r="I23" s="92">
        <v>0</v>
      </c>
      <c r="J23" s="60"/>
      <c r="K23" s="61"/>
    </row>
    <row r="24" spans="1:11" x14ac:dyDescent="0.3">
      <c r="A24" s="64" t="s">
        <v>35</v>
      </c>
      <c r="B24" s="65"/>
      <c r="C24" s="65"/>
      <c r="D24" s="66"/>
      <c r="E24" s="67">
        <f>SUM(E16:E23)</f>
        <v>96000000</v>
      </c>
      <c r="F24" s="67">
        <f>SUM(F16:F23)</f>
        <v>71300000</v>
      </c>
      <c r="G24" s="67">
        <f>SUM(G16:G23)</f>
        <v>26800000</v>
      </c>
      <c r="H24" s="67">
        <f>SUM(H16:H23)</f>
        <v>29800000</v>
      </c>
      <c r="I24" s="68">
        <f>SUM(I16:I23)</f>
        <v>20800000</v>
      </c>
      <c r="J24" s="69"/>
      <c r="K24" s="70"/>
    </row>
    <row r="25" spans="1:11" x14ac:dyDescent="0.3">
      <c r="A25" s="93" t="s">
        <v>45</v>
      </c>
      <c r="B25" s="94"/>
      <c r="C25" s="94"/>
      <c r="D25" s="94"/>
      <c r="E25" s="95">
        <f>E24*15%</f>
        <v>14400000</v>
      </c>
      <c r="F25" s="95">
        <f>F24*15%</f>
        <v>10695000</v>
      </c>
      <c r="G25" s="95">
        <f>G24*10%</f>
        <v>2680000</v>
      </c>
      <c r="H25" s="95">
        <f>H24*10%</f>
        <v>2980000</v>
      </c>
      <c r="I25" s="96">
        <f>I24*10%</f>
        <v>2080000</v>
      </c>
      <c r="J25" s="97" t="s">
        <v>46</v>
      </c>
      <c r="K25" s="98"/>
    </row>
    <row r="26" spans="1:11" ht="17.25" thickBot="1" x14ac:dyDescent="0.35">
      <c r="A26" s="99" t="s">
        <v>47</v>
      </c>
      <c r="B26" s="100"/>
      <c r="C26" s="100"/>
      <c r="D26" s="100"/>
      <c r="E26" s="101">
        <f>SUM(E15,E24,E25)</f>
        <v>111807000</v>
      </c>
      <c r="F26" s="101">
        <f>ROUNDDOWN(SUM(F15,F24,F25),-4)</f>
        <v>81990000</v>
      </c>
      <c r="G26" s="101">
        <f>ROUNDDOWN(SUM(G15,G24,G25),-4)</f>
        <v>29480000</v>
      </c>
      <c r="H26" s="101">
        <f>ROUNDDOWN(SUM(H15,H24,H25),-4)</f>
        <v>32780000</v>
      </c>
      <c r="I26" s="102">
        <f>ROUNDDOWN(SUM(I15,I24,I25),-4)</f>
        <v>22880000</v>
      </c>
      <c r="J26" s="103" t="s">
        <v>48</v>
      </c>
      <c r="K26" s="104"/>
    </row>
  </sheetData>
  <mergeCells count="51">
    <mergeCell ref="A26:D26"/>
    <mergeCell ref="J26:K26"/>
    <mergeCell ref="C23:D23"/>
    <mergeCell ref="J23:K23"/>
    <mergeCell ref="A24:D24"/>
    <mergeCell ref="J24:K24"/>
    <mergeCell ref="A25:D25"/>
    <mergeCell ref="J25:K25"/>
    <mergeCell ref="F19:F20"/>
    <mergeCell ref="G19:G20"/>
    <mergeCell ref="J19:K19"/>
    <mergeCell ref="C21:D21"/>
    <mergeCell ref="J21:K21"/>
    <mergeCell ref="C22:D22"/>
    <mergeCell ref="J22:K22"/>
    <mergeCell ref="A15:D15"/>
    <mergeCell ref="J15:K15"/>
    <mergeCell ref="A16:B23"/>
    <mergeCell ref="C16:D16"/>
    <mergeCell ref="C17:D17"/>
    <mergeCell ref="J17:K17"/>
    <mergeCell ref="C18:D18"/>
    <mergeCell ref="J18:K18"/>
    <mergeCell ref="C19:C20"/>
    <mergeCell ref="E19:E20"/>
    <mergeCell ref="J10:K10"/>
    <mergeCell ref="A11:B14"/>
    <mergeCell ref="C11:D11"/>
    <mergeCell ref="J11:K11"/>
    <mergeCell ref="C12:D12"/>
    <mergeCell ref="J12:K12"/>
    <mergeCell ref="C13:D13"/>
    <mergeCell ref="J13:K13"/>
    <mergeCell ref="C14:D14"/>
    <mergeCell ref="J14:K14"/>
    <mergeCell ref="C6:D6"/>
    <mergeCell ref="A7:B7"/>
    <mergeCell ref="A8:B8"/>
    <mergeCell ref="C8:D8"/>
    <mergeCell ref="A10:B10"/>
    <mergeCell ref="C10:D10"/>
    <mergeCell ref="A1:K2"/>
    <mergeCell ref="A3:D3"/>
    <mergeCell ref="E3:I3"/>
    <mergeCell ref="J3:K3"/>
    <mergeCell ref="A4:B4"/>
    <mergeCell ref="C4:D4"/>
    <mergeCell ref="E4:I8"/>
    <mergeCell ref="A5:B5"/>
    <mergeCell ref="C5:D5"/>
    <mergeCell ref="A6:B6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CHEIL</dc:creator>
  <cp:lastModifiedBy>CHEIL</cp:lastModifiedBy>
  <dcterms:created xsi:type="dcterms:W3CDTF">2026-05-18T08:00:29Z</dcterms:created>
  <dcterms:modified xsi:type="dcterms:W3CDTF">2026-05-18T08:00:46Z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</Properties>
</file>