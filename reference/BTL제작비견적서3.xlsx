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HEIL\Desktop\"/>
    </mc:Choice>
  </mc:AlternateContent>
  <xr:revisionPtr revIDLastSave="0" documentId="13_ncr:1_{490E6B88-0809-4D9A-A8F0-251BC41297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externalReferences>
    <externalReference r:id="rId2"/>
    <externalReference r:id="rId3"/>
  </externalReferences>
  <definedNames>
    <definedName name="_1" localSheetId="0">[1]I一般比!#REF!</definedName>
    <definedName name="_1">[1]I一般比!#REF!</definedName>
    <definedName name="_2" localSheetId="0">[1]I一般比!#REF!</definedName>
    <definedName name="_2">[1]I一般比!#REF!</definedName>
    <definedName name="_3">#N/A</definedName>
    <definedName name="_4" localSheetId="0">[1]I一般比!#REF!</definedName>
    <definedName name="_4">[1]I一般比!#REF!</definedName>
    <definedName name="\0">#N/A</definedName>
    <definedName name="\a">#N/A</definedName>
    <definedName name="\g" localSheetId="0">'[1]N賃率-職'!#REF!</definedName>
    <definedName name="\g">'[1]N賃率-職'!#REF!</definedName>
    <definedName name="\x">#N/A</definedName>
    <definedName name="\z">#N/A</definedName>
    <definedName name="dddd">[2]I一般比!#REF!</definedName>
    <definedName name="_xlnm.Print_Area" localSheetId="0">Summary!$A$1:$Q$135</definedName>
    <definedName name="기ㅏㅓㅣㅏㅓㅏㅣㅓ" localSheetId="0">[1]I一般比!#REF!</definedName>
    <definedName name="기ㅏㅓㅣㅏㅓㅏㅣㅓ">[1]I一般比!#REF!</definedName>
    <definedName name="ㄴㄴ" localSheetId="0">[1]I一般比!#REF!</definedName>
    <definedName name="ㄴㄴ">[1]I一般比!#REF!</definedName>
    <definedName name="ㄷㄱㄷ" localSheetId="0">'[1]N賃率-職'!#REF!</definedName>
    <definedName name="ㄷㄱㄷ">'[1]N賃率-職'!#REF!</definedName>
    <definedName name="ㅇㅇ" localSheetId="0">[1]I一般比!#REF!</definedName>
    <definedName name="ㅇㅇ">[1]I一般比!#REF!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34" i="1" l="1"/>
  <c r="O133" i="1"/>
  <c r="O132" i="1"/>
  <c r="O131" i="1" l="1"/>
  <c r="O118" i="1" l="1"/>
  <c r="O58" i="1" l="1"/>
  <c r="O130" i="1" l="1"/>
  <c r="N133" i="1"/>
  <c r="N130" i="1"/>
  <c r="N118" i="1"/>
  <c r="N58" i="1"/>
  <c r="N20" i="1"/>
  <c r="N131" i="1" l="1"/>
  <c r="N132" i="1" s="1"/>
  <c r="N134" i="1" s="1"/>
  <c r="N135" i="1" s="1"/>
  <c r="O20" i="1"/>
  <c r="L130" i="1"/>
  <c r="L118" i="1"/>
  <c r="L20" i="1"/>
  <c r="O135" i="1" l="1"/>
  <c r="B6" i="1" s="1"/>
  <c r="H116" i="1"/>
  <c r="J116" i="1" s="1"/>
  <c r="H114" i="1"/>
  <c r="J114" i="1" s="1"/>
  <c r="M118" i="1"/>
  <c r="M131" i="1" s="1"/>
  <c r="L58" i="1" l="1"/>
  <c r="L131" i="1" s="1"/>
  <c r="M134" i="1" l="1"/>
  <c r="M135" i="1" s="1"/>
  <c r="L133" i="1"/>
  <c r="K118" i="1"/>
  <c r="P118" i="1"/>
  <c r="H108" i="1"/>
  <c r="J108" i="1" s="1"/>
  <c r="H105" i="1"/>
  <c r="I105" i="1" s="1"/>
  <c r="L132" i="1" l="1"/>
  <c r="L134" i="1" s="1"/>
  <c r="K133" i="1"/>
  <c r="L135" i="1" l="1"/>
  <c r="K130" i="1" l="1"/>
  <c r="K58" i="1"/>
  <c r="K131" i="1" l="1"/>
  <c r="K132" i="1" s="1"/>
  <c r="K134" i="1" s="1"/>
  <c r="K135" i="1" s="1"/>
  <c r="I121" i="1"/>
  <c r="H22" i="1" l="1"/>
  <c r="H123" i="1"/>
  <c r="J123" i="1" s="1"/>
  <c r="H60" i="1"/>
  <c r="J60" i="1" s="1"/>
  <c r="J13" i="1"/>
  <c r="J14" i="1"/>
  <c r="J15" i="1"/>
  <c r="J16" i="1"/>
  <c r="I13" i="1"/>
  <c r="I14" i="1"/>
  <c r="I15" i="1"/>
  <c r="I16" i="1"/>
  <c r="J12" i="1"/>
  <c r="I12" i="1"/>
  <c r="I22" i="1" l="1"/>
  <c r="J130" i="1"/>
  <c r="J58" i="1"/>
  <c r="H18" i="1"/>
  <c r="H19" i="1"/>
  <c r="H59" i="1"/>
  <c r="H74" i="1"/>
  <c r="J74" i="1" s="1"/>
  <c r="H112" i="1"/>
  <c r="J112" i="1" s="1"/>
  <c r="J17" i="1"/>
  <c r="H72" i="1"/>
  <c r="H58" i="1"/>
  <c r="H119" i="1"/>
  <c r="H121" i="1"/>
  <c r="I17" i="1"/>
  <c r="P12" i="1"/>
  <c r="P13" i="1"/>
  <c r="P14" i="1"/>
  <c r="P15" i="1"/>
  <c r="P16" i="1"/>
  <c r="H17" i="1"/>
  <c r="H118" i="1" l="1"/>
  <c r="H130" i="1"/>
  <c r="I59" i="1"/>
  <c r="I118" i="1" s="1"/>
  <c r="I18" i="1"/>
  <c r="H20" i="1"/>
  <c r="I119" i="1"/>
  <c r="J72" i="1"/>
  <c r="J118" i="1" s="1"/>
  <c r="I19" i="1"/>
  <c r="J19" i="1"/>
  <c r="J20" i="1" s="1"/>
  <c r="P17" i="1"/>
  <c r="I130" i="1" l="1"/>
  <c r="P130" i="1"/>
  <c r="I20" i="1"/>
  <c r="P58" i="1"/>
  <c r="I58" i="1"/>
  <c r="P18" i="1"/>
  <c r="P19" i="1"/>
  <c r="J131" i="1" l="1"/>
  <c r="I131" i="1"/>
  <c r="P20" i="1"/>
  <c r="P131" i="1" s="1"/>
  <c r="P132" i="1" s="1"/>
  <c r="I132" i="1" l="1"/>
  <c r="I134" i="1" s="1"/>
  <c r="I135" i="1" s="1"/>
  <c r="J132" i="1"/>
  <c r="J134" i="1" s="1"/>
  <c r="J135" i="1" s="1"/>
  <c r="P134" i="1"/>
  <c r="P135" i="1" s="1"/>
</calcChain>
</file>

<file path=xl/sharedStrings.xml><?xml version="1.0" encoding="utf-8"?>
<sst xmlns="http://schemas.openxmlformats.org/spreadsheetml/2006/main" count="281" uniqueCount="271">
  <si>
    <t>청구금액</t>
    <phoneticPr fontId="8" type="noConversion"/>
  </si>
  <si>
    <t>합     계</t>
    <phoneticPr fontId="8" type="noConversion"/>
  </si>
  <si>
    <t>대행수수료 (C)</t>
  </si>
  <si>
    <t>외주항목계 (B)</t>
    <phoneticPr fontId="8" type="noConversion"/>
  </si>
  <si>
    <t>정가항목 (A)</t>
    <phoneticPr fontId="8" type="noConversion"/>
  </si>
  <si>
    <t>작품당</t>
    <phoneticPr fontId="8" type="noConversion"/>
  </si>
  <si>
    <t>자료조사비</t>
  </si>
  <si>
    <t>Direction료</t>
  </si>
  <si>
    <t>Creative Work료</t>
  </si>
  <si>
    <t>COPY료</t>
  </si>
  <si>
    <t>제일기획</t>
    <phoneticPr fontId="8" type="noConversion"/>
  </si>
  <si>
    <t>기 획 료</t>
  </si>
  <si>
    <t>정가항목</t>
    <phoneticPr fontId="8" type="noConversion"/>
  </si>
  <si>
    <t>실행단가</t>
    <phoneticPr fontId="8" type="noConversion"/>
  </si>
  <si>
    <t>수량</t>
    <phoneticPr fontId="8" type="noConversion"/>
  </si>
  <si>
    <t>담당자</t>
    <phoneticPr fontId="8" type="noConversion"/>
  </si>
  <si>
    <t>협력회사</t>
  </si>
  <si>
    <t>세부내용</t>
  </si>
  <si>
    <t xml:space="preserve">제 작 항 목 </t>
  </si>
  <si>
    <t>담당자/연락처</t>
  </si>
  <si>
    <t>서울특별시 용산구 이태원로 222 (한남동)</t>
  </si>
  <si>
    <t>사업장주소</t>
  </si>
  <si>
    <t>VAT 별도</t>
  </si>
  <si>
    <t>견적금액</t>
  </si>
  <si>
    <t>202-81-45960</t>
  </si>
  <si>
    <t>사업자등록번호</t>
  </si>
  <si>
    <t>PROJECT No.</t>
  </si>
  <si>
    <t>대표이사</t>
  </si>
  <si>
    <t>PROJECT</t>
  </si>
  <si>
    <t>㈜제일기획</t>
  </si>
  <si>
    <t>회사명</t>
  </si>
  <si>
    <t xml:space="preserve">CLIENT </t>
  </si>
  <si>
    <t>공급자</t>
  </si>
  <si>
    <t>공급받는자</t>
  </si>
  <si>
    <t>비고</t>
    <phoneticPr fontId="3" type="noConversion"/>
  </si>
  <si>
    <t>[ TV-CM 표준 견적서 ]</t>
    <phoneticPr fontId="8" type="noConversion"/>
  </si>
  <si>
    <t>아래와 같이
견적합니다.</t>
    <phoneticPr fontId="8" type="noConversion"/>
  </si>
  <si>
    <t xml:space="preserve"> (B)항목 - 실비성 경비 항목계(기자재 보험료 등) * 10%</t>
    <phoneticPr fontId="9" type="noConversion"/>
  </si>
  <si>
    <t>김 종 현</t>
    <phoneticPr fontId="3" type="noConversion"/>
  </si>
  <si>
    <t>프로젝트 기획 및 공간 아트워크 등</t>
    <phoneticPr fontId="3" type="noConversion"/>
  </si>
  <si>
    <t xml:space="preserve"> PM   : 김우식</t>
    <phoneticPr fontId="9" type="noConversion"/>
  </si>
  <si>
    <t>집행단가</t>
    <phoneticPr fontId="8" type="noConversion"/>
  </si>
  <si>
    <t>월간커피</t>
    <phoneticPr fontId="3" type="noConversion"/>
  </si>
  <si>
    <t>항목 2
[공간 구성]</t>
    <phoneticPr fontId="8" type="noConversion"/>
  </si>
  <si>
    <t>베뉴 대관</t>
    <phoneticPr fontId="3" type="noConversion"/>
  </si>
  <si>
    <t>패들앱 개발/디자인/운영</t>
    <phoneticPr fontId="3" type="noConversion"/>
  </si>
  <si>
    <t>제작물</t>
    <phoneticPr fontId="3" type="noConversion"/>
  </si>
  <si>
    <t>섭외비용</t>
    <phoneticPr fontId="3" type="noConversion"/>
  </si>
  <si>
    <t>상품 및 경품비용</t>
    <phoneticPr fontId="3" type="noConversion"/>
  </si>
  <si>
    <t>사전 바이럴</t>
    <phoneticPr fontId="3" type="noConversion"/>
  </si>
  <si>
    <t>프로그램 기획 및 진행 / 섭외 및 운영 / SNS 이벤트</t>
    <phoneticPr fontId="3" type="noConversion"/>
  </si>
  <si>
    <t>레드컴</t>
    <phoneticPr fontId="3" type="noConversion"/>
  </si>
  <si>
    <t>항목 1
[대회 및 행사 운영]</t>
    <phoneticPr fontId="8" type="noConversion"/>
  </si>
  <si>
    <t>만원 단위 이하 절사</t>
    <phoneticPr fontId="3" type="noConversion"/>
  </si>
  <si>
    <t>장혜영
정예진</t>
    <phoneticPr fontId="3" type="noConversion"/>
  </si>
  <si>
    <t>홍준기
양서정
박상화</t>
    <phoneticPr fontId="3" type="noConversion"/>
  </si>
  <si>
    <t>사전 홍보/준비 견적</t>
    <phoneticPr fontId="8" type="noConversion"/>
  </si>
  <si>
    <t>본행사 및 홍보 견적</t>
    <phoneticPr fontId="8" type="noConversion"/>
  </si>
  <si>
    <t>기존 정가항목 대비 50%적용 * 8개월 기준</t>
    <phoneticPr fontId="3" type="noConversion"/>
  </si>
  <si>
    <t>신세계 센트럴시티 오픈스테이지</t>
    <phoneticPr fontId="3" type="noConversion"/>
  </si>
  <si>
    <t>항목 4
[홍보]</t>
    <phoneticPr fontId="3" type="noConversion"/>
  </si>
  <si>
    <t>진행 인력</t>
    <phoneticPr fontId="3" type="noConversion"/>
  </si>
  <si>
    <t>항목 3
[제작물 및 운영비]</t>
    <phoneticPr fontId="3" type="noConversion"/>
  </si>
  <si>
    <t>원두 배송 및 보관</t>
    <phoneticPr fontId="3" type="noConversion"/>
  </si>
  <si>
    <t>대회용 영상 제작</t>
    <phoneticPr fontId="3" type="noConversion"/>
  </si>
  <si>
    <t>홍보물 디자인 전반</t>
    <phoneticPr fontId="3" type="noConversion"/>
  </si>
  <si>
    <t>오픈스테이지 기둥 광고 소재 제작비</t>
    <phoneticPr fontId="3" type="noConversion"/>
  </si>
  <si>
    <t>3개 소재 단순 편집 제작 기준 책정 / 추가 편집시 비용 상승</t>
    <phoneticPr fontId="3" type="noConversion"/>
  </si>
  <si>
    <t>사이니지 광고</t>
    <phoneticPr fontId="3" type="noConversion"/>
  </si>
  <si>
    <t>7월 말 업데이트</t>
    <phoneticPr fontId="3" type="noConversion"/>
  </si>
  <si>
    <t>대관 일정 추가</t>
    <phoneticPr fontId="3" type="noConversion"/>
  </si>
  <si>
    <t>사전 총 견적</t>
    <phoneticPr fontId="8" type="noConversion"/>
  </si>
  <si>
    <t>대행수수료 (D)</t>
    <phoneticPr fontId="3" type="noConversion"/>
  </si>
  <si>
    <t xml:space="preserve"> (B)항목 - 실비성 경비 항목계(기자재 보험료 등) * 5%</t>
    <phoneticPr fontId="9" type="noConversion"/>
  </si>
  <si>
    <t>인생84 Youtube PPL</t>
    <phoneticPr fontId="3" type="noConversion"/>
  </si>
  <si>
    <t>사전 견적 기준. 축소 집행 가능</t>
    <phoneticPr fontId="3" type="noConversion"/>
  </si>
  <si>
    <t>youtube PPL 수수료 5% 적용</t>
    <phoneticPr fontId="3" type="noConversion"/>
  </si>
  <si>
    <t>식품관 판매존 공간 제작</t>
    <phoneticPr fontId="3" type="noConversion"/>
  </si>
  <si>
    <t>as of 09/01</t>
    <phoneticPr fontId="3" type="noConversion"/>
  </si>
  <si>
    <t>무대 및 체험존 시뮬레이션, 홍보물 및 제작물 디자인</t>
    <phoneticPr fontId="3" type="noConversion"/>
  </si>
  <si>
    <t>LED 8000mm*2000mm*2set</t>
    <phoneticPr fontId="3" type="noConversion"/>
  </si>
  <si>
    <t>디자인</t>
    <phoneticPr fontId="3" type="noConversion"/>
  </si>
  <si>
    <t>무대 하드웨어</t>
    <phoneticPr fontId="3" type="noConversion"/>
  </si>
  <si>
    <t>행사 운영 및 배선 작업</t>
    <phoneticPr fontId="3" type="noConversion"/>
  </si>
  <si>
    <t>제작물 방염 필증 서류</t>
    <phoneticPr fontId="3" type="noConversion"/>
  </si>
  <si>
    <t>음향</t>
    <phoneticPr fontId="3" type="noConversion"/>
  </si>
  <si>
    <t>조명</t>
    <phoneticPr fontId="3" type="noConversion"/>
  </si>
  <si>
    <t>중계시스템</t>
    <phoneticPr fontId="3" type="noConversion"/>
  </si>
  <si>
    <t>중계인력</t>
    <phoneticPr fontId="3" type="noConversion"/>
  </si>
  <si>
    <t>신세계 측 배선 작업 지원 업무 요청으로 보강</t>
    <phoneticPr fontId="3" type="noConversion"/>
  </si>
  <si>
    <t>제작물 필수 항목</t>
    <phoneticPr fontId="3" type="noConversion"/>
  </si>
  <si>
    <t>음향 장비 일체 (메인, 모니터, 프론트, 믹서, 마이크, 인이어 등) / 공연 관련 장비 제외 견적</t>
    <phoneticPr fontId="3" type="noConversion"/>
  </si>
  <si>
    <t>조명 장비 일체 / 무빙 조명, 대회 참가자 스팟 조명</t>
    <phoneticPr fontId="3" type="noConversion"/>
  </si>
  <si>
    <t>무대감독1(총괄), 음향감독, 조명감독(감독1,크루2), 영상감독 1(실시간송촐)</t>
    <phoneticPr fontId="3" type="noConversion"/>
  </si>
  <si>
    <t>센터 풀샷, 무대 바스트샷, 다중 카메라 / 카메라 8대 : SONY 4K CAM 4대 (유/무선 각 2대), SONY PTZ 4K (거치CAM) 4대 + 중계장비 일체</t>
    <phoneticPr fontId="3" type="noConversion"/>
  </si>
  <si>
    <t>관객석</t>
    <phoneticPr fontId="3" type="noConversion"/>
  </si>
  <si>
    <t>3인스툴  / 100석 규모</t>
  </si>
  <si>
    <t>3일 진행</t>
    <phoneticPr fontId="3" type="noConversion"/>
  </si>
  <si>
    <t>소비자 체험존</t>
    <phoneticPr fontId="3" type="noConversion"/>
  </si>
  <si>
    <t>브랜드존</t>
    <phoneticPr fontId="3" type="noConversion"/>
  </si>
  <si>
    <t>영상 콘텐츠</t>
    <phoneticPr fontId="3" type="noConversion"/>
  </si>
  <si>
    <t>브랜딩 및 체험프로그램 집기 / LED월, 전시좌대, 연출 및 제작물 일체</t>
    <phoneticPr fontId="3" type="noConversion"/>
  </si>
  <si>
    <t>LED 및 영상 콘텐츠 제작</t>
    <phoneticPr fontId="3" type="noConversion"/>
  </si>
  <si>
    <t>팝업존</t>
    <phoneticPr fontId="3" type="noConversion"/>
  </si>
  <si>
    <t>시음행사존 / 백룸 및 대기실</t>
    <phoneticPr fontId="3" type="noConversion"/>
  </si>
  <si>
    <t>백월, 시음존, 판매존 테이블 제작</t>
    <phoneticPr fontId="3" type="noConversion"/>
  </si>
  <si>
    <t>백월, 시음존, 판매 테이블 제작, 배선 작업</t>
    <phoneticPr fontId="3" type="noConversion"/>
  </si>
  <si>
    <t>참여자 기념품 (참여증서, 앞치마, 뱃지 등)</t>
    <phoneticPr fontId="3" type="noConversion"/>
  </si>
  <si>
    <t>룰북 제작</t>
    <phoneticPr fontId="3" type="noConversion"/>
  </si>
  <si>
    <t>130개</t>
    <phoneticPr fontId="3" type="noConversion"/>
  </si>
  <si>
    <t>시음용 컵 제작</t>
    <phoneticPr fontId="3" type="noConversion"/>
  </si>
  <si>
    <t>25000개 / 뚜껑 포함</t>
    <phoneticPr fontId="3" type="noConversion"/>
  </si>
  <si>
    <t>예선전 배너, 포스터, 현수막, 엑스배너, 안내 POP등 출력물 일체</t>
    <phoneticPr fontId="3" type="noConversion"/>
  </si>
  <si>
    <t>본선 배너, 포스터, 현장 홍보물, 안내 POP, 개막식 비품 및 기타 출력물 일체</t>
    <phoneticPr fontId="3" type="noConversion"/>
  </si>
  <si>
    <t>행사 운영 인력 (행사지원, 대회지원, 샘플링 지원)</t>
    <phoneticPr fontId="3" type="noConversion"/>
  </si>
  <si>
    <t>총 25명 / 4일 / 목요일~일요일 / 12시간</t>
    <phoneticPr fontId="3" type="noConversion"/>
  </si>
  <si>
    <t>프로모터 스탭</t>
    <phoneticPr fontId="3" type="noConversion"/>
  </si>
  <si>
    <t>안전진행 및 관람객 안내</t>
    <phoneticPr fontId="3" type="noConversion"/>
  </si>
  <si>
    <t>TBD / 백화점과 관련사항 협의 후 변동 가능</t>
    <phoneticPr fontId="3" type="noConversion"/>
  </si>
  <si>
    <t>개회식 및 개막식 도우미</t>
    <phoneticPr fontId="3" type="noConversion"/>
  </si>
  <si>
    <t>도우미 2일 / 2명</t>
    <phoneticPr fontId="3" type="noConversion"/>
  </si>
  <si>
    <t>커피시연(26일) 진행 MC</t>
    <phoneticPr fontId="3" type="noConversion"/>
  </si>
  <si>
    <t>26일 커피 시연 행사 진행 MC</t>
    <phoneticPr fontId="3" type="noConversion"/>
  </si>
  <si>
    <t>보안요원</t>
    <phoneticPr fontId="3" type="noConversion"/>
  </si>
  <si>
    <t>판매존 진행 인력</t>
    <phoneticPr fontId="3" type="noConversion"/>
  </si>
  <si>
    <t>판매스토어(식품관) 운영 인력</t>
    <phoneticPr fontId="3" type="noConversion"/>
  </si>
  <si>
    <t>판매스토어(식품관) 프로모터</t>
    <phoneticPr fontId="3" type="noConversion"/>
  </si>
  <si>
    <t>22일 월요일~28일 일요일 / 7일 진행 / 총 4명</t>
    <phoneticPr fontId="3" type="noConversion"/>
  </si>
  <si>
    <t>행사 진행 전반, 인력 관리</t>
    <phoneticPr fontId="3" type="noConversion"/>
  </si>
  <si>
    <t xml:space="preserve">행사 운영 인력 관리 및 진행 / 소비자 체험존, 판매존(지하1층) 전체 </t>
    <phoneticPr fontId="3" type="noConversion"/>
  </si>
  <si>
    <t>시음 운영</t>
    <phoneticPr fontId="3" type="noConversion"/>
  </si>
  <si>
    <t>팝업존 냉장고, 냉동고 / 선수대기실 냉장고 / 기간 연장에 따른 비용 추가</t>
    <phoneticPr fontId="3" type="noConversion"/>
  </si>
  <si>
    <t>판매존 행사 기기 렌탈 머신 2 + 온수기</t>
    <phoneticPr fontId="3" type="noConversion"/>
  </si>
  <si>
    <t>시음행사 소모품 얼음, 생수 및 집기류 일체</t>
    <phoneticPr fontId="3" type="noConversion"/>
  </si>
  <si>
    <t>판매존 소모품 얼음, 생수 및 집기류 일체</t>
    <phoneticPr fontId="3" type="noConversion"/>
  </si>
  <si>
    <t>얼음, 휴지, 봉투 등</t>
    <phoneticPr fontId="3" type="noConversion"/>
  </si>
  <si>
    <t>행사용 소품, 테이블, 의자, 가이드봉 등 렌탈 집기 일체</t>
    <phoneticPr fontId="3" type="noConversion"/>
  </si>
  <si>
    <t>행사 집기 운송 및 재고 반납 일체 / 용달 차량</t>
    <phoneticPr fontId="3" type="noConversion"/>
  </si>
  <si>
    <t>행사 집기 운송 / 용달차량</t>
    <phoneticPr fontId="3" type="noConversion"/>
  </si>
  <si>
    <t>판매존</t>
    <phoneticPr fontId="3" type="noConversion"/>
  </si>
  <si>
    <t>브랜드존 운영</t>
    <phoneticPr fontId="3" type="noConversion"/>
  </si>
  <si>
    <t>판매존 운영</t>
    <phoneticPr fontId="3" type="noConversion"/>
  </si>
  <si>
    <t>창고비</t>
    <phoneticPr fontId="3" type="noConversion"/>
  </si>
  <si>
    <t>집기 보관</t>
    <phoneticPr fontId="3" type="noConversion"/>
  </si>
  <si>
    <t>철거 및 폐기</t>
    <phoneticPr fontId="3" type="noConversion"/>
  </si>
  <si>
    <t>제작물 철거, 폐기 (야간 작업)</t>
    <phoneticPr fontId="3" type="noConversion"/>
  </si>
  <si>
    <t>대회장, 소비자체험존, 팝업스토어, 식품관 판매존 포함</t>
    <phoneticPr fontId="3" type="noConversion"/>
  </si>
  <si>
    <t xml:space="preserve">대회지원 </t>
    <phoneticPr fontId="3" type="noConversion"/>
  </si>
  <si>
    <t>백룸, 선수대기실, 심사위원 대기실 등</t>
    <phoneticPr fontId="3" type="noConversion"/>
  </si>
  <si>
    <t>식비</t>
    <phoneticPr fontId="3" type="noConversion"/>
  </si>
  <si>
    <t>운영팀 식비 / 70인 * 2식 * 3일</t>
    <phoneticPr fontId="3" type="noConversion"/>
  </si>
  <si>
    <t>행사, 촬영, 대회 진행팀 포함</t>
    <phoneticPr fontId="3" type="noConversion"/>
  </si>
  <si>
    <t>판매존 운영팀 식비 / 8인 * 2식 * 7일</t>
    <phoneticPr fontId="3" type="noConversion"/>
  </si>
  <si>
    <t>의상</t>
    <phoneticPr fontId="3" type="noConversion"/>
  </si>
  <si>
    <t>스탭 의상 제작 (행사 운영 스탭 / 무대팀 / 경연 운영팀)</t>
    <phoneticPr fontId="3" type="noConversion"/>
  </si>
  <si>
    <t>소모품</t>
    <phoneticPr fontId="3" type="noConversion"/>
  </si>
  <si>
    <t>행사 운영 관련 소모품 일체 (휴지, 봉투 등)</t>
    <phoneticPr fontId="3" type="noConversion"/>
  </si>
  <si>
    <t>행사보험</t>
    <phoneticPr fontId="3" type="noConversion"/>
  </si>
  <si>
    <t>행사 스탭 및 방문객 행사 보험</t>
    <phoneticPr fontId="3" type="noConversion"/>
  </si>
  <si>
    <t>선수 대기용 버스 대절</t>
    <phoneticPr fontId="3" type="noConversion"/>
  </si>
  <si>
    <t>5일</t>
    <phoneticPr fontId="3" type="noConversion"/>
  </si>
  <si>
    <t>2일</t>
    <phoneticPr fontId="3" type="noConversion"/>
  </si>
  <si>
    <t>BGM</t>
    <phoneticPr fontId="3" type="noConversion"/>
  </si>
  <si>
    <t>BGM 라이선스 대회용/행사용 구매</t>
    <phoneticPr fontId="3" type="noConversion"/>
  </si>
  <si>
    <t>게스트 바리스타 시연</t>
    <phoneticPr fontId="3" type="noConversion"/>
  </si>
  <si>
    <t>1인당 100만원 지원 / 최대 4인 기준 / 소품 비용 등</t>
    <phoneticPr fontId="3" type="noConversion"/>
  </si>
  <si>
    <t>코드쿤스트 1억 + PPL 출연 2천 추가 + 머신 임대료 200 추가</t>
    <phoneticPr fontId="3" type="noConversion"/>
  </si>
  <si>
    <t>이승국 MC 3천 + 유투브 출연 1.9천</t>
    <phoneticPr fontId="3" type="noConversion"/>
  </si>
  <si>
    <t>정인</t>
    <phoneticPr fontId="3" type="noConversion"/>
  </si>
  <si>
    <t>공유 거마비 및 포토그래퍼 비용</t>
    <phoneticPr fontId="3" type="noConversion"/>
  </si>
  <si>
    <t>엄보람 헤어메이크업 섭외</t>
    <phoneticPr fontId="3" type="noConversion"/>
  </si>
  <si>
    <t>연습용 원두 배송</t>
    <phoneticPr fontId="3" type="noConversion"/>
  </si>
  <si>
    <t xml:space="preserve">199건 </t>
    <phoneticPr fontId="3" type="noConversion"/>
  </si>
  <si>
    <t>탈락자용 원두 배송</t>
    <phoneticPr fontId="3" type="noConversion"/>
  </si>
  <si>
    <t>24년 11월 ~ 25년 4월 관리한 물품 보관료 이월</t>
    <phoneticPr fontId="3" type="noConversion"/>
  </si>
  <si>
    <t>VIP 후속 미팅 와인샵 대관</t>
    <phoneticPr fontId="3" type="noConversion"/>
  </si>
  <si>
    <t>트로피 제작 및 꽃다발</t>
    <phoneticPr fontId="3" type="noConversion"/>
  </si>
  <si>
    <t>심사위원 위촉장 및 감사패 제작</t>
    <phoneticPr fontId="3" type="noConversion"/>
  </si>
  <si>
    <t>상금</t>
    <phoneticPr fontId="3" type="noConversion"/>
  </si>
  <si>
    <t>1등 3천 / 2등 1천 / 3등 5백 | 제세공과금 본인 부담</t>
    <phoneticPr fontId="3" type="noConversion"/>
  </si>
  <si>
    <t>맥심플랜트 상품권 예선 참가자 지급</t>
    <phoneticPr fontId="3" type="noConversion"/>
  </si>
  <si>
    <t>와인샵 예비비 50제외</t>
    <phoneticPr fontId="3" type="noConversion"/>
  </si>
  <si>
    <t xml:space="preserve">2회 진행 </t>
    <phoneticPr fontId="3" type="noConversion"/>
  </si>
  <si>
    <t>대회 KV제작</t>
    <phoneticPr fontId="3" type="noConversion"/>
  </si>
  <si>
    <t>룰북, 굿즈 등 제작물 디자인</t>
    <phoneticPr fontId="3" type="noConversion"/>
  </si>
  <si>
    <t>예선전 영상 및  인터뷰 촬영 / 편집</t>
    <phoneticPr fontId="3" type="noConversion"/>
  </si>
  <si>
    <t>디지털 홍보물 제작</t>
    <phoneticPr fontId="3" type="noConversion"/>
  </si>
  <si>
    <t>본선진출자 소개 영상 촬영 및 제작</t>
    <phoneticPr fontId="3" type="noConversion"/>
  </si>
  <si>
    <t>라이브용 인서트 영상</t>
    <phoneticPr fontId="3" type="noConversion"/>
  </si>
  <si>
    <t>대회 스케치 (과정 전반 기록, 본선대회)</t>
    <phoneticPr fontId="3" type="noConversion"/>
  </si>
  <si>
    <t>브랜드 필름 제작</t>
    <phoneticPr fontId="3" type="noConversion"/>
  </si>
  <si>
    <t>예선전 촬영 (3일, 연습 장소 촬영)</t>
    <phoneticPr fontId="3" type="noConversion"/>
  </si>
  <si>
    <t>총 8건</t>
    <phoneticPr fontId="3" type="noConversion"/>
  </si>
  <si>
    <t>브릿지 영상, 인트로 영상</t>
    <phoneticPr fontId="3" type="noConversion"/>
  </si>
  <si>
    <t>촬영 및 편집</t>
    <phoneticPr fontId="3" type="noConversion"/>
  </si>
  <si>
    <t>LED 지원이 가능한 스튜디오 대여비 추가 (종일 촬영) 음향, 조명 등 지원 포함</t>
    <phoneticPr fontId="3" type="noConversion"/>
  </si>
  <si>
    <t>예선전 홍보 커뮤니티 등</t>
    <phoneticPr fontId="3" type="noConversion"/>
  </si>
  <si>
    <t>수수료 5% 적용 항목</t>
    <phoneticPr fontId="3" type="noConversion"/>
  </si>
  <si>
    <t>앱/웹 페이지 개발 등 -  우승자 예측 이벤트 미진행시 비용 절감</t>
    <phoneticPr fontId="3" type="noConversion"/>
  </si>
  <si>
    <t>팝업존 냉장고,냉동고/ 선수대기실 냉장고/ 기간 연장에 따른 비용 추가</t>
    <phoneticPr fontId="3" type="noConversion"/>
  </si>
  <si>
    <t xml:space="preserve">바리스타챔피언십 응모 </t>
    <phoneticPr fontId="3" type="noConversion"/>
  </si>
  <si>
    <t>대회 컨설팅 및 대회 운영 + 엔지니어 상주 / 새벽 설치 건 추가</t>
    <phoneticPr fontId="3" type="noConversion"/>
  </si>
  <si>
    <t>촬영 2회분 / 시음행사 등 포함</t>
    <phoneticPr fontId="3" type="noConversion"/>
  </si>
  <si>
    <t>중계 시스템 목요일 세팅비용</t>
    <phoneticPr fontId="3" type="noConversion"/>
  </si>
  <si>
    <t>기 지급 금액</t>
    <phoneticPr fontId="3" type="noConversion"/>
  </si>
  <si>
    <t xml:space="preserve"> (A)+(B)+(C)+(D)</t>
    <phoneticPr fontId="3" type="noConversion"/>
  </si>
  <si>
    <t>1~8등 트로피 8종 / 꽃다발 8개</t>
    <phoneticPr fontId="3" type="noConversion"/>
  </si>
  <si>
    <t>총 12명 / 4일 (모객 프로모터 2명 추가 / 2일 진행)</t>
    <phoneticPr fontId="3" type="noConversion"/>
  </si>
  <si>
    <t>3일 진행 / 코쿤, 공유, 정인</t>
    <phoneticPr fontId="3" type="noConversion"/>
  </si>
  <si>
    <t>바틀러 및 패치브루머신</t>
    <phoneticPr fontId="3" type="noConversion"/>
  </si>
  <si>
    <t>바틀러 7대 / 보온서버 11대 /  야간설치 및 당직자대기 비용 포함</t>
  </si>
  <si>
    <t>머신 2대 / 온수기 1대 /물통펌프/  7일 사용 / 야간설치 및 당직자대기 비용 포함</t>
    <phoneticPr fontId="3" type="noConversion"/>
  </si>
  <si>
    <t xml:space="preserve">심사위원, MC 식비 </t>
    <phoneticPr fontId="3" type="noConversion"/>
  </si>
  <si>
    <t xml:space="preserve">음료 및 간식지원 / 2일 진행 </t>
    <phoneticPr fontId="3" type="noConversion"/>
  </si>
  <si>
    <t>45벌</t>
    <phoneticPr fontId="3" type="noConversion"/>
  </si>
  <si>
    <t>브랜드존 및 프로모터용 의상</t>
    <phoneticPr fontId="3" type="noConversion"/>
  </si>
  <si>
    <t>상하의 40세트</t>
    <phoneticPr fontId="3" type="noConversion"/>
  </si>
  <si>
    <t>차량대절 및 창고</t>
    <phoneticPr fontId="3" type="noConversion"/>
  </si>
  <si>
    <t>고속버스 터미널(경부선) 창고 3동 임대료</t>
    <phoneticPr fontId="3" type="noConversion"/>
  </si>
  <si>
    <t>총 55곡 라이선스 확보</t>
    <phoneticPr fontId="3" type="noConversion"/>
  </si>
  <si>
    <t>24년 11월~25년 4월까지 관리한 물품 보관료 이월, 25년도에 포함하는 것으로 협의 /25년도 행사물품 집기보관(1달)</t>
    <phoneticPr fontId="3" type="noConversion"/>
  </si>
  <si>
    <t>헤어메이크업</t>
    <phoneticPr fontId="3" type="noConversion"/>
  </si>
  <si>
    <t>파이널리스트 교통비</t>
    <phoneticPr fontId="3" type="noConversion"/>
  </si>
  <si>
    <t>제품 매입</t>
    <phoneticPr fontId="3" type="noConversion"/>
  </si>
  <si>
    <t>세일즈존 행사 종료 후 진열 제품 매입</t>
    <phoneticPr fontId="3" type="noConversion"/>
  </si>
  <si>
    <t>개막식 촬영 및 리터칭</t>
    <phoneticPr fontId="3" type="noConversion"/>
  </si>
  <si>
    <t>가림막</t>
    <phoneticPr fontId="3" type="noConversion"/>
  </si>
  <si>
    <t>400*2000 백월 / 단면 인쇄 / 하단 지지대</t>
    <phoneticPr fontId="3" type="noConversion"/>
  </si>
  <si>
    <t>배전작업 (식품관)</t>
    <phoneticPr fontId="3" type="noConversion"/>
  </si>
  <si>
    <t>신세계 요청사항</t>
    <phoneticPr fontId="3" type="noConversion"/>
  </si>
  <si>
    <t>식품관팝업존배선작업 / 스틸 배전반 및 추가 전기 간선 작업</t>
    <phoneticPr fontId="3" type="noConversion"/>
  </si>
  <si>
    <t>안전보강물품</t>
    <phoneticPr fontId="3" type="noConversion"/>
  </si>
  <si>
    <t>옐로우 자켓(전선 커버), 배전판 스틸 박스, 비상구 유도등, 소화기 구매 外</t>
    <phoneticPr fontId="3" type="noConversion"/>
  </si>
  <si>
    <t>오픈스테이지 행사장 전체 바닥</t>
    <phoneticPr fontId="3" type="noConversion"/>
  </si>
  <si>
    <t>트로피 전시 좌대 제작 / 랩핑 및 방염</t>
    <phoneticPr fontId="3" type="noConversion"/>
  </si>
  <si>
    <t>대회 운영 테이블 제작  / 랩핑 및 방염</t>
  </si>
  <si>
    <t>심사위원 테이블 제작 / 랩핑 및 방염</t>
  </si>
  <si>
    <t>MC 포디엄 제작 / 랩핑 및 방염</t>
  </si>
  <si>
    <t>10,000mm*2,000mm*2set / 목공, 솔벤 현수막, 몰딩 마감</t>
  </si>
  <si>
    <t>12,120*1,515*1212 / 목공 / 솔벤 현수막 마감</t>
    <phoneticPr fontId="8" type="noConversion"/>
  </si>
  <si>
    <t>4000*1515*1212 / 목공</t>
  </si>
  <si>
    <t xml:space="preserve">내경 10,000*,8,000*,5080 / 외경 10,580*8,590,8370 </t>
    <phoneticPr fontId="3" type="noConversion"/>
  </si>
  <si>
    <t xml:space="preserve">대회 무대 '내경 10,000*,8,000*,5080 / 외경 10,580*8,590,8370 </t>
    <phoneticPr fontId="3" type="noConversion"/>
  </si>
  <si>
    <t>출력물 일체 및 무대 비치 제작물 일체</t>
  </si>
  <si>
    <t>보양, 기타 자제, 경비 등</t>
  </si>
  <si>
    <t>행사 운영 배선 작업</t>
  </si>
  <si>
    <t>배선작업 (천장공사)</t>
    <phoneticPr fontId="3" type="noConversion"/>
  </si>
  <si>
    <t>천장 및 전선 타설 / eps실 ~ 오픈스테이지 천장 공사</t>
    <phoneticPr fontId="3" type="noConversion"/>
  </si>
  <si>
    <t>안전진단</t>
    <phoneticPr fontId="3" type="noConversion"/>
  </si>
  <si>
    <t>2500*6600*400 / 목공 백월 / 후면 브랜딩 마감 포함 / 조명</t>
    <phoneticPr fontId="8" type="noConversion"/>
  </si>
  <si>
    <t xml:space="preserve">'ㄷ' 시음 테이블 (2800 X 400X 900)*1EA / 머신 테이블(800*800*900)*2EA </t>
    <phoneticPr fontId="8" type="noConversion"/>
  </si>
  <si>
    <t>3단 집기 전면 2400 X 40X 2400 / 시트 / 간접조명 / 계산대 (1200*800*1100)</t>
    <phoneticPr fontId="8" type="noConversion"/>
  </si>
  <si>
    <t>행사 운영 배선 작업 / 식품관 전기 용량 및 작업 범위별 비용 상이</t>
    <phoneticPr fontId="8" type="noConversion"/>
  </si>
  <si>
    <t>중계 시스템 야간 작업 및 설치 철수 인력</t>
    <phoneticPr fontId="3" type="noConversion"/>
  </si>
  <si>
    <t>계약이행보증보험</t>
    <phoneticPr fontId="3" type="noConversion"/>
  </si>
  <si>
    <t>산재고용보험료</t>
    <phoneticPr fontId="3" type="noConversion"/>
  </si>
  <si>
    <t>광고 소재 모델료</t>
    <phoneticPr fontId="3" type="noConversion"/>
  </si>
  <si>
    <t>마스터브랜드 광고송출 모델료 추가 지급</t>
    <phoneticPr fontId="3" type="noConversion"/>
  </si>
  <si>
    <t>as of 10/23</t>
    <phoneticPr fontId="3" type="noConversion"/>
  </si>
  <si>
    <t>심사위원 위촉장 및 감사패</t>
    <phoneticPr fontId="3" type="noConversion"/>
  </si>
  <si>
    <t>판매 및 시음 제품 배송</t>
    <phoneticPr fontId="3" type="noConversion"/>
  </si>
  <si>
    <t>행사 종료 후 동서 요청으로 대납</t>
    <phoneticPr fontId="3" type="noConversion"/>
  </si>
  <si>
    <t>PPL 촬영 가림막 6개 제작</t>
    <phoneticPr fontId="3" type="noConversion"/>
  </si>
  <si>
    <t>1건만 적용</t>
    <phoneticPr fontId="3" type="noConversion"/>
  </si>
  <si>
    <t xml:space="preserve"> 얼음, 휴지 봉투 등 / SIC 시음컵 구매</t>
    <phoneticPr fontId="3" type="noConversion"/>
  </si>
  <si>
    <t>행사 운영 관련 소모품 (휴지, 봉투 등)</t>
    <phoneticPr fontId="3" type="noConversion"/>
  </si>
  <si>
    <t>음료 및 간식 지원 2일 진행</t>
    <phoneticPr fontId="3" type="noConversion"/>
  </si>
  <si>
    <t>최종 견적</t>
    <phoneticPr fontId="3" type="noConversion"/>
  </si>
  <si>
    <t>행사잡비</t>
    <phoneticPr fontId="3" type="noConversion"/>
  </si>
  <si>
    <t>협업 미팅 비용</t>
    <phoneticPr fontId="3" type="noConversion"/>
  </si>
  <si>
    <t>상금비용, 예비비 제외 / 월간커피 컨설팅항목 제외 / 보험료 / 공유 거마비 제외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</si>
</sst>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#,##0_ "/>
    <numFmt numFmtId="177" formatCode="&quot;₩&quot;#,##0_);[Red]\(&quot;₩&quot;#,##0\)"/>
    <numFmt numFmtId="178" formatCode="_(* #,##0.00_);_(* \(#,##0.00\);_(* &quot;-&quot;??_);_(@_)"/>
    <numFmt numFmtId="179" formatCode="_(* #,##0_);_(* \(#,##0\);_(* &quot;-&quot;??_);_(@_)"/>
  </numFmts>
  <fonts count="32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돋움"/>
      <family val="3"/>
    </font>
    <font>
      <b/>
      <sz val="11"/>
      <color rgb="FFFF0000"/>
      <name val="맑은 고딕"/>
      <family val="3"/>
      <charset val="129"/>
      <scheme val="minor"/>
    </font>
    <font>
      <sz val="10"/>
      <color indexed="8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color theme="8"/>
      <name val="맑은 고딕"/>
      <family val="3"/>
      <charset val="129"/>
      <scheme val="minor"/>
    </font>
    <font>
      <b/>
      <sz val="10"/>
      <color theme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</patternFill>
    </fill>
    <fill>
      <patternFill patternType="solid">
        <fgColor rgb="FFCCFFCC"/>
        <bgColor indexed="64"/>
      </patternFill>
    </fill>
    <fill>
      <patternFill patternType="solid">
        <f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7CE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1" tint="4.9989318521683403E-2"/>
        <bgColor indexed="64"/>
      </patternFill>
    </fill>
  </fills>
  <borders count="62">
    <border>
      <left/>
      <right/>
      <top/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0" borderId="0" applyAlignment="0">
      <alignment vertical="center"/>
    </xf>
    <xf numFmtId="0" fontId="6" fillId="0" borderId="0"/>
    <xf numFmtId="0" fontId="2" fillId="0" borderId="0" applyAlignment="0">
      <alignment vertical="center"/>
    </xf>
    <xf numFmtId="0" fontId="11" fillId="0" borderId="0"/>
    <xf numFmtId="178" fontId="11" fillId="0" borderId="0"/>
    <xf numFmtId="41" fontId="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11" fillId="0" borderId="0"/>
    <xf numFmtId="0" fontId="2" fillId="0" borderId="0" applyAlignment="0">
      <alignment vertical="center"/>
    </xf>
  </cellStyleXfs>
  <cellXfs count="241">
    <xf numFmtId="0" fontId="0" fillId="0" borderId="0" xfId="0">
      <alignment vertical="center"/>
    </xf>
    <xf numFmtId="0" fontId="2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0" fontId="5" fillId="0" borderId="0" xfId="2" applyFont="1" applyBorder="1" applyAlignment="1">
      <alignment vertical="center"/>
    </xf>
    <xf numFmtId="0" fontId="5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5" borderId="7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5" fillId="3" borderId="12" xfId="2" applyFont="1" applyFill="1" applyBorder="1" applyAlignment="1">
      <alignment horizontal="center" vertical="center"/>
    </xf>
    <xf numFmtId="41" fontId="5" fillId="0" borderId="13" xfId="2" applyNumberFormat="1" applyFont="1" applyBorder="1" applyAlignment="1">
      <alignment horizontal="left" vertical="center"/>
    </xf>
    <xf numFmtId="176" fontId="5" fillId="0" borderId="10" xfId="2" applyNumberFormat="1" applyFont="1" applyFill="1" applyBorder="1" applyAlignment="1">
      <alignment horizontal="center" vertical="center" wrapText="1"/>
    </xf>
    <xf numFmtId="41" fontId="5" fillId="0" borderId="15" xfId="2" applyNumberFormat="1" applyFont="1" applyBorder="1" applyAlignment="1">
      <alignment horizontal="left" vertical="center"/>
    </xf>
    <xf numFmtId="176" fontId="5" fillId="0" borderId="8" xfId="2" applyNumberFormat="1" applyFont="1" applyFill="1" applyBorder="1" applyAlignment="1">
      <alignment horizontal="center" vertical="center" wrapText="1"/>
    </xf>
    <xf numFmtId="41" fontId="5" fillId="5" borderId="13" xfId="2" applyNumberFormat="1" applyFont="1" applyFill="1" applyBorder="1" applyAlignment="1">
      <alignment horizontal="left" vertical="center"/>
    </xf>
    <xf numFmtId="0" fontId="5" fillId="0" borderId="8" xfId="1" applyNumberFormat="1" applyFont="1" applyFill="1" applyBorder="1" applyAlignment="1">
      <alignment horizontal="center" vertical="center"/>
    </xf>
    <xf numFmtId="0" fontId="7" fillId="0" borderId="0" xfId="2" applyFont="1" applyAlignment="1">
      <alignment vertical="center"/>
    </xf>
    <xf numFmtId="0" fontId="7" fillId="3" borderId="13" xfId="2" applyFont="1" applyFill="1" applyBorder="1" applyAlignment="1">
      <alignment horizontal="left" vertical="center"/>
    </xf>
    <xf numFmtId="0" fontId="7" fillId="3" borderId="13" xfId="2" applyFont="1" applyFill="1" applyBorder="1" applyAlignment="1">
      <alignment horizontal="right" vertical="center"/>
    </xf>
    <xf numFmtId="0" fontId="7" fillId="0" borderId="13" xfId="2" applyFont="1" applyBorder="1" applyAlignment="1">
      <alignment horizontal="left" vertical="center"/>
    </xf>
    <xf numFmtId="0" fontId="7" fillId="0" borderId="13" xfId="2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7" fillId="0" borderId="21" xfId="4" applyFont="1" applyBorder="1" applyAlignment="1">
      <alignment horizontal="center" vertical="center"/>
    </xf>
    <xf numFmtId="0" fontId="7" fillId="0" borderId="27" xfId="4" applyFont="1" applyBorder="1" applyAlignment="1">
      <alignment horizontal="center" vertical="center"/>
    </xf>
    <xf numFmtId="41" fontId="5" fillId="0" borderId="37" xfId="1" applyFont="1" applyBorder="1" applyAlignment="1">
      <alignment horizontal="left" vertical="center"/>
    </xf>
    <xf numFmtId="41" fontId="5" fillId="0" borderId="38" xfId="1" applyFont="1" applyBorder="1" applyAlignment="1">
      <alignment horizontal="left" vertical="center"/>
    </xf>
    <xf numFmtId="41" fontId="7" fillId="3" borderId="36" xfId="1" applyFont="1" applyFill="1" applyBorder="1" applyAlignment="1">
      <alignment horizontal="left" vertical="center"/>
    </xf>
    <xf numFmtId="41" fontId="7" fillId="4" borderId="2" xfId="1" applyFont="1" applyFill="1" applyBorder="1" applyAlignment="1">
      <alignment horizontal="right" vertical="center"/>
    </xf>
    <xf numFmtId="41" fontId="7" fillId="2" borderId="2" xfId="1" applyFont="1" applyFill="1" applyBorder="1" applyAlignment="1">
      <alignment horizontal="right" vertical="center"/>
    </xf>
    <xf numFmtId="41" fontId="4" fillId="0" borderId="0" xfId="2" applyNumberFormat="1" applyFont="1" applyAlignment="1">
      <alignment vertical="center"/>
    </xf>
    <xf numFmtId="0" fontId="7" fillId="2" borderId="36" xfId="2" applyFont="1" applyFill="1" applyBorder="1" applyAlignment="1">
      <alignment horizontal="center" vertical="center"/>
    </xf>
    <xf numFmtId="41" fontId="14" fillId="3" borderId="2" xfId="1" applyFont="1" applyFill="1" applyBorder="1" applyAlignment="1">
      <alignment horizontal="left" vertical="center"/>
    </xf>
    <xf numFmtId="0" fontId="5" fillId="3" borderId="14" xfId="2" applyFont="1" applyFill="1" applyBorder="1" applyAlignment="1">
      <alignment horizontal="center" vertical="center"/>
    </xf>
    <xf numFmtId="41" fontId="7" fillId="3" borderId="18" xfId="1" applyFont="1" applyFill="1" applyBorder="1" applyAlignment="1">
      <alignment horizontal="left" vertical="center"/>
    </xf>
    <xf numFmtId="41" fontId="15" fillId="7" borderId="26" xfId="1" applyFont="1" applyFill="1" applyBorder="1" applyAlignment="1">
      <alignment horizontal="center" vertical="center"/>
    </xf>
    <xf numFmtId="41" fontId="15" fillId="7" borderId="45" xfId="1" applyFont="1" applyFill="1" applyBorder="1" applyAlignment="1">
      <alignment vertical="center"/>
    </xf>
    <xf numFmtId="41" fontId="15" fillId="7" borderId="44" xfId="1" applyNumberFormat="1" applyFont="1" applyFill="1" applyBorder="1" applyAlignment="1">
      <alignment vertical="center"/>
    </xf>
    <xf numFmtId="41" fontId="16" fillId="3" borderId="41" xfId="1" applyFont="1" applyFill="1" applyBorder="1" applyAlignment="1">
      <alignment horizontal="left" vertical="center"/>
    </xf>
    <xf numFmtId="0" fontId="15" fillId="5" borderId="6" xfId="2" applyFont="1" applyFill="1" applyBorder="1" applyAlignment="1">
      <alignment horizontal="left" vertical="center"/>
    </xf>
    <xf numFmtId="10" fontId="15" fillId="5" borderId="6" xfId="2" applyNumberFormat="1" applyFont="1" applyFill="1" applyBorder="1" applyAlignment="1">
      <alignment horizontal="center" vertical="center"/>
    </xf>
    <xf numFmtId="41" fontId="15" fillId="5" borderId="6" xfId="2" applyNumberFormat="1" applyFont="1" applyFill="1" applyBorder="1" applyAlignment="1">
      <alignment horizontal="left" vertical="center"/>
    </xf>
    <xf numFmtId="41" fontId="15" fillId="5" borderId="39" xfId="1" applyFont="1" applyFill="1" applyBorder="1" applyAlignment="1">
      <alignment horizontal="left" vertical="center"/>
    </xf>
    <xf numFmtId="0" fontId="15" fillId="3" borderId="3" xfId="2" applyFont="1" applyFill="1" applyBorder="1" applyAlignment="1">
      <alignment horizontal="left" vertical="center"/>
    </xf>
    <xf numFmtId="0" fontId="16" fillId="3" borderId="2" xfId="2" applyFont="1" applyFill="1" applyBorder="1" applyAlignment="1">
      <alignment horizontal="left" vertical="center"/>
    </xf>
    <xf numFmtId="24" fontId="16" fillId="3" borderId="2" xfId="2" applyNumberFormat="1" applyFont="1" applyFill="1" applyBorder="1" applyAlignment="1">
      <alignment horizontal="left" vertical="center"/>
    </xf>
    <xf numFmtId="0" fontId="15" fillId="3" borderId="2" xfId="2" applyFont="1" applyFill="1" applyBorder="1" applyAlignment="1">
      <alignment horizontal="center" vertical="center"/>
    </xf>
    <xf numFmtId="41" fontId="15" fillId="3" borderId="2" xfId="2" applyNumberFormat="1" applyFont="1" applyFill="1" applyBorder="1" applyAlignment="1">
      <alignment horizontal="left" vertical="center"/>
    </xf>
    <xf numFmtId="41" fontId="16" fillId="4" borderId="36" xfId="1" applyFont="1" applyFill="1" applyBorder="1" applyAlignment="1">
      <alignment horizontal="right" vertical="center"/>
    </xf>
    <xf numFmtId="41" fontId="16" fillId="2" borderId="36" xfId="1" applyFont="1" applyFill="1" applyBorder="1" applyAlignment="1">
      <alignment horizontal="right" vertical="center"/>
    </xf>
    <xf numFmtId="41" fontId="16" fillId="6" borderId="36" xfId="1" applyFont="1" applyFill="1" applyBorder="1" applyAlignment="1">
      <alignment vertical="center"/>
    </xf>
    <xf numFmtId="0" fontId="5" fillId="3" borderId="3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41" fontId="15" fillId="7" borderId="46" xfId="1" applyFont="1" applyFill="1" applyBorder="1" applyAlignment="1">
      <alignment vertical="center"/>
    </xf>
    <xf numFmtId="176" fontId="5" fillId="4" borderId="5" xfId="3" applyNumberFormat="1" applyFont="1" applyFill="1" applyBorder="1" applyAlignment="1">
      <alignment horizontal="left" vertical="center" wrapText="1"/>
    </xf>
    <xf numFmtId="24" fontId="5" fillId="3" borderId="6" xfId="2" applyNumberFormat="1" applyFont="1" applyFill="1" applyBorder="1" applyAlignment="1">
      <alignment horizontal="left" vertical="center"/>
    </xf>
    <xf numFmtId="0" fontId="5" fillId="3" borderId="6" xfId="2" applyFont="1" applyFill="1" applyBorder="1" applyAlignment="1">
      <alignment horizontal="center" vertical="center"/>
    </xf>
    <xf numFmtId="41" fontId="5" fillId="3" borderId="6" xfId="2" applyNumberFormat="1" applyFont="1" applyFill="1" applyBorder="1" applyAlignment="1">
      <alignment horizontal="left" vertical="center"/>
    </xf>
    <xf numFmtId="41" fontId="17" fillId="0" borderId="24" xfId="1" quotePrefix="1" applyFont="1" applyFill="1" applyBorder="1" applyAlignment="1">
      <alignment horizontal="left" vertical="center"/>
    </xf>
    <xf numFmtId="177" fontId="7" fillId="0" borderId="26" xfId="4" applyNumberFormat="1" applyFont="1" applyBorder="1" applyAlignment="1">
      <alignment vertical="center"/>
    </xf>
    <xf numFmtId="0" fontId="7" fillId="0" borderId="23" xfId="4" applyFont="1" applyBorder="1" applyAlignment="1">
      <alignment horizontal="center" vertical="center"/>
    </xf>
    <xf numFmtId="0" fontId="5" fillId="0" borderId="0" xfId="2" applyFont="1" applyAlignment="1">
      <alignment horizontal="center"/>
    </xf>
    <xf numFmtId="0" fontId="18" fillId="0" borderId="0" xfId="2" applyFont="1" applyAlignment="1">
      <alignment vertical="center"/>
    </xf>
    <xf numFmtId="0" fontId="5" fillId="0" borderId="0" xfId="2" applyFont="1" applyAlignment="1">
      <alignment horizontal="left"/>
    </xf>
    <xf numFmtId="0" fontId="5" fillId="3" borderId="6" xfId="2" applyFont="1" applyFill="1" applyBorder="1" applyAlignment="1">
      <alignment horizontal="left" vertical="center"/>
    </xf>
    <xf numFmtId="0" fontId="15" fillId="0" borderId="26" xfId="2" applyFont="1" applyFill="1" applyBorder="1" applyAlignment="1">
      <alignment horizontal="center" vertical="center" wrapText="1"/>
    </xf>
    <xf numFmtId="41" fontId="15" fillId="0" borderId="26" xfId="1" applyFont="1" applyFill="1" applyBorder="1" applyAlignment="1">
      <alignment horizontal="center" vertical="center" wrapText="1"/>
    </xf>
    <xf numFmtId="41" fontId="15" fillId="0" borderId="26" xfId="1" applyFont="1" applyFill="1" applyBorder="1" applyAlignment="1">
      <alignment horizontal="center" vertical="center"/>
    </xf>
    <xf numFmtId="41" fontId="15" fillId="0" borderId="23" xfId="1" applyNumberFormat="1" applyFont="1" applyFill="1" applyBorder="1" applyAlignment="1">
      <alignment horizontal="center" vertical="center"/>
    </xf>
    <xf numFmtId="41" fontId="15" fillId="0" borderId="36" xfId="1" applyFont="1" applyFill="1" applyBorder="1" applyAlignment="1">
      <alignment vertical="center"/>
    </xf>
    <xf numFmtId="41" fontId="16" fillId="8" borderId="36" xfId="1" applyFont="1" applyFill="1" applyBorder="1" applyAlignment="1">
      <alignment vertical="center"/>
    </xf>
    <xf numFmtId="41" fontId="15" fillId="0" borderId="48" xfId="1" applyNumberFormat="1" applyFont="1" applyFill="1" applyBorder="1" applyAlignment="1">
      <alignment horizontal="center" vertical="center"/>
    </xf>
    <xf numFmtId="41" fontId="19" fillId="7" borderId="24" xfId="1" quotePrefix="1" applyFont="1" applyFill="1" applyBorder="1" applyAlignment="1">
      <alignment horizontal="left" vertical="center"/>
    </xf>
    <xf numFmtId="41" fontId="15" fillId="3" borderId="2" xfId="2" applyNumberFormat="1" applyFont="1" applyFill="1" applyBorder="1" applyAlignment="1">
      <alignment horizontal="right" vertical="center"/>
    </xf>
    <xf numFmtId="176" fontId="15" fillId="0" borderId="26" xfId="2" applyNumberFormat="1" applyFont="1" applyFill="1" applyBorder="1" applyAlignment="1">
      <alignment horizontal="center" vertical="center" wrapText="1"/>
    </xf>
    <xf numFmtId="41" fontId="16" fillId="10" borderId="36" xfId="1" applyFont="1" applyFill="1" applyBorder="1" applyAlignment="1">
      <alignment vertical="center"/>
    </xf>
    <xf numFmtId="41" fontId="17" fillId="10" borderId="0" xfId="1" applyFont="1" applyFill="1" applyBorder="1" applyAlignment="1">
      <alignment horizontal="left" vertical="center"/>
    </xf>
    <xf numFmtId="41" fontId="16" fillId="11" borderId="36" xfId="1" applyFont="1" applyFill="1" applyBorder="1" applyAlignment="1">
      <alignment vertical="center"/>
    </xf>
    <xf numFmtId="41" fontId="14" fillId="11" borderId="24" xfId="1" quotePrefix="1" applyFont="1" applyFill="1" applyBorder="1" applyAlignment="1">
      <alignment horizontal="left" vertical="center"/>
    </xf>
    <xf numFmtId="0" fontId="7" fillId="12" borderId="36" xfId="2" applyFont="1" applyFill="1" applyBorder="1" applyAlignment="1">
      <alignment horizontal="center" vertical="center"/>
    </xf>
    <xf numFmtId="41" fontId="5" fillId="0" borderId="0" xfId="2" applyNumberFormat="1" applyFont="1" applyAlignment="1">
      <alignment vertical="center"/>
    </xf>
    <xf numFmtId="0" fontId="22" fillId="0" borderId="26" xfId="2" applyFont="1" applyFill="1" applyBorder="1" applyAlignment="1">
      <alignment horizontal="center" vertical="center" wrapText="1"/>
    </xf>
    <xf numFmtId="41" fontId="23" fillId="0" borderId="24" xfId="1" quotePrefix="1" applyFont="1" applyFill="1" applyBorder="1" applyAlignment="1">
      <alignment horizontal="left" vertical="center"/>
    </xf>
    <xf numFmtId="41" fontId="23" fillId="6" borderId="0" xfId="1" applyFont="1" applyFill="1" applyBorder="1" applyAlignment="1">
      <alignment horizontal="left" vertical="center"/>
    </xf>
    <xf numFmtId="0" fontId="7" fillId="13" borderId="36" xfId="2" applyFont="1" applyFill="1" applyBorder="1" applyAlignment="1">
      <alignment horizontal="center" vertical="center"/>
    </xf>
    <xf numFmtId="41" fontId="5" fillId="7" borderId="46" xfId="1" applyFont="1" applyFill="1" applyBorder="1" applyAlignment="1">
      <alignment vertical="center"/>
    </xf>
    <xf numFmtId="41" fontId="7" fillId="6" borderId="36" xfId="1" applyFont="1" applyFill="1" applyBorder="1" applyAlignment="1">
      <alignment vertical="center"/>
    </xf>
    <xf numFmtId="41" fontId="5" fillId="7" borderId="45" xfId="1" applyFont="1" applyFill="1" applyBorder="1" applyAlignment="1">
      <alignment vertical="center"/>
    </xf>
    <xf numFmtId="41" fontId="7" fillId="10" borderId="36" xfId="1" applyFont="1" applyFill="1" applyBorder="1" applyAlignment="1">
      <alignment vertical="center"/>
    </xf>
    <xf numFmtId="0" fontId="7" fillId="9" borderId="36" xfId="2" applyFont="1" applyFill="1" applyBorder="1" applyAlignment="1">
      <alignment horizontal="center" vertical="center"/>
    </xf>
    <xf numFmtId="41" fontId="5" fillId="0" borderId="36" xfId="1" applyFont="1" applyFill="1" applyBorder="1" applyAlignment="1">
      <alignment vertical="center"/>
    </xf>
    <xf numFmtId="41" fontId="7" fillId="11" borderId="36" xfId="1" applyFont="1" applyFill="1" applyBorder="1" applyAlignment="1">
      <alignment vertical="center"/>
    </xf>
    <xf numFmtId="41" fontId="17" fillId="0" borderId="0" xfId="1" quotePrefix="1" applyFont="1" applyFill="1" applyBorder="1" applyAlignment="1">
      <alignment horizontal="left" vertical="center"/>
    </xf>
    <xf numFmtId="0" fontId="21" fillId="0" borderId="52" xfId="4" applyFont="1" applyFill="1" applyBorder="1" applyAlignment="1">
      <alignment vertical="center"/>
    </xf>
    <xf numFmtId="41" fontId="7" fillId="8" borderId="56" xfId="1" applyFont="1" applyFill="1" applyBorder="1" applyAlignment="1">
      <alignment vertical="center"/>
    </xf>
    <xf numFmtId="41" fontId="17" fillId="8" borderId="26" xfId="1" applyFont="1" applyFill="1" applyBorder="1" applyAlignment="1">
      <alignment horizontal="left" vertical="center"/>
    </xf>
    <xf numFmtId="41" fontId="15" fillId="7" borderId="55" xfId="1" applyFont="1" applyFill="1" applyBorder="1" applyAlignment="1">
      <alignment vertical="center"/>
    </xf>
    <xf numFmtId="41" fontId="5" fillId="7" borderId="55" xfId="1" applyFont="1" applyFill="1" applyBorder="1" applyAlignment="1">
      <alignment vertical="center"/>
    </xf>
    <xf numFmtId="176" fontId="15" fillId="0" borderId="40" xfId="2" applyNumberFormat="1" applyFont="1" applyFill="1" applyBorder="1" applyAlignment="1">
      <alignment horizontal="center" vertical="center" wrapText="1"/>
    </xf>
    <xf numFmtId="0" fontId="20" fillId="0" borderId="42" xfId="4" applyFont="1" applyFill="1" applyBorder="1" applyAlignment="1">
      <alignment horizontal="center" vertical="center"/>
    </xf>
    <xf numFmtId="0" fontId="20" fillId="0" borderId="23" xfId="4" applyFont="1" applyFill="1" applyBorder="1" applyAlignment="1">
      <alignment horizontal="center" vertical="center"/>
    </xf>
    <xf numFmtId="0" fontId="20" fillId="0" borderId="17" xfId="4" applyFont="1" applyFill="1" applyBorder="1" applyAlignment="1">
      <alignment horizontal="center" vertical="center"/>
    </xf>
    <xf numFmtId="41" fontId="16" fillId="8" borderId="56" xfId="1" applyFont="1" applyFill="1" applyBorder="1" applyAlignment="1">
      <alignment vertical="center"/>
    </xf>
    <xf numFmtId="0" fontId="7" fillId="14" borderId="36" xfId="2" applyFont="1" applyFill="1" applyBorder="1" applyAlignment="1">
      <alignment horizontal="center" vertical="center"/>
    </xf>
    <xf numFmtId="41" fontId="24" fillId="7" borderId="46" xfId="1" applyFont="1" applyFill="1" applyBorder="1" applyAlignment="1">
      <alignment vertical="center"/>
    </xf>
    <xf numFmtId="41" fontId="24" fillId="7" borderId="45" xfId="1" applyFont="1" applyFill="1" applyBorder="1" applyAlignment="1">
      <alignment vertical="center"/>
    </xf>
    <xf numFmtId="41" fontId="24" fillId="7" borderId="55" xfId="1" applyFont="1" applyFill="1" applyBorder="1" applyAlignment="1">
      <alignment vertical="center"/>
    </xf>
    <xf numFmtId="41" fontId="19" fillId="7" borderId="0" xfId="1" quotePrefix="1" applyFont="1" applyFill="1" applyBorder="1" applyAlignment="1">
      <alignment horizontal="left" vertical="center"/>
    </xf>
    <xf numFmtId="41" fontId="4" fillId="0" borderId="0" xfId="1" applyFont="1" applyAlignment="1">
      <alignment vertical="center"/>
    </xf>
    <xf numFmtId="43" fontId="4" fillId="0" borderId="0" xfId="2" applyNumberFormat="1" applyFont="1" applyAlignment="1">
      <alignment vertical="center"/>
    </xf>
    <xf numFmtId="0" fontId="25" fillId="15" borderId="36" xfId="2" applyFont="1" applyFill="1" applyBorder="1" applyAlignment="1">
      <alignment horizontal="center" vertical="center"/>
    </xf>
    <xf numFmtId="13" fontId="23" fillId="0" borderId="24" xfId="1" quotePrefix="1" applyNumberFormat="1" applyFont="1" applyFill="1" applyBorder="1" applyAlignment="1">
      <alignment horizontal="left" vertical="center"/>
    </xf>
    <xf numFmtId="41" fontId="23" fillId="0" borderId="57" xfId="1" quotePrefix="1" applyFont="1" applyFill="1" applyBorder="1" applyAlignment="1">
      <alignment vertical="center"/>
    </xf>
    <xf numFmtId="176" fontId="15" fillId="0" borderId="26" xfId="2" applyNumberFormat="1" applyFont="1" applyFill="1" applyBorder="1" applyAlignment="1">
      <alignment horizontal="center" vertical="center" wrapText="1"/>
    </xf>
    <xf numFmtId="41" fontId="7" fillId="3" borderId="41" xfId="1" applyFont="1" applyFill="1" applyBorder="1" applyAlignment="1">
      <alignment horizontal="left" vertical="center"/>
    </xf>
    <xf numFmtId="41" fontId="5" fillId="5" borderId="39" xfId="1" applyFont="1" applyFill="1" applyBorder="1" applyAlignment="1">
      <alignment horizontal="left" vertical="center"/>
    </xf>
    <xf numFmtId="41" fontId="7" fillId="4" borderId="36" xfId="1" applyFont="1" applyFill="1" applyBorder="1" applyAlignment="1">
      <alignment horizontal="right" vertical="center"/>
    </xf>
    <xf numFmtId="41" fontId="7" fillId="2" borderId="36" xfId="1" applyFont="1" applyFill="1" applyBorder="1" applyAlignment="1">
      <alignment horizontal="right" vertical="center"/>
    </xf>
    <xf numFmtId="41" fontId="23" fillId="0" borderId="47" xfId="1" quotePrefix="1" applyFont="1" applyFill="1" applyBorder="1" applyAlignment="1">
      <alignment horizontal="left" vertical="center"/>
    </xf>
    <xf numFmtId="41" fontId="5" fillId="7" borderId="59" xfId="1" applyFont="1" applyFill="1" applyBorder="1" applyAlignment="1">
      <alignment vertical="center"/>
    </xf>
    <xf numFmtId="176" fontId="15" fillId="0" borderId="26" xfId="2" applyNumberFormat="1" applyFont="1" applyBorder="1" applyAlignment="1">
      <alignment horizontal="center" vertical="center" wrapText="1"/>
    </xf>
    <xf numFmtId="41" fontId="5" fillId="7" borderId="41" xfId="1" applyFont="1" applyFill="1" applyBorder="1" applyAlignment="1">
      <alignment vertical="center"/>
    </xf>
    <xf numFmtId="41" fontId="5" fillId="5" borderId="39" xfId="1" applyNumberFormat="1" applyFont="1" applyFill="1" applyBorder="1" applyAlignment="1">
      <alignment horizontal="left" vertical="center"/>
    </xf>
    <xf numFmtId="41" fontId="5" fillId="7" borderId="39" xfId="1" applyFont="1" applyFill="1" applyBorder="1" applyAlignment="1">
      <alignment vertical="center"/>
    </xf>
    <xf numFmtId="41" fontId="24" fillId="0" borderId="36" xfId="1" applyFont="1" applyFill="1" applyBorder="1" applyAlignment="1">
      <alignment vertical="center"/>
    </xf>
    <xf numFmtId="41" fontId="5" fillId="0" borderId="46" xfId="1" applyFont="1" applyFill="1" applyBorder="1" applyAlignment="1">
      <alignment vertical="center"/>
    </xf>
    <xf numFmtId="41" fontId="27" fillId="7" borderId="45" xfId="1" applyFont="1" applyFill="1" applyBorder="1" applyAlignment="1">
      <alignment vertical="center"/>
    </xf>
    <xf numFmtId="41" fontId="20" fillId="0" borderId="23" xfId="4" applyNumberFormat="1" applyFont="1" applyFill="1" applyBorder="1" applyAlignment="1">
      <alignment horizontal="center" vertical="center"/>
    </xf>
    <xf numFmtId="0" fontId="28" fillId="17" borderId="36" xfId="10" applyFont="1" applyFill="1" applyBorder="1" applyAlignment="1">
      <alignment horizontal="center" vertical="center"/>
    </xf>
    <xf numFmtId="0" fontId="25" fillId="18" borderId="36" xfId="2" applyFont="1" applyFill="1" applyBorder="1" applyAlignment="1">
      <alignment horizontal="center" vertical="center"/>
    </xf>
    <xf numFmtId="41" fontId="15" fillId="0" borderId="46" xfId="1" applyNumberFormat="1" applyFont="1" applyFill="1" applyBorder="1" applyAlignment="1">
      <alignment horizontal="center" vertical="center"/>
    </xf>
    <xf numFmtId="41" fontId="5" fillId="7" borderId="26" xfId="1" applyFont="1" applyFill="1" applyBorder="1" applyAlignment="1">
      <alignment horizontal="center" vertical="center"/>
    </xf>
    <xf numFmtId="176" fontId="15" fillId="0" borderId="58" xfId="2" applyNumberFormat="1" applyFont="1" applyFill="1" applyBorder="1" applyAlignment="1">
      <alignment horizontal="center" vertical="center" wrapText="1"/>
    </xf>
    <xf numFmtId="41" fontId="5" fillId="7" borderId="60" xfId="1" applyFont="1" applyFill="1" applyBorder="1" applyAlignment="1">
      <alignment vertical="center"/>
    </xf>
    <xf numFmtId="41" fontId="24" fillId="19" borderId="45" xfId="1" applyFont="1" applyFill="1" applyBorder="1" applyAlignment="1">
      <alignment vertical="center"/>
    </xf>
    <xf numFmtId="41" fontId="24" fillId="19" borderId="46" xfId="1" applyFont="1" applyFill="1" applyBorder="1" applyAlignment="1">
      <alignment vertical="center"/>
    </xf>
    <xf numFmtId="41" fontId="27" fillId="19" borderId="45" xfId="1" applyFont="1" applyFill="1" applyBorder="1" applyAlignment="1">
      <alignment vertical="center"/>
    </xf>
    <xf numFmtId="0" fontId="28" fillId="20" borderId="36" xfId="10" applyFont="1" applyFill="1" applyBorder="1" applyAlignment="1">
      <alignment horizontal="center" vertical="center"/>
    </xf>
    <xf numFmtId="41" fontId="23" fillId="0" borderId="0" xfId="1" quotePrefix="1" applyFont="1" applyFill="1" applyBorder="1" applyAlignment="1">
      <alignment horizontal="left" vertical="center"/>
    </xf>
    <xf numFmtId="176" fontId="15" fillId="7" borderId="26" xfId="2" applyNumberFormat="1" applyFont="1" applyFill="1" applyBorder="1" applyAlignment="1">
      <alignment horizontal="center" vertical="center" wrapText="1"/>
    </xf>
    <xf numFmtId="41" fontId="15" fillId="7" borderId="48" xfId="1" applyNumberFormat="1" applyFont="1" applyFill="1" applyBorder="1" applyAlignment="1">
      <alignment horizontal="center" vertical="center"/>
    </xf>
    <xf numFmtId="41" fontId="15" fillId="7" borderId="46" xfId="1" applyNumberFormat="1" applyFont="1" applyFill="1" applyBorder="1" applyAlignment="1">
      <alignment horizontal="center" vertical="center"/>
    </xf>
    <xf numFmtId="41" fontId="23" fillId="7" borderId="24" xfId="1" quotePrefix="1" applyFont="1" applyFill="1" applyBorder="1" applyAlignment="1">
      <alignment horizontal="left" vertical="center"/>
    </xf>
    <xf numFmtId="179" fontId="31" fillId="0" borderId="48" xfId="11" applyNumberFormat="1" applyFont="1" applyBorder="1" applyAlignment="1">
      <alignment horizontal="center" vertical="center"/>
    </xf>
    <xf numFmtId="41" fontId="15" fillId="7" borderId="61" xfId="1" applyFont="1" applyFill="1" applyBorder="1" applyAlignment="1">
      <alignment vertical="center"/>
    </xf>
    <xf numFmtId="41" fontId="24" fillId="7" borderId="61" xfId="1" applyFont="1" applyFill="1" applyBorder="1" applyAlignment="1">
      <alignment vertical="center"/>
    </xf>
    <xf numFmtId="41" fontId="5" fillId="7" borderId="61" xfId="1" applyFont="1" applyFill="1" applyBorder="1" applyAlignment="1">
      <alignment vertical="center"/>
    </xf>
    <xf numFmtId="179" fontId="31" fillId="0" borderId="61" xfId="11" applyNumberFormat="1" applyFont="1" applyBorder="1" applyAlignment="1">
      <alignment horizontal="center" vertical="center"/>
    </xf>
    <xf numFmtId="41" fontId="7" fillId="8" borderId="45" xfId="1" applyFont="1" applyFill="1" applyBorder="1" applyAlignment="1">
      <alignment vertical="center"/>
    </xf>
    <xf numFmtId="0" fontId="22" fillId="7" borderId="23" xfId="2" applyFont="1" applyFill="1" applyBorder="1" applyAlignment="1">
      <alignment horizontal="center" vertical="center" wrapText="1"/>
    </xf>
    <xf numFmtId="0" fontId="22" fillId="7" borderId="42" xfId="2" applyFont="1" applyFill="1" applyBorder="1" applyAlignment="1">
      <alignment horizontal="center" vertical="center" wrapText="1"/>
    </xf>
    <xf numFmtId="0" fontId="22" fillId="7" borderId="24" xfId="2" applyFont="1" applyFill="1" applyBorder="1" applyAlignment="1">
      <alignment horizontal="center" vertical="center" wrapText="1"/>
    </xf>
    <xf numFmtId="41" fontId="5" fillId="7" borderId="59" xfId="1" applyFont="1" applyFill="1" applyBorder="1" applyAlignment="1">
      <alignment horizontal="center" vertical="center"/>
    </xf>
    <xf numFmtId="41" fontId="5" fillId="7" borderId="55" xfId="1" applyFont="1" applyFill="1" applyBorder="1" applyAlignment="1">
      <alignment horizontal="center" vertical="center"/>
    </xf>
    <xf numFmtId="41" fontId="5" fillId="7" borderId="45" xfId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9" fillId="0" borderId="23" xfId="11" applyFont="1" applyBorder="1" applyAlignment="1">
      <alignment horizontal="center" vertical="center" wrapText="1"/>
    </xf>
    <xf numFmtId="0" fontId="29" fillId="0" borderId="42" xfId="11" applyFont="1" applyBorder="1" applyAlignment="1">
      <alignment horizontal="center" vertical="center" wrapText="1"/>
    </xf>
    <xf numFmtId="0" fontId="29" fillId="0" borderId="24" xfId="11" applyFont="1" applyBorder="1" applyAlignment="1">
      <alignment horizontal="center" vertical="center" wrapText="1"/>
    </xf>
    <xf numFmtId="0" fontId="22" fillId="7" borderId="26" xfId="2" applyFont="1" applyFill="1" applyBorder="1" applyAlignment="1">
      <alignment horizontal="center" vertical="center" wrapText="1"/>
    </xf>
    <xf numFmtId="0" fontId="5" fillId="11" borderId="26" xfId="2" applyFont="1" applyFill="1" applyBorder="1" applyAlignment="1">
      <alignment horizontal="center" vertical="center" wrapText="1"/>
    </xf>
    <xf numFmtId="0" fontId="5" fillId="11" borderId="23" xfId="2" applyFont="1" applyFill="1" applyBorder="1" applyAlignment="1">
      <alignment horizontal="center" vertical="center" wrapText="1"/>
    </xf>
    <xf numFmtId="176" fontId="15" fillId="6" borderId="42" xfId="3" applyNumberFormat="1" applyFont="1" applyFill="1" applyBorder="1" applyAlignment="1">
      <alignment horizontal="center" vertical="center" wrapText="1"/>
    </xf>
    <xf numFmtId="176" fontId="15" fillId="6" borderId="22" xfId="3" applyNumberFormat="1" applyFont="1" applyFill="1" applyBorder="1" applyAlignment="1">
      <alignment horizontal="center" vertical="center" wrapText="1"/>
    </xf>
    <xf numFmtId="0" fontId="22" fillId="0" borderId="26" xfId="2" applyFont="1" applyFill="1" applyBorder="1" applyAlignment="1">
      <alignment horizontal="center" vertical="center" wrapText="1"/>
    </xf>
    <xf numFmtId="0" fontId="21" fillId="0" borderId="23" xfId="0" quotePrefix="1" applyFont="1" applyBorder="1" applyAlignment="1">
      <alignment horizontal="center" vertical="center"/>
    </xf>
    <xf numFmtId="0" fontId="21" fillId="0" borderId="42" xfId="0" quotePrefix="1" applyFont="1" applyBorder="1" applyAlignment="1">
      <alignment horizontal="center" vertical="center"/>
    </xf>
    <xf numFmtId="0" fontId="21" fillId="0" borderId="24" xfId="0" quotePrefix="1" applyFont="1" applyBorder="1" applyAlignment="1">
      <alignment horizontal="center" vertical="center"/>
    </xf>
    <xf numFmtId="176" fontId="15" fillId="0" borderId="53" xfId="2" applyNumberFormat="1" applyFont="1" applyFill="1" applyBorder="1" applyAlignment="1">
      <alignment horizontal="center" vertical="center" wrapText="1"/>
    </xf>
    <xf numFmtId="176" fontId="15" fillId="0" borderId="40" xfId="2" applyNumberFormat="1" applyFont="1" applyFill="1" applyBorder="1" applyAlignment="1">
      <alignment horizontal="center" vertical="center" wrapText="1"/>
    </xf>
    <xf numFmtId="176" fontId="15" fillId="0" borderId="58" xfId="2" applyNumberFormat="1" applyFont="1" applyFill="1" applyBorder="1" applyAlignment="1">
      <alignment horizontal="center" vertical="center" wrapText="1"/>
    </xf>
    <xf numFmtId="0" fontId="30" fillId="7" borderId="23" xfId="2" applyFont="1" applyFill="1" applyBorder="1" applyAlignment="1">
      <alignment horizontal="center" vertical="center" wrapText="1"/>
    </xf>
    <xf numFmtId="0" fontId="30" fillId="7" borderId="42" xfId="2" applyFont="1" applyFill="1" applyBorder="1" applyAlignment="1">
      <alignment horizontal="center" vertical="center" wrapText="1"/>
    </xf>
    <xf numFmtId="0" fontId="30" fillId="7" borderId="24" xfId="2" applyFont="1" applyFill="1" applyBorder="1" applyAlignment="1">
      <alignment horizontal="center" vertical="center" wrapText="1"/>
    </xf>
    <xf numFmtId="0" fontId="22" fillId="0" borderId="23" xfId="2" applyFont="1" applyFill="1" applyBorder="1" applyAlignment="1">
      <alignment horizontal="center" vertical="center" wrapText="1"/>
    </xf>
    <xf numFmtId="0" fontId="22" fillId="0" borderId="42" xfId="2" applyFont="1" applyFill="1" applyBorder="1" applyAlignment="1">
      <alignment horizontal="center" vertical="center" wrapText="1"/>
    </xf>
    <xf numFmtId="0" fontId="22" fillId="0" borderId="24" xfId="2" applyFont="1" applyFill="1" applyBorder="1" applyAlignment="1">
      <alignment horizontal="center" vertical="center" wrapText="1"/>
    </xf>
    <xf numFmtId="0" fontId="5" fillId="8" borderId="43" xfId="2" applyFont="1" applyFill="1" applyBorder="1" applyAlignment="1">
      <alignment horizontal="center" vertical="center" wrapText="1"/>
    </xf>
    <xf numFmtId="0" fontId="5" fillId="8" borderId="11" xfId="2" applyFont="1" applyFill="1" applyBorder="1" applyAlignment="1">
      <alignment horizontal="center" vertical="center" wrapText="1"/>
    </xf>
    <xf numFmtId="0" fontId="5" fillId="8" borderId="49" xfId="2" applyFont="1" applyFill="1" applyBorder="1" applyAlignment="1">
      <alignment horizontal="center" vertical="center" wrapText="1"/>
    </xf>
    <xf numFmtId="176" fontId="15" fillId="8" borderId="42" xfId="3" applyNumberFormat="1" applyFont="1" applyFill="1" applyBorder="1" applyAlignment="1">
      <alignment horizontal="center" vertical="center" wrapText="1"/>
    </xf>
    <xf numFmtId="176" fontId="15" fillId="8" borderId="22" xfId="3" applyNumberFormat="1" applyFont="1" applyFill="1" applyBorder="1" applyAlignment="1">
      <alignment horizontal="center" vertical="center" wrapText="1"/>
    </xf>
    <xf numFmtId="176" fontId="5" fillId="6" borderId="0" xfId="3" applyNumberFormat="1" applyFont="1" applyFill="1" applyBorder="1" applyAlignment="1">
      <alignment horizontal="center" vertical="center" wrapText="1"/>
    </xf>
    <xf numFmtId="176" fontId="5" fillId="6" borderId="50" xfId="3" applyNumberFormat="1" applyFont="1" applyFill="1" applyBorder="1" applyAlignment="1">
      <alignment horizontal="center" vertical="center" wrapText="1"/>
    </xf>
    <xf numFmtId="176" fontId="15" fillId="0" borderId="26" xfId="2" applyNumberFormat="1" applyFont="1" applyFill="1" applyBorder="1" applyAlignment="1">
      <alignment horizontal="left" vertical="center" wrapText="1"/>
    </xf>
    <xf numFmtId="176" fontId="15" fillId="0" borderId="23" xfId="2" applyNumberFormat="1" applyFont="1" applyFill="1" applyBorder="1" applyAlignment="1">
      <alignment horizontal="center" vertical="center" wrapText="1"/>
    </xf>
    <xf numFmtId="176" fontId="15" fillId="0" borderId="24" xfId="2" applyNumberFormat="1" applyFont="1" applyFill="1" applyBorder="1" applyAlignment="1">
      <alignment horizontal="center" vertical="center" wrapText="1"/>
    </xf>
    <xf numFmtId="176" fontId="15" fillId="7" borderId="53" xfId="2" applyNumberFormat="1" applyFont="1" applyFill="1" applyBorder="1" applyAlignment="1">
      <alignment horizontal="center" vertical="center" wrapText="1"/>
    </xf>
    <xf numFmtId="176" fontId="15" fillId="7" borderId="40" xfId="2" applyNumberFormat="1" applyFont="1" applyFill="1" applyBorder="1" applyAlignment="1">
      <alignment horizontal="center" vertical="center" wrapText="1"/>
    </xf>
    <xf numFmtId="0" fontId="5" fillId="10" borderId="11" xfId="2" applyFont="1" applyFill="1" applyBorder="1" applyAlignment="1">
      <alignment horizontal="center" vertical="center" wrapText="1"/>
    </xf>
    <xf numFmtId="0" fontId="7" fillId="2" borderId="35" xfId="4" applyFont="1" applyFill="1" applyBorder="1" applyAlignment="1">
      <alignment horizontal="center" vertical="center"/>
    </xf>
    <xf numFmtId="0" fontId="7" fillId="2" borderId="34" xfId="4" applyFont="1" applyFill="1" applyBorder="1" applyAlignment="1">
      <alignment horizontal="center" vertical="center"/>
    </xf>
    <xf numFmtId="0" fontId="7" fillId="2" borderId="33" xfId="4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0" borderId="10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wrapText="1"/>
    </xf>
    <xf numFmtId="0" fontId="7" fillId="2" borderId="31" xfId="4" applyFont="1" applyFill="1" applyBorder="1" applyAlignment="1">
      <alignment horizontal="center" vertical="center"/>
    </xf>
    <xf numFmtId="0" fontId="7" fillId="2" borderId="30" xfId="4" applyFont="1" applyFill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5" fillId="0" borderId="23" xfId="4" applyFont="1" applyBorder="1" applyAlignment="1">
      <alignment horizontal="center" vertical="center"/>
    </xf>
    <xf numFmtId="0" fontId="5" fillId="0" borderId="29" xfId="4" applyFont="1" applyBorder="1" applyAlignment="1">
      <alignment horizontal="center" vertical="center" wrapText="1"/>
    </xf>
    <xf numFmtId="0" fontId="5" fillId="0" borderId="28" xfId="4" applyFont="1" applyBorder="1" applyAlignment="1">
      <alignment horizontal="center" vertical="center" wrapText="1"/>
    </xf>
    <xf numFmtId="0" fontId="5" fillId="0" borderId="25" xfId="4" applyFont="1" applyBorder="1" applyAlignment="1">
      <alignment horizontal="center" vertical="center" wrapText="1"/>
    </xf>
    <xf numFmtId="0" fontId="5" fillId="0" borderId="0" xfId="4" applyFont="1" applyBorder="1" applyAlignment="1">
      <alignment horizontal="center" vertical="center" wrapText="1"/>
    </xf>
    <xf numFmtId="0" fontId="5" fillId="0" borderId="19" xfId="4" applyFont="1" applyBorder="1" applyAlignment="1">
      <alignment horizontal="center" vertical="center" wrapText="1"/>
    </xf>
    <xf numFmtId="0" fontId="5" fillId="0" borderId="18" xfId="4" applyFont="1" applyBorder="1" applyAlignment="1">
      <alignment horizontal="center" vertical="center" wrapText="1"/>
    </xf>
    <xf numFmtId="0" fontId="5" fillId="0" borderId="20" xfId="4" applyFont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7" fillId="0" borderId="32" xfId="4" applyFont="1" applyBorder="1" applyAlignment="1">
      <alignment horizontal="center" vertical="center"/>
    </xf>
    <xf numFmtId="0" fontId="7" fillId="0" borderId="31" xfId="4" applyFont="1" applyBorder="1" applyAlignment="1">
      <alignment horizontal="center" vertical="center"/>
    </xf>
    <xf numFmtId="0" fontId="7" fillId="0" borderId="30" xfId="4" applyFont="1" applyBorder="1" applyAlignment="1">
      <alignment horizontal="center" vertical="center"/>
    </xf>
    <xf numFmtId="0" fontId="5" fillId="7" borderId="7" xfId="2" applyFont="1" applyFill="1" applyBorder="1" applyAlignment="1">
      <alignment horizontal="center" vertical="center"/>
    </xf>
    <xf numFmtId="0" fontId="5" fillId="7" borderId="9" xfId="2" applyFont="1" applyFill="1" applyBorder="1" applyAlignment="1">
      <alignment horizontal="center" vertical="center"/>
    </xf>
    <xf numFmtId="0" fontId="5" fillId="7" borderId="14" xfId="2" applyFont="1" applyFill="1" applyBorder="1" applyAlignment="1">
      <alignment horizontal="center" vertical="center"/>
    </xf>
    <xf numFmtId="41" fontId="13" fillId="0" borderId="16" xfId="1" applyFont="1" applyFill="1" applyBorder="1" applyAlignment="1">
      <alignment horizontal="left" vertical="center" wrapText="1"/>
    </xf>
    <xf numFmtId="41" fontId="13" fillId="0" borderId="0" xfId="1" applyFont="1" applyFill="1" applyBorder="1" applyAlignment="1">
      <alignment horizontal="left" vertical="center" wrapText="1"/>
    </xf>
    <xf numFmtId="41" fontId="13" fillId="0" borderId="0" xfId="1" applyFont="1" applyFill="1" applyBorder="1" applyAlignment="1">
      <alignment horizontal="left" vertical="center"/>
    </xf>
    <xf numFmtId="41" fontId="13" fillId="0" borderId="18" xfId="1" applyFont="1" applyFill="1" applyBorder="1" applyAlignment="1">
      <alignment horizontal="left" vertical="center"/>
    </xf>
    <xf numFmtId="0" fontId="20" fillId="0" borderId="26" xfId="4" applyFont="1" applyFill="1" applyBorder="1" applyAlignment="1">
      <alignment horizontal="center" vertical="center"/>
    </xf>
    <xf numFmtId="0" fontId="21" fillId="0" borderId="42" xfId="4" applyFont="1" applyFill="1" applyBorder="1" applyAlignment="1">
      <alignment horizontal="center" vertical="center"/>
    </xf>
    <xf numFmtId="0" fontId="21" fillId="0" borderId="22" xfId="4" applyFont="1" applyFill="1" applyBorder="1" applyAlignment="1">
      <alignment horizontal="center" vertical="center"/>
    </xf>
    <xf numFmtId="0" fontId="21" fillId="0" borderId="23" xfId="4" applyFont="1" applyFill="1" applyBorder="1" applyAlignment="1">
      <alignment horizontal="center" vertical="center"/>
    </xf>
    <xf numFmtId="0" fontId="21" fillId="0" borderId="17" xfId="4" applyFont="1" applyFill="1" applyBorder="1" applyAlignment="1">
      <alignment horizontal="center" vertical="center"/>
    </xf>
    <xf numFmtId="0" fontId="21" fillId="0" borderId="54" xfId="4" applyFont="1" applyFill="1" applyBorder="1" applyAlignment="1">
      <alignment horizontal="center" vertical="center"/>
    </xf>
    <xf numFmtId="0" fontId="20" fillId="0" borderId="20" xfId="4" applyFont="1" applyFill="1" applyBorder="1" applyAlignment="1">
      <alignment horizontal="center" vertical="center"/>
    </xf>
    <xf numFmtId="0" fontId="5" fillId="7" borderId="7" xfId="2" applyFont="1" applyFill="1" applyBorder="1" applyAlignment="1">
      <alignment horizontal="center" vertical="center" wrapText="1"/>
    </xf>
    <xf numFmtId="0" fontId="15" fillId="3" borderId="3" xfId="2" applyFont="1" applyFill="1" applyBorder="1" applyAlignment="1">
      <alignment horizontal="center" vertical="center"/>
    </xf>
    <xf numFmtId="0" fontId="15" fillId="3" borderId="2" xfId="2" applyFont="1" applyFill="1" applyBorder="1" applyAlignment="1">
      <alignment horizontal="center" vertical="center"/>
    </xf>
    <xf numFmtId="0" fontId="15" fillId="3" borderId="51" xfId="2" applyFont="1" applyFill="1" applyBorder="1" applyAlignment="1">
      <alignment horizontal="center" vertical="center"/>
    </xf>
    <xf numFmtId="176" fontId="15" fillId="11" borderId="42" xfId="2" applyNumberFormat="1" applyFont="1" applyFill="1" applyBorder="1" applyAlignment="1">
      <alignment horizontal="center" vertical="center" wrapText="1"/>
    </xf>
    <xf numFmtId="176" fontId="15" fillId="11" borderId="22" xfId="2" applyNumberFormat="1" applyFont="1" applyFill="1" applyBorder="1" applyAlignment="1">
      <alignment horizontal="center" vertical="center" wrapText="1"/>
    </xf>
    <xf numFmtId="176" fontId="15" fillId="10" borderId="42" xfId="3" applyNumberFormat="1" applyFont="1" applyFill="1" applyBorder="1" applyAlignment="1">
      <alignment horizontal="center" vertical="center" wrapText="1"/>
    </xf>
    <xf numFmtId="176" fontId="15" fillId="10" borderId="22" xfId="3" applyNumberFormat="1" applyFont="1" applyFill="1" applyBorder="1" applyAlignment="1">
      <alignment horizontal="center" vertical="center" wrapText="1"/>
    </xf>
    <xf numFmtId="0" fontId="22" fillId="0" borderId="23" xfId="2" applyFont="1" applyBorder="1" applyAlignment="1">
      <alignment horizontal="center" vertical="center" wrapText="1"/>
    </xf>
    <xf numFmtId="0" fontId="22" fillId="0" borderId="42" xfId="2" applyFont="1" applyBorder="1" applyAlignment="1">
      <alignment horizontal="center" vertical="center" wrapText="1"/>
    </xf>
    <xf numFmtId="0" fontId="22" fillId="0" borderId="24" xfId="2" applyFont="1" applyBorder="1" applyAlignment="1">
      <alignment horizontal="center" vertical="center" wrapText="1"/>
    </xf>
    <xf numFmtId="176" fontId="15" fillId="7" borderId="58" xfId="2" applyNumberFormat="1" applyFont="1" applyFill="1" applyBorder="1" applyAlignment="1">
      <alignment horizontal="center" vertical="center" wrapText="1"/>
    </xf>
  </cellXfs>
  <cellStyles count="13">
    <cellStyle name="나쁨" xfId="10" builtinId="27"/>
    <cellStyle name="쉼표 [0]" xfId="1" builtinId="6"/>
    <cellStyle name="쉼표 [0] 2 2 2" xfId="6" xr:uid="{00000000-0005-0000-0000-000001000000}"/>
    <cellStyle name="쉼표 [0] 2 4" xfId="7" xr:uid="{00000000-0005-0000-0000-000002000000}"/>
    <cellStyle name="쉼표 [0] 9" xfId="9" xr:uid="{00000000-0005-0000-0000-000003000000}"/>
    <cellStyle name="표준" xfId="0" builtinId="0"/>
    <cellStyle name="표준 - Styl1" xfId="3" xr:uid="{00000000-0005-0000-0000-000005000000}"/>
    <cellStyle name="표준 18" xfId="4" xr:uid="{00000000-0005-0000-0000-000006000000}"/>
    <cellStyle name="표준 19" xfId="8" xr:uid="{00000000-0005-0000-0000-000007000000}"/>
    <cellStyle name="표준 2" xfId="2" xr:uid="{00000000-0005-0000-0000-000008000000}"/>
    <cellStyle name="표준 2 2 2" xfId="5" xr:uid="{00000000-0005-0000-0000-000009000000}"/>
    <cellStyle name="표준 2 3" xfId="12" xr:uid="{67C4C440-110D-4EB4-9993-0D051DB189FD}"/>
    <cellStyle name="표준 83" xfId="11" xr:uid="{3D2AC4DA-9737-4C4F-9277-557E0B67D5D1}"/>
  </cellStyles>
  <dxfs count="0"/>
  <tableStyles count="0" defaultTableStyle="TableStyleMedium2" defaultPivotStyle="PivotStyleLight16"/>
  <colors>
    <mruColors>
      <color rgb="FF0000FF"/>
      <color rgb="FFFFCCCC"/>
      <color rgb="FFFF6699"/>
      <color rgb="FFFFFF75"/>
      <color rgb="FFCCCCFF"/>
      <color rgb="FF99CCFF"/>
      <color rgb="FFB3CFF7"/>
      <color rgb="FFCBD0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143000" cy="33337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7150"/>
          <a:ext cx="11430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2547834</xdr:colOff>
      <xdr:row>1</xdr:row>
      <xdr:rowOff>306481</xdr:rowOff>
    </xdr:from>
    <xdr:ext cx="581025" cy="581025"/>
    <xdr:pic>
      <xdr:nvPicPr>
        <xdr:cNvPr id="3" name="그림 12" descr="사본 - 제일기획 직인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2291" y="785452"/>
          <a:ext cx="5810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ilworldwide-my.sharepoint.com/mySingle/TEMP/file:/&#45224;&#44592;&#54840;/&#44032;&#51256;&#44032;&#49464;&#50836;/work-for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4592;&#54840;\&#44032;&#51256;&#44032;&#49464;&#50836;\work-for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製總"/>
      <sheetName val="I一般比"/>
      <sheetName val="IS"/>
      <sheetName val="J間材"/>
      <sheetName val="J輸入計"/>
      <sheetName val="J輸入率1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입찰품의서"/>
      <sheetName val="갑지1"/>
      <sheetName val="ELECTRIC"/>
      <sheetName val="수량산출"/>
      <sheetName val="제직재"/>
      <sheetName val="연습"/>
      <sheetName val="EJ"/>
      <sheetName val="N賃率_職"/>
      <sheetName val="증감대비"/>
      <sheetName val="노무비"/>
      <sheetName val="제-노임"/>
      <sheetName val="설직재-1"/>
      <sheetName val="약품설비"/>
      <sheetName val="일위"/>
      <sheetName val="경산"/>
      <sheetName val="직재"/>
      <sheetName val="2공구산출내역"/>
      <sheetName val="예가표"/>
      <sheetName val="제경집계"/>
      <sheetName val="내역"/>
      <sheetName val="mcc일위대가"/>
      <sheetName val="노임단가표"/>
      <sheetName val="총괄 CCTV수량"/>
      <sheetName val="일위대가(VDS)"/>
      <sheetName val="노임"/>
      <sheetName val="6. 직접경비"/>
      <sheetName val="내역서"/>
      <sheetName val="직노"/>
      <sheetName val="단위일위"/>
      <sheetName val="b_balju_cho"/>
      <sheetName val="공조기"/>
      <sheetName val="을"/>
      <sheetName val="단"/>
      <sheetName val="토사(PE)"/>
      <sheetName val="work-form"/>
      <sheetName val="기초자료입력"/>
      <sheetName val="원가 (2)"/>
      <sheetName val="Sheet3"/>
      <sheetName val="5.설치내역"/>
      <sheetName val="EQ-R1"/>
      <sheetName val="7단가"/>
      <sheetName val="재집"/>
      <sheetName val="Total"/>
      <sheetName val="시행후면적"/>
      <sheetName val="수지예산"/>
      <sheetName val="약품공급2"/>
      <sheetName val="금액내역서"/>
      <sheetName val="20관리비율"/>
      <sheetName val="예정(3)"/>
      <sheetName val="동원(3)"/>
      <sheetName val="#REF"/>
      <sheetName val="품셈표"/>
      <sheetName val="납부서"/>
      <sheetName val="EP0618"/>
      <sheetName val="노임단가"/>
      <sheetName val="단가조사"/>
      <sheetName val="工완성공사율"/>
      <sheetName val="DATA"/>
      <sheetName val="데이타"/>
      <sheetName val="일위대가(가설)"/>
      <sheetName val="9811"/>
      <sheetName val="A4-結果 "/>
      <sheetName val="기본일위"/>
      <sheetName val="sheet1"/>
      <sheetName val="내역서2안"/>
      <sheetName val="기준"/>
      <sheetName val="Articles"/>
      <sheetName val="기성금내역서"/>
      <sheetName val="밸브설치"/>
      <sheetName val="인덱스_유효성검사"/>
      <sheetName val="IMPEADENCE MAP 취수장"/>
      <sheetName val="9-1차이내역"/>
      <sheetName val="물가"/>
      <sheetName val="년도별실"/>
      <sheetName val="실행내역"/>
      <sheetName val="2F 회의실견적(5_14 일대)"/>
      <sheetName val="진천"/>
      <sheetName val="단가"/>
      <sheetName val="월별수입"/>
      <sheetName val="하이스캔(내수용)"/>
      <sheetName val="2001년고정자산"/>
      <sheetName val="원재료출고수량"/>
      <sheetName val="정산자료"/>
      <sheetName val="본부"/>
      <sheetName val="전주"/>
      <sheetName val="광주"/>
      <sheetName val="순천"/>
      <sheetName val="남원"/>
      <sheetName val="목포"/>
      <sheetName val="군산"/>
      <sheetName val="표지"/>
      <sheetName val="인건-측정"/>
      <sheetName val="하조서"/>
      <sheetName val="한강운반비"/>
      <sheetName val="Sheet2"/>
      <sheetName val="A-4"/>
      <sheetName val="ABUT수량-A1"/>
      <sheetName val="입찰안"/>
      <sheetName val="HVAC"/>
      <sheetName val="금호"/>
      <sheetName val="신우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소요자재"/>
      <sheetName val="노무산출서"/>
      <sheetName val="CT "/>
      <sheetName val="전체"/>
      <sheetName val="조도계산서 (도서)"/>
      <sheetName val="일위대가(계측기설치)"/>
      <sheetName val="정공공사"/>
      <sheetName val="날개벽"/>
      <sheetName val="중기사용료"/>
      <sheetName val="유기공정"/>
      <sheetName val="9GNG운반"/>
      <sheetName val="DATE"/>
      <sheetName val="예비품"/>
      <sheetName val="매립"/>
      <sheetName val="Sheet6"/>
      <sheetName val="적용토목"/>
      <sheetName val="실행철강하도"/>
      <sheetName val="공정집계_국별"/>
      <sheetName val="공사내역"/>
      <sheetName val="CP-E2 (품셈표)"/>
      <sheetName val="포장복구집계"/>
      <sheetName val="1.수인터널"/>
      <sheetName val="ETC"/>
      <sheetName val="자재단가비교표"/>
      <sheetName val="집수정"/>
      <sheetName val="원효펌프교체020812"/>
      <sheetName val="LEGEND"/>
      <sheetName val="1.설계조건"/>
      <sheetName val="GAEYO"/>
      <sheetName val="양천현"/>
      <sheetName val="을 1"/>
      <sheetName val="을 2"/>
      <sheetName val="손익분석"/>
      <sheetName val="내역서-CCTV"/>
      <sheetName val="설비단가표"/>
      <sheetName val="지구단위계획"/>
      <sheetName val="심사계산"/>
      <sheetName val="심사물량"/>
      <sheetName val="도로정위치부표"/>
      <sheetName val="DB구축"/>
      <sheetName val="도로조사부표"/>
      <sheetName val="재정비내역"/>
      <sheetName val="입력변수"/>
      <sheetName val="지적고시내역"/>
      <sheetName val="예방접종계획"/>
      <sheetName val="버스운행안내"/>
      <sheetName val="근태계획서"/>
      <sheetName val="진입부 단위수량"/>
      <sheetName val="조명시설"/>
      <sheetName val="홍보비디오"/>
      <sheetName val="_REF"/>
      <sheetName val="총괄표"/>
      <sheetName val="Sheet4"/>
      <sheetName val="갑지(추정)"/>
      <sheetName val="패널"/>
      <sheetName val="잡철물"/>
      <sheetName val="일위대가"/>
      <sheetName val="역T형"/>
      <sheetName val="노임조서"/>
      <sheetName val="SP-B1"/>
      <sheetName val="Curves"/>
      <sheetName val="Tables"/>
      <sheetName val="환율"/>
      <sheetName val="여수토공사비"/>
      <sheetName val="재고"/>
      <sheetName val="전차선로 물량표"/>
      <sheetName val="가압장(토목)"/>
      <sheetName val="작성기준"/>
      <sheetName val="수불카드"/>
      <sheetName val="연부97-1"/>
      <sheetName val="단가표"/>
      <sheetName val="접속도로1"/>
      <sheetName val="대치판정"/>
      <sheetName val="품셈TABLE"/>
      <sheetName val="위치조서"/>
      <sheetName val="집계표"/>
      <sheetName val="각형맨홀"/>
      <sheetName val="견적서"/>
      <sheetName val="2"/>
      <sheetName val="96갑지"/>
      <sheetName val="건축내역"/>
      <sheetName val="입력"/>
      <sheetName val="말뚝지지력산정"/>
      <sheetName val="99노임기준"/>
      <sheetName val="평자재단가"/>
      <sheetName val="조건표"/>
      <sheetName val="주차구획선수량"/>
      <sheetName val="부대공Ⅱ"/>
      <sheetName val="과천MAIN"/>
      <sheetName val="전신환매도율"/>
      <sheetName val="969910( R)"/>
      <sheetName val="다목적갑"/>
      <sheetName val="수량산출서"/>
      <sheetName val="_산근2_"/>
      <sheetName val="_산근4_"/>
      <sheetName val="_산근5_"/>
      <sheetName val="1단계"/>
      <sheetName val="일위대가목차"/>
      <sheetName val="TYPE-A"/>
      <sheetName val="총괄내역서"/>
      <sheetName val="정부노임단가"/>
      <sheetName val="48전력선로일위"/>
      <sheetName val="총수량집계표"/>
      <sheetName val="산출근거"/>
      <sheetName val="우수공"/>
      <sheetName val="INPUT DATA"/>
      <sheetName val="8.PILE  (돌출)"/>
      <sheetName val="생산수량"/>
      <sheetName val="C-노임단가"/>
      <sheetName val="공정코드"/>
      <sheetName val="횡배수관집현황(2공구)"/>
      <sheetName val="DATA 입력란"/>
      <sheetName val="기계경비총괄표"/>
      <sheetName val="일위대가_현장"/>
      <sheetName val="자재단가표"/>
      <sheetName val="변압기 및 발전기 용량"/>
      <sheetName val="인건비"/>
      <sheetName val="하부철근수량"/>
      <sheetName val="노무비 "/>
      <sheetName val="수목표준대가"/>
      <sheetName val="산출기준자료"/>
      <sheetName val="발전계획"/>
      <sheetName val="기존단가 (2)"/>
      <sheetName val="기계경비"/>
      <sheetName val="코드표"/>
      <sheetName val="SLAB&quot;1&quot;"/>
      <sheetName val="을지"/>
      <sheetName val="단가 "/>
      <sheetName val="수목데이타 "/>
      <sheetName val="단위수량"/>
      <sheetName val="공사현황"/>
      <sheetName val="송전재료비"/>
      <sheetName val="1.우편집중내역서"/>
      <sheetName val="6PILE  (돌출)"/>
      <sheetName val="인건비 "/>
      <sheetName val="유동표"/>
      <sheetName val="단가산출2"/>
      <sheetName val="단가 및 재료비"/>
      <sheetName val="단가산출1"/>
      <sheetName val="Price List"/>
      <sheetName val="일위대가목록"/>
      <sheetName val="일위대가(4층원격)"/>
      <sheetName val="HP1AMLIST"/>
      <sheetName val="2.4 자재단가비교표"/>
      <sheetName val="청천내"/>
      <sheetName val="갑지"/>
      <sheetName val="EQ"/>
      <sheetName val="CABLE"/>
      <sheetName val="산출기초(기계터파기)3열"/>
      <sheetName val="전송망집계"/>
      <sheetName val="철거수량(전송)"/>
      <sheetName val="일위대가(1)"/>
      <sheetName val="재료"/>
      <sheetName val="설치자재"/>
      <sheetName val="일위목록"/>
      <sheetName val="요율"/>
      <sheetName val="2000년1차"/>
      <sheetName val="2000전체분"/>
      <sheetName val="기본단가표"/>
      <sheetName val="제노임"/>
      <sheetName val="DB"/>
      <sheetName val="시약"/>
      <sheetName val="재료비"/>
      <sheetName val="전기2005"/>
      <sheetName val="통신2005"/>
      <sheetName val="노임단가 (2)"/>
      <sheetName val="원가계산서구조조정"/>
      <sheetName val="접지수량"/>
      <sheetName val="ELEC"/>
      <sheetName val="옥외외등집계표"/>
      <sheetName val="공사원가계산서"/>
      <sheetName val="자재단가"/>
      <sheetName val="봉양~조차장간고하개명(신설)"/>
      <sheetName val="COST"/>
      <sheetName val="원가총괄"/>
      <sheetName val="자재테이블"/>
      <sheetName val="대포2교접속"/>
      <sheetName val="천방교접속"/>
      <sheetName val="교각계산"/>
      <sheetName val="신호등일위대가"/>
      <sheetName val=" HIT-&gt;HMC 견적(3900)"/>
      <sheetName val="SHEET PILE단가"/>
      <sheetName val="Resource2"/>
      <sheetName val="관급"/>
      <sheetName val="수량총괄"/>
      <sheetName val="정류기"/>
      <sheetName val="급,배기팬"/>
      <sheetName val="내   역"/>
      <sheetName val="#3_일위대가목록"/>
      <sheetName val="#2_일위대가목록"/>
      <sheetName val="노단"/>
      <sheetName val="산출(2)"/>
      <sheetName val="전체제잡비"/>
      <sheetName val="재료비집계"/>
      <sheetName val="제조노임"/>
      <sheetName val="현장조사"/>
      <sheetName val="프로젝트"/>
      <sheetName val="서식시트"/>
      <sheetName val="방송일위대가"/>
      <sheetName val="input"/>
      <sheetName val="CODE1"/>
      <sheetName val="토공"/>
      <sheetName val="원형1호맨홀토공수량"/>
      <sheetName val="1안"/>
      <sheetName val="현금예금"/>
      <sheetName val="견적대비표"/>
      <sheetName val="공문"/>
      <sheetName val="가로등기초"/>
      <sheetName val="PAD TR보호대기초"/>
      <sheetName val="횡배수관토공수량"/>
      <sheetName val="정SW_원_"/>
      <sheetName val="합천내역"/>
      <sheetName val="노무비단가"/>
      <sheetName val="제작기술지원센터"/>
      <sheetName val="구조물철거타공정이월"/>
      <sheetName val="1.1서버도입"/>
      <sheetName val="노임단가 및 기계경비"/>
      <sheetName val="설치공사2"/>
      <sheetName val="기본DATA"/>
      <sheetName val="원본(갑지)"/>
      <sheetName val="시화점실행"/>
      <sheetName val="A4-結果_"/>
      <sheetName val="투자-국내2"/>
      <sheetName val="토적계산"/>
      <sheetName val="sh1"/>
      <sheetName val="제출내역 (2)"/>
      <sheetName val="총괄"/>
      <sheetName val="샘플표지"/>
      <sheetName val="01"/>
      <sheetName val="총괄집계표"/>
      <sheetName val="임율"/>
      <sheetName val="부하(성남)"/>
      <sheetName val="C3"/>
      <sheetName val="토공총괄표"/>
      <sheetName val="감가상각"/>
      <sheetName val="HD01"/>
      <sheetName val="98연계표"/>
      <sheetName val="CODE"/>
      <sheetName val="cal"/>
      <sheetName val="성곽내역서"/>
      <sheetName val="Sheet17"/>
      <sheetName val="내역을"/>
      <sheetName val="내역서1-2"/>
      <sheetName val="시설수량표"/>
      <sheetName val="식재수량표"/>
      <sheetName val="건축일위"/>
      <sheetName val="그라우팅일위"/>
      <sheetName val="전기"/>
      <sheetName val="현장관리비"/>
      <sheetName val="단위세대물량"/>
      <sheetName val="기초DATA(2)"/>
      <sheetName val="터파기및재료"/>
      <sheetName val="Baby일위대가"/>
      <sheetName val="목록"/>
      <sheetName val="BSD _2_"/>
      <sheetName val="유림골조"/>
      <sheetName val=" 냉각수펌프"/>
      <sheetName val="LH3 동양시스템"/>
      <sheetName val="일위대가표"/>
      <sheetName val="을-ATYPE"/>
      <sheetName val="danga"/>
      <sheetName val="ilch"/>
      <sheetName val="제36-40호표"/>
      <sheetName val="샤워실위생"/>
      <sheetName val="unit 4"/>
      <sheetName val="설계조건"/>
      <sheetName val="조경"/>
      <sheetName val="소비자가"/>
      <sheetName val="FANDBS"/>
      <sheetName val="GRDATA"/>
      <sheetName val="SHAFTDBSE"/>
      <sheetName val="산출내역서"/>
      <sheetName val="직공비"/>
      <sheetName val="일(4)"/>
      <sheetName val="식재인부"/>
      <sheetName val="TABLE"/>
      <sheetName val="수목단가"/>
      <sheetName val="제수"/>
      <sheetName val="공기"/>
      <sheetName val="설계명세서"/>
      <sheetName val="총(철거)"/>
      <sheetName val="총물량표"/>
      <sheetName val="배관단가조사서"/>
      <sheetName val="단가산출"/>
      <sheetName val="NÒ¾íÂ"/>
      <sheetName val="NìüëÒ-òÅ"/>
      <sheetName val="JòÁî§1"/>
      <sheetName val="JòÁî§2"/>
      <sheetName val="JòÁî§3"/>
      <sheetName val="JòÁî§4"/>
      <sheetName val="KÊõßÚÊ¿"/>
      <sheetName val="KÌèÍª"/>
      <sheetName val="KÌèÛÕÝ·"/>
      <sheetName val="KÌèðàïÚ"/>
      <sheetName val="Ká¼ÙÄÝÂ"/>
      <sheetName val="NÊàÒ¾Íª"/>
      <sheetName val="NÊàÝïëÒ"/>
      <sheetName val="NÊàãÁëÒ"/>
      <sheetName val="NÍïâ¦1"/>
      <sheetName val="NÍïâ¦2"/>
      <sheetName val="NÒ¾Íª"/>
      <sheetName val="NÒ¾ÙâÝÂ"/>
      <sheetName val="NÒ¾Ùâãù"/>
      <sheetName val="Að²õÅ"/>
      <sheetName val="IìéÚõÝï"/>
      <sheetName val="JâÃìýî§"/>
      <sheetName val="JíÂÍª"/>
      <sheetName val="Jî§ÖùÕá1"/>
      <sheetName val="Jî§ÖùÕá2"/>
      <sheetName val="JÊàî§"/>
      <sheetName val="JâÃìýÍª"/>
      <sheetName val="JâÃìýëÒ1"/>
      <sheetName val="A4-Ì¿Íý "/>
      <sheetName val="Á¤»êÀÚ·á"/>
      <sheetName val="º»ºÎ"/>
      <sheetName val="ÀüÁÖ"/>
      <sheetName val="±¤ÁÖ"/>
      <sheetName val="¼øÃµ"/>
      <sheetName val="³²¿ø"/>
      <sheetName val="¸ñÆ÷"/>
      <sheetName val="±º»ê"/>
      <sheetName val="Ç¥Áö"/>
      <sheetName val="ÀÎ°Ç-ÃøÁ¤"/>
      <sheetName val="ÇÑ°­¿î¹Ýºñ"/>
      <sheetName val="ÇÏÁ¶¼­"/>
      <sheetName val="¼³Á÷Àç-1"/>
      <sheetName val="´Ü"/>
      <sheetName val="NìüëÒ_òÅ"/>
      <sheetName val="CP-E2_(품셈표)"/>
      <sheetName val="1_설계조건"/>
      <sheetName val="1_수인터널"/>
      <sheetName val="C-직노1"/>
      <sheetName val="D-경비1"/>
      <sheetName val="인수공"/>
      <sheetName val="DB단가"/>
      <sheetName val="원형맨홀수량"/>
      <sheetName val="OPT7"/>
      <sheetName val="견적율"/>
      <sheetName val="사급자재"/>
      <sheetName val="토목"/>
      <sheetName val="조도계산"/>
      <sheetName val="AL공사(원)"/>
      <sheetName val="기계경비목록"/>
      <sheetName val="DATA_입력란"/>
      <sheetName val="총괄_CCTV수량"/>
      <sheetName val="식재가격"/>
      <sheetName val="식재총괄"/>
      <sheetName val="돈암사업"/>
      <sheetName val="횡 연장"/>
      <sheetName val="Sheet13"/>
      <sheetName val="발전기"/>
      <sheetName val="공사비"/>
      <sheetName val="DATA_입력란1"/>
      <sheetName val="총괄_CCTV수량1"/>
      <sheetName val="기존단가_(2)"/>
      <sheetName val="단가_"/>
      <sheetName val="수목데이타_"/>
      <sheetName val="변압기_및_발전기_용량"/>
      <sheetName val="6__직접경비"/>
      <sheetName val="노무비_"/>
      <sheetName val="수량 산출서"/>
      <sheetName val="정SW(원)"/>
      <sheetName val="결과조달"/>
      <sheetName val="예산대비"/>
      <sheetName val="소방"/>
      <sheetName val="Sheet14"/>
      <sheetName val="석재장조사"/>
      <sheetName val="소요자재명세서"/>
      <sheetName val="노무비명세서"/>
      <sheetName val="남양구조시험동"/>
      <sheetName val="G.R300경비"/>
      <sheetName val="교각1"/>
      <sheetName val="단가대비표"/>
      <sheetName val="제품별"/>
      <sheetName val="Y-WORK"/>
      <sheetName val="백암비스타내역"/>
      <sheetName val="BID"/>
      <sheetName val="환산"/>
      <sheetName val="발신정보"/>
      <sheetName val="wall"/>
      <sheetName val="Sheet1 (2)"/>
      <sheetName val="HW일위"/>
      <sheetName val="분석"/>
      <sheetName val="969910(_R)"/>
      <sheetName val="용소리교"/>
      <sheetName val="품셈"/>
      <sheetName val="Macro(전선)"/>
      <sheetName val="SheゃᲓ_x0000__x0000_"/>
      <sheetName val="Лист1"/>
      <sheetName val="Sheẍ_x0000_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製總"/>
      <sheetName val="I一般比"/>
      <sheetName val="IS"/>
      <sheetName val="J間材"/>
      <sheetName val="J輸入計"/>
      <sheetName val="J輸入率1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입찰품의서"/>
      <sheetName val="갑지1"/>
      <sheetName val="ELECTRIC"/>
      <sheetName val="수량산출"/>
      <sheetName val="제직재"/>
      <sheetName val="연습"/>
      <sheetName val="EJ"/>
      <sheetName val="N賃率_職"/>
      <sheetName val="증감대비"/>
      <sheetName val="노무비"/>
      <sheetName val="제-노임"/>
      <sheetName val="설직재-1"/>
      <sheetName val="약품설비"/>
      <sheetName val="일위"/>
      <sheetName val="경산"/>
      <sheetName val="직재"/>
      <sheetName val="2공구산출내역"/>
      <sheetName val="예가표"/>
      <sheetName val="제경집계"/>
      <sheetName val="내역"/>
      <sheetName val="mcc일위대가"/>
      <sheetName val="노임단가표"/>
      <sheetName val="총괄 CCTV수량"/>
      <sheetName val="일위대가(VDS)"/>
      <sheetName val="노임"/>
      <sheetName val="6. 직접경비"/>
      <sheetName val="내역서"/>
      <sheetName val="직노"/>
      <sheetName val="단위일위"/>
      <sheetName val="b_balju_cho"/>
      <sheetName val="공조기"/>
      <sheetName val="을"/>
      <sheetName val="단"/>
      <sheetName val="토사(PE)"/>
      <sheetName val="work-form"/>
      <sheetName val="기초자료입력"/>
      <sheetName val="원가 (2)"/>
      <sheetName val="Sheet3"/>
      <sheetName val="5.설치내역"/>
      <sheetName val="EQ-R1"/>
      <sheetName val="7단가"/>
      <sheetName val="재집"/>
      <sheetName val="Total"/>
      <sheetName val="시행후면적"/>
      <sheetName val="수지예산"/>
      <sheetName val="약품공급2"/>
      <sheetName val="금액내역서"/>
      <sheetName val="20관리비율"/>
      <sheetName val="예정(3)"/>
      <sheetName val="동원(3)"/>
      <sheetName val="#REF"/>
      <sheetName val="품셈표"/>
      <sheetName val="납부서"/>
      <sheetName val="EP0618"/>
      <sheetName val="노임단가"/>
      <sheetName val="단가조사"/>
      <sheetName val="工완성공사율"/>
      <sheetName val="DATA"/>
      <sheetName val="데이타"/>
      <sheetName val="일위대가(가설)"/>
      <sheetName val="9811"/>
      <sheetName val="A4-結果 "/>
      <sheetName val="기본일위"/>
      <sheetName val="sheet1"/>
      <sheetName val="내역서2안"/>
      <sheetName val="기준"/>
      <sheetName val="Articles"/>
      <sheetName val="기성금내역서"/>
      <sheetName val="밸브설치"/>
      <sheetName val="인덱스_유효성검사"/>
      <sheetName val="IMPEADENCE MAP 취수장"/>
      <sheetName val="9-1차이내역"/>
      <sheetName val="물가"/>
      <sheetName val="년도별실"/>
      <sheetName val="실행내역"/>
      <sheetName val="2F 회의실견적(5_14 일대)"/>
      <sheetName val="진천"/>
      <sheetName val="단가"/>
      <sheetName val="월별수입"/>
      <sheetName val="하이스캔(내수용)"/>
      <sheetName val="2001년고정자산"/>
      <sheetName val="원재료출고수량"/>
      <sheetName val="정산자료"/>
      <sheetName val="본부"/>
      <sheetName val="전주"/>
      <sheetName val="광주"/>
      <sheetName val="순천"/>
      <sheetName val="남원"/>
      <sheetName val="목포"/>
      <sheetName val="군산"/>
      <sheetName val="표지"/>
      <sheetName val="인건-측정"/>
      <sheetName val="하조서"/>
      <sheetName val="한강운반비"/>
      <sheetName val="Sheet2"/>
      <sheetName val="A-4"/>
      <sheetName val="ABUT수량-A1"/>
      <sheetName val="입찰안"/>
      <sheetName val="HVAC"/>
      <sheetName val="금호"/>
      <sheetName val="신우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소요자재"/>
      <sheetName val="노무산출서"/>
      <sheetName val="CT "/>
      <sheetName val="전체"/>
      <sheetName val="조도계산서 (도서)"/>
      <sheetName val="일위대가(계측기설치)"/>
      <sheetName val="정공공사"/>
      <sheetName val="날개벽"/>
      <sheetName val="중기사용료"/>
      <sheetName val="유기공정"/>
      <sheetName val="9GNG운반"/>
      <sheetName val="DATE"/>
      <sheetName val="예비품"/>
      <sheetName val="매립"/>
      <sheetName val="Sheet6"/>
      <sheetName val="적용토목"/>
      <sheetName val="실행철강하도"/>
      <sheetName val="공정집계_국별"/>
      <sheetName val="공사내역"/>
      <sheetName val="CP-E2 (품셈표)"/>
      <sheetName val="포장복구집계"/>
      <sheetName val="1.수인터널"/>
      <sheetName val="ETC"/>
      <sheetName val="자재단가비교표"/>
      <sheetName val="집수정"/>
      <sheetName val="원효펌프교체020812"/>
      <sheetName val="LEGEND"/>
      <sheetName val="1.설계조건"/>
      <sheetName val="GAEYO"/>
      <sheetName val="양천현"/>
      <sheetName val="을 1"/>
      <sheetName val="을 2"/>
      <sheetName val="손익분석"/>
      <sheetName val="내역서-CCTV"/>
      <sheetName val="설비단가표"/>
      <sheetName val="지구단위계획"/>
      <sheetName val="심사계산"/>
      <sheetName val="심사물량"/>
      <sheetName val="도로정위치부표"/>
      <sheetName val="DB구축"/>
      <sheetName val="도로조사부표"/>
      <sheetName val="재정비내역"/>
      <sheetName val="입력변수"/>
      <sheetName val="지적고시내역"/>
      <sheetName val="예방접종계획"/>
      <sheetName val="버스운행안내"/>
      <sheetName val="근태계획서"/>
      <sheetName val="진입부 단위수량"/>
      <sheetName val="조명시설"/>
      <sheetName val="홍보비디오"/>
      <sheetName val="_REF"/>
      <sheetName val="총괄표"/>
      <sheetName val="Sheet4"/>
      <sheetName val="갑지(추정)"/>
      <sheetName val="패널"/>
      <sheetName val="잡철물"/>
      <sheetName val="일위대가"/>
      <sheetName val="역T형"/>
      <sheetName val="노임조서"/>
      <sheetName val="SP-B1"/>
      <sheetName val="Curves"/>
      <sheetName val="Tables"/>
      <sheetName val="환율"/>
      <sheetName val="여수토공사비"/>
      <sheetName val="재고"/>
      <sheetName val="전차선로 물량표"/>
      <sheetName val="가압장(토목)"/>
      <sheetName val="작성기준"/>
      <sheetName val="수불카드"/>
      <sheetName val="연부97-1"/>
      <sheetName val="단가표"/>
      <sheetName val="접속도로1"/>
      <sheetName val="대치판정"/>
      <sheetName val="품셈TABLE"/>
      <sheetName val="위치조서"/>
      <sheetName val="집계표"/>
      <sheetName val="각형맨홀"/>
      <sheetName val="견적서"/>
      <sheetName val="2"/>
      <sheetName val="96갑지"/>
      <sheetName val="건축내역"/>
      <sheetName val="입력"/>
      <sheetName val="말뚝지지력산정"/>
      <sheetName val="99노임기준"/>
      <sheetName val="평자재단가"/>
      <sheetName val="조건표"/>
      <sheetName val="주차구획선수량"/>
      <sheetName val="부대공Ⅱ"/>
      <sheetName val="과천MAIN"/>
      <sheetName val="전신환매도율"/>
      <sheetName val="969910( R)"/>
      <sheetName val="다목적갑"/>
      <sheetName val="수량산출서"/>
      <sheetName val="_산근2_"/>
      <sheetName val="_산근4_"/>
      <sheetName val="_산근5_"/>
      <sheetName val="1단계"/>
      <sheetName val="일위대가목차"/>
      <sheetName val="TYPE-A"/>
      <sheetName val="총괄내역서"/>
      <sheetName val="정부노임단가"/>
      <sheetName val="48전력선로일위"/>
      <sheetName val="총수량집계표"/>
      <sheetName val="산출근거"/>
      <sheetName val="우수공"/>
      <sheetName val="INPUT DATA"/>
      <sheetName val="8.PILE  (돌출)"/>
      <sheetName val="생산수량"/>
      <sheetName val="C-노임단가"/>
      <sheetName val="공정코드"/>
      <sheetName val="횡배수관집현황(2공구)"/>
      <sheetName val="DATA 입력란"/>
      <sheetName val="기계경비총괄표"/>
      <sheetName val="일위대가_현장"/>
      <sheetName val="자재단가표"/>
      <sheetName val="변압기 및 발전기 용량"/>
      <sheetName val="인건비"/>
      <sheetName val="하부철근수량"/>
      <sheetName val="노무비 "/>
      <sheetName val="수목표준대가"/>
      <sheetName val="산출기준자료"/>
      <sheetName val="발전계획"/>
      <sheetName val="기존단가 (2)"/>
      <sheetName val="기계경비"/>
      <sheetName val="코드표"/>
      <sheetName val="SLAB&quot;1&quot;"/>
      <sheetName val="을지"/>
      <sheetName val="단가 "/>
      <sheetName val="수목데이타 "/>
      <sheetName val="단위수량"/>
      <sheetName val="공사현황"/>
      <sheetName val="송전재료비"/>
      <sheetName val="1.우편집중내역서"/>
      <sheetName val="6PILE  (돌출)"/>
      <sheetName val="인건비 "/>
      <sheetName val="유동표"/>
      <sheetName val="단가산출2"/>
      <sheetName val="단가 및 재료비"/>
      <sheetName val="단가산출1"/>
      <sheetName val="Price List"/>
      <sheetName val="일위대가목록"/>
      <sheetName val="일위대가(4층원격)"/>
      <sheetName val="HP1AMLIST"/>
      <sheetName val="2.4 자재단가비교표"/>
      <sheetName val="청천내"/>
      <sheetName val="갑지"/>
      <sheetName val="EQ"/>
      <sheetName val="CABLE"/>
      <sheetName val="산출기초(기계터파기)3열"/>
      <sheetName val="전송망집계"/>
      <sheetName val="철거수량(전송)"/>
      <sheetName val="일위대가(1)"/>
      <sheetName val="재료"/>
      <sheetName val="설치자재"/>
      <sheetName val="일위목록"/>
      <sheetName val="요율"/>
      <sheetName val="2000년1차"/>
      <sheetName val="2000전체분"/>
      <sheetName val="기본단가표"/>
      <sheetName val="제노임"/>
      <sheetName val="DB"/>
      <sheetName val="시약"/>
      <sheetName val="재료비"/>
      <sheetName val="전기2005"/>
      <sheetName val="통신2005"/>
      <sheetName val="노임단가 (2)"/>
      <sheetName val="원가계산서구조조정"/>
      <sheetName val="접지수량"/>
      <sheetName val="ELEC"/>
      <sheetName val="옥외외등집계표"/>
      <sheetName val="공사원가계산서"/>
      <sheetName val="자재단가"/>
      <sheetName val="봉양~조차장간고하개명(신설)"/>
      <sheetName val="COST"/>
      <sheetName val="원가총괄"/>
      <sheetName val="자재테이블"/>
      <sheetName val="대포2교접속"/>
      <sheetName val="천방교접속"/>
      <sheetName val="교각계산"/>
      <sheetName val="신호등일위대가"/>
      <sheetName val=" HIT-&gt;HMC 견적(3900)"/>
      <sheetName val="SHEET PILE단가"/>
      <sheetName val="Resource2"/>
      <sheetName val="관급"/>
      <sheetName val="수량총괄"/>
      <sheetName val="정류기"/>
      <sheetName val="급,배기팬"/>
      <sheetName val="내   역"/>
      <sheetName val="#3_일위대가목록"/>
      <sheetName val="#2_일위대가목록"/>
      <sheetName val="노단"/>
      <sheetName val="산출(2)"/>
      <sheetName val="전체제잡비"/>
      <sheetName val="재료비집계"/>
      <sheetName val="제조노임"/>
      <sheetName val="현장조사"/>
      <sheetName val="프로젝트"/>
      <sheetName val="서식시트"/>
      <sheetName val="방송일위대가"/>
      <sheetName val="input"/>
      <sheetName val="CODE1"/>
      <sheetName val="토공"/>
      <sheetName val="원형1호맨홀토공수량"/>
      <sheetName val="1안"/>
      <sheetName val="현금예금"/>
      <sheetName val="견적대비표"/>
      <sheetName val="공문"/>
      <sheetName val="가로등기초"/>
      <sheetName val="PAD TR보호대기초"/>
      <sheetName val="횡배수관토공수량"/>
      <sheetName val="정SW_원_"/>
      <sheetName val="합천내역"/>
      <sheetName val="노무비단가"/>
      <sheetName val="제작기술지원센터"/>
      <sheetName val="구조물철거타공정이월"/>
      <sheetName val="1.1서버도입"/>
      <sheetName val="노임단가 및 기계경비"/>
      <sheetName val="설치공사2"/>
      <sheetName val="기본DATA"/>
      <sheetName val="원본(갑지)"/>
      <sheetName val="시화점실행"/>
      <sheetName val="A4-結果_"/>
      <sheetName val="투자-국내2"/>
      <sheetName val="토적계산"/>
      <sheetName val="sh1"/>
      <sheetName val="제출내역 (2)"/>
      <sheetName val="총괄"/>
      <sheetName val="샘플표지"/>
      <sheetName val="01"/>
      <sheetName val="총괄집계표"/>
      <sheetName val="임율"/>
      <sheetName val="부하(성남)"/>
      <sheetName val="C3"/>
      <sheetName val="토공총괄표"/>
      <sheetName val="감가상각"/>
      <sheetName val="HD01"/>
      <sheetName val="98연계표"/>
      <sheetName val="CODE"/>
      <sheetName val="cal"/>
      <sheetName val="성곽내역서"/>
      <sheetName val="Sheet17"/>
      <sheetName val="내역을"/>
      <sheetName val="내역서1-2"/>
      <sheetName val="시설수량표"/>
      <sheetName val="식재수량표"/>
      <sheetName val="건축일위"/>
      <sheetName val="그라우팅일위"/>
      <sheetName val="전기"/>
      <sheetName val="현장관리비"/>
      <sheetName val="단위세대물량"/>
      <sheetName val="기초DATA(2)"/>
      <sheetName val="터파기및재료"/>
      <sheetName val="Baby일위대가"/>
      <sheetName val="목록"/>
      <sheetName val="BSD _2_"/>
      <sheetName val="유림골조"/>
      <sheetName val=" 냉각수펌프"/>
      <sheetName val="LH3 동양시스템"/>
      <sheetName val="일위대가표"/>
      <sheetName val="을-ATYPE"/>
      <sheetName val="danga"/>
      <sheetName val="ilch"/>
      <sheetName val="제36-40호표"/>
      <sheetName val="샤워실위생"/>
      <sheetName val="unit 4"/>
      <sheetName val="설계조건"/>
      <sheetName val="조경"/>
      <sheetName val="소비자가"/>
      <sheetName val="FANDBS"/>
      <sheetName val="GRDATA"/>
      <sheetName val="SHAFTDBSE"/>
      <sheetName val="산출내역서"/>
      <sheetName val="직공비"/>
      <sheetName val="일(4)"/>
      <sheetName val="식재인부"/>
      <sheetName val="TABLE"/>
      <sheetName val="수목단가"/>
      <sheetName val="제수"/>
      <sheetName val="공기"/>
      <sheetName val="설계명세서"/>
      <sheetName val="총(철거)"/>
      <sheetName val="총물량표"/>
      <sheetName val="배관단가조사서"/>
      <sheetName val="단가산출"/>
      <sheetName val="NÒ¾íÂ"/>
      <sheetName val="NìüëÒ-òÅ"/>
      <sheetName val="JòÁî§1"/>
      <sheetName val="JòÁî§2"/>
      <sheetName val="JòÁî§3"/>
      <sheetName val="JòÁî§4"/>
      <sheetName val="KÊõßÚÊ¿"/>
      <sheetName val="KÌèÍª"/>
      <sheetName val="KÌèÛÕÝ·"/>
      <sheetName val="KÌèðàïÚ"/>
      <sheetName val="Ká¼ÙÄÝÂ"/>
      <sheetName val="NÊàÒ¾Íª"/>
      <sheetName val="NÊàÝïëÒ"/>
      <sheetName val="NÊàãÁëÒ"/>
      <sheetName val="NÍïâ¦1"/>
      <sheetName val="NÍïâ¦2"/>
      <sheetName val="NÒ¾Íª"/>
      <sheetName val="NÒ¾ÙâÝÂ"/>
      <sheetName val="NÒ¾Ùâãù"/>
      <sheetName val="Að²õÅ"/>
      <sheetName val="IìéÚõÝï"/>
      <sheetName val="JâÃìýî§"/>
      <sheetName val="JíÂÍª"/>
      <sheetName val="Jî§ÖùÕá1"/>
      <sheetName val="Jî§ÖùÕá2"/>
      <sheetName val="JÊàî§"/>
      <sheetName val="JâÃìýÍª"/>
      <sheetName val="JâÃìýëÒ1"/>
      <sheetName val="A4-Ì¿Íý "/>
      <sheetName val="Á¤»êÀÚ·á"/>
      <sheetName val="º»ºÎ"/>
      <sheetName val="ÀüÁÖ"/>
      <sheetName val="±¤ÁÖ"/>
      <sheetName val="¼øÃµ"/>
      <sheetName val="³²¿ø"/>
      <sheetName val="¸ñÆ÷"/>
      <sheetName val="±º»ê"/>
      <sheetName val="Ç¥Áö"/>
      <sheetName val="ÀÎ°Ç-ÃøÁ¤"/>
      <sheetName val="ÇÑ°­¿î¹Ýºñ"/>
      <sheetName val="ÇÏÁ¶¼­"/>
      <sheetName val="¼³Á÷Àç-1"/>
      <sheetName val="´Ü"/>
      <sheetName val="NìüëÒ_òÅ"/>
      <sheetName val="CP-E2_(품셈표)"/>
      <sheetName val="1_설계조건"/>
      <sheetName val="1_수인터널"/>
      <sheetName val="C-직노1"/>
      <sheetName val="D-경비1"/>
      <sheetName val="인수공"/>
      <sheetName val="DB단가"/>
      <sheetName val="원형맨홀수량"/>
      <sheetName val="OPT7"/>
      <sheetName val="견적율"/>
      <sheetName val="사급자재"/>
      <sheetName val="토목"/>
      <sheetName val="조도계산"/>
      <sheetName val="AL공사(원)"/>
      <sheetName val="기계경비목록"/>
      <sheetName val="DATA_입력란"/>
      <sheetName val="총괄_CCTV수량"/>
      <sheetName val="식재가격"/>
      <sheetName val="식재총괄"/>
      <sheetName val="돈암사업"/>
      <sheetName val="횡 연장"/>
      <sheetName val="Sheet13"/>
      <sheetName val="발전기"/>
      <sheetName val="공사비"/>
      <sheetName val="DATA_입력란1"/>
      <sheetName val="총괄_CCTV수량1"/>
      <sheetName val="기존단가_(2)"/>
      <sheetName val="단가_"/>
      <sheetName val="수목데이타_"/>
      <sheetName val="변압기_및_발전기_용량"/>
      <sheetName val="6__직접경비"/>
      <sheetName val="노무비_"/>
      <sheetName val="수량 산출서"/>
      <sheetName val="정SW(원)"/>
      <sheetName val="결과조달"/>
      <sheetName val="예산대비"/>
      <sheetName val="소방"/>
      <sheetName val="Sheet14"/>
      <sheetName val="석재장조사"/>
      <sheetName val="소요자재명세서"/>
      <sheetName val="노무비명세서"/>
      <sheetName val="남양구조시험동"/>
      <sheetName val="G.R300경비"/>
      <sheetName val="교각1"/>
      <sheetName val="단가대비표"/>
      <sheetName val="제품별"/>
      <sheetName val="Y-WORK"/>
      <sheetName val="백암비스타내역"/>
      <sheetName val="BID"/>
      <sheetName val="환산"/>
      <sheetName val="발신정보"/>
      <sheetName val="wall"/>
      <sheetName val="Sheet1 (2)"/>
      <sheetName val="HW일위"/>
      <sheetName val="분석"/>
      <sheetName val="969910(_R)"/>
      <sheetName val="용소리교"/>
      <sheetName val="품셈"/>
      <sheetName val="Macro(전선)"/>
      <sheetName val="SheゃᲓ_x0000__x0000_"/>
      <sheetName val="Лист1"/>
      <sheetName val="Sheẍ_x0000__x0000_"/>
      <sheetName val="I???"/>
      <sheetName val="N??-?"/>
      <sheetName val="База данных"/>
      <sheetName val="She_xd86f_漴봀"/>
      <sheetName val="She胡꙱/_x0000_"/>
      <sheetName val="인력기준(삭제하지마세요)"/>
      <sheetName val="총괄_CCTV수량2"/>
      <sheetName val="6__직접경비1"/>
      <sheetName val="원가_(2)"/>
      <sheetName val="5_설치내역"/>
      <sheetName val="A4-結果_1"/>
      <sheetName val="IMPEADENCE_MAP_취수장"/>
      <sheetName val="2F_회의실견적(5_14_일대)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CT_"/>
      <sheetName val="조도계산서_(도서)"/>
      <sheetName val="CP-E2_(품셈표)1"/>
      <sheetName val="1_수인터널1"/>
      <sheetName val="1_설계조건1"/>
      <sheetName val="을_1"/>
      <sheetName val="을_2"/>
      <sheetName val="진입부_단위수량"/>
      <sheetName val="전차선로_물량표"/>
      <sheetName val="969910(_R)1"/>
      <sheetName val="INPUT_DATA"/>
      <sheetName val="8_PILE__(돌출)"/>
      <sheetName val="DATA_입력란2"/>
      <sheetName val="변압기_및_발전기_용량1"/>
      <sheetName val="노무비_1"/>
      <sheetName val="기존단가_(2)1"/>
      <sheetName val="단가_1"/>
      <sheetName val="수목데이타_1"/>
      <sheetName val="1_우편집중내역서"/>
      <sheetName val="6PILE__(돌출)"/>
      <sheetName val="인건비_"/>
      <sheetName val="단가_및_재료비"/>
      <sheetName val="Price_List"/>
      <sheetName val="2_4_자재단가비교표"/>
      <sheetName val="노임단가_(2)"/>
      <sheetName val="_HIT-&gt;HMC_견적(3900)"/>
      <sheetName val="SHEET_PILE단가"/>
      <sheetName val="내___역"/>
      <sheetName val="PAD_TR보호대기초"/>
      <sheetName val="1_1서버도입"/>
      <sheetName val="노임단가_및_기계경비"/>
      <sheetName val="제출내역_(2)"/>
      <sheetName val="BSD__2_"/>
      <sheetName val="_냉각수펌프"/>
      <sheetName val="LH3_동양시스템"/>
      <sheetName val="unit_4"/>
      <sheetName val="A4-Ì¿Íý_"/>
      <sheetName val="횡_연장"/>
      <sheetName val="수량_산출서"/>
      <sheetName val="G_R300경비"/>
      <sheetName val="Sheet1_(2)"/>
      <sheetName val="База_данных"/>
      <sheetName val="She漴봀"/>
      <sheetName val="She䠃竣ᐃ긑"/>
      <sheetName val="엔미즈_코리아"/>
      <sheetName val="총괄_CCTV수량3"/>
      <sheetName val="6__직접경비2"/>
      <sheetName val="원가_(2)1"/>
      <sheetName val="5_설치내역1"/>
      <sheetName val="A4-結果_2"/>
      <sheetName val="IMPEADENCE_MAP_취수장1"/>
      <sheetName val="2F_회의실견적(5_14_일대)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CT_1"/>
      <sheetName val="조도계산서_(도서)1"/>
      <sheetName val="CP-E2_(품셈표)2"/>
      <sheetName val="1_수인터널2"/>
      <sheetName val="1_설계조건2"/>
      <sheetName val="을_11"/>
      <sheetName val="을_21"/>
      <sheetName val="진입부_단위수량1"/>
      <sheetName val="전차선로_물량표1"/>
      <sheetName val="969910(_R)2"/>
      <sheetName val="INPUT_DATA1"/>
      <sheetName val="8_PILE__(돌출)1"/>
      <sheetName val="DATA_입력란3"/>
      <sheetName val="변압기_및_발전기_용량2"/>
      <sheetName val="노무비_2"/>
      <sheetName val="기존단가_(2)2"/>
      <sheetName val="단가_2"/>
      <sheetName val="수목데이타_2"/>
      <sheetName val="1_우편집중내역서1"/>
      <sheetName val="6PILE__(돌출)1"/>
      <sheetName val="인건비_1"/>
      <sheetName val="단가_및_재료비1"/>
      <sheetName val="Price_List1"/>
      <sheetName val="2_4_자재단가비교표1"/>
      <sheetName val="노임단가_(2)1"/>
      <sheetName val="_HIT-&gt;HMC_견적(3900)1"/>
      <sheetName val="SHEET_PILE단가1"/>
      <sheetName val="내___역1"/>
      <sheetName val="PAD_TR보호대기초1"/>
      <sheetName val="1_1서버도입1"/>
      <sheetName val="노임단가_및_기계경비1"/>
      <sheetName val="제출내역_(2)1"/>
      <sheetName val="BSD__2_1"/>
      <sheetName val="_냉각수펌프1"/>
      <sheetName val="LH3_동양시스템1"/>
      <sheetName val="unit_41"/>
      <sheetName val="A4-Ì¿Íý_1"/>
      <sheetName val="횡_연장1"/>
      <sheetName val="수량_산출서1"/>
      <sheetName val="G_R300경비1"/>
      <sheetName val="Sheet1_(2)1"/>
      <sheetName val="База_данных1"/>
      <sheetName val="SheゃᲓ??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 refreshError="1"/>
      <sheetData sheetId="608" refreshError="1"/>
      <sheetData sheetId="609" refreshError="1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T146"/>
  <sheetViews>
    <sheetView showGridLines="0" tabSelected="1" view="pageBreakPreview" zoomScale="85" zoomScaleNormal="100" zoomScaleSheetLayoutView="85" workbookViewId="0">
      <selection activeCell="A18" sqref="A18:A20"/>
    </sheetView>
  </sheetViews>
  <sheetFormatPr defaultColWidth="8.875" defaultRowHeight="14.25" customHeight="1" x14ac:dyDescent="0.3"/>
  <cols>
    <col min="1" max="1" width="17" style="3" customWidth="1"/>
    <col min="2" max="2" width="19.875" style="2" customWidth="1"/>
    <col min="3" max="3" width="21.125" style="4" customWidth="1"/>
    <col min="4" max="4" width="17.75" style="2" customWidth="1"/>
    <col min="5" max="5" width="17.5" style="3" customWidth="1"/>
    <col min="6" max="6" width="7.75" style="3" bestFit="1" customWidth="1"/>
    <col min="7" max="7" width="12.625" style="2" customWidth="1"/>
    <col min="8" max="8" width="16.125" style="2" hidden="1" customWidth="1"/>
    <col min="9" max="9" width="18.125" style="2" hidden="1" customWidth="1"/>
    <col min="10" max="11" width="21.75" style="2" hidden="1" customWidth="1"/>
    <col min="12" max="12" width="17.75" style="2" hidden="1" customWidth="1"/>
    <col min="13" max="13" width="11.75" style="2" hidden="1" customWidth="1"/>
    <col min="14" max="14" width="20.75" style="2" hidden="1" customWidth="1"/>
    <col min="15" max="15" width="20.75" style="2" customWidth="1"/>
    <col min="16" max="16" width="19.875" style="2" hidden="1" customWidth="1"/>
    <col min="17" max="17" width="94.75" style="2" customWidth="1"/>
    <col min="18" max="18" width="1.875" style="1" hidden="1" customWidth="1"/>
    <col min="19" max="19" width="10.625" style="1" bestFit="1" customWidth="1"/>
    <col min="20" max="20" width="11.5" style="1" bestFit="1" customWidth="1"/>
    <col min="21" max="16384" width="8.875" style="1"/>
  </cols>
  <sheetData>
    <row r="1" spans="1:18" ht="38.25" customHeight="1" thickBot="1" x14ac:dyDescent="0.35">
      <c r="B1" s="23"/>
    </row>
    <row r="2" spans="1:18" ht="24.75" customHeight="1" x14ac:dyDescent="0.3">
      <c r="A2" s="193" t="s">
        <v>33</v>
      </c>
      <c r="B2" s="194"/>
      <c r="C2" s="195"/>
      <c r="D2" s="212" t="s">
        <v>35</v>
      </c>
      <c r="E2" s="213"/>
      <c r="F2" s="213"/>
      <c r="G2" s="214"/>
      <c r="H2" s="200" t="s">
        <v>32</v>
      </c>
      <c r="I2" s="200"/>
      <c r="J2" s="200"/>
      <c r="K2" s="200"/>
      <c r="L2" s="200"/>
      <c r="M2" s="200"/>
      <c r="N2" s="200"/>
      <c r="O2" s="200"/>
      <c r="P2" s="200"/>
      <c r="Q2" s="201"/>
    </row>
    <row r="3" spans="1:18" ht="18.75" customHeight="1" x14ac:dyDescent="0.3">
      <c r="A3" s="25" t="s">
        <v>31</v>
      </c>
      <c r="B3" s="202"/>
      <c r="C3" s="203"/>
      <c r="D3" s="204" t="s">
        <v>36</v>
      </c>
      <c r="E3" s="205"/>
      <c r="F3" s="205"/>
      <c r="G3" s="205"/>
      <c r="H3" s="222" t="s">
        <v>30</v>
      </c>
      <c r="I3" s="222"/>
      <c r="J3" s="222"/>
      <c r="K3" s="100"/>
      <c r="L3" s="100"/>
      <c r="M3" s="100"/>
      <c r="N3" s="100"/>
      <c r="O3" s="100"/>
      <c r="P3" s="223" t="s">
        <v>29</v>
      </c>
      <c r="Q3" s="223"/>
      <c r="R3" s="224"/>
    </row>
    <row r="4" spans="1:18" ht="19.5" customHeight="1" x14ac:dyDescent="0.3">
      <c r="A4" s="25" t="s">
        <v>28</v>
      </c>
      <c r="B4" s="202"/>
      <c r="C4" s="203"/>
      <c r="D4" s="206"/>
      <c r="E4" s="207"/>
      <c r="F4" s="207"/>
      <c r="G4" s="207"/>
      <c r="H4" s="222" t="s">
        <v>27</v>
      </c>
      <c r="I4" s="222"/>
      <c r="J4" s="222"/>
      <c r="K4" s="101"/>
      <c r="L4" s="101"/>
      <c r="M4" s="101"/>
      <c r="N4" s="101"/>
      <c r="O4" s="101"/>
      <c r="P4" s="225" t="s">
        <v>38</v>
      </c>
      <c r="Q4" s="223"/>
      <c r="R4" s="224"/>
    </row>
    <row r="5" spans="1:18" ht="16.5" customHeight="1" x14ac:dyDescent="0.3">
      <c r="A5" s="25" t="s">
        <v>26</v>
      </c>
      <c r="B5" s="202"/>
      <c r="C5" s="203"/>
      <c r="D5" s="206"/>
      <c r="E5" s="207"/>
      <c r="F5" s="207"/>
      <c r="G5" s="207"/>
      <c r="H5" s="222" t="s">
        <v>25</v>
      </c>
      <c r="I5" s="222"/>
      <c r="J5" s="222"/>
      <c r="K5" s="101"/>
      <c r="L5" s="101"/>
      <c r="M5" s="101"/>
      <c r="N5" s="128"/>
      <c r="O5" s="128"/>
      <c r="P5" s="225" t="s">
        <v>24</v>
      </c>
      <c r="Q5" s="223"/>
      <c r="R5" s="224"/>
    </row>
    <row r="6" spans="1:18" ht="17.25" customHeight="1" x14ac:dyDescent="0.3">
      <c r="A6" s="25" t="s">
        <v>23</v>
      </c>
      <c r="B6" s="60">
        <f>O135</f>
        <v>1456800000</v>
      </c>
      <c r="C6" s="61" t="s">
        <v>22</v>
      </c>
      <c r="D6" s="206"/>
      <c r="E6" s="207"/>
      <c r="F6" s="207"/>
      <c r="G6" s="207"/>
      <c r="H6" s="222" t="s">
        <v>21</v>
      </c>
      <c r="I6" s="222"/>
      <c r="J6" s="222"/>
      <c r="K6" s="101"/>
      <c r="L6" s="101"/>
      <c r="M6" s="101"/>
      <c r="N6" s="101"/>
      <c r="O6" s="101"/>
      <c r="P6" s="225" t="s">
        <v>20</v>
      </c>
      <c r="Q6" s="223"/>
      <c r="R6" s="224"/>
    </row>
    <row r="7" spans="1:18" ht="14.25" customHeight="1" thickBot="1" x14ac:dyDescent="0.35">
      <c r="A7" s="24" t="s">
        <v>19</v>
      </c>
      <c r="B7" s="210"/>
      <c r="C7" s="211"/>
      <c r="D7" s="208"/>
      <c r="E7" s="209"/>
      <c r="F7" s="209"/>
      <c r="G7" s="209"/>
      <c r="H7" s="228" t="s">
        <v>19</v>
      </c>
      <c r="I7" s="228"/>
      <c r="J7" s="228"/>
      <c r="K7" s="102"/>
      <c r="L7" s="102"/>
      <c r="M7" s="102"/>
      <c r="N7" s="102"/>
      <c r="O7" s="102"/>
      <c r="P7" s="226"/>
      <c r="Q7" s="227"/>
      <c r="R7" s="94"/>
    </row>
    <row r="8" spans="1:18" ht="12" customHeight="1" x14ac:dyDescent="0.25">
      <c r="A8" s="62"/>
      <c r="B8" s="63"/>
      <c r="C8" s="64"/>
      <c r="D8" s="8"/>
      <c r="E8" s="62"/>
      <c r="F8" s="62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8" s="18" customFormat="1" ht="14.1" customHeight="1" x14ac:dyDescent="0.3">
      <c r="A9" s="19"/>
      <c r="B9" s="19"/>
      <c r="C9" s="19"/>
      <c r="D9" s="19"/>
      <c r="E9" s="20"/>
      <c r="F9" s="20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8" s="18" customFormat="1" ht="14.1" customHeight="1" thickBot="1" x14ac:dyDescent="0.35">
      <c r="A10" s="21"/>
      <c r="B10" s="21"/>
      <c r="C10" s="21"/>
      <c r="D10" s="21"/>
      <c r="E10" s="22"/>
      <c r="F10" s="22"/>
      <c r="G10" s="21" t="s">
        <v>40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8" s="8" customFormat="1" ht="17.25" thickBot="1" x14ac:dyDescent="0.35">
      <c r="A11" s="10" t="s">
        <v>18</v>
      </c>
      <c r="B11" s="196" t="s">
        <v>17</v>
      </c>
      <c r="C11" s="197"/>
      <c r="D11" s="52" t="s">
        <v>16</v>
      </c>
      <c r="E11" s="10" t="s">
        <v>15</v>
      </c>
      <c r="F11" s="53" t="s">
        <v>14</v>
      </c>
      <c r="G11" s="6" t="s">
        <v>13</v>
      </c>
      <c r="H11" s="85" t="s">
        <v>41</v>
      </c>
      <c r="I11" s="80" t="s">
        <v>56</v>
      </c>
      <c r="J11" s="32" t="s">
        <v>57</v>
      </c>
      <c r="K11" s="104" t="s">
        <v>69</v>
      </c>
      <c r="L11" s="111" t="s">
        <v>78</v>
      </c>
      <c r="M11" s="130" t="s">
        <v>204</v>
      </c>
      <c r="N11" s="129" t="s">
        <v>258</v>
      </c>
      <c r="O11" s="138" t="s">
        <v>267</v>
      </c>
      <c r="P11" s="90" t="s">
        <v>71</v>
      </c>
      <c r="Q11" s="6" t="s">
        <v>34</v>
      </c>
    </row>
    <row r="12" spans="1:18" s="8" customFormat="1" ht="16.5" customHeight="1" x14ac:dyDescent="0.3">
      <c r="A12" s="198" t="s">
        <v>12</v>
      </c>
      <c r="B12" s="15" t="s">
        <v>11</v>
      </c>
      <c r="C12" s="15" t="s">
        <v>5</v>
      </c>
      <c r="D12" s="215" t="s">
        <v>10</v>
      </c>
      <c r="E12" s="229"/>
      <c r="F12" s="17">
        <v>5</v>
      </c>
      <c r="G12" s="14">
        <v>3000000</v>
      </c>
      <c r="H12" s="26">
        <v>2000000</v>
      </c>
      <c r="I12" s="26">
        <f>H12*5</f>
        <v>10000000</v>
      </c>
      <c r="J12" s="26">
        <f>H12*3</f>
        <v>6000000</v>
      </c>
      <c r="K12" s="26">
        <v>16000000</v>
      </c>
      <c r="L12" s="26">
        <v>16000000</v>
      </c>
      <c r="M12" s="26"/>
      <c r="N12" s="26">
        <v>16000000</v>
      </c>
      <c r="O12" s="26">
        <v>16000000</v>
      </c>
      <c r="P12" s="26">
        <f>SUM(I12:J12)</f>
        <v>16000000</v>
      </c>
      <c r="Q12" s="218" t="s">
        <v>58</v>
      </c>
    </row>
    <row r="13" spans="1:18" s="8" customFormat="1" ht="16.5" customHeight="1" x14ac:dyDescent="0.3">
      <c r="A13" s="199"/>
      <c r="B13" s="15" t="s">
        <v>9</v>
      </c>
      <c r="C13" s="15" t="s">
        <v>5</v>
      </c>
      <c r="D13" s="216"/>
      <c r="E13" s="216"/>
      <c r="F13" s="17">
        <v>5</v>
      </c>
      <c r="G13" s="12">
        <v>2000000</v>
      </c>
      <c r="H13" s="27">
        <v>1000000</v>
      </c>
      <c r="I13" s="26">
        <f t="shared" ref="I13:I16" si="0">H13*5</f>
        <v>5000000</v>
      </c>
      <c r="J13" s="26">
        <f t="shared" ref="J13:J16" si="1">H13*3</f>
        <v>3000000</v>
      </c>
      <c r="K13" s="26">
        <v>8000000</v>
      </c>
      <c r="L13" s="26">
        <v>8000000</v>
      </c>
      <c r="M13" s="26"/>
      <c r="N13" s="26">
        <v>8000000</v>
      </c>
      <c r="O13" s="26">
        <v>8000000</v>
      </c>
      <c r="P13" s="26">
        <f>SUM(I13:J13)</f>
        <v>8000000</v>
      </c>
      <c r="Q13" s="219"/>
    </row>
    <row r="14" spans="1:18" s="8" customFormat="1" ht="16.5" customHeight="1" x14ac:dyDescent="0.3">
      <c r="A14" s="199"/>
      <c r="B14" s="15" t="s">
        <v>8</v>
      </c>
      <c r="C14" s="15" t="s">
        <v>5</v>
      </c>
      <c r="D14" s="216"/>
      <c r="E14" s="216"/>
      <c r="F14" s="17">
        <v>5</v>
      </c>
      <c r="G14" s="16">
        <v>2000000</v>
      </c>
      <c r="H14" s="27">
        <v>1000000</v>
      </c>
      <c r="I14" s="26">
        <f t="shared" si="0"/>
        <v>5000000</v>
      </c>
      <c r="J14" s="26">
        <f t="shared" si="1"/>
        <v>3000000</v>
      </c>
      <c r="K14" s="26">
        <v>8000000</v>
      </c>
      <c r="L14" s="26">
        <v>8000000</v>
      </c>
      <c r="M14" s="26"/>
      <c r="N14" s="26">
        <v>8000000</v>
      </c>
      <c r="O14" s="26">
        <v>8000000</v>
      </c>
      <c r="P14" s="26">
        <f>SUM(I14:J14)</f>
        <v>8000000</v>
      </c>
      <c r="Q14" s="219"/>
    </row>
    <row r="15" spans="1:18" s="8" customFormat="1" ht="16.5" customHeight="1" x14ac:dyDescent="0.3">
      <c r="A15" s="199"/>
      <c r="B15" s="15" t="s">
        <v>7</v>
      </c>
      <c r="C15" s="15" t="s">
        <v>5</v>
      </c>
      <c r="D15" s="216"/>
      <c r="E15" s="216"/>
      <c r="F15" s="17">
        <v>5</v>
      </c>
      <c r="G15" s="14">
        <v>2000000</v>
      </c>
      <c r="H15" s="26">
        <v>900000</v>
      </c>
      <c r="I15" s="26">
        <f t="shared" si="0"/>
        <v>4500000</v>
      </c>
      <c r="J15" s="26">
        <f t="shared" si="1"/>
        <v>2700000</v>
      </c>
      <c r="K15" s="26">
        <v>7200000</v>
      </c>
      <c r="L15" s="26">
        <v>7200000</v>
      </c>
      <c r="M15" s="26"/>
      <c r="N15" s="26">
        <v>7200000</v>
      </c>
      <c r="O15" s="26">
        <v>7200000</v>
      </c>
      <c r="P15" s="26">
        <f>SUM(I15:J15)</f>
        <v>7200000</v>
      </c>
      <c r="Q15" s="220"/>
    </row>
    <row r="16" spans="1:18" s="8" customFormat="1" ht="16.5" customHeight="1" thickBot="1" x14ac:dyDescent="0.35">
      <c r="A16" s="199"/>
      <c r="B16" s="13" t="s">
        <v>6</v>
      </c>
      <c r="C16" s="13" t="s">
        <v>5</v>
      </c>
      <c r="D16" s="217"/>
      <c r="E16" s="217"/>
      <c r="F16" s="17">
        <v>5</v>
      </c>
      <c r="G16" s="12">
        <v>500000</v>
      </c>
      <c r="H16" s="27">
        <v>500000</v>
      </c>
      <c r="I16" s="26">
        <f t="shared" si="0"/>
        <v>2500000</v>
      </c>
      <c r="J16" s="26">
        <f t="shared" si="1"/>
        <v>1500000</v>
      </c>
      <c r="K16" s="26">
        <v>4000000</v>
      </c>
      <c r="L16" s="26">
        <v>4000000</v>
      </c>
      <c r="M16" s="26"/>
      <c r="N16" s="26">
        <v>4000000</v>
      </c>
      <c r="O16" s="26">
        <v>4000000</v>
      </c>
      <c r="P16" s="26">
        <f>SUM(I16:J16)</f>
        <v>4000000</v>
      </c>
      <c r="Q16" s="221"/>
    </row>
    <row r="17" spans="1:19" s="8" customFormat="1" ht="16.5" customHeight="1" thickBot="1" x14ac:dyDescent="0.35">
      <c r="A17" s="11" t="s">
        <v>4</v>
      </c>
      <c r="B17" s="65"/>
      <c r="C17" s="55"/>
      <c r="D17" s="56"/>
      <c r="E17" s="57"/>
      <c r="F17" s="57"/>
      <c r="G17" s="58"/>
      <c r="H17" s="28">
        <f>SUM(H12:H16)</f>
        <v>5400000</v>
      </c>
      <c r="I17" s="28">
        <f>SUM(I12:I16)</f>
        <v>27000000</v>
      </c>
      <c r="J17" s="28">
        <f>SUM(J12:J16)</f>
        <v>16200000</v>
      </c>
      <c r="K17" s="28">
        <v>43200000</v>
      </c>
      <c r="L17" s="28">
        <v>43200000</v>
      </c>
      <c r="M17" s="28"/>
      <c r="N17" s="28">
        <v>43200000</v>
      </c>
      <c r="O17" s="28">
        <v>43200000</v>
      </c>
      <c r="P17" s="28">
        <f>SUM(P12:P16)</f>
        <v>43200000</v>
      </c>
      <c r="Q17" s="33"/>
    </row>
    <row r="18" spans="1:19" s="8" customFormat="1" ht="41.25" thickBot="1" x14ac:dyDescent="0.35">
      <c r="A18" s="180" t="s">
        <v>52</v>
      </c>
      <c r="B18" s="187" t="s">
        <v>39</v>
      </c>
      <c r="C18" s="187"/>
      <c r="D18" s="66" t="s">
        <v>42</v>
      </c>
      <c r="E18" s="67" t="s">
        <v>55</v>
      </c>
      <c r="F18" s="68">
        <v>1</v>
      </c>
      <c r="G18" s="69">
        <v>114940000</v>
      </c>
      <c r="H18" s="70">
        <f>F18*G18</f>
        <v>114940000</v>
      </c>
      <c r="I18" s="70">
        <f>H18*1</f>
        <v>114940000</v>
      </c>
      <c r="J18" s="70"/>
      <c r="K18" s="70">
        <v>114940000</v>
      </c>
      <c r="L18" s="70">
        <v>114940000</v>
      </c>
      <c r="M18" s="70"/>
      <c r="N18" s="125">
        <v>120740000</v>
      </c>
      <c r="O18" s="125">
        <v>120740000</v>
      </c>
      <c r="P18" s="91">
        <f>SUM(I18:J18)</f>
        <v>114940000</v>
      </c>
      <c r="Q18" s="59" t="s">
        <v>201</v>
      </c>
      <c r="S18" s="81"/>
    </row>
    <row r="19" spans="1:19" s="8" customFormat="1" ht="24.75" thickBot="1" x14ac:dyDescent="0.35">
      <c r="A19" s="181"/>
      <c r="B19" s="188" t="s">
        <v>50</v>
      </c>
      <c r="C19" s="189"/>
      <c r="D19" s="82" t="s">
        <v>51</v>
      </c>
      <c r="E19" s="82" t="s">
        <v>54</v>
      </c>
      <c r="F19" s="36">
        <v>1</v>
      </c>
      <c r="G19" s="37">
        <v>25000000</v>
      </c>
      <c r="H19" s="37">
        <f>F19*G19</f>
        <v>25000000</v>
      </c>
      <c r="I19" s="37">
        <f>H19/2</f>
        <v>12500000</v>
      </c>
      <c r="J19" s="70">
        <f>H19/2</f>
        <v>12500000</v>
      </c>
      <c r="K19" s="70">
        <v>25000000</v>
      </c>
      <c r="L19" s="70">
        <v>25000000</v>
      </c>
      <c r="M19" s="70"/>
      <c r="N19" s="70">
        <v>25000000</v>
      </c>
      <c r="O19" s="70">
        <v>25000000</v>
      </c>
      <c r="P19" s="91">
        <f>SUM(I19:J19)</f>
        <v>25000000</v>
      </c>
      <c r="Q19" s="93"/>
    </row>
    <row r="20" spans="1:19" s="8" customFormat="1" ht="16.5" customHeight="1" thickBot="1" x14ac:dyDescent="0.35">
      <c r="A20" s="182"/>
      <c r="B20" s="183"/>
      <c r="C20" s="183"/>
      <c r="D20" s="183"/>
      <c r="E20" s="183"/>
      <c r="F20" s="183"/>
      <c r="G20" s="184"/>
      <c r="H20" s="71">
        <f>SUM(H18:H19)</f>
        <v>139940000</v>
      </c>
      <c r="I20" s="71">
        <f>SUM(I18:I19)</f>
        <v>127440000</v>
      </c>
      <c r="J20" s="71">
        <f>SUM(J18:J19)</f>
        <v>12500000</v>
      </c>
      <c r="K20" s="103">
        <v>139940000</v>
      </c>
      <c r="L20" s="95">
        <f>SUM(L18:L19)</f>
        <v>139940000</v>
      </c>
      <c r="M20" s="95"/>
      <c r="N20" s="95">
        <f>SUM(N18:N19)</f>
        <v>145740000</v>
      </c>
      <c r="O20" s="95">
        <f>SUM(O18:O19)</f>
        <v>145740000</v>
      </c>
      <c r="P20" s="95">
        <f>SUM(P18:P19)</f>
        <v>139940000</v>
      </c>
      <c r="Q20" s="96"/>
    </row>
    <row r="21" spans="1:19" s="8" customFormat="1" ht="16.5" customHeight="1" x14ac:dyDescent="0.3">
      <c r="A21" s="185" t="s">
        <v>43</v>
      </c>
      <c r="B21" s="75" t="s">
        <v>44</v>
      </c>
      <c r="C21" s="167" t="s">
        <v>59</v>
      </c>
      <c r="D21" s="167"/>
      <c r="E21" s="167"/>
      <c r="F21" s="68">
        <v>1</v>
      </c>
      <c r="G21" s="72">
        <v>36000000</v>
      </c>
      <c r="H21" s="54">
        <v>36000000</v>
      </c>
      <c r="I21" s="54">
        <v>36000000</v>
      </c>
      <c r="J21" s="54"/>
      <c r="K21" s="105">
        <v>63000000</v>
      </c>
      <c r="L21" s="86">
        <v>63000000</v>
      </c>
      <c r="M21" s="37"/>
      <c r="N21" s="86">
        <v>63000000</v>
      </c>
      <c r="O21" s="86">
        <v>63000000</v>
      </c>
      <c r="P21" s="86">
        <v>36000000</v>
      </c>
      <c r="Q21" s="83" t="s">
        <v>70</v>
      </c>
    </row>
    <row r="22" spans="1:19" s="8" customFormat="1" ht="16.149999999999999" customHeight="1" x14ac:dyDescent="0.3">
      <c r="A22" s="185"/>
      <c r="B22" s="99" t="s">
        <v>68</v>
      </c>
      <c r="C22" s="177" t="s">
        <v>66</v>
      </c>
      <c r="D22" s="178"/>
      <c r="E22" s="179"/>
      <c r="F22" s="68">
        <v>3</v>
      </c>
      <c r="G22" s="72">
        <v>5000000</v>
      </c>
      <c r="H22" s="54">
        <f>F22*G22</f>
        <v>15000000</v>
      </c>
      <c r="I22" s="54">
        <f>H22</f>
        <v>15000000</v>
      </c>
      <c r="J22" s="54"/>
      <c r="K22" s="54">
        <v>15000000</v>
      </c>
      <c r="L22" s="86">
        <v>15000000</v>
      </c>
      <c r="M22" s="37"/>
      <c r="N22" s="86">
        <v>15000000</v>
      </c>
      <c r="O22" s="86">
        <v>15000000</v>
      </c>
      <c r="P22" s="86">
        <v>15000000</v>
      </c>
      <c r="Q22" s="83" t="s">
        <v>67</v>
      </c>
    </row>
    <row r="23" spans="1:19" s="8" customFormat="1" ht="16.149999999999999" customHeight="1" x14ac:dyDescent="0.3">
      <c r="A23" s="185"/>
      <c r="B23" s="140" t="s">
        <v>256</v>
      </c>
      <c r="C23" s="150" t="s">
        <v>257</v>
      </c>
      <c r="D23" s="151"/>
      <c r="E23" s="152"/>
      <c r="F23" s="36">
        <v>1</v>
      </c>
      <c r="G23" s="141">
        <v>1600000</v>
      </c>
      <c r="H23" s="54"/>
      <c r="I23" s="54"/>
      <c r="J23" s="54"/>
      <c r="K23" s="105"/>
      <c r="L23" s="86">
        <v>1600000</v>
      </c>
      <c r="M23" s="86"/>
      <c r="N23" s="86">
        <v>1600000</v>
      </c>
      <c r="O23" s="86">
        <v>1600000</v>
      </c>
      <c r="P23" s="134"/>
      <c r="Q23" s="83" t="s">
        <v>241</v>
      </c>
    </row>
    <row r="24" spans="1:19" s="8" customFormat="1" ht="16.5" customHeight="1" x14ac:dyDescent="0.3">
      <c r="A24" s="185"/>
      <c r="B24" s="114" t="s">
        <v>81</v>
      </c>
      <c r="C24" s="162" t="s">
        <v>79</v>
      </c>
      <c r="D24" s="162"/>
      <c r="E24" s="162"/>
      <c r="F24" s="68">
        <v>1</v>
      </c>
      <c r="G24" s="72">
        <v>10000000</v>
      </c>
      <c r="H24" s="54"/>
      <c r="I24" s="54"/>
      <c r="J24" s="54"/>
      <c r="K24" s="105"/>
      <c r="L24" s="86">
        <v>10000000</v>
      </c>
      <c r="M24" s="86"/>
      <c r="N24" s="136">
        <v>12000000</v>
      </c>
      <c r="O24" s="86">
        <v>10000000</v>
      </c>
      <c r="P24" s="153">
        <v>217000000</v>
      </c>
      <c r="Q24" s="83" t="s">
        <v>241</v>
      </c>
    </row>
    <row r="25" spans="1:19" s="8" customFormat="1" ht="16.5" customHeight="1" x14ac:dyDescent="0.3">
      <c r="A25" s="185"/>
      <c r="B25" s="171" t="s">
        <v>82</v>
      </c>
      <c r="C25" s="150" t="s">
        <v>242</v>
      </c>
      <c r="D25" s="151"/>
      <c r="E25" s="152"/>
      <c r="F25" s="68">
        <v>1</v>
      </c>
      <c r="G25" s="72">
        <v>65000000</v>
      </c>
      <c r="H25" s="54"/>
      <c r="I25" s="54"/>
      <c r="J25" s="54"/>
      <c r="K25" s="54"/>
      <c r="L25" s="86">
        <v>65000000</v>
      </c>
      <c r="M25" s="86"/>
      <c r="N25" s="86">
        <v>10000000</v>
      </c>
      <c r="O25" s="86">
        <v>10000000</v>
      </c>
      <c r="P25" s="154"/>
      <c r="Q25" s="83"/>
    </row>
    <row r="26" spans="1:19" s="8" customFormat="1" ht="16.5" customHeight="1" x14ac:dyDescent="0.3">
      <c r="A26" s="185"/>
      <c r="B26" s="173"/>
      <c r="C26" s="150" t="s">
        <v>233</v>
      </c>
      <c r="D26" s="151"/>
      <c r="E26" s="152"/>
      <c r="F26" s="68">
        <v>1</v>
      </c>
      <c r="G26" s="72">
        <v>20000000</v>
      </c>
      <c r="H26" s="54"/>
      <c r="I26" s="54"/>
      <c r="J26" s="54"/>
      <c r="K26" s="54"/>
      <c r="L26" s="86"/>
      <c r="M26" s="86"/>
      <c r="N26" s="86">
        <v>20000000</v>
      </c>
      <c r="O26" s="86">
        <v>20000000</v>
      </c>
      <c r="P26" s="154"/>
      <c r="Q26" s="83"/>
    </row>
    <row r="27" spans="1:19" s="8" customFormat="1" ht="16.5" customHeight="1" x14ac:dyDescent="0.3">
      <c r="A27" s="185"/>
      <c r="B27" s="173"/>
      <c r="C27" s="159" t="s">
        <v>238</v>
      </c>
      <c r="D27" s="160"/>
      <c r="E27" s="161"/>
      <c r="F27" s="68">
        <v>1</v>
      </c>
      <c r="G27" s="144">
        <v>8000000</v>
      </c>
      <c r="H27" s="145"/>
      <c r="I27" s="145"/>
      <c r="J27" s="145"/>
      <c r="K27" s="146"/>
      <c r="L27" s="147"/>
      <c r="M27" s="147"/>
      <c r="N27" s="148">
        <v>8000000</v>
      </c>
      <c r="O27" s="148">
        <v>8000000</v>
      </c>
      <c r="P27" s="154"/>
      <c r="Q27" s="83"/>
    </row>
    <row r="28" spans="1:19" s="8" customFormat="1" ht="16.5" customHeight="1" x14ac:dyDescent="0.3">
      <c r="A28" s="185"/>
      <c r="B28" s="173"/>
      <c r="C28" s="159" t="s">
        <v>239</v>
      </c>
      <c r="D28" s="160"/>
      <c r="E28" s="161"/>
      <c r="F28" s="68">
        <v>1</v>
      </c>
      <c r="G28" s="144">
        <v>4500000</v>
      </c>
      <c r="H28" s="37"/>
      <c r="I28" s="37"/>
      <c r="J28" s="37"/>
      <c r="K28" s="37"/>
      <c r="L28" s="88"/>
      <c r="M28" s="88"/>
      <c r="N28" s="148">
        <v>4500000</v>
      </c>
      <c r="O28" s="148">
        <v>4500000</v>
      </c>
      <c r="P28" s="154"/>
      <c r="Q28" s="83"/>
    </row>
    <row r="29" spans="1:19" s="8" customFormat="1" ht="16.5" customHeight="1" x14ac:dyDescent="0.3">
      <c r="A29" s="185"/>
      <c r="B29" s="173"/>
      <c r="C29" s="159" t="s">
        <v>240</v>
      </c>
      <c r="D29" s="160"/>
      <c r="E29" s="161"/>
      <c r="F29" s="68">
        <v>1</v>
      </c>
      <c r="G29" s="144">
        <v>1000000</v>
      </c>
      <c r="H29" s="37"/>
      <c r="I29" s="37"/>
      <c r="J29" s="37"/>
      <c r="K29" s="37"/>
      <c r="L29" s="88"/>
      <c r="M29" s="88"/>
      <c r="N29" s="148">
        <v>1000000</v>
      </c>
      <c r="O29" s="148">
        <v>1000000</v>
      </c>
      <c r="P29" s="154"/>
      <c r="Q29" s="83"/>
    </row>
    <row r="30" spans="1:19" s="8" customFormat="1" ht="16.5" customHeight="1" x14ac:dyDescent="0.3">
      <c r="A30" s="185"/>
      <c r="B30" s="173"/>
      <c r="C30" s="150" t="s">
        <v>234</v>
      </c>
      <c r="D30" s="151"/>
      <c r="E30" s="152"/>
      <c r="F30" s="68">
        <v>1</v>
      </c>
      <c r="G30" s="72">
        <v>1050000</v>
      </c>
      <c r="H30" s="54"/>
      <c r="I30" s="54"/>
      <c r="J30" s="54"/>
      <c r="K30" s="54"/>
      <c r="L30" s="86"/>
      <c r="M30" s="86"/>
      <c r="N30" s="86">
        <v>1050000</v>
      </c>
      <c r="O30" s="86">
        <v>1050000</v>
      </c>
      <c r="P30" s="154"/>
      <c r="Q30" s="83"/>
    </row>
    <row r="31" spans="1:19" s="8" customFormat="1" ht="16.5" customHeight="1" x14ac:dyDescent="0.3">
      <c r="A31" s="185"/>
      <c r="B31" s="173"/>
      <c r="C31" s="159" t="s">
        <v>235</v>
      </c>
      <c r="D31" s="160"/>
      <c r="E31" s="161"/>
      <c r="F31" s="68">
        <v>1</v>
      </c>
      <c r="G31" s="72">
        <v>1500000</v>
      </c>
      <c r="H31" s="54"/>
      <c r="I31" s="54"/>
      <c r="J31" s="54"/>
      <c r="K31" s="54"/>
      <c r="L31" s="86"/>
      <c r="M31" s="86"/>
      <c r="N31" s="72">
        <v>1500000</v>
      </c>
      <c r="O31" s="72">
        <v>1500000</v>
      </c>
      <c r="P31" s="154"/>
      <c r="Q31" s="83"/>
    </row>
    <row r="32" spans="1:19" s="8" customFormat="1" ht="16.5" customHeight="1" x14ac:dyDescent="0.3">
      <c r="A32" s="185"/>
      <c r="B32" s="173"/>
      <c r="C32" s="159" t="s">
        <v>236</v>
      </c>
      <c r="D32" s="160"/>
      <c r="E32" s="161"/>
      <c r="F32" s="68">
        <v>1</v>
      </c>
      <c r="G32" s="72">
        <v>500000</v>
      </c>
      <c r="H32" s="54"/>
      <c r="I32" s="54"/>
      <c r="J32" s="54"/>
      <c r="K32" s="54"/>
      <c r="L32" s="86"/>
      <c r="M32" s="86"/>
      <c r="N32" s="72">
        <v>500000</v>
      </c>
      <c r="O32" s="72">
        <v>500000</v>
      </c>
      <c r="P32" s="154"/>
      <c r="Q32" s="83"/>
    </row>
    <row r="33" spans="1:17" s="8" customFormat="1" ht="16.5" customHeight="1" x14ac:dyDescent="0.3">
      <c r="A33" s="185"/>
      <c r="B33" s="173"/>
      <c r="C33" s="159" t="s">
        <v>237</v>
      </c>
      <c r="D33" s="160"/>
      <c r="E33" s="161"/>
      <c r="F33" s="68">
        <v>1</v>
      </c>
      <c r="G33" s="72">
        <v>700000</v>
      </c>
      <c r="H33" s="54"/>
      <c r="I33" s="54"/>
      <c r="J33" s="54"/>
      <c r="K33" s="54"/>
      <c r="L33" s="86"/>
      <c r="M33" s="86"/>
      <c r="N33" s="72">
        <v>700000</v>
      </c>
      <c r="O33" s="72">
        <v>700000</v>
      </c>
      <c r="P33" s="154"/>
      <c r="Q33" s="83"/>
    </row>
    <row r="34" spans="1:17" s="8" customFormat="1" ht="16.5" customHeight="1" x14ac:dyDescent="0.3">
      <c r="A34" s="185"/>
      <c r="B34" s="173"/>
      <c r="C34" s="159" t="s">
        <v>243</v>
      </c>
      <c r="D34" s="160"/>
      <c r="E34" s="161"/>
      <c r="F34" s="68">
        <v>1</v>
      </c>
      <c r="G34" s="72">
        <v>1000000</v>
      </c>
      <c r="H34" s="54"/>
      <c r="I34" s="54"/>
      <c r="J34" s="54"/>
      <c r="K34" s="54"/>
      <c r="L34" s="86"/>
      <c r="M34" s="86"/>
      <c r="N34" s="72">
        <v>1000000</v>
      </c>
      <c r="O34" s="72">
        <v>1000000</v>
      </c>
      <c r="P34" s="154"/>
      <c r="Q34" s="83"/>
    </row>
    <row r="35" spans="1:17" s="8" customFormat="1" ht="16.5" customHeight="1" x14ac:dyDescent="0.3">
      <c r="A35" s="185"/>
      <c r="B35" s="173"/>
      <c r="C35" s="159" t="s">
        <v>244</v>
      </c>
      <c r="D35" s="160"/>
      <c r="E35" s="161"/>
      <c r="F35" s="68">
        <v>1</v>
      </c>
      <c r="G35" s="72">
        <v>1000000</v>
      </c>
      <c r="H35" s="54"/>
      <c r="I35" s="54"/>
      <c r="J35" s="54"/>
      <c r="K35" s="54"/>
      <c r="L35" s="86"/>
      <c r="M35" s="86"/>
      <c r="N35" s="72">
        <v>1000000</v>
      </c>
      <c r="O35" s="72">
        <v>1000000</v>
      </c>
      <c r="P35" s="154"/>
      <c r="Q35" s="83"/>
    </row>
    <row r="36" spans="1:17" s="8" customFormat="1" ht="16.5" customHeight="1" x14ac:dyDescent="0.3">
      <c r="A36" s="185"/>
      <c r="B36" s="173"/>
      <c r="C36" s="159" t="s">
        <v>245</v>
      </c>
      <c r="D36" s="160"/>
      <c r="E36" s="161"/>
      <c r="F36" s="68">
        <v>1</v>
      </c>
      <c r="G36" s="72">
        <v>3000000</v>
      </c>
      <c r="H36" s="54"/>
      <c r="I36" s="54"/>
      <c r="J36" s="54"/>
      <c r="K36" s="54"/>
      <c r="L36" s="86"/>
      <c r="M36" s="86"/>
      <c r="N36" s="72">
        <v>3000000</v>
      </c>
      <c r="O36" s="72">
        <v>3000000</v>
      </c>
      <c r="P36" s="154"/>
      <c r="Q36" s="83"/>
    </row>
    <row r="37" spans="1:17" s="8" customFormat="1" ht="16.5" customHeight="1" x14ac:dyDescent="0.3">
      <c r="A37" s="185"/>
      <c r="B37" s="173"/>
      <c r="C37" s="159" t="s">
        <v>253</v>
      </c>
      <c r="D37" s="160"/>
      <c r="E37" s="161"/>
      <c r="F37" s="68">
        <v>1</v>
      </c>
      <c r="G37" s="72">
        <v>9000000</v>
      </c>
      <c r="H37" s="54"/>
      <c r="I37" s="54"/>
      <c r="J37" s="54"/>
      <c r="K37" s="54"/>
      <c r="L37" s="86"/>
      <c r="M37" s="86"/>
      <c r="N37" s="131">
        <v>9000000</v>
      </c>
      <c r="O37" s="131">
        <v>9000000</v>
      </c>
      <c r="P37" s="154"/>
      <c r="Q37" s="83"/>
    </row>
    <row r="38" spans="1:17" s="8" customFormat="1" ht="16.5" customHeight="1" x14ac:dyDescent="0.3">
      <c r="A38" s="185"/>
      <c r="B38" s="173"/>
      <c r="C38" s="150" t="s">
        <v>246</v>
      </c>
      <c r="D38" s="151"/>
      <c r="E38" s="152"/>
      <c r="F38" s="36">
        <v>1</v>
      </c>
      <c r="G38" s="141">
        <v>12500000</v>
      </c>
      <c r="H38" s="54"/>
      <c r="I38" s="54"/>
      <c r="J38" s="54"/>
      <c r="K38" s="54"/>
      <c r="L38" s="86"/>
      <c r="M38" s="86"/>
      <c r="N38" s="86">
        <v>12500000</v>
      </c>
      <c r="O38" s="86">
        <v>12280000</v>
      </c>
      <c r="P38" s="154"/>
      <c r="Q38" s="83" t="s">
        <v>247</v>
      </c>
    </row>
    <row r="39" spans="1:17" s="8" customFormat="1" ht="16.5" customHeight="1" x14ac:dyDescent="0.3">
      <c r="A39" s="185"/>
      <c r="B39" s="173"/>
      <c r="C39" s="150" t="s">
        <v>248</v>
      </c>
      <c r="D39" s="151"/>
      <c r="E39" s="152"/>
      <c r="F39" s="36">
        <v>2</v>
      </c>
      <c r="G39" s="141">
        <v>3000000</v>
      </c>
      <c r="H39" s="54"/>
      <c r="I39" s="54"/>
      <c r="J39" s="54"/>
      <c r="K39" s="54"/>
      <c r="L39" s="86"/>
      <c r="M39" s="86"/>
      <c r="N39" s="86">
        <v>6000000</v>
      </c>
      <c r="O39" s="142">
        <v>3000000</v>
      </c>
      <c r="P39" s="154"/>
      <c r="Q39" s="83" t="s">
        <v>263</v>
      </c>
    </row>
    <row r="40" spans="1:17" s="8" customFormat="1" ht="16.5" customHeight="1" x14ac:dyDescent="0.3">
      <c r="A40" s="185"/>
      <c r="B40" s="173"/>
      <c r="C40" s="150" t="s">
        <v>80</v>
      </c>
      <c r="D40" s="151"/>
      <c r="E40" s="152"/>
      <c r="F40" s="36">
        <v>1</v>
      </c>
      <c r="G40" s="141">
        <v>20000000</v>
      </c>
      <c r="H40" s="54"/>
      <c r="I40" s="54"/>
      <c r="J40" s="54"/>
      <c r="K40" s="105"/>
      <c r="L40" s="86">
        <v>20000000</v>
      </c>
      <c r="M40" s="86"/>
      <c r="N40" s="86">
        <v>20000000</v>
      </c>
      <c r="O40" s="86">
        <v>20000000</v>
      </c>
      <c r="P40" s="154"/>
      <c r="Q40" s="83"/>
    </row>
    <row r="41" spans="1:17" s="8" customFormat="1" ht="16.5" customHeight="1" x14ac:dyDescent="0.3">
      <c r="A41" s="185"/>
      <c r="B41" s="173"/>
      <c r="C41" s="162" t="s">
        <v>83</v>
      </c>
      <c r="D41" s="162"/>
      <c r="E41" s="162"/>
      <c r="F41" s="36">
        <v>1</v>
      </c>
      <c r="G41" s="141">
        <v>3000000</v>
      </c>
      <c r="H41" s="54"/>
      <c r="I41" s="54"/>
      <c r="J41" s="54"/>
      <c r="K41" s="54"/>
      <c r="L41" s="86">
        <v>3000000</v>
      </c>
      <c r="M41" s="86"/>
      <c r="N41" s="86">
        <v>3000000</v>
      </c>
      <c r="O41" s="86">
        <v>3000000</v>
      </c>
      <c r="P41" s="154"/>
      <c r="Q41" s="83" t="s">
        <v>89</v>
      </c>
    </row>
    <row r="42" spans="1:17" s="8" customFormat="1" ht="16.5" customHeight="1" x14ac:dyDescent="0.3">
      <c r="A42" s="185"/>
      <c r="B42" s="173"/>
      <c r="C42" s="150" t="s">
        <v>84</v>
      </c>
      <c r="D42" s="151"/>
      <c r="E42" s="152"/>
      <c r="F42" s="68">
        <v>1</v>
      </c>
      <c r="G42" s="72">
        <v>5000000</v>
      </c>
      <c r="H42" s="54"/>
      <c r="I42" s="54"/>
      <c r="J42" s="54"/>
      <c r="K42" s="105"/>
      <c r="L42" s="86">
        <v>5000000</v>
      </c>
      <c r="M42" s="86"/>
      <c r="N42" s="86">
        <v>5000000</v>
      </c>
      <c r="O42" s="86">
        <v>5000000</v>
      </c>
      <c r="P42" s="154"/>
      <c r="Q42" s="83" t="s">
        <v>90</v>
      </c>
    </row>
    <row r="43" spans="1:17" s="8" customFormat="1" ht="16.149999999999999" customHeight="1" x14ac:dyDescent="0.3">
      <c r="A43" s="185"/>
      <c r="B43" s="173"/>
      <c r="C43" s="150" t="s">
        <v>85</v>
      </c>
      <c r="D43" s="151"/>
      <c r="E43" s="152"/>
      <c r="F43" s="68">
        <v>1</v>
      </c>
      <c r="G43" s="72">
        <v>19000000</v>
      </c>
      <c r="H43" s="54"/>
      <c r="I43" s="54"/>
      <c r="J43" s="54"/>
      <c r="K43" s="54"/>
      <c r="L43" s="86">
        <v>19000000</v>
      </c>
      <c r="M43" s="86"/>
      <c r="N43" s="86">
        <v>19000000</v>
      </c>
      <c r="O43" s="86">
        <v>19000000</v>
      </c>
      <c r="P43" s="154"/>
      <c r="Q43" s="83" t="s">
        <v>91</v>
      </c>
    </row>
    <row r="44" spans="1:17" s="8" customFormat="1" ht="16.5" customHeight="1" x14ac:dyDescent="0.3">
      <c r="A44" s="185"/>
      <c r="B44" s="173"/>
      <c r="C44" s="150" t="s">
        <v>86</v>
      </c>
      <c r="D44" s="151"/>
      <c r="E44" s="152"/>
      <c r="F44" s="68">
        <v>1</v>
      </c>
      <c r="G44" s="72">
        <v>10000000</v>
      </c>
      <c r="H44" s="54"/>
      <c r="I44" s="54"/>
      <c r="J44" s="54"/>
      <c r="K44" s="105"/>
      <c r="L44" s="86">
        <v>10000000</v>
      </c>
      <c r="M44" s="86"/>
      <c r="N44" s="86">
        <v>10000000</v>
      </c>
      <c r="O44" s="86">
        <v>10000000</v>
      </c>
      <c r="P44" s="154"/>
      <c r="Q44" s="112" t="s">
        <v>92</v>
      </c>
    </row>
    <row r="45" spans="1:17" s="8" customFormat="1" ht="16.5" customHeight="1" x14ac:dyDescent="0.3">
      <c r="A45" s="185"/>
      <c r="B45" s="173"/>
      <c r="C45" s="150" t="s">
        <v>88</v>
      </c>
      <c r="D45" s="151"/>
      <c r="E45" s="152"/>
      <c r="F45" s="68">
        <v>1</v>
      </c>
      <c r="G45" s="72">
        <v>25000000</v>
      </c>
      <c r="H45" s="54"/>
      <c r="I45" s="54"/>
      <c r="J45" s="54"/>
      <c r="K45" s="105"/>
      <c r="L45" s="86">
        <v>25000000</v>
      </c>
      <c r="M45" s="86"/>
      <c r="N45" s="86">
        <v>25000000</v>
      </c>
      <c r="O45" s="86">
        <v>25000000</v>
      </c>
      <c r="P45" s="154"/>
      <c r="Q45" s="112" t="s">
        <v>93</v>
      </c>
    </row>
    <row r="46" spans="1:17" s="8" customFormat="1" ht="16.149999999999999" customHeight="1" x14ac:dyDescent="0.3">
      <c r="A46" s="185"/>
      <c r="B46" s="173"/>
      <c r="C46" s="150" t="s">
        <v>87</v>
      </c>
      <c r="D46" s="151"/>
      <c r="E46" s="152"/>
      <c r="F46" s="68">
        <v>1</v>
      </c>
      <c r="G46" s="72">
        <v>40000000</v>
      </c>
      <c r="H46" s="54"/>
      <c r="I46" s="54"/>
      <c r="J46" s="54"/>
      <c r="K46" s="54"/>
      <c r="L46" s="86">
        <v>40000000</v>
      </c>
      <c r="M46" s="86"/>
      <c r="N46" s="86">
        <v>40000000</v>
      </c>
      <c r="O46" s="86">
        <v>40000000</v>
      </c>
      <c r="P46" s="154"/>
      <c r="Q46" s="83" t="s">
        <v>94</v>
      </c>
    </row>
    <row r="47" spans="1:17" s="8" customFormat="1" ht="16.149999999999999" customHeight="1" x14ac:dyDescent="0.3">
      <c r="A47" s="185"/>
      <c r="B47" s="133"/>
      <c r="C47" s="150" t="s">
        <v>203</v>
      </c>
      <c r="D47" s="151"/>
      <c r="E47" s="152"/>
      <c r="F47" s="68">
        <v>1</v>
      </c>
      <c r="G47" s="72">
        <v>18000000</v>
      </c>
      <c r="H47" s="54"/>
      <c r="I47" s="54"/>
      <c r="J47" s="54"/>
      <c r="K47" s="54"/>
      <c r="L47" s="86">
        <v>18000000</v>
      </c>
      <c r="M47" s="86"/>
      <c r="N47" s="86">
        <v>18000000</v>
      </c>
      <c r="O47" s="86">
        <v>18000000</v>
      </c>
      <c r="P47" s="154"/>
      <c r="Q47" s="83"/>
    </row>
    <row r="48" spans="1:17" s="8" customFormat="1" ht="16.5" customHeight="1" x14ac:dyDescent="0.3">
      <c r="A48" s="185"/>
      <c r="B48" s="114" t="s">
        <v>95</v>
      </c>
      <c r="C48" s="177" t="s">
        <v>96</v>
      </c>
      <c r="D48" s="178"/>
      <c r="E48" s="179"/>
      <c r="F48" s="68">
        <v>1</v>
      </c>
      <c r="G48" s="72">
        <v>3000000</v>
      </c>
      <c r="H48" s="54"/>
      <c r="I48" s="54"/>
      <c r="J48" s="54"/>
      <c r="K48" s="54"/>
      <c r="L48" s="72">
        <v>3000000</v>
      </c>
      <c r="M48" s="72"/>
      <c r="N48" s="72">
        <v>3000000</v>
      </c>
      <c r="O48" s="72">
        <v>3000000</v>
      </c>
      <c r="P48" s="154"/>
      <c r="Q48" s="83" t="s">
        <v>97</v>
      </c>
    </row>
    <row r="49" spans="1:17" s="8" customFormat="1" ht="16.5" customHeight="1" x14ac:dyDescent="0.3">
      <c r="A49" s="185"/>
      <c r="B49" s="171" t="s">
        <v>98</v>
      </c>
      <c r="C49" s="150" t="s">
        <v>99</v>
      </c>
      <c r="D49" s="151"/>
      <c r="E49" s="152"/>
      <c r="F49" s="68">
        <v>1</v>
      </c>
      <c r="G49" s="72">
        <v>50000000</v>
      </c>
      <c r="H49" s="54"/>
      <c r="I49" s="54"/>
      <c r="J49" s="54"/>
      <c r="K49" s="105"/>
      <c r="L49" s="86">
        <v>50000000</v>
      </c>
      <c r="M49" s="86"/>
      <c r="N49" s="126">
        <v>50000000</v>
      </c>
      <c r="O49" s="126">
        <v>50000000</v>
      </c>
      <c r="P49" s="154"/>
      <c r="Q49" s="83" t="s">
        <v>101</v>
      </c>
    </row>
    <row r="50" spans="1:17" s="8" customFormat="1" ht="16.5" customHeight="1" x14ac:dyDescent="0.3">
      <c r="A50" s="185"/>
      <c r="B50" s="172"/>
      <c r="C50" s="150" t="s">
        <v>100</v>
      </c>
      <c r="D50" s="151"/>
      <c r="E50" s="152"/>
      <c r="F50" s="68">
        <v>1</v>
      </c>
      <c r="G50" s="72">
        <v>30000000</v>
      </c>
      <c r="H50" s="54"/>
      <c r="I50" s="54"/>
      <c r="J50" s="54"/>
      <c r="K50" s="54"/>
      <c r="L50" s="86">
        <v>30000000</v>
      </c>
      <c r="M50" s="86"/>
      <c r="N50" s="126">
        <v>30000000</v>
      </c>
      <c r="O50" s="126">
        <v>30000000</v>
      </c>
      <c r="P50" s="154"/>
      <c r="Q50" s="83" t="s">
        <v>102</v>
      </c>
    </row>
    <row r="51" spans="1:17" s="8" customFormat="1" ht="16.5" customHeight="1" x14ac:dyDescent="0.3">
      <c r="A51" s="185"/>
      <c r="B51" s="114" t="s">
        <v>103</v>
      </c>
      <c r="C51" s="150" t="s">
        <v>104</v>
      </c>
      <c r="D51" s="151"/>
      <c r="E51" s="152"/>
      <c r="F51" s="68">
        <v>1</v>
      </c>
      <c r="G51" s="72">
        <v>30000000</v>
      </c>
      <c r="H51" s="54"/>
      <c r="I51" s="54"/>
      <c r="J51" s="54"/>
      <c r="K51" s="105"/>
      <c r="L51" s="86">
        <v>30000000</v>
      </c>
      <c r="M51" s="86"/>
      <c r="N51" s="126">
        <v>30000000</v>
      </c>
      <c r="O51" s="126">
        <v>30000000</v>
      </c>
      <c r="P51" s="155"/>
      <c r="Q51" s="83"/>
    </row>
    <row r="52" spans="1:17" s="8" customFormat="1" ht="16.5" customHeight="1" x14ac:dyDescent="0.3">
      <c r="A52" s="185"/>
      <c r="B52" s="190" t="s">
        <v>77</v>
      </c>
      <c r="C52" s="150" t="s">
        <v>105</v>
      </c>
      <c r="D52" s="151"/>
      <c r="E52" s="152"/>
      <c r="F52" s="68">
        <v>1</v>
      </c>
      <c r="G52" s="72">
        <v>37000000</v>
      </c>
      <c r="H52" s="54"/>
      <c r="I52" s="54"/>
      <c r="J52" s="54"/>
      <c r="K52" s="54"/>
      <c r="L52" s="86">
        <v>37000000</v>
      </c>
      <c r="M52" s="37"/>
      <c r="N52" s="86">
        <v>5000000</v>
      </c>
      <c r="O52" s="86">
        <v>5000000</v>
      </c>
      <c r="P52" s="86"/>
      <c r="Q52" s="83" t="s">
        <v>106</v>
      </c>
    </row>
    <row r="53" spans="1:17" s="8" customFormat="1" ht="16.5" customHeight="1" x14ac:dyDescent="0.3">
      <c r="A53" s="185"/>
      <c r="B53" s="240"/>
      <c r="C53" s="156" t="s">
        <v>249</v>
      </c>
      <c r="D53" s="157"/>
      <c r="E53" s="158"/>
      <c r="F53" s="68">
        <v>1</v>
      </c>
      <c r="G53" s="72">
        <v>19000000</v>
      </c>
      <c r="H53" s="54"/>
      <c r="I53" s="54"/>
      <c r="J53" s="54"/>
      <c r="K53" s="54"/>
      <c r="L53" s="86"/>
      <c r="M53" s="37"/>
      <c r="N53" s="86">
        <v>19000000</v>
      </c>
      <c r="O53" s="86">
        <v>19000000</v>
      </c>
      <c r="P53" s="86"/>
      <c r="Q53" s="83"/>
    </row>
    <row r="54" spans="1:17" s="8" customFormat="1" ht="16.5" customHeight="1" x14ac:dyDescent="0.3">
      <c r="A54" s="185"/>
      <c r="B54" s="240"/>
      <c r="C54" s="168" t="s">
        <v>250</v>
      </c>
      <c r="D54" s="169"/>
      <c r="E54" s="170"/>
      <c r="F54" s="68">
        <v>1</v>
      </c>
      <c r="G54" s="72">
        <v>10000000</v>
      </c>
      <c r="H54" s="54"/>
      <c r="I54" s="54"/>
      <c r="J54" s="54"/>
      <c r="K54" s="54"/>
      <c r="L54" s="86"/>
      <c r="M54" s="37"/>
      <c r="N54" s="86">
        <v>10000000</v>
      </c>
      <c r="O54" s="86">
        <v>10000000</v>
      </c>
      <c r="P54" s="86"/>
      <c r="Q54" s="83"/>
    </row>
    <row r="55" spans="1:17" s="8" customFormat="1" ht="16.5" customHeight="1" x14ac:dyDescent="0.3">
      <c r="A55" s="185"/>
      <c r="B55" s="240"/>
      <c r="C55" s="156" t="s">
        <v>251</v>
      </c>
      <c r="D55" s="157"/>
      <c r="E55" s="158"/>
      <c r="F55" s="68">
        <v>1</v>
      </c>
      <c r="G55" s="72">
        <v>1500000</v>
      </c>
      <c r="H55" s="54"/>
      <c r="I55" s="54"/>
      <c r="J55" s="54"/>
      <c r="K55" s="54"/>
      <c r="L55" s="86"/>
      <c r="M55" s="37"/>
      <c r="N55" s="86">
        <v>1500000</v>
      </c>
      <c r="O55" s="86">
        <v>1500000</v>
      </c>
      <c r="P55" s="86"/>
      <c r="Q55" s="83"/>
    </row>
    <row r="56" spans="1:17" s="8" customFormat="1" ht="16.5" customHeight="1" x14ac:dyDescent="0.3">
      <c r="A56" s="185"/>
      <c r="B56" s="240"/>
      <c r="C56" s="156" t="s">
        <v>252</v>
      </c>
      <c r="D56" s="157"/>
      <c r="E56" s="158"/>
      <c r="F56" s="68">
        <v>1</v>
      </c>
      <c r="G56" s="72">
        <v>1500000</v>
      </c>
      <c r="H56" s="54"/>
      <c r="I56" s="54"/>
      <c r="J56" s="54"/>
      <c r="K56" s="54"/>
      <c r="L56" s="86"/>
      <c r="M56" s="37"/>
      <c r="N56" s="86">
        <v>1500000</v>
      </c>
      <c r="O56" s="86">
        <v>1500000</v>
      </c>
      <c r="P56" s="86"/>
      <c r="Q56" s="83"/>
    </row>
    <row r="57" spans="1:17" s="8" customFormat="1" ht="16.149999999999999" customHeight="1" thickBot="1" x14ac:dyDescent="0.35">
      <c r="A57" s="185"/>
      <c r="B57" s="191"/>
      <c r="C57" s="150" t="s">
        <v>84</v>
      </c>
      <c r="D57" s="151"/>
      <c r="E57" s="152"/>
      <c r="F57" s="68">
        <v>1</v>
      </c>
      <c r="G57" s="72">
        <v>2500000</v>
      </c>
      <c r="H57" s="54"/>
      <c r="I57" s="54"/>
      <c r="J57" s="54"/>
      <c r="K57" s="105"/>
      <c r="L57" s="86">
        <v>2500000</v>
      </c>
      <c r="M57" s="37"/>
      <c r="N57" s="86">
        <v>2500000</v>
      </c>
      <c r="O57" s="86">
        <v>2500000</v>
      </c>
      <c r="P57" s="86"/>
      <c r="Q57" s="83" t="s">
        <v>90</v>
      </c>
    </row>
    <row r="58" spans="1:17" s="8" customFormat="1" ht="16.5" customHeight="1" thickBot="1" x14ac:dyDescent="0.35">
      <c r="A58" s="186"/>
      <c r="B58" s="165"/>
      <c r="C58" s="165"/>
      <c r="D58" s="165"/>
      <c r="E58" s="165"/>
      <c r="F58" s="165"/>
      <c r="G58" s="166"/>
      <c r="H58" s="51">
        <f>SUM(H21:H57)</f>
        <v>51000000</v>
      </c>
      <c r="I58" s="51">
        <f>SUM(I21:I57)</f>
        <v>51000000</v>
      </c>
      <c r="J58" s="51">
        <f>SUM(J21:J57)</f>
        <v>0</v>
      </c>
      <c r="K58" s="51">
        <f>SUM(K21:K57)</f>
        <v>78000000</v>
      </c>
      <c r="L58" s="87">
        <f>SUM(L21:L57)</f>
        <v>447100000</v>
      </c>
      <c r="M58" s="87"/>
      <c r="N58" s="87">
        <f>SUM(N21:N57)</f>
        <v>463850000</v>
      </c>
      <c r="O58" s="87">
        <f>SUM(O21:O57)</f>
        <v>458630000</v>
      </c>
      <c r="P58" s="87">
        <f>SUM(P21:P57)</f>
        <v>268000000</v>
      </c>
      <c r="Q58" s="84"/>
    </row>
    <row r="59" spans="1:17" s="8" customFormat="1" ht="16.5" customHeight="1" x14ac:dyDescent="0.3">
      <c r="A59" s="192" t="s">
        <v>62</v>
      </c>
      <c r="B59" s="75" t="s">
        <v>45</v>
      </c>
      <c r="C59" s="177" t="s">
        <v>200</v>
      </c>
      <c r="D59" s="178"/>
      <c r="E59" s="179"/>
      <c r="F59" s="36">
        <v>1</v>
      </c>
      <c r="G59" s="37">
        <v>20000000</v>
      </c>
      <c r="H59" s="37">
        <f>F59*G59</f>
        <v>20000000</v>
      </c>
      <c r="I59" s="37">
        <f>H59*1</f>
        <v>20000000</v>
      </c>
      <c r="J59" s="37"/>
      <c r="K59" s="88">
        <v>18000000</v>
      </c>
      <c r="L59" s="88">
        <v>11000000</v>
      </c>
      <c r="M59" s="88"/>
      <c r="N59" s="127">
        <v>9300000</v>
      </c>
      <c r="O59" s="88">
        <v>9300000</v>
      </c>
      <c r="P59" s="88">
        <v>18000000</v>
      </c>
      <c r="Q59" s="83" t="s">
        <v>198</v>
      </c>
    </row>
    <row r="60" spans="1:17" s="8" customFormat="1" ht="16.149999999999999" customHeight="1" x14ac:dyDescent="0.3">
      <c r="A60" s="192"/>
      <c r="B60" s="171" t="s">
        <v>46</v>
      </c>
      <c r="C60" s="150" t="s">
        <v>107</v>
      </c>
      <c r="D60" s="151"/>
      <c r="E60" s="152"/>
      <c r="F60" s="36">
        <v>1</v>
      </c>
      <c r="G60" s="37">
        <v>8000000</v>
      </c>
      <c r="H60" s="37">
        <f>G60</f>
        <v>8000000</v>
      </c>
      <c r="I60" s="37"/>
      <c r="J60" s="37">
        <f>H60</f>
        <v>8000000</v>
      </c>
      <c r="K60" s="88">
        <v>37000000</v>
      </c>
      <c r="L60" s="88">
        <v>8000000</v>
      </c>
      <c r="M60" s="88"/>
      <c r="N60" s="88">
        <v>8000000</v>
      </c>
      <c r="O60" s="88">
        <v>8000000</v>
      </c>
      <c r="P60" s="120">
        <v>46000000</v>
      </c>
      <c r="Q60" s="83"/>
    </row>
    <row r="61" spans="1:17" s="8" customFormat="1" ht="16.149999999999999" customHeight="1" x14ac:dyDescent="0.3">
      <c r="A61" s="192"/>
      <c r="B61" s="173"/>
      <c r="C61" s="150" t="s">
        <v>108</v>
      </c>
      <c r="D61" s="151"/>
      <c r="E61" s="152"/>
      <c r="F61" s="36">
        <v>1</v>
      </c>
      <c r="G61" s="37">
        <v>5000000</v>
      </c>
      <c r="H61" s="37"/>
      <c r="I61" s="37"/>
      <c r="J61" s="37"/>
      <c r="K61" s="88"/>
      <c r="L61" s="88">
        <v>5000000</v>
      </c>
      <c r="M61" s="88"/>
      <c r="N61" s="88">
        <v>5000000</v>
      </c>
      <c r="O61" s="88">
        <v>5000000</v>
      </c>
      <c r="P61" s="98"/>
      <c r="Q61" s="119" t="s">
        <v>109</v>
      </c>
    </row>
    <row r="62" spans="1:17" s="8" customFormat="1" ht="16.149999999999999" customHeight="1" x14ac:dyDescent="0.3">
      <c r="A62" s="192"/>
      <c r="B62" s="173"/>
      <c r="C62" s="150" t="s">
        <v>110</v>
      </c>
      <c r="D62" s="151"/>
      <c r="E62" s="152"/>
      <c r="F62" s="36">
        <v>1</v>
      </c>
      <c r="G62" s="37">
        <v>6000000</v>
      </c>
      <c r="H62" s="37"/>
      <c r="I62" s="37"/>
      <c r="J62" s="37"/>
      <c r="K62" s="88"/>
      <c r="L62" s="88">
        <v>6000000</v>
      </c>
      <c r="M62" s="88"/>
      <c r="N62" s="88">
        <v>6000000</v>
      </c>
      <c r="O62" s="88">
        <v>6000000</v>
      </c>
      <c r="P62" s="98"/>
      <c r="Q62" s="119" t="s">
        <v>111</v>
      </c>
    </row>
    <row r="63" spans="1:17" s="8" customFormat="1" ht="16.149999999999999" customHeight="1" x14ac:dyDescent="0.3">
      <c r="A63" s="192"/>
      <c r="B63" s="173"/>
      <c r="C63" s="150" t="s">
        <v>65</v>
      </c>
      <c r="D63" s="151"/>
      <c r="E63" s="152"/>
      <c r="F63" s="36">
        <v>1</v>
      </c>
      <c r="G63" s="37">
        <v>5000000</v>
      </c>
      <c r="H63" s="37"/>
      <c r="I63" s="37"/>
      <c r="J63" s="37"/>
      <c r="K63" s="88"/>
      <c r="L63" s="88">
        <v>5000000</v>
      </c>
      <c r="M63" s="88"/>
      <c r="N63" s="88">
        <v>5000000</v>
      </c>
      <c r="O63" s="88">
        <v>5000000</v>
      </c>
      <c r="P63" s="98"/>
      <c r="Q63" s="119"/>
    </row>
    <row r="64" spans="1:17" s="8" customFormat="1" ht="16.149999999999999" customHeight="1" x14ac:dyDescent="0.3">
      <c r="A64" s="192"/>
      <c r="B64" s="173"/>
      <c r="C64" s="150" t="s">
        <v>112</v>
      </c>
      <c r="D64" s="151"/>
      <c r="E64" s="152"/>
      <c r="F64" s="36">
        <v>1</v>
      </c>
      <c r="G64" s="37">
        <v>4500000</v>
      </c>
      <c r="H64" s="37"/>
      <c r="I64" s="37"/>
      <c r="J64" s="37"/>
      <c r="K64" s="88"/>
      <c r="L64" s="88">
        <v>4500000</v>
      </c>
      <c r="M64" s="88"/>
      <c r="N64" s="88">
        <v>4000000</v>
      </c>
      <c r="O64" s="88">
        <v>4000000</v>
      </c>
      <c r="P64" s="98"/>
      <c r="Q64" s="119"/>
    </row>
    <row r="65" spans="1:17" s="8" customFormat="1" ht="16.149999999999999" customHeight="1" x14ac:dyDescent="0.3">
      <c r="A65" s="192"/>
      <c r="B65" s="172"/>
      <c r="C65" s="150" t="s">
        <v>113</v>
      </c>
      <c r="D65" s="151"/>
      <c r="E65" s="152"/>
      <c r="F65" s="36">
        <v>1</v>
      </c>
      <c r="G65" s="37">
        <v>8500000</v>
      </c>
      <c r="H65" s="37"/>
      <c r="I65" s="37"/>
      <c r="J65" s="37"/>
      <c r="K65" s="88"/>
      <c r="L65" s="88">
        <v>8500000</v>
      </c>
      <c r="M65" s="88"/>
      <c r="N65" s="106">
        <v>10000000</v>
      </c>
      <c r="O65" s="88">
        <v>10000000</v>
      </c>
      <c r="P65" s="88"/>
      <c r="Q65" s="119"/>
    </row>
    <row r="66" spans="1:17" s="8" customFormat="1" ht="16.149999999999999" customHeight="1" x14ac:dyDescent="0.3">
      <c r="A66" s="192"/>
      <c r="B66" s="171" t="s">
        <v>61</v>
      </c>
      <c r="C66" s="150" t="s">
        <v>114</v>
      </c>
      <c r="D66" s="151"/>
      <c r="E66" s="152"/>
      <c r="F66" s="36">
        <v>1</v>
      </c>
      <c r="G66" s="37">
        <v>38000000</v>
      </c>
      <c r="H66" s="37"/>
      <c r="I66" s="37"/>
      <c r="J66" s="37"/>
      <c r="K66" s="88"/>
      <c r="L66" s="88">
        <v>38000000</v>
      </c>
      <c r="M66" s="88"/>
      <c r="N66" s="88">
        <v>38000000</v>
      </c>
      <c r="O66" s="88">
        <v>38000000</v>
      </c>
      <c r="P66" s="120">
        <v>38400000</v>
      </c>
      <c r="Q66" s="119" t="s">
        <v>115</v>
      </c>
    </row>
    <row r="67" spans="1:17" s="8" customFormat="1" ht="16.149999999999999" customHeight="1" x14ac:dyDescent="0.3">
      <c r="A67" s="192"/>
      <c r="B67" s="173"/>
      <c r="C67" s="150" t="s">
        <v>116</v>
      </c>
      <c r="D67" s="151"/>
      <c r="E67" s="152"/>
      <c r="F67" s="36">
        <v>1</v>
      </c>
      <c r="G67" s="37">
        <v>12000000</v>
      </c>
      <c r="H67" s="37"/>
      <c r="I67" s="37"/>
      <c r="J67" s="37"/>
      <c r="K67" s="88"/>
      <c r="L67" s="88">
        <v>12000000</v>
      </c>
      <c r="M67" s="88"/>
      <c r="N67" s="88">
        <v>15800000</v>
      </c>
      <c r="O67" s="88">
        <v>15800000</v>
      </c>
      <c r="P67" s="98"/>
      <c r="Q67" s="119" t="s">
        <v>207</v>
      </c>
    </row>
    <row r="68" spans="1:17" s="8" customFormat="1" ht="16.149999999999999" customHeight="1" x14ac:dyDescent="0.3">
      <c r="A68" s="192"/>
      <c r="B68" s="173"/>
      <c r="C68" s="150" t="s">
        <v>117</v>
      </c>
      <c r="D68" s="151"/>
      <c r="E68" s="152"/>
      <c r="F68" s="36">
        <v>1</v>
      </c>
      <c r="G68" s="37">
        <v>3000000</v>
      </c>
      <c r="H68" s="37"/>
      <c r="I68" s="37"/>
      <c r="J68" s="37"/>
      <c r="K68" s="88"/>
      <c r="L68" s="88">
        <v>3000000</v>
      </c>
      <c r="M68" s="88"/>
      <c r="N68" s="88">
        <v>3000000</v>
      </c>
      <c r="O68" s="88">
        <v>3000000</v>
      </c>
      <c r="P68" s="98"/>
      <c r="Q68" s="119" t="s">
        <v>118</v>
      </c>
    </row>
    <row r="69" spans="1:17" s="8" customFormat="1" ht="16.149999999999999" customHeight="1" x14ac:dyDescent="0.3">
      <c r="A69" s="192"/>
      <c r="B69" s="173"/>
      <c r="C69" s="150" t="s">
        <v>119</v>
      </c>
      <c r="D69" s="151"/>
      <c r="E69" s="152"/>
      <c r="F69" s="36">
        <v>1</v>
      </c>
      <c r="G69" s="37">
        <v>1600000</v>
      </c>
      <c r="H69" s="37"/>
      <c r="I69" s="37"/>
      <c r="J69" s="37"/>
      <c r="K69" s="88"/>
      <c r="L69" s="88">
        <v>1600000</v>
      </c>
      <c r="M69" s="88"/>
      <c r="N69" s="88">
        <v>1600000</v>
      </c>
      <c r="O69" s="88">
        <v>1600000</v>
      </c>
      <c r="P69" s="98"/>
      <c r="Q69" s="119" t="s">
        <v>120</v>
      </c>
    </row>
    <row r="70" spans="1:17" s="8" customFormat="1" ht="16.149999999999999" customHeight="1" x14ac:dyDescent="0.3">
      <c r="A70" s="192"/>
      <c r="B70" s="173"/>
      <c r="C70" s="150" t="s">
        <v>121</v>
      </c>
      <c r="D70" s="151"/>
      <c r="E70" s="152"/>
      <c r="F70" s="36">
        <v>1</v>
      </c>
      <c r="G70" s="37">
        <v>2500000</v>
      </c>
      <c r="H70" s="37"/>
      <c r="I70" s="37"/>
      <c r="J70" s="37"/>
      <c r="K70" s="88"/>
      <c r="L70" s="88">
        <v>2500000</v>
      </c>
      <c r="M70" s="88"/>
      <c r="N70" s="88">
        <v>2500000</v>
      </c>
      <c r="O70" s="88">
        <v>2500000</v>
      </c>
      <c r="P70" s="98"/>
      <c r="Q70" s="119" t="s">
        <v>122</v>
      </c>
    </row>
    <row r="71" spans="1:17" s="8" customFormat="1" ht="16.149999999999999" customHeight="1" x14ac:dyDescent="0.3">
      <c r="A71" s="192"/>
      <c r="B71" s="172"/>
      <c r="C71" s="150" t="s">
        <v>123</v>
      </c>
      <c r="D71" s="151"/>
      <c r="E71" s="152"/>
      <c r="F71" s="36">
        <v>1</v>
      </c>
      <c r="G71" s="37">
        <v>10000000</v>
      </c>
      <c r="H71" s="37"/>
      <c r="I71" s="37"/>
      <c r="J71" s="37"/>
      <c r="K71" s="88"/>
      <c r="L71" s="88">
        <v>10000000</v>
      </c>
      <c r="M71" s="88"/>
      <c r="N71" s="127">
        <v>4335000</v>
      </c>
      <c r="O71" s="88">
        <v>4335000</v>
      </c>
      <c r="P71" s="88"/>
      <c r="Q71" s="119" t="s">
        <v>208</v>
      </c>
    </row>
    <row r="72" spans="1:17" s="8" customFormat="1" ht="16.149999999999999" customHeight="1" x14ac:dyDescent="0.3">
      <c r="A72" s="192"/>
      <c r="B72" s="190" t="s">
        <v>124</v>
      </c>
      <c r="C72" s="150" t="s">
        <v>125</v>
      </c>
      <c r="D72" s="151"/>
      <c r="E72" s="152"/>
      <c r="F72" s="36">
        <v>1</v>
      </c>
      <c r="G72" s="37">
        <v>5600000</v>
      </c>
      <c r="H72" s="37">
        <f t="shared" ref="H72:H112" si="2">F72*G72</f>
        <v>5600000</v>
      </c>
      <c r="I72" s="37"/>
      <c r="J72" s="37">
        <f>H72*1</f>
        <v>5600000</v>
      </c>
      <c r="K72" s="106">
        <v>54600000</v>
      </c>
      <c r="L72" s="37">
        <v>5600000</v>
      </c>
      <c r="M72" s="37"/>
      <c r="N72" s="88">
        <v>5600000</v>
      </c>
      <c r="O72" s="88">
        <v>5600000</v>
      </c>
      <c r="P72" s="88"/>
      <c r="Q72" s="113" t="s">
        <v>127</v>
      </c>
    </row>
    <row r="73" spans="1:17" s="8" customFormat="1" ht="16.5" customHeight="1" x14ac:dyDescent="0.3">
      <c r="A73" s="192"/>
      <c r="B73" s="191"/>
      <c r="C73" s="150" t="s">
        <v>126</v>
      </c>
      <c r="D73" s="151"/>
      <c r="E73" s="152"/>
      <c r="F73" s="36">
        <v>1</v>
      </c>
      <c r="G73" s="37">
        <v>9800000</v>
      </c>
      <c r="H73" s="37"/>
      <c r="I73" s="37"/>
      <c r="J73" s="37"/>
      <c r="K73" s="106"/>
      <c r="L73" s="37">
        <v>9800000</v>
      </c>
      <c r="M73" s="37"/>
      <c r="N73" s="88">
        <v>9800000</v>
      </c>
      <c r="O73" s="88">
        <v>9800000</v>
      </c>
      <c r="P73" s="88"/>
      <c r="Q73" s="113" t="s">
        <v>127</v>
      </c>
    </row>
    <row r="74" spans="1:17" s="8" customFormat="1" ht="16.5" customHeight="1" x14ac:dyDescent="0.3">
      <c r="A74" s="192"/>
      <c r="B74" s="171" t="s">
        <v>130</v>
      </c>
      <c r="C74" s="150" t="s">
        <v>128</v>
      </c>
      <c r="D74" s="151"/>
      <c r="E74" s="152"/>
      <c r="F74" s="36">
        <v>1</v>
      </c>
      <c r="G74" s="37">
        <v>9000000</v>
      </c>
      <c r="H74" s="37">
        <f t="shared" si="2"/>
        <v>9000000</v>
      </c>
      <c r="I74" s="37"/>
      <c r="J74" s="37">
        <f>H74*1</f>
        <v>9000000</v>
      </c>
      <c r="K74" s="106">
        <v>78000000</v>
      </c>
      <c r="L74" s="88">
        <v>9000000</v>
      </c>
      <c r="M74" s="88"/>
      <c r="N74" s="88">
        <v>9000000</v>
      </c>
      <c r="O74" s="88">
        <v>9000000</v>
      </c>
      <c r="P74" s="120">
        <v>71500000</v>
      </c>
      <c r="Q74" s="83" t="s">
        <v>129</v>
      </c>
    </row>
    <row r="75" spans="1:17" s="8" customFormat="1" ht="16.5" customHeight="1" x14ac:dyDescent="0.3">
      <c r="A75" s="192"/>
      <c r="B75" s="173"/>
      <c r="C75" s="150" t="s">
        <v>209</v>
      </c>
      <c r="D75" s="151"/>
      <c r="E75" s="152"/>
      <c r="F75" s="36">
        <v>1</v>
      </c>
      <c r="G75" s="37">
        <v>10000000</v>
      </c>
      <c r="H75" s="37"/>
      <c r="I75" s="37"/>
      <c r="J75" s="37"/>
      <c r="K75" s="106"/>
      <c r="L75" s="88">
        <v>5000000</v>
      </c>
      <c r="M75" s="88"/>
      <c r="N75" s="88">
        <v>10000000</v>
      </c>
      <c r="O75" s="88">
        <v>6500000</v>
      </c>
      <c r="P75" s="98"/>
      <c r="Q75" s="83" t="s">
        <v>210</v>
      </c>
    </row>
    <row r="76" spans="1:17" s="8" customFormat="1" ht="16.5" customHeight="1" x14ac:dyDescent="0.3">
      <c r="A76" s="192"/>
      <c r="B76" s="173"/>
      <c r="C76" s="150" t="s">
        <v>199</v>
      </c>
      <c r="D76" s="151"/>
      <c r="E76" s="152"/>
      <c r="F76" s="36">
        <v>1</v>
      </c>
      <c r="G76" s="37">
        <v>10000000</v>
      </c>
      <c r="H76" s="37"/>
      <c r="I76" s="37"/>
      <c r="J76" s="37"/>
      <c r="K76" s="106"/>
      <c r="L76" s="88">
        <v>10000000</v>
      </c>
      <c r="M76" s="88"/>
      <c r="N76" s="88">
        <v>8000000</v>
      </c>
      <c r="O76" s="149">
        <v>8000000</v>
      </c>
      <c r="P76" s="98"/>
      <c r="Q76" s="83" t="s">
        <v>131</v>
      </c>
    </row>
    <row r="77" spans="1:17" s="8" customFormat="1" ht="16.5" customHeight="1" x14ac:dyDescent="0.3">
      <c r="A77" s="192"/>
      <c r="B77" s="173"/>
      <c r="C77" s="150" t="s">
        <v>132</v>
      </c>
      <c r="D77" s="151"/>
      <c r="E77" s="152"/>
      <c r="F77" s="36">
        <v>1</v>
      </c>
      <c r="G77" s="37">
        <v>10000000</v>
      </c>
      <c r="H77" s="37"/>
      <c r="I77" s="37"/>
      <c r="J77" s="37"/>
      <c r="K77" s="106"/>
      <c r="L77" s="88">
        <v>5000000</v>
      </c>
      <c r="M77" s="37"/>
      <c r="N77" s="88">
        <v>3500000</v>
      </c>
      <c r="O77" s="149">
        <v>3500000</v>
      </c>
      <c r="P77" s="98"/>
      <c r="Q77" s="83" t="s">
        <v>211</v>
      </c>
    </row>
    <row r="78" spans="1:17" s="8" customFormat="1" ht="16.5" customHeight="1" x14ac:dyDescent="0.3">
      <c r="A78" s="192"/>
      <c r="B78" s="173"/>
      <c r="C78" s="150" t="s">
        <v>133</v>
      </c>
      <c r="D78" s="151"/>
      <c r="E78" s="152"/>
      <c r="F78" s="36">
        <v>1</v>
      </c>
      <c r="G78" s="37">
        <v>4000000</v>
      </c>
      <c r="H78" s="37"/>
      <c r="I78" s="37"/>
      <c r="J78" s="37"/>
      <c r="K78" s="106"/>
      <c r="L78" s="88">
        <v>4000000</v>
      </c>
      <c r="M78" s="37"/>
      <c r="N78" s="135">
        <v>5000000</v>
      </c>
      <c r="O78" s="149">
        <v>4853160</v>
      </c>
      <c r="P78" s="98"/>
      <c r="Q78" s="83" t="s">
        <v>264</v>
      </c>
    </row>
    <row r="79" spans="1:17" s="8" customFormat="1" ht="16.5" customHeight="1" x14ac:dyDescent="0.3">
      <c r="A79" s="192"/>
      <c r="B79" s="172"/>
      <c r="C79" s="150" t="s">
        <v>134</v>
      </c>
      <c r="D79" s="151"/>
      <c r="E79" s="152"/>
      <c r="F79" s="36">
        <v>1</v>
      </c>
      <c r="G79" s="37">
        <v>2000000</v>
      </c>
      <c r="H79" s="37"/>
      <c r="I79" s="37"/>
      <c r="J79" s="37"/>
      <c r="K79" s="106"/>
      <c r="L79" s="88">
        <v>2000000</v>
      </c>
      <c r="M79" s="37"/>
      <c r="N79" s="88">
        <v>2000000</v>
      </c>
      <c r="O79" s="149">
        <v>1984000</v>
      </c>
      <c r="P79" s="98"/>
      <c r="Q79" s="83" t="s">
        <v>135</v>
      </c>
    </row>
    <row r="80" spans="1:17" s="8" customFormat="1" ht="16.5" customHeight="1" x14ac:dyDescent="0.3">
      <c r="A80" s="192"/>
      <c r="B80" s="171" t="s">
        <v>140</v>
      </c>
      <c r="C80" s="150" t="s">
        <v>136</v>
      </c>
      <c r="D80" s="151"/>
      <c r="E80" s="152"/>
      <c r="F80" s="36">
        <v>1</v>
      </c>
      <c r="G80" s="37">
        <v>5000000</v>
      </c>
      <c r="H80" s="37"/>
      <c r="I80" s="37"/>
      <c r="J80" s="37"/>
      <c r="K80" s="106"/>
      <c r="L80" s="37">
        <v>5000000</v>
      </c>
      <c r="M80" s="37"/>
      <c r="N80" s="37">
        <v>5000000</v>
      </c>
      <c r="O80" s="88">
        <v>5000000</v>
      </c>
      <c r="P80" s="98"/>
      <c r="Q80" s="83"/>
    </row>
    <row r="81" spans="1:17" s="8" customFormat="1" ht="16.5" customHeight="1" x14ac:dyDescent="0.3">
      <c r="A81" s="192"/>
      <c r="B81" s="172"/>
      <c r="C81" s="150" t="s">
        <v>137</v>
      </c>
      <c r="D81" s="151"/>
      <c r="E81" s="152"/>
      <c r="F81" s="36">
        <v>1</v>
      </c>
      <c r="G81" s="37">
        <v>4000000</v>
      </c>
      <c r="H81" s="37"/>
      <c r="I81" s="37"/>
      <c r="J81" s="37"/>
      <c r="K81" s="106"/>
      <c r="L81" s="37">
        <v>4000000</v>
      </c>
      <c r="M81" s="37"/>
      <c r="N81" s="37">
        <v>4000000</v>
      </c>
      <c r="O81" s="88">
        <v>4000000</v>
      </c>
      <c r="P81" s="98"/>
      <c r="Q81" s="83"/>
    </row>
    <row r="82" spans="1:17" s="8" customFormat="1" ht="16.5" customHeight="1" x14ac:dyDescent="0.3">
      <c r="A82" s="192"/>
      <c r="B82" s="114" t="s">
        <v>142</v>
      </c>
      <c r="C82" s="150" t="s">
        <v>143</v>
      </c>
      <c r="D82" s="151"/>
      <c r="E82" s="152"/>
      <c r="F82" s="36">
        <v>1</v>
      </c>
      <c r="G82" s="37">
        <v>1000000</v>
      </c>
      <c r="H82" s="37"/>
      <c r="I82" s="37"/>
      <c r="J82" s="37"/>
      <c r="K82" s="106"/>
      <c r="L82" s="37">
        <v>1000000</v>
      </c>
      <c r="M82" s="37"/>
      <c r="N82" s="37">
        <v>1000000</v>
      </c>
      <c r="O82" s="88">
        <v>1000000</v>
      </c>
      <c r="P82" s="98"/>
      <c r="Q82" s="83"/>
    </row>
    <row r="83" spans="1:17" s="8" customFormat="1" ht="16.5" customHeight="1" x14ac:dyDescent="0.3">
      <c r="A83" s="192"/>
      <c r="B83" s="114" t="s">
        <v>147</v>
      </c>
      <c r="C83" s="150" t="s">
        <v>148</v>
      </c>
      <c r="D83" s="151"/>
      <c r="E83" s="152"/>
      <c r="F83" s="36">
        <v>1</v>
      </c>
      <c r="G83" s="37">
        <v>1000000</v>
      </c>
      <c r="H83" s="37"/>
      <c r="I83" s="37"/>
      <c r="J83" s="37"/>
      <c r="K83" s="106"/>
      <c r="L83" s="88">
        <v>1000000</v>
      </c>
      <c r="M83" s="88"/>
      <c r="N83" s="88">
        <v>1000000</v>
      </c>
      <c r="O83" s="88">
        <v>1000000</v>
      </c>
      <c r="P83" s="98"/>
      <c r="Q83" s="83" t="s">
        <v>266</v>
      </c>
    </row>
    <row r="84" spans="1:17" s="8" customFormat="1" ht="16.5" customHeight="1" x14ac:dyDescent="0.3">
      <c r="A84" s="192"/>
      <c r="B84" s="171" t="s">
        <v>153</v>
      </c>
      <c r="C84" s="150" t="s">
        <v>154</v>
      </c>
      <c r="D84" s="151"/>
      <c r="E84" s="152"/>
      <c r="F84" s="36">
        <v>1</v>
      </c>
      <c r="G84" s="37">
        <v>3000000</v>
      </c>
      <c r="H84" s="37"/>
      <c r="I84" s="37"/>
      <c r="J84" s="37"/>
      <c r="K84" s="106"/>
      <c r="L84" s="88">
        <v>3000000</v>
      </c>
      <c r="M84" s="88"/>
      <c r="N84" s="127">
        <v>1500000</v>
      </c>
      <c r="O84" s="88">
        <v>800000</v>
      </c>
      <c r="P84" s="98"/>
      <c r="Q84" s="83" t="s">
        <v>214</v>
      </c>
    </row>
    <row r="85" spans="1:17" s="8" customFormat="1" ht="16.5" customHeight="1" x14ac:dyDescent="0.3">
      <c r="A85" s="192"/>
      <c r="B85" s="172"/>
      <c r="C85" s="150" t="s">
        <v>215</v>
      </c>
      <c r="D85" s="151"/>
      <c r="E85" s="152"/>
      <c r="F85" s="36">
        <v>1</v>
      </c>
      <c r="G85" s="37">
        <v>1465000</v>
      </c>
      <c r="H85" s="37"/>
      <c r="I85" s="37"/>
      <c r="J85" s="37"/>
      <c r="K85" s="106"/>
      <c r="L85" s="88"/>
      <c r="M85" s="88"/>
      <c r="N85" s="135">
        <v>2925000</v>
      </c>
      <c r="O85" s="88">
        <v>1465000</v>
      </c>
      <c r="P85" s="98"/>
      <c r="Q85" s="143" t="s">
        <v>216</v>
      </c>
    </row>
    <row r="86" spans="1:17" s="8" customFormat="1" ht="16.5" customHeight="1" x14ac:dyDescent="0.3">
      <c r="A86" s="192"/>
      <c r="B86" s="114" t="s">
        <v>155</v>
      </c>
      <c r="C86" s="150" t="s">
        <v>156</v>
      </c>
      <c r="D86" s="151"/>
      <c r="E86" s="152"/>
      <c r="F86" s="36">
        <v>1</v>
      </c>
      <c r="G86" s="37">
        <v>2000000</v>
      </c>
      <c r="H86" s="37"/>
      <c r="I86" s="37"/>
      <c r="J86" s="37"/>
      <c r="K86" s="106"/>
      <c r="L86" s="88">
        <v>2000000</v>
      </c>
      <c r="M86" s="88"/>
      <c r="N86" s="88">
        <v>1500000</v>
      </c>
      <c r="O86" s="149">
        <v>1486000</v>
      </c>
      <c r="P86" s="98"/>
      <c r="Q86" s="83" t="s">
        <v>265</v>
      </c>
    </row>
    <row r="87" spans="1:17" s="8" customFormat="1" ht="16.5" customHeight="1" x14ac:dyDescent="0.3">
      <c r="A87" s="192"/>
      <c r="B87" s="171" t="s">
        <v>157</v>
      </c>
      <c r="C87" s="150" t="s">
        <v>158</v>
      </c>
      <c r="D87" s="151"/>
      <c r="E87" s="152"/>
      <c r="F87" s="36">
        <v>1</v>
      </c>
      <c r="G87" s="37">
        <v>2000000</v>
      </c>
      <c r="H87" s="37"/>
      <c r="I87" s="37"/>
      <c r="J87" s="37"/>
      <c r="K87" s="106"/>
      <c r="L87" s="88">
        <v>2000000</v>
      </c>
      <c r="M87" s="88"/>
      <c r="N87" s="127">
        <v>1564400</v>
      </c>
      <c r="O87" s="88">
        <v>1564400</v>
      </c>
      <c r="P87" s="98"/>
      <c r="Q87" s="83"/>
    </row>
    <row r="88" spans="1:17" s="8" customFormat="1" ht="16.5" customHeight="1" x14ac:dyDescent="0.3">
      <c r="A88" s="192"/>
      <c r="B88" s="173"/>
      <c r="C88" s="174" t="s">
        <v>254</v>
      </c>
      <c r="D88" s="175"/>
      <c r="E88" s="176"/>
      <c r="F88" s="132">
        <v>1</v>
      </c>
      <c r="G88" s="88">
        <v>163260</v>
      </c>
      <c r="H88" s="88"/>
      <c r="I88" s="88"/>
      <c r="J88" s="88"/>
      <c r="K88" s="88"/>
      <c r="L88" s="88"/>
      <c r="M88" s="88"/>
      <c r="N88" s="127">
        <v>163260</v>
      </c>
      <c r="O88" s="88">
        <v>163260</v>
      </c>
      <c r="P88" s="98"/>
      <c r="Q88" s="83"/>
    </row>
    <row r="89" spans="1:17" s="8" customFormat="1" ht="16.5" customHeight="1" x14ac:dyDescent="0.3">
      <c r="A89" s="192"/>
      <c r="B89" s="172"/>
      <c r="C89" s="174" t="s">
        <v>255</v>
      </c>
      <c r="D89" s="175"/>
      <c r="E89" s="176"/>
      <c r="F89" s="132">
        <v>1</v>
      </c>
      <c r="G89" s="88">
        <v>3701069</v>
      </c>
      <c r="H89" s="88"/>
      <c r="I89" s="88"/>
      <c r="J89" s="88"/>
      <c r="K89" s="88"/>
      <c r="L89" s="88"/>
      <c r="M89" s="88"/>
      <c r="N89" s="88">
        <v>3701069</v>
      </c>
      <c r="O89" s="88">
        <v>3701069</v>
      </c>
      <c r="P89" s="98"/>
      <c r="Q89" s="83"/>
    </row>
    <row r="90" spans="1:17" s="8" customFormat="1" ht="16.5" customHeight="1" x14ac:dyDescent="0.3">
      <c r="A90" s="192"/>
      <c r="B90" s="171" t="s">
        <v>217</v>
      </c>
      <c r="C90" s="150" t="s">
        <v>218</v>
      </c>
      <c r="D90" s="151"/>
      <c r="E90" s="152"/>
      <c r="F90" s="36">
        <v>1</v>
      </c>
      <c r="G90" s="37">
        <v>3000000</v>
      </c>
      <c r="H90" s="37"/>
      <c r="I90" s="37"/>
      <c r="J90" s="37"/>
      <c r="K90" s="106"/>
      <c r="L90" s="88">
        <v>3000000</v>
      </c>
      <c r="M90" s="88"/>
      <c r="N90" s="106">
        <v>3500000</v>
      </c>
      <c r="O90" s="88">
        <v>3500000</v>
      </c>
      <c r="P90" s="98"/>
      <c r="Q90" s="83" t="s">
        <v>160</v>
      </c>
    </row>
    <row r="91" spans="1:17" s="8" customFormat="1" ht="16.149999999999999" customHeight="1" x14ac:dyDescent="0.3">
      <c r="A91" s="192"/>
      <c r="B91" s="172"/>
      <c r="C91" s="150" t="s">
        <v>159</v>
      </c>
      <c r="D91" s="151"/>
      <c r="E91" s="152"/>
      <c r="F91" s="36">
        <v>1</v>
      </c>
      <c r="G91" s="37">
        <v>3000000</v>
      </c>
      <c r="H91" s="37"/>
      <c r="I91" s="37"/>
      <c r="J91" s="37"/>
      <c r="K91" s="106"/>
      <c r="L91" s="88">
        <v>3000000</v>
      </c>
      <c r="M91" s="88"/>
      <c r="N91" s="88">
        <v>3000000</v>
      </c>
      <c r="O91" s="88">
        <v>3000000</v>
      </c>
      <c r="P91" s="98"/>
      <c r="Q91" s="83" t="s">
        <v>161</v>
      </c>
    </row>
    <row r="92" spans="1:17" s="8" customFormat="1" ht="16.149999999999999" customHeight="1" x14ac:dyDescent="0.3">
      <c r="A92" s="192"/>
      <c r="B92" s="114" t="s">
        <v>162</v>
      </c>
      <c r="C92" s="150" t="s">
        <v>163</v>
      </c>
      <c r="D92" s="151"/>
      <c r="E92" s="152"/>
      <c r="F92" s="36">
        <v>1</v>
      </c>
      <c r="G92" s="37">
        <v>8500000</v>
      </c>
      <c r="H92" s="37"/>
      <c r="I92" s="37"/>
      <c r="J92" s="37"/>
      <c r="K92" s="106"/>
      <c r="L92" s="88">
        <v>8000000</v>
      </c>
      <c r="M92" s="88"/>
      <c r="N92" s="106">
        <v>8500000</v>
      </c>
      <c r="O92" s="88">
        <v>8500000</v>
      </c>
      <c r="P92" s="98"/>
      <c r="Q92" s="83" t="s">
        <v>219</v>
      </c>
    </row>
    <row r="93" spans="1:17" s="8" customFormat="1" ht="16.5" customHeight="1" x14ac:dyDescent="0.3">
      <c r="A93" s="192"/>
      <c r="B93" s="114" t="s">
        <v>164</v>
      </c>
      <c r="C93" s="150" t="s">
        <v>165</v>
      </c>
      <c r="D93" s="151"/>
      <c r="E93" s="152"/>
      <c r="F93" s="36">
        <v>1</v>
      </c>
      <c r="G93" s="37">
        <v>5000000</v>
      </c>
      <c r="H93" s="37"/>
      <c r="I93" s="37"/>
      <c r="J93" s="37"/>
      <c r="K93" s="106"/>
      <c r="L93" s="88">
        <v>5000000</v>
      </c>
      <c r="M93" s="88"/>
      <c r="N93" s="127">
        <v>2000000</v>
      </c>
      <c r="O93" s="88">
        <v>2000000</v>
      </c>
      <c r="P93" s="98"/>
      <c r="Q93" s="83"/>
    </row>
    <row r="94" spans="1:17" s="8" customFormat="1" ht="16.5" customHeight="1" x14ac:dyDescent="0.3">
      <c r="A94" s="192"/>
      <c r="B94" s="171" t="s">
        <v>149</v>
      </c>
      <c r="C94" s="150" t="s">
        <v>150</v>
      </c>
      <c r="D94" s="151"/>
      <c r="E94" s="152"/>
      <c r="F94" s="36">
        <v>1</v>
      </c>
      <c r="G94" s="37">
        <v>7500000</v>
      </c>
      <c r="H94" s="37"/>
      <c r="I94" s="37"/>
      <c r="J94" s="37"/>
      <c r="K94" s="106"/>
      <c r="L94" s="88">
        <v>7500000</v>
      </c>
      <c r="M94" s="88"/>
      <c r="N94" s="127">
        <v>7000000</v>
      </c>
      <c r="O94" s="88">
        <v>7000000</v>
      </c>
      <c r="P94" s="98"/>
      <c r="Q94" s="83" t="s">
        <v>151</v>
      </c>
    </row>
    <row r="95" spans="1:17" s="8" customFormat="1" ht="16.5" customHeight="1" x14ac:dyDescent="0.3">
      <c r="A95" s="192"/>
      <c r="B95" s="173"/>
      <c r="C95" s="150" t="s">
        <v>152</v>
      </c>
      <c r="D95" s="151"/>
      <c r="E95" s="152"/>
      <c r="F95" s="36">
        <v>1</v>
      </c>
      <c r="G95" s="37">
        <v>1800000</v>
      </c>
      <c r="H95" s="37"/>
      <c r="I95" s="37"/>
      <c r="J95" s="37"/>
      <c r="K95" s="106"/>
      <c r="L95" s="88">
        <v>1800000</v>
      </c>
      <c r="M95" s="37"/>
      <c r="N95" s="88">
        <v>1800000</v>
      </c>
      <c r="O95" s="88">
        <v>1800000</v>
      </c>
      <c r="P95" s="98"/>
      <c r="Q95" s="83" t="s">
        <v>139</v>
      </c>
    </row>
    <row r="96" spans="1:17" s="8" customFormat="1" ht="16.5" customHeight="1" x14ac:dyDescent="0.3">
      <c r="A96" s="192"/>
      <c r="B96" s="172"/>
      <c r="C96" s="150" t="s">
        <v>212</v>
      </c>
      <c r="D96" s="151"/>
      <c r="E96" s="152"/>
      <c r="F96" s="36">
        <v>1</v>
      </c>
      <c r="G96" s="37">
        <v>1000000</v>
      </c>
      <c r="H96" s="37"/>
      <c r="I96" s="37"/>
      <c r="J96" s="37"/>
      <c r="K96" s="106"/>
      <c r="L96" s="88"/>
      <c r="M96" s="37"/>
      <c r="N96" s="135">
        <v>1000000</v>
      </c>
      <c r="O96" s="88">
        <v>1000000</v>
      </c>
      <c r="P96" s="98"/>
      <c r="Q96" s="83" t="s">
        <v>213</v>
      </c>
    </row>
    <row r="97" spans="1:17" s="8" customFormat="1" ht="16.5" customHeight="1" x14ac:dyDescent="0.3">
      <c r="A97" s="192"/>
      <c r="B97" s="114" t="s">
        <v>141</v>
      </c>
      <c r="C97" s="150" t="s">
        <v>138</v>
      </c>
      <c r="D97" s="151"/>
      <c r="E97" s="152"/>
      <c r="F97" s="36">
        <v>1</v>
      </c>
      <c r="G97" s="37">
        <v>700000</v>
      </c>
      <c r="H97" s="37"/>
      <c r="I97" s="37"/>
      <c r="J97" s="37"/>
      <c r="K97" s="106"/>
      <c r="L97" s="37">
        <v>700000</v>
      </c>
      <c r="M97" s="37"/>
      <c r="N97" s="88">
        <v>700000</v>
      </c>
      <c r="O97" s="88">
        <v>700000</v>
      </c>
      <c r="P97" s="98"/>
      <c r="Q97" s="83"/>
    </row>
    <row r="98" spans="1:17" s="8" customFormat="1" ht="16.5" customHeight="1" x14ac:dyDescent="0.3">
      <c r="A98" s="192"/>
      <c r="B98" s="114" t="s">
        <v>144</v>
      </c>
      <c r="C98" s="150" t="s">
        <v>145</v>
      </c>
      <c r="D98" s="151"/>
      <c r="E98" s="152"/>
      <c r="F98" s="36">
        <v>1</v>
      </c>
      <c r="G98" s="37">
        <v>6000000</v>
      </c>
      <c r="H98" s="37"/>
      <c r="I98" s="37"/>
      <c r="J98" s="37"/>
      <c r="K98" s="106"/>
      <c r="L98" s="88">
        <v>6000000</v>
      </c>
      <c r="M98" s="88"/>
      <c r="N98" s="88">
        <v>5000000</v>
      </c>
      <c r="O98" s="88">
        <v>5000000</v>
      </c>
      <c r="P98" s="88"/>
      <c r="Q98" s="83" t="s">
        <v>146</v>
      </c>
    </row>
    <row r="99" spans="1:17" s="8" customFormat="1" ht="16.5" customHeight="1" x14ac:dyDescent="0.3">
      <c r="A99" s="192"/>
      <c r="B99" s="171" t="s">
        <v>47</v>
      </c>
      <c r="C99" s="150" t="s">
        <v>166</v>
      </c>
      <c r="D99" s="151"/>
      <c r="E99" s="152"/>
      <c r="F99" s="36">
        <v>1</v>
      </c>
      <c r="G99" s="37">
        <v>122000000</v>
      </c>
      <c r="H99" s="37"/>
      <c r="I99" s="37"/>
      <c r="J99" s="37"/>
      <c r="K99" s="106"/>
      <c r="L99" s="37">
        <v>122000000</v>
      </c>
      <c r="M99" s="37"/>
      <c r="N99" s="37">
        <v>122000000</v>
      </c>
      <c r="O99" s="88">
        <v>122000000</v>
      </c>
      <c r="P99" s="120">
        <v>275000000</v>
      </c>
      <c r="Q99" s="83"/>
    </row>
    <row r="100" spans="1:17" s="8" customFormat="1" ht="16.5" customHeight="1" x14ac:dyDescent="0.3">
      <c r="A100" s="192"/>
      <c r="B100" s="173"/>
      <c r="C100" s="150" t="s">
        <v>167</v>
      </c>
      <c r="D100" s="151"/>
      <c r="E100" s="152"/>
      <c r="F100" s="36">
        <v>1</v>
      </c>
      <c r="G100" s="37">
        <v>49000000</v>
      </c>
      <c r="H100" s="37"/>
      <c r="I100" s="37"/>
      <c r="J100" s="37"/>
      <c r="K100" s="106"/>
      <c r="L100" s="37">
        <v>49000000</v>
      </c>
      <c r="M100" s="37"/>
      <c r="N100" s="37">
        <v>49000000</v>
      </c>
      <c r="O100" s="88">
        <v>49000000</v>
      </c>
      <c r="P100" s="98"/>
      <c r="Q100" s="83"/>
    </row>
    <row r="101" spans="1:17" s="8" customFormat="1" ht="16.5" customHeight="1" x14ac:dyDescent="0.3">
      <c r="A101" s="192"/>
      <c r="B101" s="173"/>
      <c r="C101" s="150" t="s">
        <v>168</v>
      </c>
      <c r="D101" s="151"/>
      <c r="E101" s="152"/>
      <c r="F101" s="36">
        <v>1</v>
      </c>
      <c r="G101" s="37">
        <v>24000000</v>
      </c>
      <c r="H101" s="37"/>
      <c r="I101" s="37"/>
      <c r="J101" s="37"/>
      <c r="K101" s="106"/>
      <c r="L101" s="37">
        <v>24000000</v>
      </c>
      <c r="M101" s="37"/>
      <c r="N101" s="37">
        <v>24000000</v>
      </c>
      <c r="O101" s="88">
        <v>24000000</v>
      </c>
      <c r="P101" s="98"/>
      <c r="Q101" s="83"/>
    </row>
    <row r="102" spans="1:17" s="8" customFormat="1" ht="16.5" customHeight="1" x14ac:dyDescent="0.3">
      <c r="A102" s="192"/>
      <c r="B102" s="173"/>
      <c r="C102" s="150" t="s">
        <v>169</v>
      </c>
      <c r="D102" s="151"/>
      <c r="E102" s="152"/>
      <c r="F102" s="36">
        <v>1</v>
      </c>
      <c r="G102" s="37">
        <v>10000000</v>
      </c>
      <c r="H102" s="37"/>
      <c r="I102" s="37"/>
      <c r="J102" s="37"/>
      <c r="K102" s="106"/>
      <c r="L102" s="37">
        <v>10000000</v>
      </c>
      <c r="M102" s="37"/>
      <c r="N102" s="127">
        <v>9000000</v>
      </c>
      <c r="O102" s="88">
        <v>6000000</v>
      </c>
      <c r="P102" s="98"/>
      <c r="Q102" s="83" t="s">
        <v>225</v>
      </c>
    </row>
    <row r="103" spans="1:17" s="8" customFormat="1" ht="16.5" customHeight="1" x14ac:dyDescent="0.3">
      <c r="A103" s="192"/>
      <c r="B103" s="173"/>
      <c r="C103" s="150" t="s">
        <v>170</v>
      </c>
      <c r="D103" s="151"/>
      <c r="E103" s="152"/>
      <c r="F103" s="36">
        <v>1</v>
      </c>
      <c r="G103" s="37">
        <v>1000000</v>
      </c>
      <c r="H103" s="37"/>
      <c r="I103" s="37"/>
      <c r="J103" s="37"/>
      <c r="K103" s="106"/>
      <c r="L103" s="37">
        <v>1000000</v>
      </c>
      <c r="M103" s="37"/>
      <c r="N103" s="106">
        <v>1500000</v>
      </c>
      <c r="O103" s="88">
        <v>1500000</v>
      </c>
      <c r="P103" s="98"/>
      <c r="Q103" s="83" t="s">
        <v>202</v>
      </c>
    </row>
    <row r="104" spans="1:17" s="8" customFormat="1" ht="16.5" customHeight="1" x14ac:dyDescent="0.3">
      <c r="A104" s="192"/>
      <c r="B104" s="172"/>
      <c r="C104" s="150" t="s">
        <v>175</v>
      </c>
      <c r="D104" s="151"/>
      <c r="E104" s="152"/>
      <c r="F104" s="36">
        <v>1</v>
      </c>
      <c r="G104" s="37">
        <v>500000</v>
      </c>
      <c r="H104" s="37"/>
      <c r="I104" s="37"/>
      <c r="J104" s="37"/>
      <c r="K104" s="106"/>
      <c r="L104" s="37">
        <v>500000</v>
      </c>
      <c r="M104" s="37"/>
      <c r="N104" s="37">
        <v>500000</v>
      </c>
      <c r="O104" s="88">
        <v>515000</v>
      </c>
      <c r="P104" s="88"/>
      <c r="Q104" s="83" t="s">
        <v>181</v>
      </c>
    </row>
    <row r="105" spans="1:17" s="8" customFormat="1" ht="16.5" customHeight="1" x14ac:dyDescent="0.3">
      <c r="A105" s="192"/>
      <c r="B105" s="171" t="s">
        <v>63</v>
      </c>
      <c r="C105" s="177" t="s">
        <v>171</v>
      </c>
      <c r="D105" s="178"/>
      <c r="E105" s="179"/>
      <c r="F105" s="36">
        <v>1</v>
      </c>
      <c r="G105" s="37">
        <v>3500000</v>
      </c>
      <c r="H105" s="37">
        <f t="shared" ref="H105" si="3">F105*G105</f>
        <v>3500000</v>
      </c>
      <c r="I105" s="37">
        <f>H105</f>
        <v>3500000</v>
      </c>
      <c r="J105" s="37"/>
      <c r="K105" s="88">
        <v>22000000</v>
      </c>
      <c r="L105" s="88">
        <v>3500000</v>
      </c>
      <c r="M105" s="88"/>
      <c r="N105" s="127">
        <v>3000000</v>
      </c>
      <c r="O105" s="88">
        <v>3000000</v>
      </c>
      <c r="P105" s="120">
        <v>20000000</v>
      </c>
      <c r="Q105" s="83" t="s">
        <v>182</v>
      </c>
    </row>
    <row r="106" spans="1:17" s="8" customFormat="1" ht="16.149999999999999" customHeight="1" x14ac:dyDescent="0.3">
      <c r="A106" s="192"/>
      <c r="B106" s="173"/>
      <c r="C106" s="150" t="s">
        <v>173</v>
      </c>
      <c r="D106" s="151"/>
      <c r="E106" s="152"/>
      <c r="F106" s="36">
        <v>1</v>
      </c>
      <c r="G106" s="37">
        <v>3000000</v>
      </c>
      <c r="H106" s="37"/>
      <c r="I106" s="37"/>
      <c r="J106" s="37"/>
      <c r="K106" s="106"/>
      <c r="L106" s="88">
        <v>3000000</v>
      </c>
      <c r="M106" s="88"/>
      <c r="N106" s="127">
        <v>2500000</v>
      </c>
      <c r="O106" s="88">
        <v>2500000</v>
      </c>
      <c r="P106" s="98"/>
      <c r="Q106" s="83" t="s">
        <v>172</v>
      </c>
    </row>
    <row r="107" spans="1:17" s="8" customFormat="1" ht="16.5" customHeight="1" x14ac:dyDescent="0.3">
      <c r="A107" s="192"/>
      <c r="B107" s="172"/>
      <c r="C107" s="150" t="s">
        <v>174</v>
      </c>
      <c r="D107" s="151"/>
      <c r="E107" s="152"/>
      <c r="F107" s="36">
        <v>1</v>
      </c>
      <c r="G107" s="37">
        <v>11500000</v>
      </c>
      <c r="H107" s="37"/>
      <c r="I107" s="37"/>
      <c r="J107" s="37"/>
      <c r="K107" s="37"/>
      <c r="L107" s="88">
        <v>11500000</v>
      </c>
      <c r="M107" s="88"/>
      <c r="N107" s="127">
        <v>7700000</v>
      </c>
      <c r="O107" s="88">
        <v>7700000</v>
      </c>
      <c r="P107" s="88"/>
      <c r="Q107" s="83" t="s">
        <v>220</v>
      </c>
    </row>
    <row r="108" spans="1:17" s="8" customFormat="1" ht="16.5" customHeight="1" x14ac:dyDescent="0.3">
      <c r="A108" s="192"/>
      <c r="B108" s="171" t="s">
        <v>48</v>
      </c>
      <c r="C108" s="177" t="s">
        <v>176</v>
      </c>
      <c r="D108" s="178"/>
      <c r="E108" s="179"/>
      <c r="F108" s="36">
        <v>1</v>
      </c>
      <c r="G108" s="37">
        <v>11000000</v>
      </c>
      <c r="H108" s="37">
        <f t="shared" ref="H108" si="4">F108*G108</f>
        <v>11000000</v>
      </c>
      <c r="I108" s="37"/>
      <c r="J108" s="37">
        <f>H108*1</f>
        <v>11000000</v>
      </c>
      <c r="K108" s="106">
        <v>58980000</v>
      </c>
      <c r="L108" s="37">
        <v>11000000</v>
      </c>
      <c r="M108" s="37"/>
      <c r="N108" s="135">
        <v>11800000</v>
      </c>
      <c r="O108" s="88">
        <v>11000000</v>
      </c>
      <c r="P108" s="88">
        <v>58000000</v>
      </c>
      <c r="Q108" s="83" t="s">
        <v>206</v>
      </c>
    </row>
    <row r="109" spans="1:17" s="8" customFormat="1" ht="16.5" customHeight="1" x14ac:dyDescent="0.3">
      <c r="A109" s="192"/>
      <c r="B109" s="173"/>
      <c r="C109" s="177" t="s">
        <v>177</v>
      </c>
      <c r="D109" s="178"/>
      <c r="E109" s="179"/>
      <c r="F109" s="36">
        <v>1</v>
      </c>
      <c r="G109" s="37">
        <v>2000000</v>
      </c>
      <c r="H109" s="37"/>
      <c r="I109" s="37"/>
      <c r="J109" s="37"/>
      <c r="K109" s="88"/>
      <c r="L109" s="88">
        <v>2000000</v>
      </c>
      <c r="M109" s="88"/>
      <c r="N109" s="137">
        <v>300000</v>
      </c>
      <c r="O109" s="88">
        <v>2000000</v>
      </c>
      <c r="P109" s="88"/>
      <c r="Q109" s="83" t="s">
        <v>259</v>
      </c>
    </row>
    <row r="110" spans="1:17" s="8" customFormat="1" ht="16.5" customHeight="1" x14ac:dyDescent="0.3">
      <c r="A110" s="192"/>
      <c r="B110" s="173"/>
      <c r="C110" s="177" t="s">
        <v>178</v>
      </c>
      <c r="D110" s="178"/>
      <c r="E110" s="179"/>
      <c r="F110" s="36">
        <v>1</v>
      </c>
      <c r="G110" s="37">
        <v>45000000</v>
      </c>
      <c r="H110" s="37"/>
      <c r="I110" s="37"/>
      <c r="J110" s="37"/>
      <c r="K110" s="88"/>
      <c r="L110" s="88">
        <v>45000000</v>
      </c>
      <c r="M110" s="88"/>
      <c r="N110" s="88">
        <v>45000000</v>
      </c>
      <c r="O110" s="88">
        <v>45000000</v>
      </c>
      <c r="P110" s="88"/>
      <c r="Q110" s="83" t="s">
        <v>179</v>
      </c>
    </row>
    <row r="111" spans="1:17" s="8" customFormat="1" ht="16.5" customHeight="1" x14ac:dyDescent="0.3">
      <c r="A111" s="192"/>
      <c r="B111" s="172"/>
      <c r="C111" s="177" t="s">
        <v>180</v>
      </c>
      <c r="D111" s="178"/>
      <c r="E111" s="179"/>
      <c r="F111" s="36">
        <v>1</v>
      </c>
      <c r="G111" s="37">
        <v>980000</v>
      </c>
      <c r="H111" s="37"/>
      <c r="I111" s="37"/>
      <c r="J111" s="37"/>
      <c r="K111" s="88"/>
      <c r="L111" s="88">
        <v>980000</v>
      </c>
      <c r="M111" s="88"/>
      <c r="N111" s="88">
        <v>980000</v>
      </c>
      <c r="O111" s="88">
        <v>980000</v>
      </c>
      <c r="P111" s="88"/>
      <c r="Q111" s="83"/>
    </row>
    <row r="112" spans="1:17" s="8" customFormat="1" ht="16.5" customHeight="1" x14ac:dyDescent="0.3">
      <c r="A112" s="192"/>
      <c r="B112" s="140" t="s">
        <v>223</v>
      </c>
      <c r="C112" s="150" t="s">
        <v>224</v>
      </c>
      <c r="D112" s="151"/>
      <c r="E112" s="152"/>
      <c r="F112" s="36">
        <v>1</v>
      </c>
      <c r="G112" s="37">
        <v>3075440</v>
      </c>
      <c r="H112" s="37">
        <f t="shared" si="2"/>
        <v>3075440</v>
      </c>
      <c r="I112" s="37"/>
      <c r="J112" s="37">
        <f>H112*1</f>
        <v>3075440</v>
      </c>
      <c r="K112" s="88">
        <v>10000000</v>
      </c>
      <c r="L112" s="88">
        <v>0</v>
      </c>
      <c r="M112" s="88"/>
      <c r="N112" s="88">
        <v>3075440</v>
      </c>
      <c r="O112" s="88">
        <v>3075440</v>
      </c>
      <c r="P112" s="88">
        <v>10000000</v>
      </c>
      <c r="Q112" s="83"/>
    </row>
    <row r="113" spans="1:17" s="8" customFormat="1" ht="16.5" customHeight="1" x14ac:dyDescent="0.3">
      <c r="A113" s="192"/>
      <c r="B113" s="140" t="s">
        <v>260</v>
      </c>
      <c r="C113" s="150" t="s">
        <v>261</v>
      </c>
      <c r="D113" s="151"/>
      <c r="E113" s="152"/>
      <c r="F113" s="36">
        <v>1</v>
      </c>
      <c r="G113" s="37"/>
      <c r="H113" s="37"/>
      <c r="I113" s="37"/>
      <c r="J113" s="37"/>
      <c r="K113" s="88"/>
      <c r="L113" s="88"/>
      <c r="M113" s="88"/>
      <c r="N113" s="88"/>
      <c r="O113" s="88">
        <v>740000</v>
      </c>
      <c r="P113" s="98"/>
      <c r="Q113" s="83"/>
    </row>
    <row r="114" spans="1:17" s="8" customFormat="1" ht="16.5" customHeight="1" x14ac:dyDescent="0.3">
      <c r="A114" s="192"/>
      <c r="B114" s="140" t="s">
        <v>226</v>
      </c>
      <c r="C114" s="150" t="s">
        <v>227</v>
      </c>
      <c r="D114" s="151"/>
      <c r="E114" s="152"/>
      <c r="F114" s="36">
        <v>1</v>
      </c>
      <c r="G114" s="37">
        <v>2100000</v>
      </c>
      <c r="H114" s="37">
        <f t="shared" ref="H114:H116" si="5">F114*G114</f>
        <v>2100000</v>
      </c>
      <c r="I114" s="37"/>
      <c r="J114" s="37">
        <f>H114*1</f>
        <v>2100000</v>
      </c>
      <c r="K114" s="88">
        <v>10000000</v>
      </c>
      <c r="L114" s="88">
        <v>0</v>
      </c>
      <c r="M114" s="88"/>
      <c r="N114" s="88">
        <v>2100000</v>
      </c>
      <c r="O114" s="88">
        <v>2100000</v>
      </c>
      <c r="P114" s="98"/>
      <c r="Q114" s="83" t="s">
        <v>262</v>
      </c>
    </row>
    <row r="115" spans="1:17" s="8" customFormat="1" ht="16.5" customHeight="1" x14ac:dyDescent="0.3">
      <c r="A115" s="192"/>
      <c r="B115" s="140" t="s">
        <v>231</v>
      </c>
      <c r="C115" s="150" t="s">
        <v>232</v>
      </c>
      <c r="D115" s="151"/>
      <c r="E115" s="152"/>
      <c r="F115" s="36">
        <v>1</v>
      </c>
      <c r="G115" s="37">
        <v>2000000</v>
      </c>
      <c r="H115" s="37"/>
      <c r="I115" s="37"/>
      <c r="J115" s="37"/>
      <c r="K115" s="88"/>
      <c r="L115" s="88"/>
      <c r="M115" s="88"/>
      <c r="N115" s="88">
        <v>2000000</v>
      </c>
      <c r="O115" s="88">
        <v>2000000</v>
      </c>
      <c r="P115" s="98"/>
      <c r="Q115" s="83" t="s">
        <v>229</v>
      </c>
    </row>
    <row r="116" spans="1:17" s="8" customFormat="1" ht="16.5" customHeight="1" x14ac:dyDescent="0.3">
      <c r="A116" s="192"/>
      <c r="B116" s="140" t="s">
        <v>228</v>
      </c>
      <c r="C116" s="150" t="s">
        <v>230</v>
      </c>
      <c r="D116" s="151"/>
      <c r="E116" s="152"/>
      <c r="F116" s="36">
        <v>1</v>
      </c>
      <c r="G116" s="37">
        <v>1200000</v>
      </c>
      <c r="H116" s="37">
        <f t="shared" si="5"/>
        <v>1200000</v>
      </c>
      <c r="I116" s="37"/>
      <c r="J116" s="37">
        <f>H116*1</f>
        <v>1200000</v>
      </c>
      <c r="K116" s="88">
        <v>10000000</v>
      </c>
      <c r="L116" s="88">
        <v>0</v>
      </c>
      <c r="M116" s="88"/>
      <c r="N116" s="88">
        <v>1200000</v>
      </c>
      <c r="O116" s="88">
        <v>1200000</v>
      </c>
      <c r="P116" s="98"/>
      <c r="Q116" s="83" t="s">
        <v>229</v>
      </c>
    </row>
    <row r="117" spans="1:17" s="8" customFormat="1" ht="16.5" customHeight="1" thickBot="1" x14ac:dyDescent="0.35">
      <c r="A117" s="192"/>
      <c r="B117" s="121" t="s">
        <v>268</v>
      </c>
      <c r="C117" s="237" t="s">
        <v>269</v>
      </c>
      <c r="D117" s="238"/>
      <c r="E117" s="239"/>
      <c r="F117" s="36">
        <v>1</v>
      </c>
      <c r="G117" s="37">
        <v>4500000</v>
      </c>
      <c r="H117" s="37"/>
      <c r="I117" s="37"/>
      <c r="J117" s="37"/>
      <c r="K117" s="88"/>
      <c r="L117" s="88">
        <v>0</v>
      </c>
      <c r="M117" s="88"/>
      <c r="N117" s="88">
        <v>0</v>
      </c>
      <c r="O117" s="88">
        <v>3928300</v>
      </c>
      <c r="P117" s="98"/>
      <c r="Q117" s="139"/>
    </row>
    <row r="118" spans="1:17" s="8" customFormat="1" ht="16.5" customHeight="1" thickBot="1" x14ac:dyDescent="0.35">
      <c r="A118" s="192"/>
      <c r="B118" s="235"/>
      <c r="C118" s="235"/>
      <c r="D118" s="235"/>
      <c r="E118" s="235"/>
      <c r="F118" s="235"/>
      <c r="G118" s="236"/>
      <c r="H118" s="76">
        <f t="shared" ref="H118:M118" si="6">SUM(H59:H112)</f>
        <v>60175440</v>
      </c>
      <c r="I118" s="76">
        <f t="shared" si="6"/>
        <v>23500000</v>
      </c>
      <c r="J118" s="76">
        <f t="shared" si="6"/>
        <v>36675440</v>
      </c>
      <c r="K118" s="76">
        <f t="shared" si="6"/>
        <v>278580000</v>
      </c>
      <c r="L118" s="89">
        <f t="shared" si="6"/>
        <v>501980000</v>
      </c>
      <c r="M118" s="89">
        <f t="shared" si="6"/>
        <v>0</v>
      </c>
      <c r="N118" s="89">
        <f>SUM(N59:N116)</f>
        <v>505944169</v>
      </c>
      <c r="O118" s="89">
        <f>SUM(O59:O117)</f>
        <v>502690629</v>
      </c>
      <c r="P118" s="89">
        <f>SUM(P59:P112)</f>
        <v>536900000</v>
      </c>
      <c r="Q118" s="77"/>
    </row>
    <row r="119" spans="1:17" s="8" customFormat="1" ht="16.5" customHeight="1" x14ac:dyDescent="0.3">
      <c r="A119" s="163" t="s">
        <v>60</v>
      </c>
      <c r="B119" s="171" t="s">
        <v>49</v>
      </c>
      <c r="C119" s="167" t="s">
        <v>196</v>
      </c>
      <c r="D119" s="167"/>
      <c r="E119" s="167"/>
      <c r="F119" s="36">
        <v>1</v>
      </c>
      <c r="G119" s="38">
        <v>5000000</v>
      </c>
      <c r="H119" s="37">
        <f>F119*G119</f>
        <v>5000000</v>
      </c>
      <c r="I119" s="37">
        <f>H119*1</f>
        <v>5000000</v>
      </c>
      <c r="J119" s="37"/>
      <c r="K119" s="37">
        <v>23000000</v>
      </c>
      <c r="L119" s="88">
        <v>5000000</v>
      </c>
      <c r="M119" s="88"/>
      <c r="N119" s="88">
        <v>5000000</v>
      </c>
      <c r="O119" s="88">
        <v>5000000</v>
      </c>
      <c r="P119" s="124">
        <v>23000000</v>
      </c>
      <c r="Q119" s="83" t="s">
        <v>75</v>
      </c>
    </row>
    <row r="120" spans="1:17" s="8" customFormat="1" ht="16.5" customHeight="1" x14ac:dyDescent="0.3">
      <c r="A120" s="164"/>
      <c r="B120" s="172"/>
      <c r="C120" s="167" t="s">
        <v>74</v>
      </c>
      <c r="D120" s="167"/>
      <c r="E120" s="167"/>
      <c r="F120" s="36">
        <v>1</v>
      </c>
      <c r="G120" s="38">
        <v>76250000</v>
      </c>
      <c r="H120" s="37"/>
      <c r="I120" s="37"/>
      <c r="J120" s="37"/>
      <c r="K120" s="106">
        <v>76250000</v>
      </c>
      <c r="L120" s="88">
        <v>76250000</v>
      </c>
      <c r="M120" s="88"/>
      <c r="N120" s="88">
        <v>76250000</v>
      </c>
      <c r="O120" s="88">
        <v>76250000</v>
      </c>
      <c r="P120" s="88"/>
      <c r="Q120" s="83" t="s">
        <v>197</v>
      </c>
    </row>
    <row r="121" spans="1:17" s="8" customFormat="1" ht="16.5" customHeight="1" x14ac:dyDescent="0.3">
      <c r="A121" s="164"/>
      <c r="B121" s="171" t="s">
        <v>186</v>
      </c>
      <c r="C121" s="167" t="s">
        <v>183</v>
      </c>
      <c r="D121" s="167"/>
      <c r="E121" s="167"/>
      <c r="F121" s="36">
        <v>1</v>
      </c>
      <c r="G121" s="38">
        <v>5000000</v>
      </c>
      <c r="H121" s="37">
        <f>F121*G121</f>
        <v>5000000</v>
      </c>
      <c r="I121" s="37">
        <f>G121*1</f>
        <v>5000000</v>
      </c>
      <c r="J121" s="37"/>
      <c r="K121" s="88">
        <v>10000000</v>
      </c>
      <c r="L121" s="88">
        <v>5000000</v>
      </c>
      <c r="M121" s="88"/>
      <c r="N121" s="88">
        <v>5000000</v>
      </c>
      <c r="O121" s="88">
        <v>5000000</v>
      </c>
      <c r="P121" s="120">
        <v>10000000</v>
      </c>
      <c r="Q121" s="83"/>
    </row>
    <row r="122" spans="1:17" s="8" customFormat="1" ht="16.5" customHeight="1" x14ac:dyDescent="0.3">
      <c r="A122" s="164"/>
      <c r="B122" s="172"/>
      <c r="C122" s="167" t="s">
        <v>184</v>
      </c>
      <c r="D122" s="167"/>
      <c r="E122" s="167"/>
      <c r="F122" s="36">
        <v>1</v>
      </c>
      <c r="G122" s="38">
        <v>5000000</v>
      </c>
      <c r="H122" s="97"/>
      <c r="I122" s="97"/>
      <c r="J122" s="97"/>
      <c r="K122" s="98"/>
      <c r="L122" s="88">
        <v>5000000</v>
      </c>
      <c r="M122" s="88"/>
      <c r="N122" s="88">
        <v>5000000</v>
      </c>
      <c r="O122" s="88">
        <v>5000000</v>
      </c>
      <c r="P122" s="98"/>
      <c r="Q122" s="83"/>
    </row>
    <row r="123" spans="1:17" s="8" customFormat="1" ht="16.5" customHeight="1" x14ac:dyDescent="0.3">
      <c r="A123" s="164"/>
      <c r="B123" s="171" t="s">
        <v>64</v>
      </c>
      <c r="C123" s="167" t="s">
        <v>185</v>
      </c>
      <c r="D123" s="167"/>
      <c r="E123" s="167"/>
      <c r="F123" s="36">
        <v>1</v>
      </c>
      <c r="G123" s="38">
        <v>12000000</v>
      </c>
      <c r="H123" s="97">
        <f>G123</f>
        <v>12000000</v>
      </c>
      <c r="I123" s="97"/>
      <c r="J123" s="97">
        <f>H123</f>
        <v>12000000</v>
      </c>
      <c r="K123" s="107">
        <v>99000000</v>
      </c>
      <c r="L123" s="88">
        <v>12000000</v>
      </c>
      <c r="M123" s="88"/>
      <c r="N123" s="88">
        <v>12000000</v>
      </c>
      <c r="O123" s="88">
        <v>12000000</v>
      </c>
      <c r="P123" s="120">
        <v>85000000</v>
      </c>
      <c r="Q123" s="83" t="s">
        <v>191</v>
      </c>
    </row>
    <row r="124" spans="1:17" s="8" customFormat="1" ht="16.5" customHeight="1" x14ac:dyDescent="0.3">
      <c r="A124" s="164"/>
      <c r="B124" s="173"/>
      <c r="C124" s="167" t="s">
        <v>187</v>
      </c>
      <c r="D124" s="167"/>
      <c r="E124" s="167"/>
      <c r="F124" s="36">
        <v>1</v>
      </c>
      <c r="G124" s="38">
        <v>15000000</v>
      </c>
      <c r="H124" s="97"/>
      <c r="I124" s="97"/>
      <c r="J124" s="97"/>
      <c r="K124" s="107"/>
      <c r="L124" s="88">
        <v>15000000</v>
      </c>
      <c r="M124" s="88"/>
      <c r="N124" s="88">
        <v>15000000</v>
      </c>
      <c r="O124" s="88">
        <v>15000000</v>
      </c>
      <c r="P124" s="98"/>
      <c r="Q124" s="83" t="s">
        <v>192</v>
      </c>
    </row>
    <row r="125" spans="1:17" s="8" customFormat="1" ht="16.5" customHeight="1" x14ac:dyDescent="0.3">
      <c r="A125" s="164"/>
      <c r="B125" s="173"/>
      <c r="C125" s="167" t="s">
        <v>188</v>
      </c>
      <c r="D125" s="167"/>
      <c r="E125" s="167"/>
      <c r="F125" s="36">
        <v>1</v>
      </c>
      <c r="G125" s="38">
        <v>12000000</v>
      </c>
      <c r="H125" s="97"/>
      <c r="I125" s="97"/>
      <c r="J125" s="97"/>
      <c r="K125" s="107"/>
      <c r="L125" s="88">
        <v>12000000</v>
      </c>
      <c r="M125" s="88"/>
      <c r="N125" s="88">
        <v>12000000</v>
      </c>
      <c r="O125" s="88">
        <v>12000000</v>
      </c>
      <c r="P125" s="98"/>
      <c r="Q125" s="83" t="s">
        <v>193</v>
      </c>
    </row>
    <row r="126" spans="1:17" s="8" customFormat="1" ht="16.5" customHeight="1" x14ac:dyDescent="0.3">
      <c r="A126" s="164"/>
      <c r="B126" s="173"/>
      <c r="C126" s="167" t="s">
        <v>189</v>
      </c>
      <c r="D126" s="167"/>
      <c r="E126" s="167"/>
      <c r="F126" s="36">
        <v>1</v>
      </c>
      <c r="G126" s="38">
        <v>20000000</v>
      </c>
      <c r="H126" s="97"/>
      <c r="I126" s="97"/>
      <c r="J126" s="97"/>
      <c r="K126" s="107"/>
      <c r="L126" s="88">
        <v>20000000</v>
      </c>
      <c r="M126" s="88"/>
      <c r="N126" s="88">
        <v>20000000</v>
      </c>
      <c r="O126" s="88">
        <v>20000000</v>
      </c>
      <c r="P126" s="98"/>
      <c r="Q126" s="83" t="s">
        <v>194</v>
      </c>
    </row>
    <row r="127" spans="1:17" s="8" customFormat="1" ht="16.5" customHeight="1" thickBot="1" x14ac:dyDescent="0.35">
      <c r="A127" s="164"/>
      <c r="B127" s="173"/>
      <c r="C127" s="167" t="s">
        <v>190</v>
      </c>
      <c r="D127" s="167"/>
      <c r="E127" s="167"/>
      <c r="F127" s="36">
        <v>1</v>
      </c>
      <c r="G127" s="38">
        <v>32000000</v>
      </c>
      <c r="H127" s="97"/>
      <c r="I127" s="97"/>
      <c r="J127" s="97"/>
      <c r="K127" s="107"/>
      <c r="L127" s="88">
        <v>26000000</v>
      </c>
      <c r="M127" s="88"/>
      <c r="N127" s="88">
        <v>32000000</v>
      </c>
      <c r="O127" s="88">
        <v>32000000</v>
      </c>
      <c r="P127" s="122"/>
      <c r="Q127" s="83" t="s">
        <v>195</v>
      </c>
    </row>
    <row r="128" spans="1:17" s="8" customFormat="1" ht="16.149999999999999" customHeight="1" thickBot="1" x14ac:dyDescent="0.35">
      <c r="A128" s="164"/>
      <c r="B128" s="173"/>
      <c r="C128" s="162" t="s">
        <v>221</v>
      </c>
      <c r="D128" s="162"/>
      <c r="E128" s="162"/>
      <c r="F128" s="36">
        <v>1</v>
      </c>
      <c r="G128" s="38">
        <v>1500000</v>
      </c>
      <c r="H128" s="97"/>
      <c r="I128" s="97"/>
      <c r="J128" s="97"/>
      <c r="K128" s="107"/>
      <c r="L128" s="88"/>
      <c r="M128" s="88"/>
      <c r="N128" s="88">
        <v>1500000</v>
      </c>
      <c r="O128" s="88">
        <v>1500000</v>
      </c>
      <c r="P128" s="122"/>
      <c r="Q128" s="83"/>
    </row>
    <row r="129" spans="1:20" s="8" customFormat="1" ht="16.5" customHeight="1" thickBot="1" x14ac:dyDescent="0.35">
      <c r="A129" s="164"/>
      <c r="B129" s="172"/>
      <c r="C129" s="162" t="s">
        <v>222</v>
      </c>
      <c r="D129" s="162"/>
      <c r="E129" s="162"/>
      <c r="F129" s="36">
        <v>1</v>
      </c>
      <c r="G129" s="38">
        <v>2400000</v>
      </c>
      <c r="H129" s="97"/>
      <c r="I129" s="97"/>
      <c r="J129" s="97"/>
      <c r="K129" s="107"/>
      <c r="L129" s="98"/>
      <c r="M129" s="88"/>
      <c r="N129" s="88">
        <v>2400000</v>
      </c>
      <c r="O129" s="88">
        <v>2400000</v>
      </c>
      <c r="P129" s="122"/>
      <c r="Q129" s="83"/>
    </row>
    <row r="130" spans="1:20" s="8" customFormat="1" ht="16.5" customHeight="1" thickBot="1" x14ac:dyDescent="0.35">
      <c r="A130" s="164"/>
      <c r="B130" s="233"/>
      <c r="C130" s="233"/>
      <c r="D130" s="233"/>
      <c r="E130" s="233"/>
      <c r="F130" s="233"/>
      <c r="G130" s="234"/>
      <c r="H130" s="78">
        <f>SUM(H119:H123)</f>
        <v>22000000</v>
      </c>
      <c r="I130" s="78">
        <f>SUM(I119:I121)</f>
        <v>10000000</v>
      </c>
      <c r="J130" s="78">
        <f>SUM(J119:J123)</f>
        <v>12000000</v>
      </c>
      <c r="K130" s="78">
        <f>SUM(K119:K123)</f>
        <v>208250000</v>
      </c>
      <c r="L130" s="92">
        <f>SUM(L119:L127)</f>
        <v>176250000</v>
      </c>
      <c r="M130" s="92"/>
      <c r="N130" s="92">
        <f>SUM(N119:N129)</f>
        <v>186150000</v>
      </c>
      <c r="O130" s="92">
        <f>SUM(O119:O129)</f>
        <v>186150000</v>
      </c>
      <c r="P130" s="92">
        <f>SUM(P119:P123)</f>
        <v>118000000</v>
      </c>
      <c r="Q130" s="79"/>
    </row>
    <row r="131" spans="1:20" s="8" customFormat="1" ht="16.5" customHeight="1" thickBot="1" x14ac:dyDescent="0.35">
      <c r="A131" s="34" t="s">
        <v>3</v>
      </c>
      <c r="B131" s="230"/>
      <c r="C131" s="231"/>
      <c r="D131" s="231"/>
      <c r="E131" s="231"/>
      <c r="F131" s="231"/>
      <c r="G131" s="232"/>
      <c r="H131" s="39"/>
      <c r="I131" s="39">
        <f>SUM(I20,I58,I118,I130)</f>
        <v>211940000</v>
      </c>
      <c r="J131" s="39">
        <f>SUM(J20,J58,J118,J130)</f>
        <v>61175440</v>
      </c>
      <c r="K131" s="39">
        <f>SUM(K20,K58,K118,K130)</f>
        <v>704770000</v>
      </c>
      <c r="L131" s="115">
        <f>SUM(L20,L58,L118,L130)</f>
        <v>1265270000</v>
      </c>
      <c r="M131" s="115">
        <f>M118</f>
        <v>0</v>
      </c>
      <c r="N131" s="115">
        <f>N20+N58+N118+N130</f>
        <v>1301684169</v>
      </c>
      <c r="O131" s="115">
        <f>O20+O58+O118+O130</f>
        <v>1293210629</v>
      </c>
      <c r="P131" s="39">
        <f>SUM(P20,P58,P118,P130)</f>
        <v>1062840000</v>
      </c>
      <c r="Q131" s="35"/>
      <c r="T131" s="81"/>
    </row>
    <row r="132" spans="1:20" s="8" customFormat="1" ht="16.5" customHeight="1" thickBot="1" x14ac:dyDescent="0.35">
      <c r="A132" s="9" t="s">
        <v>2</v>
      </c>
      <c r="B132" s="40" t="s">
        <v>37</v>
      </c>
      <c r="C132" s="40"/>
      <c r="D132" s="40"/>
      <c r="E132" s="41"/>
      <c r="F132" s="41"/>
      <c r="G132" s="42"/>
      <c r="H132" s="43"/>
      <c r="I132" s="43">
        <f>I131*10%</f>
        <v>21194000</v>
      </c>
      <c r="J132" s="43">
        <f>(J131-J112)*10%</f>
        <v>5810000</v>
      </c>
      <c r="K132" s="43" t="e">
        <f>(K131-#REF!-K120-#REF!-60000000)*10%</f>
        <v>#REF!</v>
      </c>
      <c r="L132" s="123">
        <f>(L131-L120-L112-L111-L110-L94-L95-L87-60000000)*10%</f>
        <v>107174000</v>
      </c>
      <c r="M132" s="123"/>
      <c r="N132" s="123">
        <f>(N131-N87-N110-N111-N94-N95-N96-N88-N89-60000000-3000000)*10%</f>
        <v>117747544</v>
      </c>
      <c r="O132" s="123">
        <f>(O131-O87-O110-O111-O94-O95-O96-O88-O89-60000000-3000000-O112)*10%</f>
        <v>116592646</v>
      </c>
      <c r="P132" s="116">
        <f>(P131-P112-60000000-P108)*10%</f>
        <v>93484000</v>
      </c>
      <c r="Q132" s="73" t="s">
        <v>270</v>
      </c>
    </row>
    <row r="133" spans="1:20" s="8" customFormat="1" ht="16.5" customHeight="1" thickBot="1" x14ac:dyDescent="0.35">
      <c r="A133" s="9" t="s">
        <v>72</v>
      </c>
      <c r="B133" s="40" t="s">
        <v>73</v>
      </c>
      <c r="C133" s="40"/>
      <c r="D133" s="40"/>
      <c r="E133" s="41"/>
      <c r="F133" s="41"/>
      <c r="G133" s="42"/>
      <c r="H133" s="43"/>
      <c r="I133" s="43"/>
      <c r="J133" s="43"/>
      <c r="K133" s="43">
        <f>K120*5%</f>
        <v>3812500</v>
      </c>
      <c r="L133" s="116">
        <f>L120*5%</f>
        <v>3812500</v>
      </c>
      <c r="M133" s="116"/>
      <c r="N133" s="116">
        <f>N120*5%</f>
        <v>3812500</v>
      </c>
      <c r="O133" s="116">
        <f>O120*5%</f>
        <v>3812500</v>
      </c>
      <c r="P133" s="43"/>
      <c r="Q133" s="108" t="s">
        <v>76</v>
      </c>
    </row>
    <row r="134" spans="1:20" s="5" customFormat="1" ht="16.5" customHeight="1" thickBot="1" x14ac:dyDescent="0.35">
      <c r="A134" s="7" t="s">
        <v>1</v>
      </c>
      <c r="B134" s="44" t="s">
        <v>205</v>
      </c>
      <c r="C134" s="45"/>
      <c r="D134" s="46"/>
      <c r="E134" s="47"/>
      <c r="F134" s="47"/>
      <c r="G134" s="48"/>
      <c r="H134" s="49"/>
      <c r="I134" s="49" t="e">
        <f>SUM(I17,I131,#REF!,I132)</f>
        <v>#REF!</v>
      </c>
      <c r="J134" s="49" t="e">
        <f>SUM(J17,J131,#REF!,J132)</f>
        <v>#REF!</v>
      </c>
      <c r="K134" s="49" t="e">
        <f>SUM(K17,K131,#REF!,K132,K133)</f>
        <v>#REF!</v>
      </c>
      <c r="L134" s="117">
        <f>SUM(L17,L131,L132,L133)</f>
        <v>1419456500</v>
      </c>
      <c r="M134" s="117" t="e">
        <f>M131+#REF!</f>
        <v>#REF!</v>
      </c>
      <c r="N134" s="117" t="e">
        <f>SUM(N17,N131,#REF!,N132,N133)</f>
        <v>#REF!</v>
      </c>
      <c r="O134" s="117">
        <f>SUM(O17,O131,O132,O133)</f>
        <v>1456815775</v>
      </c>
      <c r="P134" s="49">
        <f>SUM(P131:P132)</f>
        <v>1156324000</v>
      </c>
      <c r="Q134" s="29"/>
    </row>
    <row r="135" spans="1:20" s="5" customFormat="1" ht="16.5" customHeight="1" thickBot="1" x14ac:dyDescent="0.35">
      <c r="A135" s="7" t="s">
        <v>0</v>
      </c>
      <c r="B135" s="44"/>
      <c r="C135" s="45"/>
      <c r="D135" s="46"/>
      <c r="E135" s="47"/>
      <c r="F135" s="47"/>
      <c r="G135" s="74" t="s">
        <v>53</v>
      </c>
      <c r="H135" s="50"/>
      <c r="I135" s="50" t="e">
        <f t="shared" ref="I135:P135" si="7">ROUNDDOWN(I134, -5)</f>
        <v>#REF!</v>
      </c>
      <c r="J135" s="50" t="e">
        <f t="shared" si="7"/>
        <v>#REF!</v>
      </c>
      <c r="K135" s="50" t="e">
        <f t="shared" si="7"/>
        <v>#REF!</v>
      </c>
      <c r="L135" s="118">
        <f t="shared" si="7"/>
        <v>1419400000</v>
      </c>
      <c r="M135" s="118" t="e">
        <f>ROUNDDOWN(M134,-5)</f>
        <v>#REF!</v>
      </c>
      <c r="N135" s="118" t="e">
        <f>ROUNDDOWN(N134, -5)</f>
        <v>#REF!</v>
      </c>
      <c r="O135" s="118">
        <f>ROUNDDOWN(O134, -5)</f>
        <v>1456800000</v>
      </c>
      <c r="P135" s="50">
        <f t="shared" si="7"/>
        <v>1156300000</v>
      </c>
      <c r="Q135" s="30"/>
    </row>
    <row r="138" spans="1:20" ht="14.25" customHeight="1" x14ac:dyDescent="0.3">
      <c r="K138" s="31"/>
      <c r="L138" s="31"/>
      <c r="M138" s="31"/>
      <c r="N138" s="31"/>
      <c r="O138" s="31"/>
    </row>
    <row r="139" spans="1:20" ht="14.25" customHeight="1" x14ac:dyDescent="0.3">
      <c r="G139" s="109"/>
      <c r="H139" s="110"/>
      <c r="L139" s="31"/>
      <c r="M139" s="31"/>
      <c r="N139" s="31"/>
      <c r="O139" s="31"/>
      <c r="P139" s="31"/>
    </row>
    <row r="140" spans="1:20" ht="14.25" customHeight="1" x14ac:dyDescent="0.3">
      <c r="L140" s="31"/>
      <c r="M140" s="31"/>
      <c r="N140" s="31"/>
      <c r="O140" s="31"/>
    </row>
    <row r="141" spans="1:20" ht="14.25" customHeight="1" x14ac:dyDescent="0.3">
      <c r="L141" s="31"/>
      <c r="M141" s="31"/>
      <c r="N141" s="31"/>
      <c r="O141" s="31"/>
    </row>
    <row r="142" spans="1:20" ht="14.25" customHeight="1" x14ac:dyDescent="0.3">
      <c r="K142" s="31"/>
      <c r="L142" s="31"/>
      <c r="M142" s="31"/>
      <c r="N142" s="31"/>
      <c r="O142" s="31"/>
    </row>
    <row r="143" spans="1:20" ht="14.25" customHeight="1" x14ac:dyDescent="0.3">
      <c r="K143" s="31"/>
      <c r="L143" s="31"/>
      <c r="M143" s="31"/>
      <c r="N143" s="31"/>
      <c r="O143" s="31"/>
    </row>
    <row r="144" spans="1:20" ht="14.25" customHeight="1" x14ac:dyDescent="0.3">
      <c r="J144" s="31"/>
      <c r="M144" s="31"/>
      <c r="O144" s="31"/>
    </row>
    <row r="145" spans="12:15" ht="14.25" customHeight="1" x14ac:dyDescent="0.3">
      <c r="L145" s="31"/>
      <c r="M145" s="31"/>
      <c r="O145" s="31"/>
    </row>
    <row r="146" spans="12:15" ht="14.25" customHeight="1" x14ac:dyDescent="0.3">
      <c r="L146" s="31"/>
      <c r="M146" s="31"/>
    </row>
  </sheetData>
  <mergeCells count="160">
    <mergeCell ref="C23:E23"/>
    <mergeCell ref="B87:B89"/>
    <mergeCell ref="C89:E89"/>
    <mergeCell ref="B25:B46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B52:B57"/>
    <mergeCell ref="C61:E61"/>
    <mergeCell ref="C62:E62"/>
    <mergeCell ref="C50:E50"/>
    <mergeCell ref="C51:E51"/>
    <mergeCell ref="C52:E52"/>
    <mergeCell ref="C57:E57"/>
    <mergeCell ref="C69:E69"/>
    <mergeCell ref="B131:G131"/>
    <mergeCell ref="C119:E119"/>
    <mergeCell ref="C109:E109"/>
    <mergeCell ref="C123:E123"/>
    <mergeCell ref="B130:G130"/>
    <mergeCell ref="B118:G118"/>
    <mergeCell ref="C120:E120"/>
    <mergeCell ref="B119:B120"/>
    <mergeCell ref="C111:E111"/>
    <mergeCell ref="C114:E114"/>
    <mergeCell ref="C116:E116"/>
    <mergeCell ref="C115:E115"/>
    <mergeCell ref="C113:E113"/>
    <mergeCell ref="C117:E117"/>
    <mergeCell ref="B123:B129"/>
    <mergeCell ref="C129:E129"/>
    <mergeCell ref="C128:E128"/>
    <mergeCell ref="A2:C2"/>
    <mergeCell ref="B11:C11"/>
    <mergeCell ref="A12:A16"/>
    <mergeCell ref="H2:Q2"/>
    <mergeCell ref="B3:C3"/>
    <mergeCell ref="D3:G7"/>
    <mergeCell ref="B4:C4"/>
    <mergeCell ref="B5:C5"/>
    <mergeCell ref="B7:C7"/>
    <mergeCell ref="D2:G2"/>
    <mergeCell ref="D12:D16"/>
    <mergeCell ref="Q12:Q16"/>
    <mergeCell ref="H3:J3"/>
    <mergeCell ref="H4:J4"/>
    <mergeCell ref="H5:J5"/>
    <mergeCell ref="H6:J6"/>
    <mergeCell ref="P3:R3"/>
    <mergeCell ref="P4:R4"/>
    <mergeCell ref="P5:R5"/>
    <mergeCell ref="P6:R6"/>
    <mergeCell ref="P7:Q7"/>
    <mergeCell ref="H7:J7"/>
    <mergeCell ref="E12:E16"/>
    <mergeCell ref="A18:A20"/>
    <mergeCell ref="B20:G20"/>
    <mergeCell ref="C107:E107"/>
    <mergeCell ref="C21:E21"/>
    <mergeCell ref="A21:A58"/>
    <mergeCell ref="B18:C18"/>
    <mergeCell ref="C59:E59"/>
    <mergeCell ref="B19:C19"/>
    <mergeCell ref="B72:B73"/>
    <mergeCell ref="C106:E106"/>
    <mergeCell ref="C72:E72"/>
    <mergeCell ref="C74:E74"/>
    <mergeCell ref="C22:E22"/>
    <mergeCell ref="C60:E60"/>
    <mergeCell ref="C66:E66"/>
    <mergeCell ref="C73:E73"/>
    <mergeCell ref="C45:E45"/>
    <mergeCell ref="C48:E48"/>
    <mergeCell ref="C81:E81"/>
    <mergeCell ref="C86:E86"/>
    <mergeCell ref="B49:B50"/>
    <mergeCell ref="A59:A118"/>
    <mergeCell ref="C112:E112"/>
    <mergeCell ref="C87:E87"/>
    <mergeCell ref="C110:E110"/>
    <mergeCell ref="B108:B111"/>
    <mergeCell ref="C71:E71"/>
    <mergeCell ref="B66:B71"/>
    <mergeCell ref="C64:E64"/>
    <mergeCell ref="B60:B65"/>
    <mergeCell ref="C67:E67"/>
    <mergeCell ref="C68:E68"/>
    <mergeCell ref="B80:B81"/>
    <mergeCell ref="B90:B91"/>
    <mergeCell ref="B74:B79"/>
    <mergeCell ref="C94:E94"/>
    <mergeCell ref="C95:E95"/>
    <mergeCell ref="C75:E75"/>
    <mergeCell ref="C76:E76"/>
    <mergeCell ref="C77:E77"/>
    <mergeCell ref="C78:E78"/>
    <mergeCell ref="C79:E79"/>
    <mergeCell ref="C104:E104"/>
    <mergeCell ref="B99:B104"/>
    <mergeCell ref="C105:E105"/>
    <mergeCell ref="B105:B107"/>
    <mergeCell ref="C90:E90"/>
    <mergeCell ref="C84:E84"/>
    <mergeCell ref="A119:A130"/>
    <mergeCell ref="B58:G58"/>
    <mergeCell ref="C121:E121"/>
    <mergeCell ref="C80:E80"/>
    <mergeCell ref="C91:E91"/>
    <mergeCell ref="C47:E47"/>
    <mergeCell ref="C39:E39"/>
    <mergeCell ref="C54:E54"/>
    <mergeCell ref="C103:E103"/>
    <mergeCell ref="C97:E97"/>
    <mergeCell ref="C98:E98"/>
    <mergeCell ref="C99:E99"/>
    <mergeCell ref="C126:E126"/>
    <mergeCell ref="C127:E127"/>
    <mergeCell ref="B121:B122"/>
    <mergeCell ref="C122:E122"/>
    <mergeCell ref="C124:E124"/>
    <mergeCell ref="C125:E125"/>
    <mergeCell ref="B94:B96"/>
    <mergeCell ref="C96:E96"/>
    <mergeCell ref="B84:B85"/>
    <mergeCell ref="C85:E85"/>
    <mergeCell ref="C88:E88"/>
    <mergeCell ref="C108:E108"/>
    <mergeCell ref="C92:E92"/>
    <mergeCell ref="C93:E93"/>
    <mergeCell ref="C100:E100"/>
    <mergeCell ref="C101:E101"/>
    <mergeCell ref="C102:E102"/>
    <mergeCell ref="P24:P51"/>
    <mergeCell ref="C56:E56"/>
    <mergeCell ref="C53:E53"/>
    <mergeCell ref="C55:E55"/>
    <mergeCell ref="C37:E37"/>
    <mergeCell ref="C82:E82"/>
    <mergeCell ref="C83:E83"/>
    <mergeCell ref="C24:E24"/>
    <mergeCell ref="C70:E70"/>
    <mergeCell ref="C63:E63"/>
    <mergeCell ref="C38:E38"/>
    <mergeCell ref="C65:E65"/>
    <mergeCell ref="C40:E40"/>
    <mergeCell ref="C41:E41"/>
    <mergeCell ref="C42:E42"/>
    <mergeCell ref="C43:E43"/>
    <mergeCell ref="C44:E44"/>
    <mergeCell ref="C46:E46"/>
    <mergeCell ref="C49:E49"/>
  </mergeCells>
  <phoneticPr fontId="3" type="noConversion"/>
  <pageMargins left="0.15748031496062992" right="0.15748031496062992" top="0.35433070866141736" bottom="0.2" header="0.19685039370078741" footer="0.23"/>
  <pageSetup paperSize="9" scale="28" orientation="portrait" verticalDpi="200" r:id="rId1"/>
  <headerFooter alignWithMargins="0"/>
  <ignoredErrors>
    <ignoredError sqref="P17 P20 P58 P130 H118 H60 H58 I13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Summary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김인수</dc:creator>
  <cp:lastModifiedBy>CHEIL</cp:lastModifiedBy>
  <dcterms:created xsi:type="dcterms:W3CDTF">2020-10-08T05:32:16Z</dcterms:created>
  <dcterms:modified xsi:type="dcterms:W3CDTF">2026-05-18T06:02:51Z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