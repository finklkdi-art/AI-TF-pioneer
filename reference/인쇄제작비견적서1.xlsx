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CHEIL\Desktop\AI TF - pioneer\reference\"/>
    </mc:Choice>
  </mc:AlternateContent>
  <xr:revisionPtr revIDLastSave="0" documentId="13_ncr:1_{53E67ACB-5FA3-4F8A-B20A-EFECC96DCF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90127" sheetId="7" r:id="rId1"/>
  </sheets>
  <definedNames>
    <definedName name="_xlnm.Print_Area" localSheetId="0">'190127'!$A$1:$J$48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4" i="7" l="1"/>
  <c r="K24" i="7" s="1"/>
  <c r="K21" i="7"/>
  <c r="K23" i="7"/>
  <c r="J46" i="7"/>
  <c r="I45" i="7"/>
  <c r="K45" i="7" s="1"/>
  <c r="I44" i="7"/>
  <c r="K44" i="7" s="1"/>
  <c r="I43" i="7"/>
  <c r="K43" i="7" s="1"/>
  <c r="I42" i="7"/>
  <c r="K42" i="7" s="1"/>
  <c r="I41" i="7"/>
  <c r="K41" i="7" s="1"/>
  <c r="I40" i="7"/>
  <c r="K40" i="7" s="1"/>
  <c r="I39" i="7"/>
  <c r="K39" i="7" s="1"/>
  <c r="I38" i="7"/>
  <c r="K38" i="7" s="1"/>
  <c r="I36" i="7"/>
  <c r="K36" i="7" s="1"/>
  <c r="I35" i="7"/>
  <c r="K35" i="7" s="1"/>
  <c r="I34" i="7"/>
  <c r="K34" i="7" s="1"/>
  <c r="I33" i="7"/>
  <c r="K33" i="7" s="1"/>
  <c r="I32" i="7"/>
  <c r="K32" i="7" s="1"/>
  <c r="I31" i="7"/>
  <c r="K31" i="7" s="1"/>
  <c r="I30" i="7"/>
  <c r="K30" i="7" s="1"/>
  <c r="I29" i="7"/>
  <c r="K29" i="7" s="1"/>
  <c r="I28" i="7"/>
  <c r="K28" i="7" s="1"/>
  <c r="I27" i="7"/>
  <c r="K27" i="7" s="1"/>
  <c r="I26" i="7"/>
  <c r="K26" i="7" s="1"/>
  <c r="I25" i="7"/>
  <c r="K25" i="7" s="1"/>
  <c r="K20" i="7"/>
  <c r="I19" i="7"/>
  <c r="K19" i="7" s="1"/>
  <c r="I18" i="7"/>
  <c r="K18" i="7" s="1"/>
  <c r="I17" i="7"/>
  <c r="K17" i="7" s="1"/>
  <c r="K16" i="7"/>
  <c r="I15" i="7"/>
  <c r="K15" i="7" s="1"/>
  <c r="I14" i="7"/>
  <c r="K14" i="7" s="1"/>
  <c r="I13" i="7"/>
  <c r="K13" i="7" s="1"/>
  <c r="I12" i="7"/>
  <c r="K12" i="7" s="1"/>
  <c r="I11" i="7"/>
  <c r="K11" i="7" s="1"/>
  <c r="I10" i="7"/>
  <c r="K10" i="7" s="1"/>
  <c r="J47" i="7" l="1"/>
  <c r="I46" i="7"/>
  <c r="I47" i="7" l="1"/>
  <c r="I48" i="7" s="1"/>
  <c r="I49" i="7" s="1"/>
  <c r="K46" i="7"/>
  <c r="J48" i="7"/>
  <c r="I50" i="7" l="1"/>
  <c r="K47" i="7"/>
  <c r="K48" i="7"/>
  <c r="J49" i="7"/>
  <c r="K49" i="7" s="1"/>
  <c r="J50" i="7" l="1"/>
  <c r="K50" i="7" s="1"/>
</calcChain>
</file>

<file path=xl/sharedStrings.xml><?xml version="1.0" encoding="utf-8"?>
<sst xmlns="http://schemas.openxmlformats.org/spreadsheetml/2006/main" count="88" uniqueCount="84">
  <si>
    <t>Summary of Estimated Agency Cost</t>
  </si>
  <si>
    <t>수량</t>
  </si>
  <si>
    <t>자료조사비</t>
  </si>
  <si>
    <t>맥콘티작업</t>
  </si>
  <si>
    <t xml:space="preserve">제 작 항 목 </t>
  </si>
  <si>
    <t>단 가</t>
  </si>
  <si>
    <t>기 획 료</t>
  </si>
  <si>
    <t>Copy료</t>
  </si>
  <si>
    <t>Creative Work료</t>
  </si>
  <si>
    <t>Direction료</t>
  </si>
  <si>
    <t>정가항목계 (A)</t>
  </si>
  <si>
    <t>콘티작화 부문</t>
  </si>
  <si>
    <t>CF제작 부문</t>
  </si>
  <si>
    <t>외주항목계 (B)</t>
  </si>
  <si>
    <t>대행수수료 (C)</t>
  </si>
  <si>
    <t>Producer 료</t>
  </si>
  <si>
    <t>세부내용</t>
    <phoneticPr fontId="2" type="noConversion"/>
  </si>
  <si>
    <t>협력회사</t>
    <phoneticPr fontId="2" type="noConversion"/>
  </si>
  <si>
    <t>담당자</t>
    <phoneticPr fontId="2" type="noConversion"/>
  </si>
  <si>
    <t>연락처</t>
    <phoneticPr fontId="2" type="noConversion"/>
  </si>
  <si>
    <t xml:space="preserve">  작품당</t>
    <phoneticPr fontId="2" type="noConversion"/>
  </si>
  <si>
    <t>콘티작화</t>
    <phoneticPr fontId="2" type="noConversion"/>
  </si>
  <si>
    <t>프로듀서 부문</t>
    <phoneticPr fontId="2" type="noConversion"/>
  </si>
  <si>
    <t>편집 및 특수작업</t>
    <phoneticPr fontId="2" type="noConversion"/>
  </si>
  <si>
    <t>모델료 부문</t>
    <phoneticPr fontId="2" type="noConversion"/>
  </si>
  <si>
    <t>진행비 부문</t>
    <phoneticPr fontId="2" type="noConversion"/>
  </si>
  <si>
    <t>기타 부문</t>
    <phoneticPr fontId="2" type="noConversion"/>
  </si>
  <si>
    <t>저작권료</t>
    <phoneticPr fontId="2" type="noConversion"/>
  </si>
  <si>
    <t>진행비(교통비/식음료)</t>
    <phoneticPr fontId="2" type="noConversion"/>
  </si>
  <si>
    <t>일러스트작화</t>
    <phoneticPr fontId="2" type="noConversion"/>
  </si>
  <si>
    <t>DI</t>
    <phoneticPr fontId="2" type="noConversion"/>
  </si>
  <si>
    <t>제작번호 :</t>
    <phoneticPr fontId="2" type="noConversion"/>
  </si>
  <si>
    <t>EDIT</t>
    <phoneticPr fontId="2" type="noConversion"/>
  </si>
  <si>
    <t>2D</t>
    <phoneticPr fontId="2" type="noConversion"/>
  </si>
  <si>
    <t>선곡료</t>
    <phoneticPr fontId="2" type="noConversion"/>
  </si>
  <si>
    <t>녹음연출료</t>
    <phoneticPr fontId="2" type="noConversion"/>
  </si>
  <si>
    <t>해외제작비</t>
    <phoneticPr fontId="2" type="noConversion"/>
  </si>
  <si>
    <t>3D/Art</t>
    <phoneticPr fontId="2" type="noConversion"/>
  </si>
  <si>
    <t>BGM저작권료</t>
    <phoneticPr fontId="2" type="noConversion"/>
  </si>
  <si>
    <t>라이브러리음악</t>
    <phoneticPr fontId="2" type="noConversion"/>
  </si>
  <si>
    <t>항공료</t>
    <phoneticPr fontId="2" type="noConversion"/>
  </si>
  <si>
    <t>통관료</t>
    <phoneticPr fontId="2" type="noConversion"/>
  </si>
  <si>
    <t>효과료</t>
    <phoneticPr fontId="2" type="noConversion"/>
  </si>
  <si>
    <t xml:space="preserve"> 부문  :</t>
    <phoneticPr fontId="2" type="noConversion"/>
  </si>
  <si>
    <t>규격:</t>
    <phoneticPr fontId="2" type="noConversion"/>
  </si>
  <si>
    <t>감독:</t>
    <phoneticPr fontId="2" type="noConversion"/>
  </si>
  <si>
    <t>Art:</t>
    <phoneticPr fontId="2" type="noConversion"/>
  </si>
  <si>
    <t xml:space="preserve"> AE: 유인명, 권두인</t>
    <phoneticPr fontId="2" type="noConversion"/>
  </si>
  <si>
    <t xml:space="preserve"> PM: 이지선</t>
    <phoneticPr fontId="2" type="noConversion"/>
  </si>
  <si>
    <t>부가가치세</t>
    <phoneticPr fontId="26" type="noConversion"/>
  </si>
  <si>
    <t>총 합</t>
    <phoneticPr fontId="26" type="noConversion"/>
  </si>
  <si>
    <t>합 계</t>
    <phoneticPr fontId="26" type="noConversion"/>
  </si>
  <si>
    <t>성우료 (남, 녀)</t>
    <phoneticPr fontId="2" type="noConversion"/>
  </si>
  <si>
    <t>성우료 (외국인)</t>
    <phoneticPr fontId="2" type="noConversion"/>
  </si>
  <si>
    <t>제작 CD   :</t>
    <phoneticPr fontId="2" type="noConversion"/>
  </si>
  <si>
    <t xml:space="preserve">        CW:</t>
    <phoneticPr fontId="2" type="noConversion"/>
  </si>
  <si>
    <t>프로덕션 : 크리에이티브 봄</t>
    <phoneticPr fontId="2" type="noConversion"/>
  </si>
  <si>
    <t xml:space="preserve">        PD: </t>
    <phoneticPr fontId="2" type="noConversion"/>
  </si>
  <si>
    <t xml:space="preserve">촬영일자 : </t>
    <phoneticPr fontId="2" type="noConversion"/>
  </si>
  <si>
    <t>광고주 최종시사일 : 2019. 1. 17</t>
    <phoneticPr fontId="2" type="noConversion"/>
  </si>
  <si>
    <t>CG</t>
    <phoneticPr fontId="26" type="noConversion"/>
  </si>
  <si>
    <t>슬라이드 임대</t>
    <phoneticPr fontId="2" type="noConversion"/>
  </si>
  <si>
    <t xml:space="preserve"> (B)항목(진행비 제외) * 17.65%</t>
    <phoneticPr fontId="26" type="noConversion"/>
  </si>
  <si>
    <t>1차 견적</t>
    <phoneticPr fontId="26" type="noConversion"/>
  </si>
  <si>
    <t>2차 견적</t>
    <phoneticPr fontId="26" type="noConversion"/>
  </si>
  <si>
    <t>비고</t>
    <phoneticPr fontId="26" type="noConversion"/>
  </si>
  <si>
    <t xml:space="preserve"> 슬라이드 임대 (창문, 버닦, 비행기, 의지) 자체 보유 이미지 4건</t>
    <phoneticPr fontId="26" type="noConversion"/>
  </si>
  <si>
    <t>항목 조정 (삭제)</t>
    <phoneticPr fontId="26" type="noConversion"/>
  </si>
  <si>
    <t>수량 및 단가 조정
 - 수량 12개 → 1개로 조정
 - 단가 150,000원 → 400,000원 (원고 마스터 작업료 반영)</t>
    <phoneticPr fontId="26" type="noConversion"/>
  </si>
  <si>
    <t>시안 - 제작</t>
    <phoneticPr fontId="2" type="noConversion"/>
  </si>
  <si>
    <t>시안 - 수정</t>
    <phoneticPr fontId="2" type="noConversion"/>
  </si>
  <si>
    <t>원고 및 시안 항목 내에서 사이즈 수정 건으로 50% 단가 협의
 - X배너, 현수막 3종, LCD 4종, PC용 3종 등 총 11종</t>
    <phoneticPr fontId="26" type="noConversion"/>
  </si>
  <si>
    <t>시안 항목 내에서 수정 건으로 협의하여 수량 및 단가 50%로 협의
 - 총 4건</t>
    <phoneticPr fontId="26" type="noConversion"/>
  </si>
  <si>
    <t>약도 작업 추가에 따른 1차 견적 상승 반영 (+1,650,000)</t>
    <phoneticPr fontId="26" type="noConversion"/>
  </si>
  <si>
    <t xml:space="preserve"> 3D 이미지 제작
 - 수정, 바레이션 6회 작업 내용 반영
 - 시안, 원고 작업료 항목 단가 조정을 위해 3D 작업료 추가 인정</t>
    <phoneticPr fontId="26" type="noConversion"/>
  </si>
  <si>
    <t xml:space="preserve"> 1차 견적 후 추가 작업 항목
 - 단순 수정 건으로 건당 50,000원 → 30,000원 단가 협의
 - 지점 약도 이미지 제작 (총 33건)</t>
    <phoneticPr fontId="26" type="noConversion"/>
  </si>
  <si>
    <t>원고 - 포스터 (마스터)</t>
    <phoneticPr fontId="2" type="noConversion"/>
  </si>
  <si>
    <t>원고 - 사이즈 수정</t>
    <phoneticPr fontId="2" type="noConversion"/>
  </si>
  <si>
    <t>원고 - (추가) 약도 수정</t>
    <phoneticPr fontId="2" type="noConversion"/>
  </si>
  <si>
    <t>기존 시안 항목 내에서 항목 조정
 - 수량 20개 → 3개로 조정</t>
    <phoneticPr fontId="26" type="noConversion"/>
  </si>
  <si>
    <t xml:space="preserve"> 3D 이미지 리터칭, 배경 이미지 합성, 바레이션 리사이즈 작업
 - 시안, 원고 작업료 항목 단가 조정을 위해 CG 작업 시간 추가 인정
 - 32시간 → 42시간</t>
    <phoneticPr fontId="26" type="noConversion"/>
  </si>
  <si>
    <t>광고주 :</t>
    <phoneticPr fontId="2" type="noConversion"/>
  </si>
  <si>
    <t xml:space="preserve">건명 : </t>
    <phoneticPr fontId="2" type="noConversion"/>
  </si>
  <si>
    <t>견적 조정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</si>
</sst>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24" formatCode="\$#,##0_);[Red]\(\$#,##0\)"/>
    <numFmt numFmtId="176" formatCode="&quot;US$&quot;#,##0.00"/>
    <numFmt numFmtId="177" formatCode="&quot;₩&quot;#,##0"/>
    <numFmt numFmtId="178" formatCode="&quot;US$&quot;#,##0_);\(&quot;US$&quot;#,##0\)"/>
    <numFmt numFmtId="179" formatCode="_-* #,##0_-;\-* #,##0_-;_-* &quot;-&quot;??_-;_-@_-"/>
    <numFmt numFmtId="180" formatCode="#,##0_);[Red]\(#,##0\)"/>
  </numFmts>
  <fonts count="29" x14ac:knownFonts="1">
    <font>
      <sz val="11"/>
      <name val="돋움"/>
      <family val="3"/>
    </font>
    <font>
      <sz val="11"/>
      <name val="돋움"/>
      <family val="3"/>
    </font>
    <font>
      <sz val="8"/>
      <name val="돋움"/>
      <family val="3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돋움"/>
      <family val="3"/>
    </font>
    <font>
      <b/>
      <sz val="16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name val="Tahoma"/>
      <family val="2"/>
    </font>
    <font>
      <b/>
      <sz val="9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돋움"/>
      <family val="3"/>
    </font>
    <font>
      <sz val="6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z val="11"/>
      <name val="Tahoma"/>
      <family val="2"/>
    </font>
    <font>
      <sz val="8"/>
      <name val="Tahoma"/>
      <family val="2"/>
    </font>
    <font>
      <sz val="11"/>
      <color rgb="FFFF0000"/>
      <name val="Tahoma"/>
      <family val="2"/>
    </font>
    <font>
      <sz val="8"/>
      <name val="돋움"/>
      <family val="3"/>
      <charset val="129"/>
    </font>
    <font>
      <sz val="10"/>
      <name val="Tahoma"/>
      <family val="2"/>
    </font>
    <font>
      <sz val="10"/>
      <color rgb="FFFF0000"/>
      <name val="돋움"/>
      <family val="3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99">
    <xf numFmtId="0" fontId="0" fillId="0" borderId="0" xfId="0">
      <alignment vertical="center"/>
    </xf>
    <xf numFmtId="0" fontId="6" fillId="0" borderId="0" xfId="0" applyFont="1">
      <alignment vertical="center"/>
    </xf>
    <xf numFmtId="0" fontId="4" fillId="0" borderId="15" xfId="0" applyFont="1" applyBorder="1" applyAlignment="1">
      <alignment horizontal="left" vertical="center"/>
    </xf>
    <xf numFmtId="0" fontId="27" fillId="0" borderId="0" xfId="0" quotePrefix="1" applyFont="1" applyAlignment="1">
      <alignment horizontal="center" vertical="center"/>
    </xf>
    <xf numFmtId="0" fontId="24" fillId="0" borderId="0" xfId="0" quotePrefix="1" applyFo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Continuous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centerContinuous" vertical="top"/>
    </xf>
    <xf numFmtId="0" fontId="3" fillId="0" borderId="0" xfId="0" applyFont="1" applyAlignment="1">
      <alignment horizontal="center" vertical="top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10" fillId="2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right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right" vertical="center"/>
    </xf>
    <xf numFmtId="0" fontId="14" fillId="2" borderId="2" xfId="0" applyFont="1" applyFill="1" applyBorder="1" applyAlignment="1">
      <alignment horizontal="left" vertical="center"/>
    </xf>
    <xf numFmtId="0" fontId="10" fillId="0" borderId="2" xfId="0" applyFont="1" applyFill="1" applyBorder="1" applyAlignment="1">
      <alignment horizontal="left" vertical="center"/>
    </xf>
    <xf numFmtId="0" fontId="10" fillId="0" borderId="2" xfId="0" applyFont="1" applyFill="1" applyBorder="1" applyAlignment="1">
      <alignment horizontal="right" vertical="center"/>
    </xf>
    <xf numFmtId="0" fontId="14" fillId="0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right" vertic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12" fillId="0" borderId="0" xfId="0" applyFont="1" applyFill="1">
      <alignment vertical="center"/>
    </xf>
    <xf numFmtId="0" fontId="13" fillId="0" borderId="0" xfId="0" applyFont="1" applyFill="1">
      <alignment vertical="center"/>
    </xf>
    <xf numFmtId="0" fontId="16" fillId="2" borderId="4" xfId="0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0" borderId="0" xfId="0" applyFont="1">
      <alignment vertical="center"/>
    </xf>
    <xf numFmtId="0" fontId="18" fillId="0" borderId="0" xfId="0" applyFont="1">
      <alignment vertical="center"/>
    </xf>
    <xf numFmtId="0" fontId="16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/>
    </xf>
    <xf numFmtId="41" fontId="16" fillId="0" borderId="13" xfId="1" applyFont="1" applyBorder="1" applyAlignment="1">
      <alignment horizontal="left" vertical="center"/>
    </xf>
    <xf numFmtId="0" fontId="16" fillId="0" borderId="14" xfId="0" applyFont="1" applyFill="1" applyBorder="1" applyAlignment="1">
      <alignment horizontal="center" vertical="center"/>
    </xf>
    <xf numFmtId="0" fontId="16" fillId="0" borderId="15" xfId="0" applyFont="1" applyFill="1" applyBorder="1" applyAlignment="1">
      <alignment horizontal="left" vertical="center"/>
    </xf>
    <xf numFmtId="0" fontId="16" fillId="0" borderId="2" xfId="0" applyFont="1" applyFill="1" applyBorder="1" applyAlignment="1">
      <alignment horizontal="center" vertical="center"/>
    </xf>
    <xf numFmtId="0" fontId="16" fillId="0" borderId="16" xfId="0" applyFont="1" applyFill="1" applyBorder="1" applyAlignment="1">
      <alignment horizontal="left" vertical="center"/>
    </xf>
    <xf numFmtId="41" fontId="16" fillId="0" borderId="16" xfId="1" applyFont="1" applyFill="1" applyBorder="1" applyAlignment="1">
      <alignment horizontal="left" vertical="center"/>
    </xf>
    <xf numFmtId="41" fontId="16" fillId="0" borderId="13" xfId="1" applyFont="1" applyFill="1" applyBorder="1" applyAlignment="1">
      <alignment horizontal="left" vertical="center"/>
    </xf>
    <xf numFmtId="0" fontId="16" fillId="0" borderId="0" xfId="0" applyFont="1" applyFill="1">
      <alignment vertical="center"/>
    </xf>
    <xf numFmtId="0" fontId="18" fillId="0" borderId="0" xfId="0" applyFont="1" applyFill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/>
    </xf>
    <xf numFmtId="0" fontId="16" fillId="0" borderId="16" xfId="0" applyFont="1" applyBorder="1" applyAlignment="1">
      <alignment horizontal="left" vertical="center"/>
    </xf>
    <xf numFmtId="41" fontId="16" fillId="0" borderId="16" xfId="1" applyFont="1" applyBorder="1" applyAlignment="1">
      <alignment horizontal="left" vertical="center"/>
    </xf>
    <xf numFmtId="0" fontId="16" fillId="3" borderId="14" xfId="0" applyFont="1" applyFill="1" applyBorder="1" applyAlignment="1">
      <alignment horizontal="center" vertical="center"/>
    </xf>
    <xf numFmtId="0" fontId="16" fillId="3" borderId="15" xfId="0" applyFont="1" applyFill="1" applyBorder="1" applyAlignment="1">
      <alignment horizontal="left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16" xfId="0" applyFont="1" applyFill="1" applyBorder="1" applyAlignment="1">
      <alignment horizontal="left" vertical="center"/>
    </xf>
    <xf numFmtId="41" fontId="16" fillId="3" borderId="16" xfId="1" applyFont="1" applyFill="1" applyBorder="1" applyAlignment="1">
      <alignment horizontal="left" vertical="center"/>
    </xf>
    <xf numFmtId="0" fontId="16" fillId="0" borderId="17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/>
    </xf>
    <xf numFmtId="0" fontId="16" fillId="0" borderId="20" xfId="0" applyFont="1" applyBorder="1" applyAlignment="1">
      <alignment horizontal="center" vertical="center"/>
    </xf>
    <xf numFmtId="41" fontId="16" fillId="0" borderId="22" xfId="1" applyFont="1" applyBorder="1" applyAlignment="1">
      <alignment horizontal="left" vertical="center"/>
    </xf>
    <xf numFmtId="41" fontId="16" fillId="0" borderId="23" xfId="1" applyFont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6" xfId="0" applyFont="1" applyFill="1" applyBorder="1" applyAlignment="1">
      <alignment horizontal="left" vertical="center"/>
    </xf>
    <xf numFmtId="41" fontId="16" fillId="2" borderId="7" xfId="1" applyFont="1" applyFill="1" applyBorder="1" applyAlignment="1">
      <alignment horizontal="left" vertical="center"/>
    </xf>
    <xf numFmtId="0" fontId="16" fillId="0" borderId="24" xfId="0" applyFont="1" applyBorder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8" fillId="0" borderId="12" xfId="0" applyFont="1" applyBorder="1" applyAlignment="1">
      <alignment horizontal="center" vertical="center"/>
    </xf>
    <xf numFmtId="41" fontId="16" fillId="0" borderId="11" xfId="1" applyFont="1" applyBorder="1" applyAlignment="1">
      <alignment horizontal="left" vertical="center"/>
    </xf>
    <xf numFmtId="41" fontId="16" fillId="0" borderId="26" xfId="1" applyFont="1" applyBorder="1" applyAlignment="1">
      <alignment horizontal="left" vertical="center"/>
    </xf>
    <xf numFmtId="0" fontId="16" fillId="0" borderId="10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8" fillId="0" borderId="28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41" fontId="16" fillId="0" borderId="29" xfId="1" applyFont="1" applyBorder="1" applyAlignment="1">
      <alignment horizontal="left" vertical="center"/>
    </xf>
    <xf numFmtId="41" fontId="16" fillId="0" borderId="29" xfId="1" applyFont="1" applyFill="1" applyBorder="1" applyAlignment="1">
      <alignment horizontal="left" vertical="center"/>
    </xf>
    <xf numFmtId="0" fontId="8" fillId="0" borderId="0" xfId="0" applyFont="1">
      <alignment vertical="center"/>
    </xf>
    <xf numFmtId="0" fontId="16" fillId="0" borderId="32" xfId="0" applyFont="1" applyBorder="1" applyAlignment="1">
      <alignment horizontal="center" vertical="center"/>
    </xf>
    <xf numFmtId="41" fontId="16" fillId="0" borderId="26" xfId="1" applyFont="1" applyBorder="1" applyAlignment="1">
      <alignment horizontal="left" vertical="center" shrinkToFit="1"/>
    </xf>
    <xf numFmtId="0" fontId="4" fillId="0" borderId="14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41" fontId="21" fillId="0" borderId="22" xfId="1" applyFont="1" applyBorder="1" applyAlignment="1">
      <alignment horizontal="left" vertical="center"/>
    </xf>
    <xf numFmtId="0" fontId="21" fillId="0" borderId="14" xfId="0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/>
    </xf>
    <xf numFmtId="0" fontId="17" fillId="0" borderId="17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1" fillId="0" borderId="33" xfId="0" applyFont="1" applyBorder="1" applyAlignment="1">
      <alignment horizontal="center" vertical="center"/>
    </xf>
    <xf numFmtId="0" fontId="16" fillId="0" borderId="33" xfId="0" applyFont="1" applyBorder="1" applyAlignment="1">
      <alignment vertical="center"/>
    </xf>
    <xf numFmtId="41" fontId="16" fillId="0" borderId="32" xfId="1" applyFont="1" applyBorder="1" applyAlignment="1">
      <alignment horizontal="left" vertical="center"/>
    </xf>
    <xf numFmtId="0" fontId="22" fillId="0" borderId="14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24" fontId="16" fillId="0" borderId="23" xfId="1" applyNumberFormat="1" applyFont="1" applyBorder="1" applyAlignment="1">
      <alignment horizontal="right" vertical="center"/>
    </xf>
    <xf numFmtId="0" fontId="4" fillId="0" borderId="31" xfId="0" applyFont="1" applyBorder="1" applyAlignment="1">
      <alignment horizontal="left" vertical="center"/>
    </xf>
    <xf numFmtId="0" fontId="16" fillId="0" borderId="32" xfId="0" applyFont="1" applyBorder="1" applyAlignment="1">
      <alignment horizontal="center" vertical="center" shrinkToFit="1"/>
    </xf>
    <xf numFmtId="0" fontId="16" fillId="0" borderId="14" xfId="0" applyFont="1" applyBorder="1" applyAlignment="1">
      <alignment horizontal="center" vertical="center" shrinkToFit="1"/>
    </xf>
    <xf numFmtId="41" fontId="16" fillId="0" borderId="16" xfId="1" applyFont="1" applyBorder="1" applyAlignment="1">
      <alignment horizontal="left" vertical="center" shrinkToFit="1"/>
    </xf>
    <xf numFmtId="0" fontId="16" fillId="0" borderId="28" xfId="0" applyFont="1" applyBorder="1" applyAlignment="1">
      <alignment horizontal="center" vertical="center" shrinkToFit="1"/>
    </xf>
    <xf numFmtId="41" fontId="16" fillId="0" borderId="29" xfId="1" applyFont="1" applyBorder="1" applyAlignment="1">
      <alignment horizontal="left" vertical="center" shrinkToFit="1"/>
    </xf>
    <xf numFmtId="0" fontId="8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41" fontId="16" fillId="0" borderId="21" xfId="1" applyFont="1" applyBorder="1" applyAlignment="1">
      <alignment horizontal="left" vertical="center"/>
    </xf>
    <xf numFmtId="24" fontId="16" fillId="2" borderId="6" xfId="0" applyNumberFormat="1" applyFont="1" applyFill="1" applyBorder="1" applyAlignment="1">
      <alignment horizontal="center" vertical="center"/>
    </xf>
    <xf numFmtId="41" fontId="16" fillId="2" borderId="4" xfId="1" applyFont="1" applyFill="1" applyBorder="1" applyAlignment="1">
      <alignment horizontal="left" vertical="center"/>
    </xf>
    <xf numFmtId="41" fontId="17" fillId="2" borderId="4" xfId="1" applyFont="1" applyFill="1" applyBorder="1" applyAlignment="1">
      <alignment horizontal="left" vertical="center"/>
    </xf>
    <xf numFmtId="0" fontId="16" fillId="3" borderId="35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left" vertical="center"/>
    </xf>
    <xf numFmtId="0" fontId="16" fillId="3" borderId="36" xfId="0" applyFont="1" applyFill="1" applyBorder="1" applyAlignment="1">
      <alignment horizontal="center" vertical="center"/>
    </xf>
    <xf numFmtId="10" fontId="16" fillId="3" borderId="36" xfId="0" applyNumberFormat="1" applyFont="1" applyFill="1" applyBorder="1" applyAlignment="1">
      <alignment horizontal="center" vertical="center"/>
    </xf>
    <xf numFmtId="41" fontId="16" fillId="3" borderId="35" xfId="1" applyFont="1" applyFill="1" applyBorder="1" applyAlignment="1">
      <alignment horizontal="left" vertical="center"/>
    </xf>
    <xf numFmtId="0" fontId="12" fillId="2" borderId="6" xfId="0" applyFont="1" applyFill="1" applyBorder="1" applyAlignment="1">
      <alignment horizontal="left" vertical="center"/>
    </xf>
    <xf numFmtId="24" fontId="12" fillId="2" borderId="6" xfId="0" applyNumberFormat="1" applyFont="1" applyFill="1" applyBorder="1" applyAlignment="1">
      <alignment horizontal="center" vertical="center"/>
    </xf>
    <xf numFmtId="176" fontId="12" fillId="2" borderId="6" xfId="0" applyNumberFormat="1" applyFont="1" applyFill="1" applyBorder="1" applyAlignment="1">
      <alignment horizontal="left" vertical="center"/>
    </xf>
    <xf numFmtId="177" fontId="16" fillId="2" borderId="4" xfId="1" applyNumberFormat="1" applyFont="1" applyFill="1" applyBorder="1" applyAlignment="1">
      <alignment horizontal="right" vertical="center"/>
    </xf>
    <xf numFmtId="0" fontId="8" fillId="0" borderId="0" xfId="0" applyFont="1" applyBorder="1">
      <alignment vertical="center"/>
    </xf>
    <xf numFmtId="0" fontId="18" fillId="0" borderId="0" xfId="0" applyFont="1" applyBorder="1">
      <alignment vertical="center"/>
    </xf>
    <xf numFmtId="0" fontId="23" fillId="0" borderId="0" xfId="0" applyFont="1" applyAlignment="1">
      <alignment horizontal="center"/>
    </xf>
    <xf numFmtId="0" fontId="23" fillId="0" borderId="0" xfId="0" applyFont="1">
      <alignment vertical="center"/>
    </xf>
    <xf numFmtId="0" fontId="23" fillId="0" borderId="0" xfId="0" applyFont="1" applyAlignment="1">
      <alignment horizontal="left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4" fillId="0" borderId="3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24" fontId="16" fillId="0" borderId="22" xfId="1" applyNumberFormat="1" applyFont="1" applyBorder="1" applyAlignment="1">
      <alignment horizontal="right" vertical="center"/>
    </xf>
    <xf numFmtId="0" fontId="4" fillId="0" borderId="28" xfId="0" applyFont="1" applyBorder="1" applyAlignment="1">
      <alignment horizontal="left" vertical="center"/>
    </xf>
    <xf numFmtId="41" fontId="4" fillId="0" borderId="26" xfId="1" applyFont="1" applyBorder="1" applyAlignment="1">
      <alignment horizontal="left" vertical="center"/>
    </xf>
    <xf numFmtId="0" fontId="11" fillId="0" borderId="32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41" fontId="21" fillId="0" borderId="13" xfId="1" applyFont="1" applyBorder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8" fillId="0" borderId="27" xfId="0" applyFont="1" applyBorder="1" applyAlignment="1">
      <alignment horizontal="left" vertical="center"/>
    </xf>
    <xf numFmtId="0" fontId="16" fillId="0" borderId="18" xfId="0" applyFont="1" applyBorder="1" applyAlignment="1">
      <alignment horizontal="left" vertical="center"/>
    </xf>
    <xf numFmtId="0" fontId="16" fillId="0" borderId="22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11" fillId="0" borderId="17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11" fillId="0" borderId="34" xfId="0" applyFont="1" applyBorder="1" applyAlignment="1">
      <alignment vertical="center"/>
    </xf>
    <xf numFmtId="0" fontId="12" fillId="0" borderId="35" xfId="0" applyFont="1" applyFill="1" applyBorder="1" applyAlignment="1">
      <alignment vertical="center"/>
    </xf>
    <xf numFmtId="0" fontId="12" fillId="0" borderId="34" xfId="0" applyFont="1" applyFill="1" applyBorder="1" applyAlignment="1">
      <alignment vertical="center"/>
    </xf>
    <xf numFmtId="0" fontId="12" fillId="0" borderId="37" xfId="0" applyFont="1" applyFill="1" applyBorder="1" applyAlignment="1">
      <alignment vertical="center"/>
    </xf>
    <xf numFmtId="0" fontId="12" fillId="0" borderId="14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left" vertical="center"/>
    </xf>
    <xf numFmtId="0" fontId="12" fillId="4" borderId="6" xfId="0" applyFont="1" applyFill="1" applyBorder="1" applyAlignment="1">
      <alignment horizontal="left" vertical="center"/>
    </xf>
    <xf numFmtId="24" fontId="12" fillId="4" borderId="6" xfId="0" applyNumberFormat="1" applyFont="1" applyFill="1" applyBorder="1" applyAlignment="1">
      <alignment horizontal="center" vertical="center"/>
    </xf>
    <xf numFmtId="176" fontId="12" fillId="4" borderId="6" xfId="0" applyNumberFormat="1" applyFont="1" applyFill="1" applyBorder="1" applyAlignment="1">
      <alignment horizontal="left" vertical="center"/>
    </xf>
    <xf numFmtId="0" fontId="16" fillId="4" borderId="6" xfId="0" applyFont="1" applyFill="1" applyBorder="1" applyAlignment="1">
      <alignment horizontal="center" vertical="center"/>
    </xf>
    <xf numFmtId="177" fontId="16" fillId="4" borderId="4" xfId="1" applyNumberFormat="1" applyFont="1" applyFill="1" applyBorder="1" applyAlignment="1">
      <alignment horizontal="right" vertical="center"/>
    </xf>
    <xf numFmtId="0" fontId="8" fillId="0" borderId="38" xfId="0" applyFont="1" applyBorder="1" applyAlignment="1">
      <alignment horizontal="left" vertical="center"/>
    </xf>
    <xf numFmtId="0" fontId="8" fillId="0" borderId="39" xfId="0" applyFont="1" applyBorder="1" applyAlignment="1">
      <alignment horizontal="left" vertical="center"/>
    </xf>
    <xf numFmtId="0" fontId="17" fillId="0" borderId="33" xfId="0" applyFont="1" applyBorder="1" applyAlignment="1">
      <alignment horizontal="center" vertical="center"/>
    </xf>
    <xf numFmtId="41" fontId="16" fillId="0" borderId="39" xfId="1" applyFont="1" applyBorder="1" applyAlignment="1">
      <alignment horizontal="left" vertical="center"/>
    </xf>
    <xf numFmtId="41" fontId="21" fillId="0" borderId="39" xfId="1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41" fontId="21" fillId="0" borderId="16" xfId="1" applyFont="1" applyBorder="1" applyAlignment="1">
      <alignment horizontal="left" vertical="center"/>
    </xf>
    <xf numFmtId="0" fontId="4" fillId="0" borderId="28" xfId="0" applyFont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6" fillId="0" borderId="5" xfId="0" applyFont="1" applyFill="1" applyBorder="1" applyAlignment="1">
      <alignment horizontal="left" vertical="center"/>
    </xf>
    <xf numFmtId="0" fontId="12" fillId="0" borderId="6" xfId="0" applyFont="1" applyFill="1" applyBorder="1" applyAlignment="1">
      <alignment horizontal="left" vertical="center"/>
    </xf>
    <xf numFmtId="24" fontId="12" fillId="0" borderId="6" xfId="0" applyNumberFormat="1" applyFont="1" applyFill="1" applyBorder="1" applyAlignment="1">
      <alignment horizontal="center" vertical="center"/>
    </xf>
    <xf numFmtId="176" fontId="12" fillId="0" borderId="6" xfId="0" applyNumberFormat="1" applyFont="1" applyFill="1" applyBorder="1" applyAlignment="1">
      <alignment horizontal="left" vertical="center"/>
    </xf>
    <xf numFmtId="0" fontId="16" fillId="0" borderId="6" xfId="0" applyFont="1" applyFill="1" applyBorder="1" applyAlignment="1">
      <alignment horizontal="center" vertical="center"/>
    </xf>
    <xf numFmtId="177" fontId="16" fillId="0" borderId="4" xfId="1" applyNumberFormat="1" applyFont="1" applyFill="1" applyBorder="1" applyAlignment="1">
      <alignment horizontal="right" vertical="center"/>
    </xf>
    <xf numFmtId="0" fontId="17" fillId="0" borderId="0" xfId="0" applyFont="1">
      <alignment vertical="center"/>
    </xf>
    <xf numFmtId="178" fontId="17" fillId="0" borderId="0" xfId="0" applyNumberFormat="1" applyFont="1" applyAlignment="1">
      <alignment horizontal="left" vertical="center"/>
    </xf>
    <xf numFmtId="0" fontId="15" fillId="0" borderId="0" xfId="0" applyFont="1">
      <alignment vertical="center"/>
    </xf>
    <xf numFmtId="0" fontId="15" fillId="0" borderId="0" xfId="0" applyFont="1" applyFill="1">
      <alignment vertical="center"/>
    </xf>
    <xf numFmtId="0" fontId="17" fillId="0" borderId="0" xfId="0" applyFont="1" applyFill="1">
      <alignment vertical="center"/>
    </xf>
    <xf numFmtId="0" fontId="17" fillId="0" borderId="0" xfId="0" applyFont="1" applyBorder="1">
      <alignment vertical="center"/>
    </xf>
    <xf numFmtId="0" fontId="28" fillId="0" borderId="0" xfId="0" applyFont="1">
      <alignment vertical="center"/>
    </xf>
    <xf numFmtId="0" fontId="16" fillId="0" borderId="34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16" fillId="0" borderId="27" xfId="0" applyFont="1" applyBorder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41" fontId="16" fillId="0" borderId="8" xfId="1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41" fontId="16" fillId="0" borderId="16" xfId="1" applyFont="1" applyBorder="1" applyAlignment="1">
      <alignment horizontal="left" vertical="center" wrapText="1"/>
    </xf>
    <xf numFmtId="41" fontId="16" fillId="0" borderId="14" xfId="1" applyFont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16" fillId="0" borderId="40" xfId="0" applyFont="1" applyFill="1" applyBorder="1" applyAlignment="1">
      <alignment horizontal="center" vertical="center"/>
    </xf>
    <xf numFmtId="0" fontId="16" fillId="0" borderId="42" xfId="0" applyFont="1" applyFill="1" applyBorder="1" applyAlignment="1">
      <alignment horizontal="left" vertical="center"/>
    </xf>
    <xf numFmtId="0" fontId="16" fillId="0" borderId="43" xfId="0" applyFont="1" applyFill="1" applyBorder="1" applyAlignment="1">
      <alignment horizontal="left" vertical="center"/>
    </xf>
    <xf numFmtId="0" fontId="11" fillId="0" borderId="40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/>
    </xf>
    <xf numFmtId="0" fontId="19" fillId="0" borderId="40" xfId="0" applyFont="1" applyFill="1" applyBorder="1" applyAlignment="1">
      <alignment horizontal="center" vertical="center"/>
    </xf>
    <xf numFmtId="41" fontId="16" fillId="0" borderId="43" xfId="1" applyFont="1" applyFill="1" applyBorder="1" applyAlignment="1">
      <alignment horizontal="left" vertical="center"/>
    </xf>
    <xf numFmtId="41" fontId="16" fillId="0" borderId="43" xfId="1" applyFont="1" applyBorder="1" applyAlignment="1">
      <alignment horizontal="left" vertical="center"/>
    </xf>
    <xf numFmtId="0" fontId="16" fillId="4" borderId="5" xfId="0" applyFont="1" applyFill="1" applyBorder="1" applyAlignment="1">
      <alignment horizontal="center" vertical="center" wrapText="1"/>
    </xf>
    <xf numFmtId="41" fontId="17" fillId="0" borderId="10" xfId="1" applyFont="1" applyBorder="1" applyAlignment="1">
      <alignment horizontal="left" vertical="center"/>
    </xf>
    <xf numFmtId="41" fontId="17" fillId="0" borderId="10" xfId="1" applyFont="1" applyFill="1" applyBorder="1" applyAlignment="1">
      <alignment horizontal="left" vertical="center"/>
    </xf>
    <xf numFmtId="41" fontId="17" fillId="0" borderId="0" xfId="1" applyFont="1" applyBorder="1" applyAlignment="1">
      <alignment horizontal="left" vertical="center"/>
    </xf>
    <xf numFmtId="41" fontId="17" fillId="2" borderId="6" xfId="1" applyFont="1" applyFill="1" applyBorder="1" applyAlignment="1">
      <alignment horizontal="left" vertical="center"/>
    </xf>
    <xf numFmtId="41" fontId="16" fillId="0" borderId="13" xfId="1" applyFont="1" applyBorder="1" applyAlignment="1">
      <alignment horizontal="left" vertical="center" wrapText="1"/>
    </xf>
    <xf numFmtId="41" fontId="16" fillId="0" borderId="49" xfId="1" applyFont="1" applyBorder="1" applyAlignment="1">
      <alignment horizontal="left" vertical="center"/>
    </xf>
    <xf numFmtId="41" fontId="16" fillId="0" borderId="49" xfId="1" applyFont="1" applyFill="1" applyBorder="1" applyAlignment="1">
      <alignment horizontal="left" vertical="center"/>
    </xf>
    <xf numFmtId="41" fontId="16" fillId="3" borderId="49" xfId="1" applyFont="1" applyFill="1" applyBorder="1" applyAlignment="1">
      <alignment horizontal="left" vertical="center"/>
    </xf>
    <xf numFmtId="41" fontId="16" fillId="0" borderId="50" xfId="1" applyFont="1" applyBorder="1" applyAlignment="1">
      <alignment horizontal="left" vertical="center"/>
    </xf>
    <xf numFmtId="41" fontId="16" fillId="2" borderId="51" xfId="1" applyFont="1" applyFill="1" applyBorder="1" applyAlignment="1">
      <alignment horizontal="left" vertical="center"/>
    </xf>
    <xf numFmtId="41" fontId="16" fillId="0" borderId="52" xfId="1" applyFont="1" applyFill="1" applyBorder="1" applyAlignment="1">
      <alignment horizontal="left" vertical="center"/>
    </xf>
    <xf numFmtId="41" fontId="16" fillId="0" borderId="53" xfId="1" applyFont="1" applyFill="1" applyBorder="1" applyAlignment="1">
      <alignment horizontal="left" vertical="center"/>
    </xf>
    <xf numFmtId="41" fontId="16" fillId="0" borderId="54" xfId="1" applyFont="1" applyBorder="1" applyAlignment="1">
      <alignment horizontal="right" vertical="center"/>
    </xf>
    <xf numFmtId="41" fontId="16" fillId="0" borderId="49" xfId="1" applyFont="1" applyBorder="1" applyAlignment="1">
      <alignment horizontal="right" vertical="center"/>
    </xf>
    <xf numFmtId="41" fontId="16" fillId="0" borderId="55" xfId="1" applyFont="1" applyBorder="1" applyAlignment="1">
      <alignment horizontal="right" vertical="center"/>
    </xf>
    <xf numFmtId="41" fontId="16" fillId="0" borderId="55" xfId="1" applyFont="1" applyBorder="1" applyAlignment="1">
      <alignment horizontal="left" vertical="center"/>
    </xf>
    <xf numFmtId="41" fontId="16" fillId="0" borderId="56" xfId="1" applyFont="1" applyBorder="1" applyAlignment="1">
      <alignment horizontal="left" vertical="center"/>
    </xf>
    <xf numFmtId="41" fontId="16" fillId="0" borderId="52" xfId="1" applyFont="1" applyBorder="1" applyAlignment="1">
      <alignment horizontal="left" vertical="center"/>
    </xf>
    <xf numFmtId="41" fontId="16" fillId="0" borderId="53" xfId="1" applyFont="1" applyBorder="1" applyAlignment="1">
      <alignment horizontal="left" vertical="center"/>
    </xf>
    <xf numFmtId="41" fontId="16" fillId="0" borderId="57" xfId="1" applyFont="1" applyBorder="1" applyAlignment="1">
      <alignment horizontal="left" vertical="center"/>
    </xf>
    <xf numFmtId="41" fontId="16" fillId="3" borderId="58" xfId="1" applyFont="1" applyFill="1" applyBorder="1" applyAlignment="1">
      <alignment horizontal="left" vertical="center"/>
    </xf>
    <xf numFmtId="177" fontId="16" fillId="2" borderId="51" xfId="1" applyNumberFormat="1" applyFont="1" applyFill="1" applyBorder="1" applyAlignment="1">
      <alignment horizontal="right" vertical="center"/>
    </xf>
    <xf numFmtId="177" fontId="16" fillId="0" borderId="51" xfId="1" applyNumberFormat="1" applyFont="1" applyFill="1" applyBorder="1" applyAlignment="1">
      <alignment horizontal="right" vertical="center"/>
    </xf>
    <xf numFmtId="177" fontId="16" fillId="4" borderId="59" xfId="1" applyNumberFormat="1" applyFont="1" applyFill="1" applyBorder="1" applyAlignment="1">
      <alignment horizontal="right" vertical="center"/>
    </xf>
    <xf numFmtId="0" fontId="17" fillId="0" borderId="8" xfId="0" applyFont="1" applyBorder="1" applyAlignment="1">
      <alignment horizontal="center" vertical="center"/>
    </xf>
    <xf numFmtId="0" fontId="16" fillId="5" borderId="48" xfId="0" applyFont="1" applyFill="1" applyBorder="1" applyAlignment="1">
      <alignment horizontal="center" vertical="center"/>
    </xf>
    <xf numFmtId="179" fontId="17" fillId="0" borderId="8" xfId="1" applyNumberFormat="1" applyFont="1" applyBorder="1" applyAlignment="1">
      <alignment horizontal="left" vertical="center" shrinkToFit="1"/>
    </xf>
    <xf numFmtId="179" fontId="17" fillId="0" borderId="14" xfId="1" applyNumberFormat="1" applyFont="1" applyBorder="1" applyAlignment="1">
      <alignment horizontal="left" vertical="center" shrinkToFit="1"/>
    </xf>
    <xf numFmtId="41" fontId="17" fillId="0" borderId="14" xfId="1" applyFont="1" applyBorder="1" applyAlignment="1">
      <alignment horizontal="left" vertical="center" shrinkToFit="1"/>
    </xf>
    <xf numFmtId="0" fontId="16" fillId="2" borderId="7" xfId="0" applyFont="1" applyFill="1" applyBorder="1" applyAlignment="1">
      <alignment horizontal="left" vertical="center" wrapText="1"/>
    </xf>
    <xf numFmtId="41" fontId="16" fillId="0" borderId="13" xfId="1" applyFont="1" applyFill="1" applyBorder="1" applyAlignment="1">
      <alignment horizontal="left" vertical="center" wrapText="1"/>
    </xf>
    <xf numFmtId="41" fontId="16" fillId="3" borderId="13" xfId="1" applyFont="1" applyFill="1" applyBorder="1" applyAlignment="1">
      <alignment horizontal="left" vertical="center" wrapText="1"/>
    </xf>
    <xf numFmtId="41" fontId="16" fillId="0" borderId="23" xfId="1" applyFont="1" applyBorder="1" applyAlignment="1">
      <alignment horizontal="left" vertical="center" wrapText="1"/>
    </xf>
    <xf numFmtId="41" fontId="16" fillId="2" borderId="7" xfId="1" applyFont="1" applyFill="1" applyBorder="1" applyAlignment="1">
      <alignment horizontal="left" vertical="center" wrapText="1"/>
    </xf>
    <xf numFmtId="41" fontId="16" fillId="0" borderId="26" xfId="1" applyFont="1" applyFill="1" applyBorder="1" applyAlignment="1">
      <alignment horizontal="left" vertical="center" wrapText="1"/>
    </xf>
    <xf numFmtId="41" fontId="16" fillId="0" borderId="29" xfId="1" applyFont="1" applyFill="1" applyBorder="1" applyAlignment="1">
      <alignment horizontal="left" vertical="center" wrapText="1"/>
    </xf>
    <xf numFmtId="41" fontId="16" fillId="0" borderId="41" xfId="1" applyFont="1" applyBorder="1" applyAlignment="1">
      <alignment horizontal="left" vertical="center" wrapText="1"/>
    </xf>
    <xf numFmtId="41" fontId="16" fillId="0" borderId="39" xfId="1" applyFont="1" applyBorder="1" applyAlignment="1">
      <alignment horizontal="left" vertical="center" wrapText="1"/>
    </xf>
    <xf numFmtId="41" fontId="16" fillId="0" borderId="26" xfId="1" applyFont="1" applyBorder="1" applyAlignment="1">
      <alignment horizontal="left" vertical="center" wrapText="1"/>
    </xf>
    <xf numFmtId="41" fontId="16" fillId="0" borderId="29" xfId="1" applyFont="1" applyBorder="1" applyAlignment="1">
      <alignment horizontal="left" vertical="center" wrapText="1"/>
    </xf>
    <xf numFmtId="41" fontId="16" fillId="0" borderId="22" xfId="1" applyFont="1" applyBorder="1" applyAlignment="1">
      <alignment horizontal="left" vertical="center" wrapText="1"/>
    </xf>
    <xf numFmtId="41" fontId="16" fillId="3" borderId="47" xfId="1" applyFont="1" applyFill="1" applyBorder="1" applyAlignment="1">
      <alignment horizontal="left" vertical="center" wrapText="1"/>
    </xf>
    <xf numFmtId="177" fontId="16" fillId="2" borderId="7" xfId="1" applyNumberFormat="1" applyFont="1" applyFill="1" applyBorder="1" applyAlignment="1">
      <alignment horizontal="left" vertical="center" wrapText="1"/>
    </xf>
    <xf numFmtId="177" fontId="16" fillId="0" borderId="7" xfId="1" applyNumberFormat="1" applyFont="1" applyFill="1" applyBorder="1" applyAlignment="1">
      <alignment horizontal="left" vertical="center" wrapText="1"/>
    </xf>
    <xf numFmtId="177" fontId="16" fillId="4" borderId="7" xfId="1" applyNumberFormat="1" applyFont="1" applyFill="1" applyBorder="1" applyAlignment="1">
      <alignment horizontal="left" vertical="center" wrapText="1"/>
    </xf>
    <xf numFmtId="180" fontId="17" fillId="0" borderId="1" xfId="1" applyNumberFormat="1" applyFont="1" applyBorder="1" applyAlignment="1">
      <alignment vertical="center"/>
    </xf>
    <xf numFmtId="180" fontId="17" fillId="0" borderId="10" xfId="1" applyNumberFormat="1" applyFont="1" applyBorder="1" applyAlignment="1">
      <alignment vertical="center"/>
    </xf>
    <xf numFmtId="180" fontId="17" fillId="0" borderId="3" xfId="1" applyNumberFormat="1" applyFont="1" applyFill="1" applyBorder="1" applyAlignment="1">
      <alignment vertical="center"/>
    </xf>
    <xf numFmtId="180" fontId="17" fillId="0" borderId="44" xfId="1" applyNumberFormat="1" applyFont="1" applyBorder="1" applyAlignment="1">
      <alignment vertical="center"/>
    </xf>
    <xf numFmtId="180" fontId="17" fillId="0" borderId="9" xfId="1" applyNumberFormat="1" applyFont="1" applyBorder="1" applyAlignment="1">
      <alignment vertical="center"/>
    </xf>
    <xf numFmtId="180" fontId="17" fillId="0" borderId="15" xfId="1" applyNumberFormat="1" applyFont="1" applyBorder="1" applyAlignment="1">
      <alignment vertical="center"/>
    </xf>
    <xf numFmtId="180" fontId="17" fillId="0" borderId="0" xfId="1" applyNumberFormat="1" applyFont="1" applyBorder="1" applyAlignment="1">
      <alignment vertical="center"/>
    </xf>
    <xf numFmtId="180" fontId="17" fillId="0" borderId="19" xfId="1" applyNumberFormat="1" applyFont="1" applyBorder="1" applyAlignment="1">
      <alignment vertical="center"/>
    </xf>
    <xf numFmtId="180" fontId="17" fillId="0" borderId="2" xfId="1" applyNumberFormat="1" applyFont="1" applyBorder="1" applyAlignment="1">
      <alignment vertical="center"/>
    </xf>
    <xf numFmtId="180" fontId="17" fillId="0" borderId="45" xfId="1" applyNumberFormat="1" applyFont="1" applyBorder="1" applyAlignment="1">
      <alignment vertical="center"/>
    </xf>
    <xf numFmtId="180" fontId="17" fillId="0" borderId="3" xfId="1" applyNumberFormat="1" applyFont="1" applyBorder="1" applyAlignment="1">
      <alignment vertical="center"/>
    </xf>
    <xf numFmtId="180" fontId="17" fillId="0" borderId="31" xfId="1" applyNumberFormat="1" applyFont="1" applyBorder="1" applyAlignment="1">
      <alignment vertical="center"/>
    </xf>
    <xf numFmtId="180" fontId="17" fillId="2" borderId="5" xfId="1" applyNumberFormat="1" applyFont="1" applyFill="1" applyBorder="1" applyAlignment="1">
      <alignment vertical="center"/>
    </xf>
    <xf numFmtId="180" fontId="17" fillId="3" borderId="46" xfId="1" applyNumberFormat="1" applyFont="1" applyFill="1" applyBorder="1" applyAlignment="1">
      <alignment vertical="center"/>
    </xf>
    <xf numFmtId="180" fontId="17" fillId="0" borderId="5" xfId="1" applyNumberFormat="1" applyFont="1" applyFill="1" applyBorder="1" applyAlignment="1">
      <alignment vertical="center"/>
    </xf>
    <xf numFmtId="180" fontId="17" fillId="4" borderId="5" xfId="1" applyNumberFormat="1" applyFont="1" applyFill="1" applyBorder="1" applyAlignment="1">
      <alignment vertical="center"/>
    </xf>
    <xf numFmtId="180" fontId="16" fillId="0" borderId="15" xfId="1" applyNumberFormat="1" applyFont="1" applyBorder="1" applyAlignment="1">
      <alignment vertical="center"/>
    </xf>
    <xf numFmtId="180" fontId="16" fillId="0" borderId="2" xfId="1" applyNumberFormat="1" applyFont="1" applyBorder="1" applyAlignment="1">
      <alignment vertical="center"/>
    </xf>
    <xf numFmtId="0" fontId="11" fillId="4" borderId="14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7" fillId="4" borderId="14" xfId="0" applyFont="1" applyFill="1" applyBorder="1" applyAlignment="1">
      <alignment horizontal="center" vertical="center"/>
    </xf>
    <xf numFmtId="179" fontId="17" fillId="4" borderId="14" xfId="1" applyNumberFormat="1" applyFont="1" applyFill="1" applyBorder="1" applyAlignment="1">
      <alignment horizontal="left" vertical="center" shrinkToFit="1"/>
    </xf>
    <xf numFmtId="41" fontId="16" fillId="4" borderId="14" xfId="1" applyFont="1" applyFill="1" applyBorder="1" applyAlignment="1">
      <alignment horizontal="left" vertical="center"/>
    </xf>
    <xf numFmtId="180" fontId="17" fillId="4" borderId="15" xfId="1" applyNumberFormat="1" applyFont="1" applyFill="1" applyBorder="1" applyAlignment="1">
      <alignment vertical="center"/>
    </xf>
    <xf numFmtId="41" fontId="16" fillId="4" borderId="55" xfId="1" applyFont="1" applyFill="1" applyBorder="1" applyAlignment="1">
      <alignment horizontal="right" vertical="center"/>
    </xf>
    <xf numFmtId="41" fontId="16" fillId="4" borderId="16" xfId="1" applyFont="1" applyFill="1" applyBorder="1" applyAlignment="1">
      <alignment horizontal="left" vertical="center" wrapText="1"/>
    </xf>
    <xf numFmtId="0" fontId="16" fillId="0" borderId="30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9" fillId="0" borderId="31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16" fillId="0" borderId="34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20" fillId="4" borderId="14" xfId="0" applyFont="1" applyFill="1" applyBorder="1" applyAlignment="1">
      <alignment horizontal="left" vertical="center"/>
    </xf>
    <xf numFmtId="0" fontId="4" fillId="0" borderId="3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16" fillId="0" borderId="27" xfId="0" applyFont="1" applyBorder="1" applyAlignment="1">
      <alignment horizontal="left" vertical="center"/>
    </xf>
    <xf numFmtId="0" fontId="16" fillId="0" borderId="29" xfId="0" applyFont="1" applyBorder="1" applyAlignment="1">
      <alignment horizontal="left" vertical="center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2" name="Lin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0" y="419100"/>
          <a:ext cx="88201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12" name="Line 5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0" y="419100"/>
          <a:ext cx="88201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28575</xdr:colOff>
      <xdr:row>0</xdr:row>
      <xdr:rowOff>57150</xdr:rowOff>
    </xdr:from>
    <xdr:to>
      <xdr:col>1</xdr:col>
      <xdr:colOff>12700</xdr:colOff>
      <xdr:row>0</xdr:row>
      <xdr:rowOff>381000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57150"/>
          <a:ext cx="1079500" cy="323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N51"/>
  <sheetViews>
    <sheetView showGridLines="0" tabSelected="1" zoomScaleNormal="100" workbookViewId="0">
      <selection activeCell="A2" sqref="A2"/>
    </sheetView>
  </sheetViews>
  <sheetFormatPr defaultColWidth="8.6640625" defaultRowHeight="14.25" x14ac:dyDescent="0.2"/>
  <cols>
    <col min="1" max="1" width="12.77734375" style="132" customWidth="1"/>
    <col min="2" max="2" width="8.44140625" style="133" customWidth="1"/>
    <col min="3" max="3" width="8.21875" style="134" customWidth="1"/>
    <col min="4" max="4" width="9.109375" style="133" customWidth="1"/>
    <col min="5" max="5" width="8.21875" style="133" customWidth="1"/>
    <col min="6" max="6" width="8.21875" style="135" customWidth="1"/>
    <col min="7" max="7" width="4.88671875" style="132" customWidth="1"/>
    <col min="8" max="8" width="10.77734375" style="133" customWidth="1"/>
    <col min="9" max="9" width="12.109375" style="133" customWidth="1"/>
    <col min="10" max="10" width="11.6640625" style="136" customWidth="1"/>
    <col min="11" max="11" width="12" style="133" customWidth="1"/>
    <col min="12" max="12" width="58.33203125" style="199" customWidth="1"/>
    <col min="13" max="13" width="9.21875" style="190" bestFit="1" customWidth="1"/>
    <col min="14" max="16384" width="8.6640625" style="1"/>
  </cols>
  <sheetData>
    <row r="1" spans="1:14" ht="33" customHeight="1" x14ac:dyDescent="0.3">
      <c r="A1" s="5"/>
      <c r="B1" s="6"/>
      <c r="C1" s="7"/>
      <c r="D1" s="6"/>
      <c r="E1" s="6"/>
      <c r="F1" s="8"/>
      <c r="G1" s="5"/>
      <c r="H1" s="6"/>
      <c r="I1" s="6"/>
      <c r="J1" s="9"/>
      <c r="K1" s="6"/>
      <c r="L1" s="197"/>
      <c r="M1" s="184"/>
      <c r="N1" s="6"/>
    </row>
    <row r="2" spans="1:14" ht="23.25" customHeight="1" x14ac:dyDescent="0.15">
      <c r="A2" s="10" t="s">
        <v>0</v>
      </c>
      <c r="B2" s="11"/>
      <c r="C2" s="12"/>
      <c r="D2" s="11"/>
      <c r="E2" s="11"/>
      <c r="F2" s="13"/>
      <c r="G2" s="14"/>
      <c r="H2" s="15"/>
      <c r="I2" s="15"/>
      <c r="J2" s="16"/>
      <c r="K2" s="17"/>
      <c r="L2" s="15"/>
      <c r="M2" s="184"/>
      <c r="N2" s="6"/>
    </row>
    <row r="3" spans="1:14" s="21" customFormat="1" ht="14.1" customHeight="1" x14ac:dyDescent="0.15">
      <c r="A3" s="18" t="s">
        <v>81</v>
      </c>
      <c r="B3" s="18"/>
      <c r="C3" s="19" t="s">
        <v>82</v>
      </c>
      <c r="D3" s="18"/>
      <c r="E3" s="18"/>
      <c r="F3" s="19"/>
      <c r="G3" s="18"/>
      <c r="H3" s="18" t="s">
        <v>43</v>
      </c>
      <c r="I3" s="18"/>
      <c r="J3" s="18" t="s">
        <v>44</v>
      </c>
      <c r="K3" s="18"/>
      <c r="L3" s="18"/>
      <c r="M3" s="186"/>
      <c r="N3" s="20"/>
    </row>
    <row r="4" spans="1:14" s="21" customFormat="1" ht="14.1" customHeight="1" x14ac:dyDescent="0.15">
      <c r="A4" s="22" t="s">
        <v>31</v>
      </c>
      <c r="B4" s="22"/>
      <c r="C4" s="22"/>
      <c r="D4" s="22"/>
      <c r="E4" s="22"/>
      <c r="F4" s="22"/>
      <c r="G4" s="23"/>
      <c r="H4" s="24"/>
      <c r="I4" s="24"/>
      <c r="J4" s="22"/>
      <c r="K4" s="24"/>
      <c r="L4" s="22"/>
      <c r="M4" s="186"/>
      <c r="N4" s="20"/>
    </row>
    <row r="5" spans="1:14" s="21" customFormat="1" ht="14.1" customHeight="1" x14ac:dyDescent="0.15">
      <c r="A5" s="25" t="s">
        <v>54</v>
      </c>
      <c r="B5" s="25"/>
      <c r="C5" s="25" t="s">
        <v>46</v>
      </c>
      <c r="D5" s="25"/>
      <c r="E5" s="25" t="s">
        <v>55</v>
      </c>
      <c r="F5" s="25"/>
      <c r="G5" s="26"/>
      <c r="H5" s="25" t="s">
        <v>47</v>
      </c>
      <c r="I5" s="25"/>
      <c r="J5" s="27"/>
      <c r="K5" s="25"/>
      <c r="L5" s="25"/>
      <c r="M5" s="186"/>
      <c r="N5" s="20"/>
    </row>
    <row r="6" spans="1:14" s="21" customFormat="1" ht="14.1" customHeight="1" x14ac:dyDescent="0.15">
      <c r="A6" s="28" t="s">
        <v>56</v>
      </c>
      <c r="B6" s="28"/>
      <c r="C6" s="28" t="s">
        <v>45</v>
      </c>
      <c r="D6" s="28"/>
      <c r="E6" s="28" t="s">
        <v>57</v>
      </c>
      <c r="F6" s="28"/>
      <c r="G6" s="29"/>
      <c r="H6" s="28" t="s">
        <v>48</v>
      </c>
      <c r="I6" s="28"/>
      <c r="J6" s="30"/>
      <c r="K6" s="28"/>
      <c r="L6" s="28"/>
      <c r="M6" s="186"/>
      <c r="N6" s="20"/>
    </row>
    <row r="7" spans="1:14" s="21" customFormat="1" ht="14.1" customHeight="1" x14ac:dyDescent="0.15">
      <c r="A7" s="31" t="s">
        <v>58</v>
      </c>
      <c r="B7" s="31"/>
      <c r="C7" s="31"/>
      <c r="D7" s="32"/>
      <c r="E7" s="31" t="s">
        <v>59</v>
      </c>
      <c r="F7" s="31"/>
      <c r="G7" s="31"/>
      <c r="H7" s="31"/>
      <c r="I7" s="31"/>
      <c r="J7" s="33"/>
      <c r="K7" s="34"/>
      <c r="L7" s="31"/>
      <c r="M7" s="186"/>
      <c r="N7" s="20"/>
    </row>
    <row r="8" spans="1:14" s="39" customFormat="1" ht="15.75" customHeight="1" thickBot="1" x14ac:dyDescent="0.2">
      <c r="A8" s="35"/>
      <c r="B8" s="35"/>
      <c r="C8" s="35"/>
      <c r="D8" s="36"/>
      <c r="E8" s="35"/>
      <c r="F8" s="35"/>
      <c r="G8" s="35"/>
      <c r="H8" s="35"/>
      <c r="I8" s="35"/>
      <c r="J8" s="37"/>
      <c r="K8" s="35"/>
      <c r="L8" s="35"/>
      <c r="M8" s="187"/>
      <c r="N8" s="38"/>
    </row>
    <row r="9" spans="1:14" s="45" customFormat="1" thickBot="1" x14ac:dyDescent="0.2">
      <c r="A9" s="40" t="s">
        <v>4</v>
      </c>
      <c r="B9" s="41" t="s">
        <v>16</v>
      </c>
      <c r="C9" s="42"/>
      <c r="D9" s="41" t="s">
        <v>17</v>
      </c>
      <c r="E9" s="40" t="s">
        <v>18</v>
      </c>
      <c r="F9" s="42" t="s">
        <v>19</v>
      </c>
      <c r="G9" s="40" t="s">
        <v>1</v>
      </c>
      <c r="H9" s="43" t="s">
        <v>5</v>
      </c>
      <c r="I9" s="43" t="s">
        <v>63</v>
      </c>
      <c r="J9" s="211" t="s">
        <v>83</v>
      </c>
      <c r="K9" s="237" t="s">
        <v>64</v>
      </c>
      <c r="L9" s="241" t="s">
        <v>65</v>
      </c>
      <c r="M9" s="186"/>
      <c r="N9" s="44"/>
    </row>
    <row r="10" spans="1:14" s="45" customFormat="1" ht="16.5" customHeight="1" x14ac:dyDescent="0.15">
      <c r="A10" s="46" t="s">
        <v>6</v>
      </c>
      <c r="B10" s="148" t="s">
        <v>20</v>
      </c>
      <c r="C10" s="47"/>
      <c r="D10" s="156"/>
      <c r="E10" s="46"/>
      <c r="F10" s="48"/>
      <c r="G10" s="49"/>
      <c r="H10" s="50"/>
      <c r="I10" s="50">
        <f t="shared" ref="I10:I45" si="0">G10*H10</f>
        <v>0</v>
      </c>
      <c r="J10" s="212"/>
      <c r="K10" s="217">
        <f>I10+J10</f>
        <v>0</v>
      </c>
      <c r="L10" s="216"/>
      <c r="M10" s="184"/>
      <c r="N10" s="44"/>
    </row>
    <row r="11" spans="1:14" s="58" customFormat="1" ht="16.5" customHeight="1" x14ac:dyDescent="0.15">
      <c r="A11" s="51" t="s">
        <v>7</v>
      </c>
      <c r="B11" s="52" t="s">
        <v>20</v>
      </c>
      <c r="C11" s="53"/>
      <c r="D11" s="159"/>
      <c r="E11" s="51"/>
      <c r="F11" s="54"/>
      <c r="G11" s="51"/>
      <c r="H11" s="55"/>
      <c r="I11" s="56">
        <f t="shared" si="0"/>
        <v>0</v>
      </c>
      <c r="J11" s="213"/>
      <c r="K11" s="218">
        <f t="shared" ref="K11:K50" si="1">I11+J11</f>
        <v>0</v>
      </c>
      <c r="L11" s="242"/>
      <c r="M11" s="188"/>
      <c r="N11" s="57"/>
    </row>
    <row r="12" spans="1:14" s="45" customFormat="1" ht="16.5" customHeight="1" x14ac:dyDescent="0.15">
      <c r="A12" s="59" t="s">
        <v>8</v>
      </c>
      <c r="B12" s="60" t="s">
        <v>20</v>
      </c>
      <c r="C12" s="61"/>
      <c r="D12" s="157"/>
      <c r="E12" s="59"/>
      <c r="F12" s="62"/>
      <c r="G12" s="59"/>
      <c r="H12" s="63"/>
      <c r="I12" s="56">
        <f t="shared" si="0"/>
        <v>0</v>
      </c>
      <c r="J12" s="213"/>
      <c r="K12" s="217">
        <f t="shared" si="1"/>
        <v>0</v>
      </c>
      <c r="L12" s="216"/>
      <c r="M12" s="184"/>
      <c r="N12" s="44"/>
    </row>
    <row r="13" spans="1:14" s="45" customFormat="1" ht="16.5" customHeight="1" x14ac:dyDescent="0.15">
      <c r="A13" s="64" t="s">
        <v>9</v>
      </c>
      <c r="B13" s="65" t="s">
        <v>20</v>
      </c>
      <c r="C13" s="66"/>
      <c r="D13" s="159"/>
      <c r="E13" s="64"/>
      <c r="F13" s="67"/>
      <c r="G13" s="64"/>
      <c r="H13" s="68"/>
      <c r="I13" s="56">
        <f t="shared" si="0"/>
        <v>0</v>
      </c>
      <c r="J13" s="213"/>
      <c r="K13" s="219">
        <f t="shared" si="1"/>
        <v>0</v>
      </c>
      <c r="L13" s="243"/>
      <c r="M13" s="184"/>
      <c r="N13" s="44"/>
    </row>
    <row r="14" spans="1:14" s="45" customFormat="1" ht="16.5" customHeight="1" thickBot="1" x14ac:dyDescent="0.2">
      <c r="A14" s="69" t="s">
        <v>2</v>
      </c>
      <c r="B14" s="150" t="s">
        <v>20</v>
      </c>
      <c r="C14" s="70"/>
      <c r="D14" s="158"/>
      <c r="E14" s="72"/>
      <c r="F14" s="71"/>
      <c r="G14" s="72"/>
      <c r="H14" s="73"/>
      <c r="I14" s="74">
        <f t="shared" si="0"/>
        <v>0</v>
      </c>
      <c r="J14" s="214"/>
      <c r="K14" s="220">
        <f t="shared" si="1"/>
        <v>0</v>
      </c>
      <c r="L14" s="244"/>
      <c r="M14" s="184"/>
      <c r="N14" s="44"/>
    </row>
    <row r="15" spans="1:14" s="45" customFormat="1" ht="16.5" customHeight="1" thickBot="1" x14ac:dyDescent="0.2">
      <c r="A15" s="40" t="s">
        <v>10</v>
      </c>
      <c r="B15" s="75"/>
      <c r="C15" s="76"/>
      <c r="D15" s="76"/>
      <c r="E15" s="42"/>
      <c r="F15" s="76"/>
      <c r="G15" s="42"/>
      <c r="H15" s="77"/>
      <c r="I15" s="77">
        <f t="shared" si="0"/>
        <v>0</v>
      </c>
      <c r="J15" s="215"/>
      <c r="K15" s="221">
        <f t="shared" si="1"/>
        <v>0</v>
      </c>
      <c r="L15" s="245"/>
      <c r="M15" s="184"/>
      <c r="N15" s="44"/>
    </row>
    <row r="16" spans="1:14" s="45" customFormat="1" ht="16.5" customHeight="1" x14ac:dyDescent="0.15">
      <c r="A16" s="289" t="s">
        <v>11</v>
      </c>
      <c r="B16" s="78" t="s">
        <v>21</v>
      </c>
      <c r="C16" s="79"/>
      <c r="D16" s="49"/>
      <c r="E16" s="49"/>
      <c r="F16" s="80"/>
      <c r="G16" s="49"/>
      <c r="H16" s="81">
        <v>150000</v>
      </c>
      <c r="I16" s="82">
        <v>1800000</v>
      </c>
      <c r="J16" s="257">
        <v>-1800000</v>
      </c>
      <c r="K16" s="222">
        <f t="shared" si="1"/>
        <v>0</v>
      </c>
      <c r="L16" s="246" t="s">
        <v>67</v>
      </c>
      <c r="M16" s="184"/>
      <c r="N16" s="44"/>
    </row>
    <row r="17" spans="1:14" s="45" customFormat="1" ht="16.5" customHeight="1" x14ac:dyDescent="0.15">
      <c r="A17" s="287"/>
      <c r="B17" s="148" t="s">
        <v>29</v>
      </c>
      <c r="C17" s="83"/>
      <c r="D17" s="46"/>
      <c r="E17" s="46"/>
      <c r="F17" s="84"/>
      <c r="G17" s="46"/>
      <c r="H17" s="50"/>
      <c r="I17" s="50">
        <f t="shared" si="0"/>
        <v>0</v>
      </c>
      <c r="J17" s="258"/>
      <c r="K17" s="218">
        <f t="shared" si="1"/>
        <v>0</v>
      </c>
      <c r="L17" s="242"/>
      <c r="M17" s="184"/>
      <c r="N17" s="44"/>
    </row>
    <row r="18" spans="1:14" s="45" customFormat="1" ht="16.5" customHeight="1" x14ac:dyDescent="0.15">
      <c r="A18" s="284"/>
      <c r="B18" s="194" t="s">
        <v>3</v>
      </c>
      <c r="C18" s="85"/>
      <c r="D18" s="86"/>
      <c r="E18" s="87"/>
      <c r="F18" s="87"/>
      <c r="G18" s="87"/>
      <c r="H18" s="88"/>
      <c r="I18" s="89">
        <f t="shared" si="0"/>
        <v>0</v>
      </c>
      <c r="J18" s="259"/>
      <c r="K18" s="223">
        <f t="shared" si="1"/>
        <v>0</v>
      </c>
      <c r="L18" s="247"/>
      <c r="M18" s="184"/>
      <c r="N18" s="44"/>
    </row>
    <row r="19" spans="1:14" s="45" customFormat="1" ht="16.5" customHeight="1" x14ac:dyDescent="0.15">
      <c r="A19" s="203" t="s">
        <v>22</v>
      </c>
      <c r="B19" s="204" t="s">
        <v>15</v>
      </c>
      <c r="C19" s="205"/>
      <c r="D19" s="206"/>
      <c r="E19" s="207"/>
      <c r="F19" s="208"/>
      <c r="G19" s="203"/>
      <c r="H19" s="209"/>
      <c r="I19" s="210">
        <f t="shared" si="0"/>
        <v>0</v>
      </c>
      <c r="J19" s="260"/>
      <c r="K19" s="224">
        <f t="shared" si="1"/>
        <v>0</v>
      </c>
      <c r="L19" s="248"/>
      <c r="M19" s="184"/>
      <c r="N19" s="90"/>
    </row>
    <row r="20" spans="1:14" s="45" customFormat="1" ht="27" x14ac:dyDescent="0.15">
      <c r="A20" s="283" t="s">
        <v>12</v>
      </c>
      <c r="B20" s="291" t="s">
        <v>69</v>
      </c>
      <c r="C20" s="291"/>
      <c r="D20" s="173"/>
      <c r="E20" s="93"/>
      <c r="F20" s="93"/>
      <c r="G20" s="174">
        <v>3</v>
      </c>
      <c r="H20" s="240">
        <v>300000</v>
      </c>
      <c r="I20" s="201">
        <v>6000000</v>
      </c>
      <c r="J20" s="262">
        <v>-5100000</v>
      </c>
      <c r="K20" s="226">
        <f>I20+J20</f>
        <v>900000</v>
      </c>
      <c r="L20" s="200" t="s">
        <v>79</v>
      </c>
      <c r="M20" s="184"/>
      <c r="N20" s="90"/>
    </row>
    <row r="21" spans="1:14" s="45" customFormat="1" ht="27" x14ac:dyDescent="0.15">
      <c r="A21" s="287"/>
      <c r="B21" s="291" t="s">
        <v>70</v>
      </c>
      <c r="C21" s="291"/>
      <c r="D21" s="173"/>
      <c r="E21" s="93"/>
      <c r="F21" s="93"/>
      <c r="G21" s="174">
        <v>4</v>
      </c>
      <c r="H21" s="240">
        <v>150000</v>
      </c>
      <c r="I21" s="201">
        <v>0</v>
      </c>
      <c r="J21" s="273">
        <v>600000</v>
      </c>
      <c r="K21" s="226">
        <f t="shared" ref="K21" si="2">I21+J21</f>
        <v>600000</v>
      </c>
      <c r="L21" s="200" t="s">
        <v>72</v>
      </c>
      <c r="M21" s="184"/>
      <c r="N21" s="90"/>
    </row>
    <row r="22" spans="1:14" s="45" customFormat="1" ht="40.5" x14ac:dyDescent="0.15">
      <c r="A22" s="287"/>
      <c r="B22" s="290" t="s">
        <v>76</v>
      </c>
      <c r="C22" s="290"/>
      <c r="D22" s="202"/>
      <c r="E22" s="115"/>
      <c r="F22" s="115"/>
      <c r="G22" s="236">
        <v>1</v>
      </c>
      <c r="H22" s="238">
        <v>400000</v>
      </c>
      <c r="I22" s="198">
        <v>1800000</v>
      </c>
      <c r="J22" s="261">
        <v>-1400000</v>
      </c>
      <c r="K22" s="225">
        <v>400000</v>
      </c>
      <c r="L22" s="216" t="s">
        <v>68</v>
      </c>
      <c r="M22" s="184"/>
      <c r="N22" s="90"/>
    </row>
    <row r="23" spans="1:14" s="45" customFormat="1" ht="27" x14ac:dyDescent="0.15">
      <c r="A23" s="287"/>
      <c r="B23" s="291" t="s">
        <v>77</v>
      </c>
      <c r="C23" s="291"/>
      <c r="D23" s="173"/>
      <c r="E23" s="93"/>
      <c r="F23" s="93"/>
      <c r="G23" s="174">
        <v>11</v>
      </c>
      <c r="H23" s="239">
        <v>200000</v>
      </c>
      <c r="I23" s="201">
        <v>0</v>
      </c>
      <c r="J23" s="273">
        <v>2200000</v>
      </c>
      <c r="K23" s="226">
        <f t="shared" ref="K23" si="3">I23+J23</f>
        <v>2200000</v>
      </c>
      <c r="L23" s="200" t="s">
        <v>71</v>
      </c>
      <c r="M23" s="184"/>
      <c r="N23" s="90"/>
    </row>
    <row r="24" spans="1:14" s="45" customFormat="1" ht="40.5" x14ac:dyDescent="0.15">
      <c r="A24" s="287"/>
      <c r="B24" s="294" t="s">
        <v>78</v>
      </c>
      <c r="C24" s="294"/>
      <c r="D24" s="275"/>
      <c r="E24" s="276"/>
      <c r="F24" s="276"/>
      <c r="G24" s="277">
        <v>33</v>
      </c>
      <c r="H24" s="278">
        <v>50000</v>
      </c>
      <c r="I24" s="279">
        <f>G24*H24</f>
        <v>1650000</v>
      </c>
      <c r="J24" s="280">
        <v>-660000</v>
      </c>
      <c r="K24" s="281">
        <f t="shared" ref="K24" si="4">I24+J24</f>
        <v>990000</v>
      </c>
      <c r="L24" s="282" t="s">
        <v>75</v>
      </c>
      <c r="M24" s="184"/>
      <c r="N24" s="90"/>
    </row>
    <row r="25" spans="1:14" s="45" customFormat="1" ht="16.5" customHeight="1" x14ac:dyDescent="0.15">
      <c r="A25" s="287"/>
      <c r="B25" s="292" t="s">
        <v>36</v>
      </c>
      <c r="C25" s="293"/>
      <c r="D25" s="146"/>
      <c r="E25" s="138"/>
      <c r="F25" s="138"/>
      <c r="G25" s="191"/>
      <c r="H25" s="139"/>
      <c r="I25" s="74">
        <f t="shared" si="0"/>
        <v>0</v>
      </c>
      <c r="J25" s="263"/>
      <c r="K25" s="217">
        <f t="shared" si="1"/>
        <v>0</v>
      </c>
      <c r="L25" s="216"/>
      <c r="M25" s="185"/>
      <c r="N25" s="90"/>
    </row>
    <row r="26" spans="1:14" s="45" customFormat="1" ht="16.5" customHeight="1" x14ac:dyDescent="0.15">
      <c r="A26" s="287"/>
      <c r="B26" s="292" t="s">
        <v>61</v>
      </c>
      <c r="C26" s="293"/>
      <c r="D26" s="154"/>
      <c r="E26" s="93"/>
      <c r="F26" s="94"/>
      <c r="G26" s="94">
        <v>4</v>
      </c>
      <c r="H26" s="73">
        <v>300000</v>
      </c>
      <c r="I26" s="95">
        <f t="shared" si="0"/>
        <v>1200000</v>
      </c>
      <c r="J26" s="264"/>
      <c r="K26" s="227">
        <f t="shared" si="1"/>
        <v>1200000</v>
      </c>
      <c r="L26" s="200" t="s">
        <v>66</v>
      </c>
      <c r="M26" s="184"/>
      <c r="N26" s="90"/>
    </row>
    <row r="27" spans="1:14" s="45" customFormat="1" ht="16.5" customHeight="1" x14ac:dyDescent="0.15">
      <c r="A27" s="287"/>
      <c r="B27" s="292" t="s">
        <v>42</v>
      </c>
      <c r="C27" s="293"/>
      <c r="D27" s="155"/>
      <c r="E27" s="93"/>
      <c r="F27" s="94"/>
      <c r="G27" s="94"/>
      <c r="H27" s="73"/>
      <c r="I27" s="95">
        <f t="shared" si="0"/>
        <v>0</v>
      </c>
      <c r="J27" s="264"/>
      <c r="K27" s="227">
        <f t="shared" si="1"/>
        <v>0</v>
      </c>
      <c r="L27" s="200"/>
      <c r="M27" s="184"/>
      <c r="N27" s="90"/>
    </row>
    <row r="28" spans="1:14" s="45" customFormat="1" ht="16.5" customHeight="1" x14ac:dyDescent="0.15">
      <c r="A28" s="287"/>
      <c r="B28" s="292" t="s">
        <v>34</v>
      </c>
      <c r="C28" s="293"/>
      <c r="D28" s="154"/>
      <c r="E28" s="138"/>
      <c r="F28" s="96"/>
      <c r="G28" s="59"/>
      <c r="H28" s="63"/>
      <c r="I28" s="95">
        <f t="shared" si="0"/>
        <v>0</v>
      </c>
      <c r="J28" s="265"/>
      <c r="K28" s="227">
        <f t="shared" si="1"/>
        <v>0</v>
      </c>
      <c r="L28" s="200"/>
      <c r="M28" s="184"/>
      <c r="N28" s="90"/>
    </row>
    <row r="29" spans="1:14" s="45" customFormat="1" ht="16.5" customHeight="1" x14ac:dyDescent="0.15">
      <c r="A29" s="287"/>
      <c r="B29" s="195" t="s">
        <v>35</v>
      </c>
      <c r="C29" s="97"/>
      <c r="D29" s="155"/>
      <c r="E29" s="138"/>
      <c r="F29" s="98"/>
      <c r="G29" s="69"/>
      <c r="H29" s="73"/>
      <c r="I29" s="95">
        <f t="shared" si="0"/>
        <v>0</v>
      </c>
      <c r="J29" s="264"/>
      <c r="K29" s="227">
        <f t="shared" si="1"/>
        <v>0</v>
      </c>
      <c r="L29" s="200"/>
      <c r="M29" s="184"/>
      <c r="N29" s="90"/>
    </row>
    <row r="30" spans="1:14" s="45" customFormat="1" ht="16.5" customHeight="1" x14ac:dyDescent="0.15">
      <c r="A30" s="287"/>
      <c r="B30" s="152" t="s">
        <v>39</v>
      </c>
      <c r="C30" s="97"/>
      <c r="D30" s="154"/>
      <c r="E30" s="138"/>
      <c r="F30" s="98"/>
      <c r="G30" s="69"/>
      <c r="H30" s="73"/>
      <c r="I30" s="95">
        <f t="shared" si="0"/>
        <v>0</v>
      </c>
      <c r="J30" s="264"/>
      <c r="K30" s="227">
        <f t="shared" si="1"/>
        <v>0</v>
      </c>
      <c r="L30" s="200"/>
      <c r="M30" s="184"/>
      <c r="N30" s="90"/>
    </row>
    <row r="31" spans="1:14" s="45" customFormat="1" ht="16.5" customHeight="1" x14ac:dyDescent="0.15">
      <c r="A31" s="287"/>
      <c r="B31" s="195" t="s">
        <v>52</v>
      </c>
      <c r="C31" s="196"/>
      <c r="D31" s="173"/>
      <c r="E31" s="93"/>
      <c r="F31" s="174"/>
      <c r="G31" s="59"/>
      <c r="H31" s="63"/>
      <c r="I31" s="175">
        <f t="shared" si="0"/>
        <v>0</v>
      </c>
      <c r="J31" s="265"/>
      <c r="K31" s="227">
        <f t="shared" si="1"/>
        <v>0</v>
      </c>
      <c r="L31" s="200"/>
      <c r="M31" s="184"/>
      <c r="N31" s="90"/>
    </row>
    <row r="32" spans="1:14" s="45" customFormat="1" ht="16.5" customHeight="1" x14ac:dyDescent="0.15">
      <c r="A32" s="284"/>
      <c r="B32" s="168" t="s">
        <v>53</v>
      </c>
      <c r="C32" s="169"/>
      <c r="D32" s="101"/>
      <c r="E32" s="193"/>
      <c r="F32" s="170"/>
      <c r="G32" s="192"/>
      <c r="H32" s="171"/>
      <c r="I32" s="172">
        <f t="shared" si="0"/>
        <v>0</v>
      </c>
      <c r="J32" s="266"/>
      <c r="K32" s="228">
        <f t="shared" si="1"/>
        <v>0</v>
      </c>
      <c r="L32" s="249"/>
      <c r="M32" s="184"/>
      <c r="N32" s="90"/>
    </row>
    <row r="33" spans="1:14" s="45" customFormat="1" ht="16.5" customHeight="1" x14ac:dyDescent="0.15">
      <c r="A33" s="295" t="s">
        <v>23</v>
      </c>
      <c r="B33" s="148" t="s">
        <v>30</v>
      </c>
      <c r="C33" s="83"/>
      <c r="D33" s="147"/>
      <c r="E33" s="115"/>
      <c r="F33" s="46"/>
      <c r="G33" s="144"/>
      <c r="H33" s="50"/>
      <c r="I33" s="145">
        <f t="shared" si="0"/>
        <v>0</v>
      </c>
      <c r="J33" s="258"/>
      <c r="K33" s="217">
        <f t="shared" si="1"/>
        <v>0</v>
      </c>
      <c r="L33" s="216"/>
      <c r="M33" s="184"/>
      <c r="N33" s="90"/>
    </row>
    <row r="34" spans="1:14" s="45" customFormat="1" ht="16.5" customHeight="1" x14ac:dyDescent="0.15">
      <c r="A34" s="295"/>
      <c r="B34" s="150" t="s">
        <v>32</v>
      </c>
      <c r="C34" s="151"/>
      <c r="D34" s="146"/>
      <c r="E34" s="59"/>
      <c r="F34" s="59"/>
      <c r="G34" s="96"/>
      <c r="H34" s="63"/>
      <c r="I34" s="63">
        <f t="shared" si="0"/>
        <v>0</v>
      </c>
      <c r="J34" s="265"/>
      <c r="K34" s="227">
        <f t="shared" si="1"/>
        <v>0</v>
      </c>
      <c r="L34" s="200"/>
      <c r="M34" s="184"/>
      <c r="N34" s="90"/>
    </row>
    <row r="35" spans="1:14" s="45" customFormat="1" ht="16.5" customHeight="1" x14ac:dyDescent="0.15">
      <c r="A35" s="295"/>
      <c r="B35" s="60" t="s">
        <v>33</v>
      </c>
      <c r="C35" s="100"/>
      <c r="D35" s="153"/>
      <c r="E35" s="93"/>
      <c r="F35" s="59"/>
      <c r="G35" s="59"/>
      <c r="H35" s="63"/>
      <c r="I35" s="63">
        <f t="shared" si="0"/>
        <v>0</v>
      </c>
      <c r="J35" s="265"/>
      <c r="K35" s="227">
        <f t="shared" si="1"/>
        <v>0</v>
      </c>
      <c r="L35" s="200"/>
      <c r="M35" s="184"/>
      <c r="N35" s="90"/>
    </row>
    <row r="36" spans="1:14" s="45" customFormat="1" ht="40.5" x14ac:dyDescent="0.15">
      <c r="A36" s="295"/>
      <c r="B36" s="60" t="s">
        <v>37</v>
      </c>
      <c r="C36" s="100"/>
      <c r="D36" s="154"/>
      <c r="E36" s="93"/>
      <c r="F36" s="59"/>
      <c r="G36" s="59">
        <v>1</v>
      </c>
      <c r="H36" s="63">
        <v>6500000</v>
      </c>
      <c r="I36" s="63">
        <f t="shared" si="0"/>
        <v>6500000</v>
      </c>
      <c r="J36" s="274">
        <v>1200000</v>
      </c>
      <c r="K36" s="227">
        <f t="shared" si="1"/>
        <v>7700000</v>
      </c>
      <c r="L36" s="200" t="s">
        <v>74</v>
      </c>
      <c r="M36" s="184"/>
      <c r="N36" s="90"/>
    </row>
    <row r="37" spans="1:14" s="45" customFormat="1" ht="40.5" x14ac:dyDescent="0.15">
      <c r="A37" s="296"/>
      <c r="B37" s="297" t="s">
        <v>60</v>
      </c>
      <c r="C37" s="298"/>
      <c r="D37" s="101"/>
      <c r="E37" s="193"/>
      <c r="F37" s="102"/>
      <c r="G37" s="174">
        <v>42</v>
      </c>
      <c r="H37" s="63">
        <v>150000</v>
      </c>
      <c r="I37" s="63">
        <v>4800000</v>
      </c>
      <c r="J37" s="274">
        <v>1200000</v>
      </c>
      <c r="K37" s="227">
        <v>6300000</v>
      </c>
      <c r="L37" s="200" t="s">
        <v>80</v>
      </c>
      <c r="M37" s="184"/>
      <c r="N37" s="90"/>
    </row>
    <row r="38" spans="1:14" s="45" customFormat="1" ht="16.5" customHeight="1" x14ac:dyDescent="0.15">
      <c r="A38" s="283" t="s">
        <v>24</v>
      </c>
      <c r="B38" s="285"/>
      <c r="C38" s="286"/>
      <c r="D38" s="142"/>
      <c r="E38" s="137"/>
      <c r="F38" s="141"/>
      <c r="G38" s="91"/>
      <c r="H38" s="82"/>
      <c r="I38" s="82">
        <f t="shared" si="0"/>
        <v>0</v>
      </c>
      <c r="J38" s="257"/>
      <c r="K38" s="229">
        <f t="shared" si="1"/>
        <v>0</v>
      </c>
      <c r="L38" s="250"/>
      <c r="M38" s="184"/>
      <c r="N38" s="90"/>
    </row>
    <row r="39" spans="1:14" s="45" customFormat="1" ht="16.5" customHeight="1" x14ac:dyDescent="0.15">
      <c r="A39" s="284"/>
      <c r="B39" s="149"/>
      <c r="C39" s="85"/>
      <c r="D39" s="143"/>
      <c r="E39" s="176"/>
      <c r="F39" s="140"/>
      <c r="G39" s="87"/>
      <c r="H39" s="88"/>
      <c r="I39" s="88">
        <f t="shared" si="0"/>
        <v>0</v>
      </c>
      <c r="J39" s="267"/>
      <c r="K39" s="230">
        <f t="shared" si="1"/>
        <v>0</v>
      </c>
      <c r="L39" s="251"/>
      <c r="M39" s="184"/>
      <c r="N39" s="90"/>
    </row>
    <row r="40" spans="1:14" s="45" customFormat="1" ht="16.5" customHeight="1" x14ac:dyDescent="0.15">
      <c r="A40" s="191" t="s">
        <v>27</v>
      </c>
      <c r="B40" s="2" t="s">
        <v>38</v>
      </c>
      <c r="C40" s="114"/>
      <c r="D40" s="104"/>
      <c r="E40" s="105"/>
      <c r="F40" s="191"/>
      <c r="G40" s="191"/>
      <c r="H40" s="106"/>
      <c r="I40" s="74">
        <f t="shared" si="0"/>
        <v>0</v>
      </c>
      <c r="J40" s="263"/>
      <c r="K40" s="220">
        <f t="shared" si="1"/>
        <v>0</v>
      </c>
      <c r="L40" s="244"/>
      <c r="M40" s="184"/>
      <c r="N40" s="90"/>
    </row>
    <row r="41" spans="1:14" s="45" customFormat="1" ht="16.5" customHeight="1" x14ac:dyDescent="0.15">
      <c r="A41" s="283" t="s">
        <v>25</v>
      </c>
      <c r="B41" s="107" t="s">
        <v>28</v>
      </c>
      <c r="C41" s="99"/>
      <c r="D41" s="137"/>
      <c r="E41" s="91"/>
      <c r="F41" s="108"/>
      <c r="G41" s="91"/>
      <c r="H41" s="92"/>
      <c r="I41" s="103">
        <f t="shared" si="0"/>
        <v>0</v>
      </c>
      <c r="J41" s="268"/>
      <c r="K41" s="229">
        <f t="shared" si="1"/>
        <v>0</v>
      </c>
      <c r="L41" s="250"/>
      <c r="M41" s="184"/>
      <c r="N41" s="90"/>
    </row>
    <row r="42" spans="1:14" s="45" customFormat="1" ht="16.5" customHeight="1" x14ac:dyDescent="0.15">
      <c r="A42" s="287"/>
      <c r="B42" s="195" t="s">
        <v>40</v>
      </c>
      <c r="C42" s="100"/>
      <c r="D42" s="93"/>
      <c r="E42" s="59"/>
      <c r="F42" s="109"/>
      <c r="G42" s="59"/>
      <c r="H42" s="110"/>
      <c r="I42" s="63">
        <f t="shared" si="0"/>
        <v>0</v>
      </c>
      <c r="J42" s="265"/>
      <c r="K42" s="227">
        <f t="shared" si="1"/>
        <v>0</v>
      </c>
      <c r="L42" s="200"/>
      <c r="M42" s="184"/>
      <c r="N42" s="90"/>
    </row>
    <row r="43" spans="1:14" s="45" customFormat="1" ht="16.5" customHeight="1" x14ac:dyDescent="0.15">
      <c r="A43" s="284"/>
      <c r="B43" s="149" t="s">
        <v>41</v>
      </c>
      <c r="C43" s="85"/>
      <c r="D43" s="87"/>
      <c r="E43" s="87"/>
      <c r="F43" s="111"/>
      <c r="G43" s="87"/>
      <c r="H43" s="112"/>
      <c r="I43" s="88">
        <f t="shared" si="0"/>
        <v>0</v>
      </c>
      <c r="J43" s="267"/>
      <c r="K43" s="230">
        <f t="shared" si="1"/>
        <v>0</v>
      </c>
      <c r="L43" s="251"/>
      <c r="M43" s="184"/>
      <c r="N43" s="90"/>
    </row>
    <row r="44" spans="1:14" s="45" customFormat="1" ht="16.5" customHeight="1" x14ac:dyDescent="0.15">
      <c r="A44" s="287" t="s">
        <v>26</v>
      </c>
      <c r="B44" s="113"/>
      <c r="C44" s="114"/>
      <c r="D44" s="115"/>
      <c r="E44" s="191"/>
      <c r="F44" s="191"/>
      <c r="G44" s="191"/>
      <c r="H44" s="74"/>
      <c r="I44" s="74">
        <f t="shared" si="0"/>
        <v>0</v>
      </c>
      <c r="J44" s="263"/>
      <c r="K44" s="220">
        <f t="shared" si="1"/>
        <v>0</v>
      </c>
      <c r="L44" s="244"/>
      <c r="M44" s="184"/>
      <c r="N44" s="90"/>
    </row>
    <row r="45" spans="1:14" s="45" customFormat="1" ht="16.5" customHeight="1" thickBot="1" x14ac:dyDescent="0.2">
      <c r="A45" s="288"/>
      <c r="B45" s="116"/>
      <c r="C45" s="100"/>
      <c r="D45" s="59"/>
      <c r="E45" s="59"/>
      <c r="F45" s="59"/>
      <c r="G45" s="59"/>
      <c r="H45" s="117"/>
      <c r="I45" s="73">
        <f t="shared" si="0"/>
        <v>0</v>
      </c>
      <c r="J45" s="264"/>
      <c r="K45" s="231">
        <f t="shared" si="1"/>
        <v>0</v>
      </c>
      <c r="L45" s="252"/>
      <c r="M45" s="184"/>
      <c r="N45" s="90"/>
    </row>
    <row r="46" spans="1:14" s="45" customFormat="1" ht="16.5" customHeight="1" thickBot="1" x14ac:dyDescent="0.2">
      <c r="A46" s="40" t="s">
        <v>13</v>
      </c>
      <c r="B46" s="76"/>
      <c r="C46" s="76"/>
      <c r="D46" s="118"/>
      <c r="E46" s="76"/>
      <c r="F46" s="76"/>
      <c r="G46" s="42"/>
      <c r="H46" s="119"/>
      <c r="I46" s="120">
        <f>SUM(I16:I45)</f>
        <v>23750000</v>
      </c>
      <c r="J46" s="269">
        <f>SUM(J16:J45)</f>
        <v>-3760000</v>
      </c>
      <c r="K46" s="221">
        <f t="shared" si="1"/>
        <v>19990000</v>
      </c>
      <c r="L46" s="245" t="s">
        <v>73</v>
      </c>
      <c r="M46" s="184"/>
      <c r="N46" s="90"/>
    </row>
    <row r="47" spans="1:14" s="45" customFormat="1" ht="16.5" customHeight="1" thickBot="1" x14ac:dyDescent="0.2">
      <c r="A47" s="121" t="s">
        <v>14</v>
      </c>
      <c r="B47" s="122" t="s">
        <v>62</v>
      </c>
      <c r="C47" s="122"/>
      <c r="D47" s="123"/>
      <c r="E47" s="122"/>
      <c r="F47" s="122"/>
      <c r="G47" s="124"/>
      <c r="H47" s="125"/>
      <c r="I47" s="125">
        <f>I46*17.65%</f>
        <v>4191875</v>
      </c>
      <c r="J47" s="270">
        <f>J46*17.65%</f>
        <v>-663640</v>
      </c>
      <c r="K47" s="232">
        <f t="shared" si="1"/>
        <v>3528235</v>
      </c>
      <c r="L47" s="253"/>
      <c r="M47" s="184"/>
      <c r="N47" s="90"/>
    </row>
    <row r="48" spans="1:14" s="131" customFormat="1" ht="16.5" customHeight="1" thickBot="1" x14ac:dyDescent="0.2">
      <c r="A48" s="160" t="s">
        <v>51</v>
      </c>
      <c r="B48" s="75"/>
      <c r="C48" s="126"/>
      <c r="D48" s="127"/>
      <c r="E48" s="128"/>
      <c r="F48" s="128"/>
      <c r="G48" s="42"/>
      <c r="H48" s="129"/>
      <c r="I48" s="129">
        <f>I15+I46+I47</f>
        <v>27941875</v>
      </c>
      <c r="J48" s="269">
        <f>J15+J46+J47</f>
        <v>-4423640</v>
      </c>
      <c r="K48" s="233">
        <f t="shared" si="1"/>
        <v>23518235</v>
      </c>
      <c r="L48" s="254"/>
      <c r="M48" s="189"/>
      <c r="N48" s="130"/>
    </row>
    <row r="49" spans="1:14" s="131" customFormat="1" ht="16.5" customHeight="1" thickBot="1" x14ac:dyDescent="0.2">
      <c r="A49" s="177" t="s">
        <v>49</v>
      </c>
      <c r="B49" s="178"/>
      <c r="C49" s="179"/>
      <c r="D49" s="180"/>
      <c r="E49" s="181"/>
      <c r="F49" s="181"/>
      <c r="G49" s="182"/>
      <c r="H49" s="183"/>
      <c r="I49" s="183">
        <f>I48*0.1</f>
        <v>2794187.5</v>
      </c>
      <c r="J49" s="271">
        <f>J48*0.1</f>
        <v>-442364</v>
      </c>
      <c r="K49" s="234">
        <f>I49+J49</f>
        <v>2351823.5</v>
      </c>
      <c r="L49" s="255"/>
      <c r="M49" s="189"/>
      <c r="N49" s="130"/>
    </row>
    <row r="50" spans="1:14" s="131" customFormat="1" ht="32.25" customHeight="1" thickBot="1" x14ac:dyDescent="0.2">
      <c r="A50" s="161" t="s">
        <v>50</v>
      </c>
      <c r="B50" s="162"/>
      <c r="C50" s="163"/>
      <c r="D50" s="164"/>
      <c r="E50" s="165"/>
      <c r="F50" s="165"/>
      <c r="G50" s="166"/>
      <c r="H50" s="167"/>
      <c r="I50" s="167">
        <f>I48+I49</f>
        <v>30736062.5</v>
      </c>
      <c r="J50" s="272">
        <f>J48+J49</f>
        <v>-4866004</v>
      </c>
      <c r="K50" s="235">
        <f t="shared" si="1"/>
        <v>25870058.5</v>
      </c>
      <c r="L50" s="256"/>
      <c r="M50" s="189"/>
      <c r="N50" s="130"/>
    </row>
    <row r="51" spans="1:14" x14ac:dyDescent="0.2">
      <c r="H51" s="3"/>
      <c r="I51" s="4"/>
    </row>
  </sheetData>
  <mergeCells count="17">
    <mergeCell ref="B37:C37"/>
    <mergeCell ref="A38:A39"/>
    <mergeCell ref="B38:C38"/>
    <mergeCell ref="A41:A43"/>
    <mergeCell ref="A44:A45"/>
    <mergeCell ref="A16:A18"/>
    <mergeCell ref="A20:A32"/>
    <mergeCell ref="B22:C22"/>
    <mergeCell ref="B20:C20"/>
    <mergeCell ref="B25:C25"/>
    <mergeCell ref="B26:C26"/>
    <mergeCell ref="B27:C27"/>
    <mergeCell ref="B28:C28"/>
    <mergeCell ref="B23:C23"/>
    <mergeCell ref="B24:C24"/>
    <mergeCell ref="B21:C21"/>
    <mergeCell ref="A33:A37"/>
  </mergeCells>
  <phoneticPr fontId="26" type="noConversion"/>
  <printOptions horizontalCentered="1" verticalCentered="1"/>
  <pageMargins left="0.15748031496062992" right="0.15748031496062992" top="0.35433070866141736" bottom="0.19685039370078741" header="0.19685039370078741" footer="0.23622047244094491"/>
  <pageSetup paperSize="9" scale="87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190127</vt:lpstr>
      <vt:lpstr>'190127'!Print_Area</vt:lpstr>
    </vt:vector>
  </TitlesOfParts>
  <Company>CHEIL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손진석</dc:creator>
  <cp:lastModifiedBy>CHEIL</cp:lastModifiedBy>
  <cp:lastPrinted>2015-08-03T06:53:40Z</cp:lastPrinted>
  <dcterms:created xsi:type="dcterms:W3CDTF">2005-04-20T05:06:33Z</dcterms:created>
  <dcterms:modified xsi:type="dcterms:W3CDTF">2026-05-18T05:08:50Z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