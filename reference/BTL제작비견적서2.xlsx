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CHEIL\Desktop\AI TF - pioneer\reference\"/>
    </mc:Choice>
  </mc:AlternateContent>
  <xr:revisionPtr revIDLastSave="0" documentId="13_ncr:1_{93EA24B3-F3FB-4D3A-B285-C880A08F86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14" sheetId="18" r:id="rId1"/>
  </sheets>
  <definedNames>
    <definedName name="_xlnm.Print_Area" localSheetId="0">'v14'!$A$1:$G$73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2" i="18" l="1"/>
  <c r="F39" i="18"/>
  <c r="F51" i="18"/>
  <c r="F70" i="18" l="1"/>
  <c r="F64" i="18"/>
  <c r="F52" i="18"/>
  <c r="F23" i="18"/>
  <c r="F17" i="18"/>
  <c r="F11" i="18"/>
  <c r="F35" i="18" l="1"/>
  <c r="F65" i="18" s="1"/>
  <c r="F66" i="18" s="1"/>
  <c r="F67" i="18" l="1"/>
  <c r="F68" i="18" s="1"/>
  <c r="F71" i="18" l="1"/>
  <c r="F72" i="18" l="1"/>
  <c r="B6" i="18" s="1"/>
</calcChain>
</file>

<file path=xl/sharedStrings.xml><?xml version="1.0" encoding="utf-8"?>
<sst xmlns="http://schemas.openxmlformats.org/spreadsheetml/2006/main" count="132" uniqueCount="104">
  <si>
    <t>소계</t>
    <phoneticPr fontId="2" type="noConversion"/>
  </si>
  <si>
    <t>2. 시스템</t>
    <phoneticPr fontId="2" type="noConversion"/>
  </si>
  <si>
    <t>영상</t>
    <phoneticPr fontId="2" type="noConversion"/>
  </si>
  <si>
    <t>3. 제작</t>
    <phoneticPr fontId="2" type="noConversion"/>
  </si>
  <si>
    <t>장치장식</t>
    <phoneticPr fontId="2" type="noConversion"/>
  </si>
  <si>
    <t>인쇄물</t>
    <phoneticPr fontId="2" type="noConversion"/>
  </si>
  <si>
    <t>4. 인건비</t>
    <phoneticPr fontId="2" type="noConversion"/>
  </si>
  <si>
    <t>연출</t>
    <phoneticPr fontId="2" type="noConversion"/>
  </si>
  <si>
    <t>운영</t>
    <phoneticPr fontId="2" type="noConversion"/>
  </si>
  <si>
    <t>진행스텝</t>
    <phoneticPr fontId="2" type="noConversion"/>
  </si>
  <si>
    <t>진행비</t>
    <phoneticPr fontId="2" type="noConversion"/>
  </si>
  <si>
    <t>디자인</t>
    <phoneticPr fontId="2" type="noConversion"/>
  </si>
  <si>
    <t>음향</t>
    <phoneticPr fontId="2" type="noConversion"/>
  </si>
  <si>
    <t>모바일 초청장</t>
  </si>
  <si>
    <t>테이블 네임텍</t>
  </si>
  <si>
    <t>테이블 넘버링</t>
  </si>
  <si>
    <t>포디움 보드</t>
  </si>
  <si>
    <t>인쇄 및 장치장식 디자인</t>
    <phoneticPr fontId="2" type="noConversion"/>
  </si>
  <si>
    <t>기타</t>
    <phoneticPr fontId="2" type="noConversion"/>
  </si>
  <si>
    <t xml:space="preserve">시스템 운반, 퍼팩트큐, 노트북, 모니터, 프린터기 등 </t>
    <phoneticPr fontId="2" type="noConversion"/>
  </si>
  <si>
    <t>진행팀장</t>
    <phoneticPr fontId="2" type="noConversion"/>
  </si>
  <si>
    <t>공급받는자</t>
  </si>
  <si>
    <t>공급자</t>
  </si>
  <si>
    <t xml:space="preserve">CLIENT </t>
  </si>
  <si>
    <t>회사명</t>
  </si>
  <si>
    <t>JOB</t>
  </si>
  <si>
    <t>대표이사</t>
  </si>
  <si>
    <t>Job No.</t>
  </si>
  <si>
    <t>사업자등록번호</t>
  </si>
  <si>
    <t>거래가격</t>
  </si>
  <si>
    <t>사업장주소</t>
  </si>
  <si>
    <t>담당자/연락처</t>
  </si>
  <si>
    <t>(단위: KRW)</t>
  </si>
  <si>
    <t>구분</t>
  </si>
  <si>
    <t>항목</t>
  </si>
  <si>
    <t>구성</t>
  </si>
  <si>
    <t>수량</t>
  </si>
  <si>
    <t>비고</t>
  </si>
  <si>
    <t>총합</t>
    <phoneticPr fontId="11" type="noConversion"/>
  </si>
  <si>
    <t>사전 및 현장 진행비, 운송료, 식대, 기타</t>
    <phoneticPr fontId="2" type="noConversion"/>
  </si>
  <si>
    <t>행사연출, 콘솔관리, 시나리오 작업</t>
    <phoneticPr fontId="2" type="noConversion"/>
  </si>
  <si>
    <t>무대 및 사회자 운영, 매뉴얼 작업</t>
    <phoneticPr fontId="2" type="noConversion"/>
  </si>
  <si>
    <t>사전준비 및 현장 운영</t>
    <phoneticPr fontId="2" type="noConversion"/>
  </si>
  <si>
    <t>현장운영 및 안내데스크 운영</t>
    <phoneticPr fontId="2" type="noConversion"/>
  </si>
  <si>
    <t>[행사운영대행]</t>
    <phoneticPr fontId="11" type="noConversion"/>
  </si>
  <si>
    <t>영상콘솔, 오퍼레이터</t>
    <phoneticPr fontId="2" type="noConversion"/>
  </si>
  <si>
    <t>단위(회)</t>
    <phoneticPr fontId="2" type="noConversion"/>
  </si>
  <si>
    <t>답례품</t>
    <phoneticPr fontId="2" type="noConversion"/>
  </si>
  <si>
    <t>참가자 증정용 기념품</t>
    <phoneticPr fontId="2" type="noConversion"/>
  </si>
  <si>
    <t>행사타이틀 유도싸인 배너</t>
    <phoneticPr fontId="2" type="noConversion"/>
  </si>
  <si>
    <t>행사타이틀 등록데스크 배너</t>
    <phoneticPr fontId="2" type="noConversion"/>
  </si>
  <si>
    <t>제일기획 대행수수료</t>
    <phoneticPr fontId="2" type="noConversion"/>
  </si>
  <si>
    <t>대행수수료</t>
    <phoneticPr fontId="2" type="noConversion"/>
  </si>
  <si>
    <t>오프라인 초청장</t>
    <phoneticPr fontId="2" type="noConversion"/>
  </si>
  <si>
    <t>원 (VAT 포함)</t>
    <phoneticPr fontId="17" type="noConversion"/>
  </si>
  <si>
    <t>프로그램 안내 보드 (A1)</t>
    <phoneticPr fontId="2" type="noConversion"/>
  </si>
  <si>
    <t xml:space="preserve">좌석배치도 보드 (A1) </t>
    <phoneticPr fontId="2" type="noConversion"/>
  </si>
  <si>
    <t>제일기획</t>
    <phoneticPr fontId="2" type="noConversion"/>
  </si>
  <si>
    <t>유정근</t>
    <phoneticPr fontId="2" type="noConversion"/>
  </si>
  <si>
    <t>202-81-45960</t>
    <phoneticPr fontId="2" type="noConversion"/>
  </si>
  <si>
    <t>서울특별시 용산구 이태원로 222</t>
    <phoneticPr fontId="2" type="noConversion"/>
  </si>
  <si>
    <t>권두인 프로 / 010-9957-7654</t>
    <phoneticPr fontId="2" type="noConversion"/>
  </si>
  <si>
    <t>5. 기타</t>
    <phoneticPr fontId="2" type="noConversion"/>
  </si>
  <si>
    <t>6. 대행수수료</t>
    <phoneticPr fontId="2" type="noConversion"/>
  </si>
  <si>
    <t>7. 운영비</t>
    <phoneticPr fontId="2" type="noConversion"/>
  </si>
  <si>
    <t>행사비 합계 (대행수수료 포함)</t>
    <phoneticPr fontId="11" type="noConversion"/>
  </si>
  <si>
    <t>행사비 합계 (대행수수료 제외)</t>
    <phoneticPr fontId="11" type="noConversion"/>
  </si>
  <si>
    <t>VAT</t>
    <phoneticPr fontId="2" type="noConversion"/>
  </si>
  <si>
    <t>아래와 같이
견적 합니다.</t>
    <phoneticPr fontId="11" type="noConversion"/>
  </si>
  <si>
    <t xml:space="preserve"> .디너 BUSINESS FRENCH 90,909</t>
    <phoneticPr fontId="2" type="noConversion"/>
  </si>
  <si>
    <t xml:space="preserve"> .하우스와인</t>
    <phoneticPr fontId="2" type="noConversion"/>
  </si>
  <si>
    <t xml:space="preserve"> .빔프로젝트</t>
    <phoneticPr fontId="2" type="noConversion"/>
  </si>
  <si>
    <t xml:space="preserve"> .디너</t>
    <phoneticPr fontId="2" type="noConversion"/>
  </si>
  <si>
    <t>사회자</t>
    <phoneticPr fontId="2" type="noConversion"/>
  </si>
  <si>
    <t>아나운서 안수미 서울 1회 / 1월 15일(수)</t>
    <phoneticPr fontId="2" type="noConversion"/>
  </si>
  <si>
    <t>아나운서 정유미 서울 1회 / 1월 22일(수)</t>
    <phoneticPr fontId="2" type="noConversion"/>
  </si>
  <si>
    <t xml:space="preserve"> .볼펜</t>
    <phoneticPr fontId="2" type="noConversion"/>
  </si>
  <si>
    <t>1. 장소</t>
    <phoneticPr fontId="2" type="noConversion"/>
  </si>
  <si>
    <t xml:space="preserve"> .대관(로즈) *Half Day 기준 (14:00~20:00)</t>
    <phoneticPr fontId="2" type="noConversion"/>
  </si>
  <si>
    <t>오퍼레이터</t>
    <phoneticPr fontId="2" type="noConversion"/>
  </si>
  <si>
    <t xml:space="preserve"> .대관(스튜디오 1,2) *All Day 기준 (14:00~20:00)</t>
    <phoneticPr fontId="2" type="noConversion"/>
  </si>
  <si>
    <t xml:space="preserve"> .대관(루비) *All Day 기준 (14:00~20:00)</t>
    <phoneticPr fontId="2" type="noConversion"/>
  </si>
  <si>
    <t>여의도 콘래드 스튜디오
1/21(화)</t>
    <phoneticPr fontId="2" type="noConversion"/>
  </si>
  <si>
    <t>인터콘티넨탈 파르나스 로즈룸
1/22(수)</t>
    <phoneticPr fontId="2" type="noConversion"/>
  </si>
  <si>
    <t>호텔신라 영빈관 루비홀
1/15(수)</t>
    <phoneticPr fontId="2" type="noConversion"/>
  </si>
  <si>
    <t>현수막_무대 행사타이틀</t>
    <phoneticPr fontId="2" type="noConversion"/>
  </si>
  <si>
    <t xml:space="preserve"> .볼펜 (무료제공)</t>
    <phoneticPr fontId="2" type="noConversion"/>
  </si>
  <si>
    <t>아니운서 전혜원 서울 1회 / 1월 21일(화)</t>
    <phoneticPr fontId="2" type="noConversion"/>
  </si>
  <si>
    <t>아니운서 전혜원 지방 1회 / 1월 20일(월)</t>
    <phoneticPr fontId="2" type="noConversion"/>
  </si>
  <si>
    <t>현수막_삼성증권과 함께하세요 @신라호텔</t>
    <phoneticPr fontId="2" type="noConversion"/>
  </si>
  <si>
    <t>현수막_삼성증권과 함께하세요 @콘래드, 인터콘티넨탈</t>
    <phoneticPr fontId="2" type="noConversion"/>
  </si>
  <si>
    <t>합계</t>
    <phoneticPr fontId="2" type="noConversion"/>
  </si>
  <si>
    <t>1월 29일(수) 취소 반영</t>
    <phoneticPr fontId="2" type="noConversion"/>
  </si>
  <si>
    <t>1차 300세트 발주 (1/7)
2차 100세트 발주 (1/16)</t>
    <phoneticPr fontId="2" type="noConversion"/>
  </si>
  <si>
    <t>1월 30일(목) 취소 반영</t>
    <phoneticPr fontId="2" type="noConversion"/>
  </si>
  <si>
    <r>
      <t>9개 2벌 제작 공통으로 사용</t>
    </r>
    <r>
      <rPr>
        <sz val="11"/>
        <color rgb="FFFF0000"/>
        <rFont val="맑은 고딕"/>
        <family val="3"/>
        <charset val="129"/>
        <scheme val="major"/>
      </rPr>
      <t xml:space="preserve">
1월 29일(수) 취소 반영</t>
    </r>
    <phoneticPr fontId="2" type="noConversion"/>
  </si>
  <si>
    <r>
      <t xml:space="preserve">총 참석사수 172명(현장 제작 제외)
</t>
    </r>
    <r>
      <rPr>
        <sz val="11"/>
        <color rgb="FFFF0000"/>
        <rFont val="맑은 고딕"/>
        <family val="3"/>
        <charset val="129"/>
        <scheme val="major"/>
      </rPr>
      <t>1월 29일(수) 취소 반영</t>
    </r>
    <phoneticPr fontId="2" type="noConversion"/>
  </si>
  <si>
    <t>1월 29일(수) 취소 반영</t>
  </si>
  <si>
    <r>
      <t xml:space="preserve"> .디너 </t>
    </r>
    <r>
      <rPr>
        <sz val="11"/>
        <color rgb="FFFF0000"/>
        <rFont val="맑은 고딕"/>
        <family val="3"/>
        <charset val="129"/>
        <scheme val="major"/>
      </rPr>
      <t>(와인으로 대체)</t>
    </r>
    <phoneticPr fontId="2" type="noConversion"/>
  </si>
  <si>
    <r>
      <t xml:space="preserve">인터콘티넨탈 파르나스 로즈룸
1/29(수) </t>
    </r>
    <r>
      <rPr>
        <sz val="11"/>
        <color rgb="FFFF0000"/>
        <rFont val="맑은 고딕"/>
        <family val="3"/>
        <charset val="129"/>
        <scheme val="major"/>
      </rPr>
      <t>- 행사 미진행</t>
    </r>
    <phoneticPr fontId="2" type="noConversion"/>
  </si>
  <si>
    <t>8.6% 수수료율 적용</t>
    <phoneticPr fontId="2" type="noConversion"/>
  </si>
  <si>
    <t>십만원 단위 미만 절사</t>
    <phoneticPr fontId="2" type="noConversion"/>
  </si>
  <si>
    <t>최종 청구 금액</t>
    <phoneticPr fontId="11" type="noConversion"/>
  </si>
  <si>
    <t>자산관리 세미나 견적서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</si>
</sst>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_(* #,##0_);_(* \(#,##0\);_(* &quot;-&quot;??_);_(@_)"/>
    <numFmt numFmtId="178" formatCode="#,##0_ "/>
    <numFmt numFmtId="179" formatCode="_-* #,##0.0_-;\-* #,##0.0_-;_-* &quot;-&quot;_-;_-@_-"/>
  </numFmts>
  <fonts count="2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돋움"/>
      <family val="3"/>
      <charset val="129"/>
    </font>
    <font>
      <sz val="10"/>
      <color rgb="FF000000"/>
      <name val="Arial"/>
      <family val="2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ajor"/>
    </font>
    <font>
      <sz val="11"/>
      <color rgb="FF00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8"/>
      <color rgb="FF000000"/>
      <name val="맑은 고딕"/>
      <family val="3"/>
      <charset val="129"/>
      <scheme val="minor"/>
    </font>
    <font>
      <b/>
      <sz val="12"/>
      <color rgb="FF00000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2"/>
      <color rgb="FF000000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ajor"/>
    </font>
    <font>
      <b/>
      <sz val="11"/>
      <color rgb="FF000000"/>
      <name val="맑은 고딕"/>
      <family val="3"/>
      <charset val="129"/>
    </font>
    <font>
      <sz val="11"/>
      <color rgb="FFFF000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  <font>
      <b/>
      <sz val="14"/>
      <color theme="1"/>
      <name val="맑은 고딕"/>
      <family val="3"/>
      <charset val="129"/>
      <scheme val="major"/>
    </font>
    <font>
      <b/>
      <sz val="14"/>
      <color rgb="FFFF0000"/>
      <name val="맑은 고딕"/>
      <family val="3"/>
      <charset val="129"/>
      <scheme val="major"/>
    </font>
    <font>
      <b/>
      <sz val="14"/>
      <color theme="0"/>
      <name val="맑은 고딕"/>
      <family val="3"/>
      <charset val="129"/>
      <scheme val="maj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FF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00000"/>
        <bgColor rgb="FFFFFFFF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8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0" fontId="4" fillId="0" borderId="0"/>
    <xf numFmtId="176" fontId="4" fillId="0" borderId="0"/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</cellStyleXfs>
  <cellXfs count="126">
    <xf numFmtId="0" fontId="0" fillId="0" borderId="0" xfId="0">
      <alignment vertical="center"/>
    </xf>
    <xf numFmtId="41" fontId="6" fillId="0" borderId="1" xfId="1" applyFont="1" applyFill="1" applyBorder="1" applyAlignment="1">
      <alignment horizontal="center" vertical="center"/>
    </xf>
    <xf numFmtId="0" fontId="6" fillId="0" borderId="1" xfId="1" applyNumberFormat="1" applyFont="1" applyFill="1" applyBorder="1">
      <alignment vertical="center"/>
    </xf>
    <xf numFmtId="0" fontId="6" fillId="0" borderId="1" xfId="1" applyNumberFormat="1" applyFont="1" applyFill="1" applyBorder="1" applyAlignment="1">
      <alignment vertical="center"/>
    </xf>
    <xf numFmtId="0" fontId="9" fillId="0" borderId="0" xfId="5">
      <alignment vertical="center"/>
    </xf>
    <xf numFmtId="0" fontId="13" fillId="0" borderId="0" xfId="3" applyFont="1" applyAlignment="1">
      <alignment vertical="center"/>
    </xf>
    <xf numFmtId="0" fontId="14" fillId="0" borderId="3" xfId="3" applyFont="1" applyBorder="1" applyAlignment="1">
      <alignment horizontal="center" vertical="center" shrinkToFit="1"/>
    </xf>
    <xf numFmtId="0" fontId="8" fillId="0" borderId="1" xfId="3" applyFont="1" applyBorder="1" applyAlignment="1">
      <alignment horizontal="center" vertical="center"/>
    </xf>
    <xf numFmtId="0" fontId="16" fillId="0" borderId="4" xfId="3" applyFont="1" applyBorder="1" applyAlignment="1">
      <alignment horizontal="center" vertical="center"/>
    </xf>
    <xf numFmtId="0" fontId="14" fillId="0" borderId="3" xfId="3" applyFont="1" applyBorder="1" applyAlignment="1">
      <alignment horizontal="center" vertical="center" wrapText="1" shrinkToFit="1"/>
    </xf>
    <xf numFmtId="177" fontId="8" fillId="0" borderId="22" xfId="4" applyNumberFormat="1" applyFont="1" applyBorder="1" applyAlignment="1">
      <alignment vertical="center" shrinkToFit="1"/>
    </xf>
    <xf numFmtId="0" fontId="14" fillId="0" borderId="5" xfId="3" applyFont="1" applyBorder="1" applyAlignment="1">
      <alignment horizontal="center" vertical="center" shrinkToFit="1"/>
    </xf>
    <xf numFmtId="0" fontId="8" fillId="0" borderId="6" xfId="3" applyFont="1" applyBorder="1" applyAlignment="1">
      <alignment horizontal="center" vertical="center"/>
    </xf>
    <xf numFmtId="0" fontId="16" fillId="0" borderId="11" xfId="3" applyFont="1" applyBorder="1" applyAlignment="1">
      <alignment horizontal="center" vertical="center"/>
    </xf>
    <xf numFmtId="0" fontId="14" fillId="0" borderId="0" xfId="3" applyFont="1" applyAlignment="1">
      <alignment horizontal="center" vertical="center" shrinkToFit="1"/>
    </xf>
    <xf numFmtId="49" fontId="9" fillId="0" borderId="0" xfId="5" applyNumberFormat="1">
      <alignment vertical="center"/>
    </xf>
    <xf numFmtId="0" fontId="13" fillId="0" borderId="0" xfId="3" applyFont="1" applyAlignment="1">
      <alignment horizontal="left" vertical="center"/>
    </xf>
    <xf numFmtId="0" fontId="8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 shrinkToFit="1"/>
    </xf>
    <xf numFmtId="49" fontId="9" fillId="0" borderId="0" xfId="5" applyNumberFormat="1" applyAlignment="1">
      <alignment horizontal="center" vertical="center"/>
    </xf>
    <xf numFmtId="49" fontId="9" fillId="0" borderId="0" xfId="5" applyNumberFormat="1" applyAlignment="1">
      <alignment horizontal="left" vertical="center"/>
    </xf>
    <xf numFmtId="0" fontId="13" fillId="0" borderId="0" xfId="2" applyFont="1"/>
    <xf numFmtId="0" fontId="5" fillId="0" borderId="0" xfId="5" quotePrefix="1" applyFont="1">
      <alignment vertical="center"/>
    </xf>
    <xf numFmtId="0" fontId="6" fillId="0" borderId="1" xfId="2" applyFont="1" applyBorder="1" applyAlignment="1">
      <alignment vertical="center"/>
    </xf>
    <xf numFmtId="41" fontId="6" fillId="0" borderId="1" xfId="3" applyNumberFormat="1" applyFont="1" applyBorder="1" applyAlignment="1">
      <alignment vertical="center" shrinkToFit="1"/>
    </xf>
    <xf numFmtId="0" fontId="6" fillId="0" borderId="1" xfId="2" applyFont="1" applyBorder="1" applyAlignment="1">
      <alignment horizontal="left" vertical="center"/>
    </xf>
    <xf numFmtId="41" fontId="8" fillId="0" borderId="0" xfId="1" applyFont="1" applyAlignment="1">
      <alignment horizontal="center" vertical="center"/>
    </xf>
    <xf numFmtId="41" fontId="19" fillId="0" borderId="0" xfId="1" applyFont="1" applyAlignment="1">
      <alignment horizontal="center" vertical="center"/>
    </xf>
    <xf numFmtId="41" fontId="6" fillId="0" borderId="1" xfId="1" applyFont="1" applyBorder="1" applyAlignment="1">
      <alignment horizontal="center" vertical="center"/>
    </xf>
    <xf numFmtId="41" fontId="6" fillId="0" borderId="22" xfId="1" applyFont="1" applyFill="1" applyBorder="1">
      <alignment vertical="center"/>
    </xf>
    <xf numFmtId="0" fontId="6" fillId="0" borderId="3" xfId="2" applyFont="1" applyFill="1" applyBorder="1" applyAlignment="1">
      <alignment vertical="center" wrapText="1"/>
    </xf>
    <xf numFmtId="41" fontId="6" fillId="0" borderId="17" xfId="1" applyFont="1" applyFill="1" applyBorder="1" applyAlignment="1">
      <alignment horizontal="center" vertical="center"/>
    </xf>
    <xf numFmtId="0" fontId="7" fillId="6" borderId="1" xfId="2" applyFont="1" applyFill="1" applyBorder="1" applyAlignment="1">
      <alignment vertical="center"/>
    </xf>
    <xf numFmtId="41" fontId="7" fillId="6" borderId="1" xfId="1" applyFont="1" applyFill="1" applyBorder="1">
      <alignment vertical="center"/>
    </xf>
    <xf numFmtId="0" fontId="7" fillId="6" borderId="22" xfId="2" applyFont="1" applyFill="1" applyBorder="1" applyAlignment="1">
      <alignment vertical="center" wrapText="1"/>
    </xf>
    <xf numFmtId="49" fontId="18" fillId="3" borderId="7" xfId="5" applyNumberFormat="1" applyFont="1" applyFill="1" applyBorder="1" applyAlignment="1">
      <alignment horizontal="center" vertical="center"/>
    </xf>
    <xf numFmtId="49" fontId="18" fillId="3" borderId="8" xfId="5" applyNumberFormat="1" applyFont="1" applyFill="1" applyBorder="1" applyAlignment="1">
      <alignment horizontal="center" vertical="center"/>
    </xf>
    <xf numFmtId="49" fontId="18" fillId="3" borderId="2" xfId="5" applyNumberFormat="1" applyFont="1" applyFill="1" applyBorder="1" applyAlignment="1">
      <alignment horizontal="center" vertical="center"/>
    </xf>
    <xf numFmtId="177" fontId="20" fillId="0" borderId="17" xfId="4" applyNumberFormat="1" applyFont="1" applyBorder="1" applyAlignment="1">
      <alignment vertical="center" shrinkToFit="1"/>
    </xf>
    <xf numFmtId="0" fontId="6" fillId="7" borderId="1" xfId="2" applyFont="1" applyFill="1" applyBorder="1" applyAlignment="1">
      <alignment vertical="center"/>
    </xf>
    <xf numFmtId="41" fontId="6" fillId="7" borderId="1" xfId="1" applyFont="1" applyFill="1" applyBorder="1">
      <alignment vertical="center"/>
    </xf>
    <xf numFmtId="41" fontId="6" fillId="0" borderId="1" xfId="1" applyFont="1" applyFill="1" applyBorder="1">
      <alignment vertical="center"/>
    </xf>
    <xf numFmtId="0" fontId="6" fillId="0" borderId="1" xfId="2" applyFont="1" applyFill="1" applyBorder="1" applyAlignment="1">
      <alignment vertical="center" wrapText="1"/>
    </xf>
    <xf numFmtId="41" fontId="21" fillId="0" borderId="1" xfId="1" applyFont="1" applyFill="1" applyBorder="1">
      <alignment vertical="center"/>
    </xf>
    <xf numFmtId="41" fontId="21" fillId="0" borderId="1" xfId="1" applyFont="1" applyFill="1" applyBorder="1" applyAlignment="1">
      <alignment horizontal="center" vertical="center"/>
    </xf>
    <xf numFmtId="178" fontId="21" fillId="0" borderId="4" xfId="2" applyNumberFormat="1" applyFont="1" applyFill="1" applyBorder="1" applyAlignment="1">
      <alignment horizontal="left" vertical="center" wrapText="1"/>
    </xf>
    <xf numFmtId="41" fontId="7" fillId="6" borderId="1" xfId="1" applyFont="1" applyFill="1" applyBorder="1" applyAlignment="1">
      <alignment vertical="center"/>
    </xf>
    <xf numFmtId="41" fontId="7" fillId="6" borderId="1" xfId="1" applyFont="1" applyFill="1" applyBorder="1" applyAlignment="1">
      <alignment horizontal="center" vertical="center"/>
    </xf>
    <xf numFmtId="41" fontId="7" fillId="6" borderId="1" xfId="4" applyNumberFormat="1" applyFont="1" applyFill="1" applyBorder="1" applyAlignment="1">
      <alignment vertical="center" shrinkToFit="1"/>
    </xf>
    <xf numFmtId="49" fontId="9" fillId="0" borderId="0" xfId="5" applyNumberFormat="1" applyFont="1" applyAlignment="1">
      <alignment horizontal="left"/>
    </xf>
    <xf numFmtId="49" fontId="9" fillId="0" borderId="0" xfId="5" applyNumberFormat="1" applyFont="1" applyAlignment="1">
      <alignment horizontal="center" vertical="center"/>
    </xf>
    <xf numFmtId="49" fontId="9" fillId="0" borderId="0" xfId="5" applyNumberFormat="1" applyFont="1" applyAlignment="1">
      <alignment horizontal="left" vertical="center"/>
    </xf>
    <xf numFmtId="41" fontId="22" fillId="0" borderId="0" xfId="1" applyFont="1" applyAlignment="1">
      <alignment vertical="center"/>
    </xf>
    <xf numFmtId="41" fontId="22" fillId="0" borderId="0" xfId="1" applyFont="1" applyAlignment="1">
      <alignment horizontal="center" vertical="center"/>
    </xf>
    <xf numFmtId="49" fontId="9" fillId="0" borderId="0" xfId="5" applyNumberFormat="1" applyFont="1">
      <alignment vertical="center"/>
    </xf>
    <xf numFmtId="49" fontId="9" fillId="0" borderId="0" xfId="5" applyNumberFormat="1" applyFont="1" applyAlignment="1">
      <alignment horizontal="right" vertical="center"/>
    </xf>
    <xf numFmtId="41" fontId="7" fillId="3" borderId="8" xfId="1" applyFont="1" applyFill="1" applyBorder="1" applyAlignment="1">
      <alignment horizontal="center" vertical="center"/>
    </xf>
    <xf numFmtId="41" fontId="6" fillId="7" borderId="1" xfId="1" applyFont="1" applyFill="1" applyBorder="1" applyAlignment="1">
      <alignment horizontal="center" vertical="center"/>
    </xf>
    <xf numFmtId="178" fontId="7" fillId="6" borderId="4" xfId="2" applyNumberFormat="1" applyFont="1" applyFill="1" applyBorder="1" applyAlignment="1">
      <alignment horizontal="center" vertical="center" wrapText="1"/>
    </xf>
    <xf numFmtId="178" fontId="6" fillId="0" borderId="4" xfId="2" applyNumberFormat="1" applyFont="1" applyFill="1" applyBorder="1" applyAlignment="1">
      <alignment horizontal="center" vertical="center" wrapText="1"/>
    </xf>
    <xf numFmtId="178" fontId="6" fillId="0" borderId="4" xfId="2" applyNumberFormat="1" applyFont="1" applyFill="1" applyBorder="1" applyAlignment="1">
      <alignment horizontal="left" vertical="center" wrapText="1"/>
    </xf>
    <xf numFmtId="178" fontId="6" fillId="0" borderId="28" xfId="2" applyNumberFormat="1" applyFont="1" applyFill="1" applyBorder="1" applyAlignment="1">
      <alignment horizontal="center" vertical="center" wrapText="1"/>
    </xf>
    <xf numFmtId="0" fontId="7" fillId="5" borderId="1" xfId="3" applyFont="1" applyFill="1" applyBorder="1" applyAlignment="1">
      <alignment vertical="center"/>
    </xf>
    <xf numFmtId="41" fontId="7" fillId="5" borderId="1" xfId="1" applyFont="1" applyFill="1" applyBorder="1" applyAlignment="1">
      <alignment horizontal="center" vertical="center"/>
    </xf>
    <xf numFmtId="41" fontId="7" fillId="5" borderId="1" xfId="7" applyFont="1" applyFill="1" applyBorder="1" applyAlignment="1">
      <alignment vertical="center" shrinkToFit="1"/>
    </xf>
    <xf numFmtId="0" fontId="23" fillId="5" borderId="4" xfId="3" applyFont="1" applyFill="1" applyBorder="1" applyAlignment="1">
      <alignment horizontal="center" vertical="center"/>
    </xf>
    <xf numFmtId="0" fontId="24" fillId="2" borderId="6" xfId="3" applyFont="1" applyFill="1" applyBorder="1" applyAlignment="1">
      <alignment vertical="center"/>
    </xf>
    <xf numFmtId="41" fontId="24" fillId="2" borderId="6" xfId="1" applyFont="1" applyFill="1" applyBorder="1" applyAlignment="1">
      <alignment horizontal="center" vertical="center"/>
    </xf>
    <xf numFmtId="0" fontId="6" fillId="0" borderId="1" xfId="2" applyFont="1" applyFill="1" applyBorder="1" applyAlignment="1">
      <alignment vertical="center"/>
    </xf>
    <xf numFmtId="0" fontId="21" fillId="0" borderId="1" xfId="1" applyNumberFormat="1" applyFont="1" applyFill="1" applyBorder="1">
      <alignment vertical="center"/>
    </xf>
    <xf numFmtId="41" fontId="21" fillId="0" borderId="22" xfId="1" applyFont="1" applyFill="1" applyBorder="1">
      <alignment vertical="center"/>
    </xf>
    <xf numFmtId="0" fontId="21" fillId="0" borderId="1" xfId="2" applyFont="1" applyBorder="1" applyAlignment="1">
      <alignment vertical="center"/>
    </xf>
    <xf numFmtId="41" fontId="21" fillId="0" borderId="1" xfId="1" applyFont="1" applyBorder="1" applyAlignment="1">
      <alignment horizontal="center" vertical="center"/>
    </xf>
    <xf numFmtId="0" fontId="6" fillId="0" borderId="1" xfId="2" applyFont="1" applyFill="1" applyBorder="1" applyAlignment="1">
      <alignment horizontal="left" vertical="center"/>
    </xf>
    <xf numFmtId="179" fontId="21" fillId="0" borderId="1" xfId="1" applyNumberFormat="1" applyFont="1" applyFill="1" applyBorder="1" applyAlignment="1">
      <alignment horizontal="center" vertical="center"/>
    </xf>
    <xf numFmtId="179" fontId="21" fillId="0" borderId="22" xfId="1" applyNumberFormat="1" applyFont="1" applyFill="1" applyBorder="1">
      <alignment vertical="center"/>
    </xf>
    <xf numFmtId="178" fontId="6" fillId="4" borderId="4" xfId="2" applyNumberFormat="1" applyFont="1" applyFill="1" applyBorder="1" applyAlignment="1">
      <alignment horizontal="left" vertical="center" wrapText="1"/>
    </xf>
    <xf numFmtId="41" fontId="21" fillId="0" borderId="1" xfId="1" applyNumberFormat="1" applyFont="1" applyFill="1" applyBorder="1" applyAlignment="1">
      <alignment horizontal="center" vertical="center"/>
    </xf>
    <xf numFmtId="0" fontId="21" fillId="0" borderId="1" xfId="2" applyFont="1" applyFill="1" applyBorder="1" applyAlignment="1">
      <alignment horizontal="left" vertical="center"/>
    </xf>
    <xf numFmtId="43" fontId="6" fillId="0" borderId="1" xfId="3" applyNumberFormat="1" applyFont="1" applyBorder="1" applyAlignment="1">
      <alignment vertical="center" shrinkToFit="1"/>
    </xf>
    <xf numFmtId="178" fontId="21" fillId="0" borderId="28" xfId="2" applyNumberFormat="1" applyFont="1" applyFill="1" applyBorder="1" applyAlignment="1">
      <alignment horizontal="center" vertical="center" wrapText="1"/>
    </xf>
    <xf numFmtId="0" fontId="25" fillId="2" borderId="11" xfId="3" applyFont="1" applyFill="1" applyBorder="1" applyAlignment="1">
      <alignment horizontal="center" vertical="center"/>
    </xf>
    <xf numFmtId="0" fontId="26" fillId="8" borderId="6" xfId="3" applyFont="1" applyFill="1" applyBorder="1" applyAlignment="1">
      <alignment vertical="center"/>
    </xf>
    <xf numFmtId="41" fontId="26" fillId="8" borderId="6" xfId="1" applyFont="1" applyFill="1" applyBorder="1" applyAlignment="1">
      <alignment horizontal="center" vertical="center"/>
    </xf>
    <xf numFmtId="41" fontId="26" fillId="8" borderId="6" xfId="7" applyFont="1" applyFill="1" applyBorder="1" applyAlignment="1">
      <alignment vertical="center" shrinkToFit="1"/>
    </xf>
    <xf numFmtId="0" fontId="26" fillId="8" borderId="11" xfId="3" applyFont="1" applyFill="1" applyBorder="1" applyAlignment="1">
      <alignment horizontal="center" vertical="center"/>
    </xf>
    <xf numFmtId="41" fontId="7" fillId="2" borderId="6" xfId="7" applyFont="1" applyFill="1" applyBorder="1" applyAlignment="1">
      <alignment vertical="center" shrinkToFit="1"/>
    </xf>
    <xf numFmtId="0" fontId="26" fillId="8" borderId="29" xfId="3" applyFont="1" applyFill="1" applyBorder="1" applyAlignment="1">
      <alignment horizontal="center" vertical="center"/>
    </xf>
    <xf numFmtId="0" fontId="26" fillId="8" borderId="25" xfId="3" applyFont="1" applyFill="1" applyBorder="1" applyAlignment="1">
      <alignment horizontal="center" vertical="center"/>
    </xf>
    <xf numFmtId="0" fontId="7" fillId="6" borderId="27" xfId="2" applyFont="1" applyFill="1" applyBorder="1" applyAlignment="1">
      <alignment horizontal="center" vertical="center" wrapText="1"/>
    </xf>
    <xf numFmtId="0" fontId="7" fillId="6" borderId="26" xfId="2" applyFont="1" applyFill="1" applyBorder="1" applyAlignment="1">
      <alignment horizontal="center" vertical="center" wrapText="1"/>
    </xf>
    <xf numFmtId="0" fontId="7" fillId="5" borderId="27" xfId="3" applyFont="1" applyFill="1" applyBorder="1" applyAlignment="1">
      <alignment horizontal="center" vertical="center"/>
    </xf>
    <xf numFmtId="0" fontId="7" fillId="5" borderId="22" xfId="3" applyFont="1" applyFill="1" applyBorder="1" applyAlignment="1">
      <alignment horizontal="center" vertical="center"/>
    </xf>
    <xf numFmtId="0" fontId="7" fillId="6" borderId="22" xfId="2" applyFont="1" applyFill="1" applyBorder="1" applyAlignment="1">
      <alignment horizontal="center" vertical="center" wrapText="1"/>
    </xf>
    <xf numFmtId="0" fontId="24" fillId="2" borderId="29" xfId="3" applyFont="1" applyFill="1" applyBorder="1" applyAlignment="1">
      <alignment horizontal="center" vertical="center"/>
    </xf>
    <xf numFmtId="0" fontId="24" fillId="2" borderId="25" xfId="3" applyFont="1" applyFill="1" applyBorder="1" applyAlignment="1">
      <alignment horizontal="center" vertical="center"/>
    </xf>
    <xf numFmtId="0" fontId="6" fillId="0" borderId="13" xfId="2" applyFont="1" applyBorder="1" applyAlignment="1">
      <alignment horizontal="left" vertical="center" wrapText="1"/>
    </xf>
    <xf numFmtId="0" fontId="6" fillId="0" borderId="14" xfId="2" applyFont="1" applyBorder="1" applyAlignment="1">
      <alignment horizontal="left" vertical="center" wrapText="1"/>
    </xf>
    <xf numFmtId="0" fontId="6" fillId="0" borderId="15" xfId="2" applyFont="1" applyBorder="1" applyAlignment="1">
      <alignment horizontal="left" vertical="center" wrapText="1"/>
    </xf>
    <xf numFmtId="0" fontId="6" fillId="0" borderId="3" xfId="2" applyFont="1" applyBorder="1" applyAlignment="1">
      <alignment horizontal="left" vertical="center" wrapText="1"/>
    </xf>
    <xf numFmtId="0" fontId="6" fillId="0" borderId="1" xfId="1" applyNumberFormat="1" applyFont="1" applyFill="1" applyBorder="1" applyAlignment="1">
      <alignment horizontal="left" vertical="center"/>
    </xf>
    <xf numFmtId="0" fontId="6" fillId="0" borderId="1" xfId="2" applyFont="1" applyBorder="1" applyAlignment="1">
      <alignment horizontal="left" vertical="center" wrapText="1"/>
    </xf>
    <xf numFmtId="0" fontId="6" fillId="0" borderId="12" xfId="1" applyNumberFormat="1" applyFont="1" applyFill="1" applyBorder="1" applyAlignment="1">
      <alignment horizontal="left" vertical="center"/>
    </xf>
    <xf numFmtId="0" fontId="6" fillId="0" borderId="30" xfId="1" applyNumberFormat="1" applyFont="1" applyFill="1" applyBorder="1" applyAlignment="1">
      <alignment horizontal="left" vertical="center"/>
    </xf>
    <xf numFmtId="0" fontId="6" fillId="0" borderId="31" xfId="1" applyNumberFormat="1" applyFont="1" applyFill="1" applyBorder="1" applyAlignment="1">
      <alignment horizontal="left" vertical="center"/>
    </xf>
    <xf numFmtId="0" fontId="6" fillId="0" borderId="12" xfId="2" applyFont="1" applyBorder="1" applyAlignment="1">
      <alignment horizontal="center" vertical="center" wrapText="1"/>
    </xf>
    <xf numFmtId="0" fontId="6" fillId="0" borderId="30" xfId="2" applyFont="1" applyBorder="1" applyAlignment="1">
      <alignment horizontal="center" vertical="center"/>
    </xf>
    <xf numFmtId="0" fontId="6" fillId="0" borderId="31" xfId="2" applyFont="1" applyBorder="1" applyAlignment="1">
      <alignment horizontal="center" vertical="center"/>
    </xf>
    <xf numFmtId="178" fontId="21" fillId="4" borderId="32" xfId="2" applyNumberFormat="1" applyFont="1" applyFill="1" applyBorder="1" applyAlignment="1">
      <alignment horizontal="left" vertical="center" wrapText="1"/>
    </xf>
    <xf numFmtId="178" fontId="21" fillId="4" borderId="33" xfId="2" applyNumberFormat="1" applyFont="1" applyFill="1" applyBorder="1" applyAlignment="1">
      <alignment horizontal="left" vertical="center" wrapText="1"/>
    </xf>
    <xf numFmtId="178" fontId="21" fillId="4" borderId="34" xfId="2" applyNumberFormat="1" applyFont="1" applyFill="1" applyBorder="1" applyAlignment="1">
      <alignment horizontal="left" vertical="center" wrapText="1"/>
    </xf>
    <xf numFmtId="49" fontId="10" fillId="0" borderId="0" xfId="5" applyNumberFormat="1" applyFont="1" applyAlignment="1">
      <alignment horizontal="center" vertical="center"/>
    </xf>
    <xf numFmtId="0" fontId="12" fillId="2" borderId="16" xfId="3" applyFont="1" applyFill="1" applyBorder="1" applyAlignment="1">
      <alignment horizontal="center" vertical="center"/>
    </xf>
    <xf numFmtId="0" fontId="12" fillId="2" borderId="10" xfId="3" applyFont="1" applyFill="1" applyBorder="1" applyAlignment="1">
      <alignment horizontal="center" vertical="center"/>
    </xf>
    <xf numFmtId="41" fontId="12" fillId="2" borderId="9" xfId="1" applyFont="1" applyFill="1" applyBorder="1" applyAlignment="1">
      <alignment horizontal="center" vertical="center"/>
    </xf>
    <xf numFmtId="41" fontId="12" fillId="2" borderId="10" xfId="1" applyFont="1" applyFill="1" applyBorder="1" applyAlignment="1">
      <alignment horizontal="center" vertical="center"/>
    </xf>
    <xf numFmtId="0" fontId="12" fillId="2" borderId="8" xfId="3" applyFont="1" applyFill="1" applyBorder="1" applyAlignment="1">
      <alignment horizontal="center" vertical="center"/>
    </xf>
    <xf numFmtId="0" fontId="12" fillId="2" borderId="2" xfId="3" applyFont="1" applyFill="1" applyBorder="1" applyAlignment="1">
      <alignment horizontal="center" vertical="center"/>
    </xf>
    <xf numFmtId="0" fontId="15" fillId="0" borderId="1" xfId="5" applyFont="1" applyBorder="1" applyAlignment="1">
      <alignment horizontal="center" vertical="center"/>
    </xf>
    <xf numFmtId="41" fontId="8" fillId="0" borderId="18" xfId="1" applyFont="1" applyBorder="1" applyAlignment="1">
      <alignment horizontal="center" vertical="center" wrapText="1"/>
    </xf>
    <xf numFmtId="41" fontId="8" fillId="0" borderId="19" xfId="1" applyFont="1" applyBorder="1" applyAlignment="1">
      <alignment horizontal="center" vertical="center" wrapText="1"/>
    </xf>
    <xf numFmtId="41" fontId="8" fillId="0" borderId="20" xfId="1" applyFont="1" applyBorder="1" applyAlignment="1">
      <alignment horizontal="center" vertical="center" wrapText="1"/>
    </xf>
    <xf numFmtId="41" fontId="8" fillId="0" borderId="21" xfId="1" applyFont="1" applyBorder="1" applyAlignment="1">
      <alignment horizontal="center" vertical="center" wrapText="1"/>
    </xf>
    <xf numFmtId="41" fontId="8" fillId="0" borderId="23" xfId="1" applyFont="1" applyBorder="1" applyAlignment="1">
      <alignment horizontal="center" vertical="center" wrapText="1"/>
    </xf>
    <xf numFmtId="41" fontId="8" fillId="0" borderId="24" xfId="1" applyFont="1" applyBorder="1" applyAlignment="1">
      <alignment horizontal="center" vertical="center" wrapText="1"/>
    </xf>
    <xf numFmtId="0" fontId="15" fillId="0" borderId="6" xfId="3" applyFont="1" applyBorder="1" applyAlignment="1">
      <alignment horizontal="center" vertical="center"/>
    </xf>
  </cellXfs>
  <cellStyles count="8">
    <cellStyle name="Comma [0]" xfId="7" xr:uid="{00000000-0005-0000-0000-000000000000}"/>
    <cellStyle name="쉼표 [0]" xfId="1" builtinId="6"/>
    <cellStyle name="쉼표 [0] 2" xfId="6" xr:uid="{00000000-0005-0000-0000-000002000000}"/>
    <cellStyle name="쉼표 [0] 2 15" xfId="4" xr:uid="{00000000-0005-0000-0000-000003000000}"/>
    <cellStyle name="표준" xfId="0" builtinId="0"/>
    <cellStyle name="표준 - Styl1" xfId="2" xr:uid="{00000000-0005-0000-0000-000005000000}"/>
    <cellStyle name="표준 2" xfId="5" xr:uid="{00000000-0005-0000-0000-000006000000}"/>
    <cellStyle name="표준 2 10 3" xfId="3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3285927915285"/>
    <pageSetUpPr fitToPage="1"/>
  </sheetPr>
  <dimension ref="A1:G75"/>
  <sheetViews>
    <sheetView showGridLines="0" tabSelected="1" view="pageBreakPreview" zoomScale="85" zoomScaleNormal="85" zoomScaleSheetLayoutView="85" workbookViewId="0">
      <selection sqref="A1:G1"/>
    </sheetView>
  </sheetViews>
  <sheetFormatPr defaultColWidth="8.875" defaultRowHeight="16.5" x14ac:dyDescent="0.3"/>
  <cols>
    <col min="1" max="1" width="16.625" style="19" customWidth="1"/>
    <col min="2" max="2" width="29.25" style="19" bestFit="1" customWidth="1"/>
    <col min="3" max="3" width="58" style="20" bestFit="1" customWidth="1"/>
    <col min="4" max="5" width="10.875" style="27" customWidth="1"/>
    <col min="6" max="6" width="16.625" style="15" customWidth="1"/>
    <col min="7" max="7" width="49.625" style="15" customWidth="1"/>
    <col min="8" max="16384" width="8.875" style="4"/>
  </cols>
  <sheetData>
    <row r="1" spans="1:7" ht="47.25" customHeight="1" thickBot="1" x14ac:dyDescent="0.35">
      <c r="A1" s="111" t="s">
        <v>103</v>
      </c>
      <c r="B1" s="111"/>
      <c r="C1" s="111"/>
      <c r="D1" s="111"/>
      <c r="E1" s="111"/>
      <c r="F1" s="111"/>
      <c r="G1" s="111"/>
    </row>
    <row r="2" spans="1:7" s="5" customFormat="1" ht="20.25" customHeight="1" x14ac:dyDescent="0.3">
      <c r="A2" s="112" t="s">
        <v>21</v>
      </c>
      <c r="B2" s="113"/>
      <c r="C2" s="113"/>
      <c r="D2" s="114" t="s">
        <v>44</v>
      </c>
      <c r="E2" s="115"/>
      <c r="F2" s="116" t="s">
        <v>22</v>
      </c>
      <c r="G2" s="117"/>
    </row>
    <row r="3" spans="1:7" s="5" customFormat="1" ht="20.25" customHeight="1" x14ac:dyDescent="0.3">
      <c r="A3" s="6" t="s">
        <v>23</v>
      </c>
      <c r="B3" s="118"/>
      <c r="C3" s="118"/>
      <c r="D3" s="119" t="s">
        <v>68</v>
      </c>
      <c r="E3" s="120"/>
      <c r="F3" s="7" t="s">
        <v>24</v>
      </c>
      <c r="G3" s="8" t="s">
        <v>57</v>
      </c>
    </row>
    <row r="4" spans="1:7" s="5" customFormat="1" ht="20.25" customHeight="1" x14ac:dyDescent="0.3">
      <c r="A4" s="6" t="s">
        <v>25</v>
      </c>
      <c r="B4" s="118"/>
      <c r="C4" s="118"/>
      <c r="D4" s="121"/>
      <c r="E4" s="122"/>
      <c r="F4" s="7" t="s">
        <v>26</v>
      </c>
      <c r="G4" s="8" t="s">
        <v>58</v>
      </c>
    </row>
    <row r="5" spans="1:7" s="5" customFormat="1" ht="20.25" customHeight="1" x14ac:dyDescent="0.3">
      <c r="A5" s="6" t="s">
        <v>27</v>
      </c>
      <c r="B5" s="118"/>
      <c r="C5" s="118"/>
      <c r="D5" s="121"/>
      <c r="E5" s="122"/>
      <c r="F5" s="7" t="s">
        <v>28</v>
      </c>
      <c r="G5" s="8" t="s">
        <v>59</v>
      </c>
    </row>
    <row r="6" spans="1:7" s="5" customFormat="1" ht="36.75" customHeight="1" x14ac:dyDescent="0.3">
      <c r="A6" s="9" t="s">
        <v>29</v>
      </c>
      <c r="B6" s="38">
        <f>+F72</f>
        <v>115045911.99420001</v>
      </c>
      <c r="C6" s="10" t="s">
        <v>54</v>
      </c>
      <c r="D6" s="121"/>
      <c r="E6" s="122"/>
      <c r="F6" s="7" t="s">
        <v>30</v>
      </c>
      <c r="G6" s="8" t="s">
        <v>60</v>
      </c>
    </row>
    <row r="7" spans="1:7" s="5" customFormat="1" ht="20.25" customHeight="1" thickBot="1" x14ac:dyDescent="0.35">
      <c r="A7" s="11" t="s">
        <v>31</v>
      </c>
      <c r="B7" s="125"/>
      <c r="C7" s="125"/>
      <c r="D7" s="123"/>
      <c r="E7" s="124"/>
      <c r="F7" s="12" t="s">
        <v>31</v>
      </c>
      <c r="G7" s="13" t="s">
        <v>61</v>
      </c>
    </row>
    <row r="8" spans="1:7" s="5" customFormat="1" ht="20.25" customHeight="1" x14ac:dyDescent="0.4">
      <c r="A8" s="14"/>
      <c r="B8" s="15"/>
      <c r="C8" s="16"/>
      <c r="D8" s="26"/>
      <c r="E8" s="26"/>
      <c r="F8" s="18"/>
      <c r="G8" s="17"/>
    </row>
    <row r="9" spans="1:7" ht="18.75" customHeight="1" thickBot="1" x14ac:dyDescent="0.35">
      <c r="A9" s="49"/>
      <c r="B9" s="50"/>
      <c r="C9" s="51"/>
      <c r="D9" s="52"/>
      <c r="E9" s="53"/>
      <c r="F9" s="54"/>
      <c r="G9" s="55" t="s">
        <v>32</v>
      </c>
    </row>
    <row r="10" spans="1:7" ht="19.5" customHeight="1" x14ac:dyDescent="0.3">
      <c r="A10" s="35" t="s">
        <v>33</v>
      </c>
      <c r="B10" s="36" t="s">
        <v>34</v>
      </c>
      <c r="C10" s="36" t="s">
        <v>35</v>
      </c>
      <c r="D10" s="56" t="s">
        <v>46</v>
      </c>
      <c r="E10" s="56" t="s">
        <v>36</v>
      </c>
      <c r="F10" s="36" t="s">
        <v>29</v>
      </c>
      <c r="G10" s="37" t="s">
        <v>37</v>
      </c>
    </row>
    <row r="11" spans="1:7" s="21" customFormat="1" ht="16.5" customHeight="1" x14ac:dyDescent="0.25">
      <c r="A11" s="96" t="s">
        <v>77</v>
      </c>
      <c r="B11" s="105" t="s">
        <v>84</v>
      </c>
      <c r="C11" s="39" t="s">
        <v>91</v>
      </c>
      <c r="D11" s="57">
        <v>1</v>
      </c>
      <c r="E11" s="57">
        <v>1</v>
      </c>
      <c r="F11" s="40">
        <f>SUM(F12:F16)</f>
        <v>9190000</v>
      </c>
      <c r="G11" s="108" t="s">
        <v>97</v>
      </c>
    </row>
    <row r="12" spans="1:7" s="21" customFormat="1" x14ac:dyDescent="0.25">
      <c r="A12" s="97"/>
      <c r="B12" s="106"/>
      <c r="C12" s="23" t="s">
        <v>81</v>
      </c>
      <c r="D12" s="28">
        <v>1</v>
      </c>
      <c r="E12" s="1">
        <v>1</v>
      </c>
      <c r="F12" s="41">
        <v>0</v>
      </c>
      <c r="G12" s="109"/>
    </row>
    <row r="13" spans="1:7" s="21" customFormat="1" x14ac:dyDescent="0.25">
      <c r="A13" s="97"/>
      <c r="B13" s="106"/>
      <c r="C13" s="68" t="s">
        <v>69</v>
      </c>
      <c r="D13" s="1">
        <v>1</v>
      </c>
      <c r="E13" s="1">
        <v>73</v>
      </c>
      <c r="F13" s="41">
        <v>7300000</v>
      </c>
      <c r="G13" s="109"/>
    </row>
    <row r="14" spans="1:7" s="21" customFormat="1" x14ac:dyDescent="0.25">
      <c r="A14" s="97"/>
      <c r="B14" s="106"/>
      <c r="C14" s="68" t="s">
        <v>70</v>
      </c>
      <c r="D14" s="1">
        <v>1</v>
      </c>
      <c r="E14" s="1">
        <v>19</v>
      </c>
      <c r="F14" s="41">
        <v>1615000</v>
      </c>
      <c r="G14" s="109"/>
    </row>
    <row r="15" spans="1:7" s="21" customFormat="1" x14ac:dyDescent="0.25">
      <c r="A15" s="97"/>
      <c r="B15" s="106"/>
      <c r="C15" s="68" t="s">
        <v>86</v>
      </c>
      <c r="D15" s="1">
        <v>1</v>
      </c>
      <c r="E15" s="1">
        <v>50</v>
      </c>
      <c r="F15" s="41">
        <v>0</v>
      </c>
      <c r="G15" s="109"/>
    </row>
    <row r="16" spans="1:7" s="21" customFormat="1" x14ac:dyDescent="0.25">
      <c r="A16" s="97"/>
      <c r="B16" s="107"/>
      <c r="C16" s="23" t="s">
        <v>71</v>
      </c>
      <c r="D16" s="28">
        <v>1</v>
      </c>
      <c r="E16" s="1">
        <v>1</v>
      </c>
      <c r="F16" s="41">
        <v>275000</v>
      </c>
      <c r="G16" s="109"/>
    </row>
    <row r="17" spans="1:7" s="21" customFormat="1" x14ac:dyDescent="0.25">
      <c r="A17" s="97"/>
      <c r="B17" s="105" t="s">
        <v>82</v>
      </c>
      <c r="C17" s="39" t="s">
        <v>91</v>
      </c>
      <c r="D17" s="57">
        <v>1</v>
      </c>
      <c r="E17" s="57">
        <v>1</v>
      </c>
      <c r="F17" s="40">
        <f>SUM(F18:F22)</f>
        <v>8657000</v>
      </c>
      <c r="G17" s="109"/>
    </row>
    <row r="18" spans="1:7" s="21" customFormat="1" x14ac:dyDescent="0.25">
      <c r="A18" s="97"/>
      <c r="B18" s="106"/>
      <c r="C18" s="23" t="s">
        <v>80</v>
      </c>
      <c r="D18" s="28">
        <v>1</v>
      </c>
      <c r="E18" s="1">
        <v>1</v>
      </c>
      <c r="F18" s="41">
        <v>2486000</v>
      </c>
      <c r="G18" s="109"/>
    </row>
    <row r="19" spans="1:7" s="21" customFormat="1" x14ac:dyDescent="0.25">
      <c r="A19" s="97"/>
      <c r="B19" s="106"/>
      <c r="C19" s="68" t="s">
        <v>72</v>
      </c>
      <c r="D19" s="1">
        <v>1</v>
      </c>
      <c r="E19" s="1">
        <v>50</v>
      </c>
      <c r="F19" s="41">
        <v>5775000</v>
      </c>
      <c r="G19" s="109"/>
    </row>
    <row r="20" spans="1:7" s="21" customFormat="1" x14ac:dyDescent="0.25">
      <c r="A20" s="97"/>
      <c r="B20" s="106"/>
      <c r="C20" s="68" t="s">
        <v>70</v>
      </c>
      <c r="D20" s="1">
        <v>1</v>
      </c>
      <c r="E20" s="1">
        <v>6</v>
      </c>
      <c r="F20" s="41">
        <v>396000</v>
      </c>
      <c r="G20" s="109"/>
    </row>
    <row r="21" spans="1:7" s="21" customFormat="1" x14ac:dyDescent="0.25">
      <c r="A21" s="97"/>
      <c r="B21" s="106"/>
      <c r="C21" s="68" t="s">
        <v>86</v>
      </c>
      <c r="D21" s="1">
        <v>1</v>
      </c>
      <c r="E21" s="1">
        <v>54</v>
      </c>
      <c r="F21" s="41">
        <v>0</v>
      </c>
      <c r="G21" s="109"/>
    </row>
    <row r="22" spans="1:7" s="21" customFormat="1" x14ac:dyDescent="0.25">
      <c r="A22" s="97"/>
      <c r="B22" s="107"/>
      <c r="C22" s="23" t="s">
        <v>71</v>
      </c>
      <c r="D22" s="28">
        <v>1</v>
      </c>
      <c r="E22" s="1">
        <v>1</v>
      </c>
      <c r="F22" s="41">
        <v>0</v>
      </c>
      <c r="G22" s="109"/>
    </row>
    <row r="23" spans="1:7" s="21" customFormat="1" x14ac:dyDescent="0.25">
      <c r="A23" s="97"/>
      <c r="B23" s="105" t="s">
        <v>83</v>
      </c>
      <c r="C23" s="39" t="s">
        <v>91</v>
      </c>
      <c r="D23" s="57">
        <v>1</v>
      </c>
      <c r="E23" s="57">
        <v>1</v>
      </c>
      <c r="F23" s="40">
        <f>SUM(F24:F28)</f>
        <v>7395500</v>
      </c>
      <c r="G23" s="109"/>
    </row>
    <row r="24" spans="1:7" s="21" customFormat="1" x14ac:dyDescent="0.25">
      <c r="A24" s="97"/>
      <c r="B24" s="106"/>
      <c r="C24" s="23" t="s">
        <v>78</v>
      </c>
      <c r="D24" s="28">
        <v>1</v>
      </c>
      <c r="E24" s="1">
        <v>1</v>
      </c>
      <c r="F24" s="41">
        <v>0</v>
      </c>
      <c r="G24" s="109"/>
    </row>
    <row r="25" spans="1:7" s="21" customFormat="1" x14ac:dyDescent="0.25">
      <c r="A25" s="97"/>
      <c r="B25" s="106"/>
      <c r="C25" s="68" t="s">
        <v>72</v>
      </c>
      <c r="D25" s="1">
        <v>1</v>
      </c>
      <c r="E25" s="1">
        <v>55</v>
      </c>
      <c r="F25" s="41">
        <v>6325000</v>
      </c>
      <c r="G25" s="109"/>
    </row>
    <row r="26" spans="1:7" s="21" customFormat="1" x14ac:dyDescent="0.25">
      <c r="A26" s="97"/>
      <c r="B26" s="106"/>
      <c r="C26" s="68" t="s">
        <v>70</v>
      </c>
      <c r="D26" s="1">
        <v>1</v>
      </c>
      <c r="E26" s="1">
        <v>8</v>
      </c>
      <c r="F26" s="41">
        <v>680000</v>
      </c>
      <c r="G26" s="109"/>
    </row>
    <row r="27" spans="1:7" s="21" customFormat="1" x14ac:dyDescent="0.25">
      <c r="A27" s="97"/>
      <c r="B27" s="106"/>
      <c r="C27" s="23" t="s">
        <v>76</v>
      </c>
      <c r="D27" s="28">
        <v>1</v>
      </c>
      <c r="E27" s="1">
        <v>55</v>
      </c>
      <c r="F27" s="41">
        <v>60500</v>
      </c>
      <c r="G27" s="109"/>
    </row>
    <row r="28" spans="1:7" s="21" customFormat="1" x14ac:dyDescent="0.25">
      <c r="A28" s="97"/>
      <c r="B28" s="107"/>
      <c r="C28" s="23" t="s">
        <v>71</v>
      </c>
      <c r="D28" s="28">
        <v>1</v>
      </c>
      <c r="E28" s="1">
        <v>1</v>
      </c>
      <c r="F28" s="41">
        <v>330000</v>
      </c>
      <c r="G28" s="109"/>
    </row>
    <row r="29" spans="1:7" s="21" customFormat="1" x14ac:dyDescent="0.25">
      <c r="A29" s="97"/>
      <c r="B29" s="105" t="s">
        <v>99</v>
      </c>
      <c r="C29" s="39" t="s">
        <v>91</v>
      </c>
      <c r="D29" s="57">
        <v>1</v>
      </c>
      <c r="E29" s="57">
        <v>1</v>
      </c>
      <c r="F29" s="40">
        <v>6032727</v>
      </c>
      <c r="G29" s="109"/>
    </row>
    <row r="30" spans="1:7" s="21" customFormat="1" x14ac:dyDescent="0.25">
      <c r="A30" s="97"/>
      <c r="B30" s="106"/>
      <c r="C30" s="23" t="s">
        <v>78</v>
      </c>
      <c r="D30" s="28">
        <v>0</v>
      </c>
      <c r="E30" s="1">
        <v>0</v>
      </c>
      <c r="F30" s="41">
        <v>0</v>
      </c>
      <c r="G30" s="109"/>
    </row>
    <row r="31" spans="1:7" s="21" customFormat="1" x14ac:dyDescent="0.25">
      <c r="A31" s="97"/>
      <c r="B31" s="106"/>
      <c r="C31" s="68" t="s">
        <v>98</v>
      </c>
      <c r="D31" s="1">
        <v>1</v>
      </c>
      <c r="E31" s="1">
        <v>40</v>
      </c>
      <c r="F31" s="41">
        <v>6032727</v>
      </c>
      <c r="G31" s="109"/>
    </row>
    <row r="32" spans="1:7" s="21" customFormat="1" x14ac:dyDescent="0.25">
      <c r="A32" s="97"/>
      <c r="B32" s="106"/>
      <c r="C32" s="68" t="s">
        <v>70</v>
      </c>
      <c r="D32" s="1">
        <v>0</v>
      </c>
      <c r="E32" s="1">
        <v>0</v>
      </c>
      <c r="F32" s="41">
        <v>0</v>
      </c>
      <c r="G32" s="109"/>
    </row>
    <row r="33" spans="1:7" s="21" customFormat="1" x14ac:dyDescent="0.25">
      <c r="A33" s="97"/>
      <c r="B33" s="106"/>
      <c r="C33" s="71" t="s">
        <v>76</v>
      </c>
      <c r="D33" s="72">
        <v>0</v>
      </c>
      <c r="E33" s="44">
        <v>0</v>
      </c>
      <c r="F33" s="43">
        <v>0</v>
      </c>
      <c r="G33" s="109"/>
    </row>
    <row r="34" spans="1:7" s="21" customFormat="1" x14ac:dyDescent="0.25">
      <c r="A34" s="98"/>
      <c r="B34" s="107"/>
      <c r="C34" s="23" t="s">
        <v>71</v>
      </c>
      <c r="D34" s="28">
        <v>0</v>
      </c>
      <c r="E34" s="1">
        <v>0</v>
      </c>
      <c r="F34" s="41">
        <v>0</v>
      </c>
      <c r="G34" s="110"/>
    </row>
    <row r="35" spans="1:7" s="21" customFormat="1" ht="18" customHeight="1" x14ac:dyDescent="0.25">
      <c r="A35" s="89" t="s">
        <v>0</v>
      </c>
      <c r="B35" s="93"/>
      <c r="C35" s="32"/>
      <c r="D35" s="47"/>
      <c r="E35" s="47"/>
      <c r="F35" s="33">
        <f>F11+F17+F23+F29</f>
        <v>31275227</v>
      </c>
      <c r="G35" s="58"/>
    </row>
    <row r="36" spans="1:7" s="21" customFormat="1" x14ac:dyDescent="0.25">
      <c r="A36" s="96" t="s">
        <v>1</v>
      </c>
      <c r="B36" s="42" t="s">
        <v>2</v>
      </c>
      <c r="C36" s="71" t="s">
        <v>45</v>
      </c>
      <c r="D36" s="74">
        <v>3.5</v>
      </c>
      <c r="E36" s="74">
        <v>1</v>
      </c>
      <c r="F36" s="75">
        <v>8750000</v>
      </c>
      <c r="G36" s="45" t="s">
        <v>92</v>
      </c>
    </row>
    <row r="37" spans="1:7" s="21" customFormat="1" x14ac:dyDescent="0.25">
      <c r="A37" s="97"/>
      <c r="B37" s="42" t="s">
        <v>12</v>
      </c>
      <c r="C37" s="71" t="s">
        <v>79</v>
      </c>
      <c r="D37" s="74">
        <v>3.5</v>
      </c>
      <c r="E37" s="74">
        <v>1</v>
      </c>
      <c r="F37" s="75">
        <v>1312500</v>
      </c>
      <c r="G37" s="45" t="s">
        <v>92</v>
      </c>
    </row>
    <row r="38" spans="1:7" s="21" customFormat="1" x14ac:dyDescent="0.25">
      <c r="A38" s="98"/>
      <c r="B38" s="42" t="s">
        <v>18</v>
      </c>
      <c r="C38" s="71" t="s">
        <v>19</v>
      </c>
      <c r="D38" s="77">
        <v>3</v>
      </c>
      <c r="E38" s="74">
        <v>1</v>
      </c>
      <c r="F38" s="75">
        <v>3000000</v>
      </c>
      <c r="G38" s="45" t="s">
        <v>92</v>
      </c>
    </row>
    <row r="39" spans="1:7" s="21" customFormat="1" ht="18" customHeight="1" x14ac:dyDescent="0.25">
      <c r="A39" s="89" t="s">
        <v>0</v>
      </c>
      <c r="B39" s="93"/>
      <c r="C39" s="32"/>
      <c r="D39" s="47"/>
      <c r="E39" s="47"/>
      <c r="F39" s="33">
        <f>SUM(F36:F38)</f>
        <v>13062500</v>
      </c>
      <c r="G39" s="58"/>
    </row>
    <row r="40" spans="1:7" s="21" customFormat="1" x14ac:dyDescent="0.25">
      <c r="A40" s="99" t="s">
        <v>3</v>
      </c>
      <c r="B40" s="100" t="s">
        <v>5</v>
      </c>
      <c r="C40" s="25" t="s">
        <v>53</v>
      </c>
      <c r="D40" s="28">
        <v>9</v>
      </c>
      <c r="E40" s="28">
        <v>100</v>
      </c>
      <c r="F40" s="29">
        <v>5625000</v>
      </c>
      <c r="G40" s="76"/>
    </row>
    <row r="41" spans="1:7" s="21" customFormat="1" x14ac:dyDescent="0.25">
      <c r="A41" s="99"/>
      <c r="B41" s="100"/>
      <c r="C41" s="25" t="s">
        <v>13</v>
      </c>
      <c r="D41" s="1">
        <v>9</v>
      </c>
      <c r="E41" s="1">
        <v>1</v>
      </c>
      <c r="F41" s="29">
        <v>1125000</v>
      </c>
      <c r="G41" s="76"/>
    </row>
    <row r="42" spans="1:7" s="21" customFormat="1" ht="33" x14ac:dyDescent="0.25">
      <c r="A42" s="99"/>
      <c r="B42" s="100"/>
      <c r="C42" s="78" t="s">
        <v>14</v>
      </c>
      <c r="D42" s="44">
        <v>1</v>
      </c>
      <c r="E42" s="44">
        <v>172</v>
      </c>
      <c r="F42" s="70">
        <v>430000</v>
      </c>
      <c r="G42" s="76" t="s">
        <v>96</v>
      </c>
    </row>
    <row r="43" spans="1:7" s="21" customFormat="1" ht="33" x14ac:dyDescent="0.25">
      <c r="A43" s="99"/>
      <c r="B43" s="100"/>
      <c r="C43" s="78" t="s">
        <v>15</v>
      </c>
      <c r="D43" s="44">
        <v>2</v>
      </c>
      <c r="E43" s="44">
        <v>9</v>
      </c>
      <c r="F43" s="70">
        <v>45000</v>
      </c>
      <c r="G43" s="76" t="s">
        <v>95</v>
      </c>
    </row>
    <row r="44" spans="1:7" s="21" customFormat="1" x14ac:dyDescent="0.25">
      <c r="A44" s="99"/>
      <c r="B44" s="101" t="s">
        <v>4</v>
      </c>
      <c r="C44" s="2" t="s">
        <v>49</v>
      </c>
      <c r="D44" s="1">
        <v>2</v>
      </c>
      <c r="E44" s="1">
        <v>2</v>
      </c>
      <c r="F44" s="29">
        <v>600000</v>
      </c>
      <c r="G44" s="76"/>
    </row>
    <row r="45" spans="1:7" s="21" customFormat="1" x14ac:dyDescent="0.25">
      <c r="A45" s="99"/>
      <c r="B45" s="101"/>
      <c r="C45" s="2" t="s">
        <v>50</v>
      </c>
      <c r="D45" s="1">
        <v>2</v>
      </c>
      <c r="E45" s="1">
        <v>2</v>
      </c>
      <c r="F45" s="29">
        <v>600000</v>
      </c>
      <c r="G45" s="76"/>
    </row>
    <row r="46" spans="1:7" s="21" customFormat="1" x14ac:dyDescent="0.25">
      <c r="A46" s="99"/>
      <c r="B46" s="101"/>
      <c r="C46" s="2" t="s">
        <v>55</v>
      </c>
      <c r="D46" s="1">
        <v>3</v>
      </c>
      <c r="E46" s="1">
        <v>1</v>
      </c>
      <c r="F46" s="29">
        <v>450000</v>
      </c>
      <c r="G46" s="76"/>
    </row>
    <row r="47" spans="1:7" s="21" customFormat="1" x14ac:dyDescent="0.25">
      <c r="A47" s="99"/>
      <c r="B47" s="101"/>
      <c r="C47" s="2" t="s">
        <v>56</v>
      </c>
      <c r="D47" s="1">
        <v>3</v>
      </c>
      <c r="E47" s="1">
        <v>2</v>
      </c>
      <c r="F47" s="29">
        <v>900000</v>
      </c>
      <c r="G47" s="76"/>
    </row>
    <row r="48" spans="1:7" s="21" customFormat="1" x14ac:dyDescent="0.25">
      <c r="A48" s="99"/>
      <c r="B48" s="101"/>
      <c r="C48" s="2" t="s">
        <v>16</v>
      </c>
      <c r="D48" s="1">
        <v>1</v>
      </c>
      <c r="E48" s="1">
        <v>8</v>
      </c>
      <c r="F48" s="29">
        <v>1200000</v>
      </c>
      <c r="G48" s="76"/>
    </row>
    <row r="49" spans="1:7" s="21" customFormat="1" x14ac:dyDescent="0.25">
      <c r="A49" s="99"/>
      <c r="B49" s="101"/>
      <c r="C49" s="25" t="s">
        <v>85</v>
      </c>
      <c r="D49" s="1">
        <v>2</v>
      </c>
      <c r="E49" s="1">
        <v>1</v>
      </c>
      <c r="F49" s="29">
        <v>500000</v>
      </c>
      <c r="G49" s="76"/>
    </row>
    <row r="50" spans="1:7" s="21" customFormat="1" x14ac:dyDescent="0.25">
      <c r="A50" s="99"/>
      <c r="B50" s="101"/>
      <c r="C50" s="73" t="s">
        <v>89</v>
      </c>
      <c r="D50" s="1">
        <v>1</v>
      </c>
      <c r="E50" s="1">
        <v>1</v>
      </c>
      <c r="F50" s="29">
        <v>250000</v>
      </c>
      <c r="G50" s="60"/>
    </row>
    <row r="51" spans="1:7" s="21" customFormat="1" x14ac:dyDescent="0.25">
      <c r="A51" s="99"/>
      <c r="B51" s="101"/>
      <c r="C51" s="73" t="s">
        <v>90</v>
      </c>
      <c r="D51" s="1">
        <v>2</v>
      </c>
      <c r="E51" s="1">
        <v>1</v>
      </c>
      <c r="F51" s="29">
        <f>187500*2</f>
        <v>375000</v>
      </c>
      <c r="G51" s="60"/>
    </row>
    <row r="52" spans="1:7" s="21" customFormat="1" ht="18" customHeight="1" x14ac:dyDescent="0.25">
      <c r="A52" s="89" t="s">
        <v>0</v>
      </c>
      <c r="B52" s="93"/>
      <c r="C52" s="32"/>
      <c r="D52" s="46"/>
      <c r="E52" s="47"/>
      <c r="F52" s="48">
        <f>SUM(F40:F51)</f>
        <v>12100000</v>
      </c>
      <c r="G52" s="58"/>
    </row>
    <row r="53" spans="1:7" s="21" customFormat="1" x14ac:dyDescent="0.25">
      <c r="A53" s="99" t="s">
        <v>6</v>
      </c>
      <c r="B53" s="3" t="s">
        <v>7</v>
      </c>
      <c r="C53" s="69" t="s">
        <v>40</v>
      </c>
      <c r="D53" s="74">
        <v>3.5</v>
      </c>
      <c r="E53" s="44">
        <v>1</v>
      </c>
      <c r="F53" s="70">
        <v>7000000</v>
      </c>
      <c r="G53" s="45" t="s">
        <v>92</v>
      </c>
    </row>
    <row r="54" spans="1:7" s="21" customFormat="1" x14ac:dyDescent="0.25">
      <c r="A54" s="99"/>
      <c r="B54" s="3" t="s">
        <v>8</v>
      </c>
      <c r="C54" s="69" t="s">
        <v>41</v>
      </c>
      <c r="D54" s="74">
        <v>3.5</v>
      </c>
      <c r="E54" s="44">
        <v>2</v>
      </c>
      <c r="F54" s="70">
        <v>10500000</v>
      </c>
      <c r="G54" s="45" t="s">
        <v>92</v>
      </c>
    </row>
    <row r="55" spans="1:7" s="21" customFormat="1" x14ac:dyDescent="0.25">
      <c r="A55" s="99"/>
      <c r="B55" s="3" t="s">
        <v>11</v>
      </c>
      <c r="C55" s="2" t="s">
        <v>17</v>
      </c>
      <c r="D55" s="1">
        <v>1</v>
      </c>
      <c r="E55" s="1">
        <v>1</v>
      </c>
      <c r="F55" s="29">
        <v>2500000</v>
      </c>
      <c r="G55" s="59"/>
    </row>
    <row r="56" spans="1:7" s="21" customFormat="1" x14ac:dyDescent="0.25">
      <c r="A56" s="99"/>
      <c r="B56" s="102" t="s">
        <v>73</v>
      </c>
      <c r="C56" s="69" t="s">
        <v>87</v>
      </c>
      <c r="D56" s="44">
        <v>1</v>
      </c>
      <c r="E56" s="44">
        <v>1</v>
      </c>
      <c r="F56" s="70">
        <v>880000</v>
      </c>
      <c r="G56" s="45" t="s">
        <v>92</v>
      </c>
    </row>
    <row r="57" spans="1:7" s="21" customFormat="1" x14ac:dyDescent="0.25">
      <c r="A57" s="99"/>
      <c r="B57" s="103"/>
      <c r="C57" s="69" t="s">
        <v>88</v>
      </c>
      <c r="D57" s="44">
        <v>1</v>
      </c>
      <c r="E57" s="44">
        <v>1</v>
      </c>
      <c r="F57" s="70">
        <v>990000</v>
      </c>
      <c r="G57" s="45" t="s">
        <v>94</v>
      </c>
    </row>
    <row r="58" spans="1:7" s="21" customFormat="1" x14ac:dyDescent="0.25">
      <c r="A58" s="99"/>
      <c r="B58" s="103"/>
      <c r="C58" s="2" t="s">
        <v>74</v>
      </c>
      <c r="D58" s="1">
        <v>1</v>
      </c>
      <c r="E58" s="1">
        <v>1</v>
      </c>
      <c r="F58" s="29">
        <v>880000</v>
      </c>
      <c r="G58" s="60"/>
    </row>
    <row r="59" spans="1:7" s="21" customFormat="1" x14ac:dyDescent="0.25">
      <c r="A59" s="99"/>
      <c r="B59" s="104"/>
      <c r="C59" s="2" t="s">
        <v>75</v>
      </c>
      <c r="D59" s="1">
        <v>1</v>
      </c>
      <c r="E59" s="1">
        <v>1</v>
      </c>
      <c r="F59" s="29">
        <v>880000</v>
      </c>
      <c r="G59" s="60"/>
    </row>
    <row r="60" spans="1:7" s="21" customFormat="1" x14ac:dyDescent="0.25">
      <c r="A60" s="99"/>
      <c r="B60" s="3" t="s">
        <v>20</v>
      </c>
      <c r="C60" s="69" t="s">
        <v>42</v>
      </c>
      <c r="D60" s="44">
        <v>3</v>
      </c>
      <c r="E60" s="44">
        <v>1</v>
      </c>
      <c r="F60" s="70">
        <v>750000</v>
      </c>
      <c r="G60" s="45" t="s">
        <v>92</v>
      </c>
    </row>
    <row r="61" spans="1:7" s="21" customFormat="1" x14ac:dyDescent="0.25">
      <c r="A61" s="99"/>
      <c r="B61" s="3" t="s">
        <v>9</v>
      </c>
      <c r="C61" s="69" t="s">
        <v>43</v>
      </c>
      <c r="D61" s="44">
        <v>3</v>
      </c>
      <c r="E61" s="44">
        <v>2</v>
      </c>
      <c r="F61" s="70">
        <v>1125000</v>
      </c>
      <c r="G61" s="45" t="s">
        <v>92</v>
      </c>
    </row>
    <row r="62" spans="1:7" s="21" customFormat="1" ht="18" customHeight="1" x14ac:dyDescent="0.25">
      <c r="A62" s="89" t="s">
        <v>0</v>
      </c>
      <c r="B62" s="93"/>
      <c r="C62" s="32"/>
      <c r="D62" s="46"/>
      <c r="E62" s="47"/>
      <c r="F62" s="48">
        <f>SUM(F53:F61)</f>
        <v>25505000</v>
      </c>
      <c r="G62" s="58"/>
    </row>
    <row r="63" spans="1:7" s="21" customFormat="1" ht="33" x14ac:dyDescent="0.25">
      <c r="A63" s="30" t="s">
        <v>62</v>
      </c>
      <c r="B63" s="3" t="s">
        <v>47</v>
      </c>
      <c r="C63" s="2" t="s">
        <v>48</v>
      </c>
      <c r="D63" s="1">
        <v>1</v>
      </c>
      <c r="E63" s="31">
        <v>400</v>
      </c>
      <c r="F63" s="24">
        <v>10909200</v>
      </c>
      <c r="G63" s="61" t="s">
        <v>93</v>
      </c>
    </row>
    <row r="64" spans="1:7" s="21" customFormat="1" ht="18" customHeight="1" x14ac:dyDescent="0.25">
      <c r="A64" s="89" t="s">
        <v>0</v>
      </c>
      <c r="B64" s="90"/>
      <c r="C64" s="34"/>
      <c r="D64" s="46"/>
      <c r="E64" s="47"/>
      <c r="F64" s="48">
        <f>SUM(F63)</f>
        <v>10909200</v>
      </c>
      <c r="G64" s="58"/>
    </row>
    <row r="65" spans="1:7" s="21" customFormat="1" ht="21" customHeight="1" x14ac:dyDescent="0.25">
      <c r="A65" s="91" t="s">
        <v>66</v>
      </c>
      <c r="B65" s="92"/>
      <c r="C65" s="62"/>
      <c r="D65" s="63"/>
      <c r="E65" s="63"/>
      <c r="F65" s="64">
        <f>F35+F39+F52+F62+F64</f>
        <v>92851927</v>
      </c>
      <c r="G65" s="65"/>
    </row>
    <row r="66" spans="1:7" s="21" customFormat="1" x14ac:dyDescent="0.25">
      <c r="A66" s="30" t="s">
        <v>63</v>
      </c>
      <c r="B66" s="3" t="s">
        <v>52</v>
      </c>
      <c r="C66" s="2" t="s">
        <v>51</v>
      </c>
      <c r="D66" s="1">
        <v>1</v>
      </c>
      <c r="E66" s="31">
        <v>1</v>
      </c>
      <c r="F66" s="79">
        <f>F65*8.6%</f>
        <v>7985265.7219999991</v>
      </c>
      <c r="G66" s="80" t="s">
        <v>100</v>
      </c>
    </row>
    <row r="67" spans="1:7" s="21" customFormat="1" ht="18" customHeight="1" x14ac:dyDescent="0.25">
      <c r="A67" s="89" t="s">
        <v>0</v>
      </c>
      <c r="B67" s="90"/>
      <c r="C67" s="34"/>
      <c r="D67" s="46"/>
      <c r="E67" s="47"/>
      <c r="F67" s="48">
        <f>SUM(F66)</f>
        <v>7985265.7219999991</v>
      </c>
      <c r="G67" s="58"/>
    </row>
    <row r="68" spans="1:7" s="21" customFormat="1" ht="21" customHeight="1" x14ac:dyDescent="0.25">
      <c r="A68" s="91" t="s">
        <v>65</v>
      </c>
      <c r="B68" s="92"/>
      <c r="C68" s="62"/>
      <c r="D68" s="63"/>
      <c r="E68" s="63"/>
      <c r="F68" s="64">
        <f>F65+F67</f>
        <v>100837192.722</v>
      </c>
      <c r="G68" s="65"/>
    </row>
    <row r="69" spans="1:7" s="21" customFormat="1" x14ac:dyDescent="0.25">
      <c r="A69" s="30" t="s">
        <v>64</v>
      </c>
      <c r="B69" s="3" t="s">
        <v>10</v>
      </c>
      <c r="C69" s="2" t="s">
        <v>39</v>
      </c>
      <c r="D69" s="1">
        <v>1</v>
      </c>
      <c r="E69" s="31">
        <v>1</v>
      </c>
      <c r="F69" s="24">
        <v>3750000</v>
      </c>
      <c r="G69" s="61"/>
    </row>
    <row r="70" spans="1:7" s="21" customFormat="1" ht="18" customHeight="1" x14ac:dyDescent="0.25">
      <c r="A70" s="89" t="s">
        <v>0</v>
      </c>
      <c r="B70" s="93"/>
      <c r="C70" s="34"/>
      <c r="D70" s="46"/>
      <c r="E70" s="47"/>
      <c r="F70" s="48">
        <f>SUM(F69)</f>
        <v>3750000</v>
      </c>
      <c r="G70" s="58"/>
    </row>
    <row r="71" spans="1:7" x14ac:dyDescent="0.3">
      <c r="A71" s="89" t="s">
        <v>67</v>
      </c>
      <c r="B71" s="93"/>
      <c r="C71" s="34"/>
      <c r="D71" s="46"/>
      <c r="E71" s="47"/>
      <c r="F71" s="48">
        <f>(F68+F70)*0.1</f>
        <v>10458719.272200001</v>
      </c>
      <c r="G71" s="58"/>
    </row>
    <row r="72" spans="1:7" ht="21" thickBot="1" x14ac:dyDescent="0.35">
      <c r="A72" s="94" t="s">
        <v>38</v>
      </c>
      <c r="B72" s="95"/>
      <c r="C72" s="66"/>
      <c r="D72" s="67"/>
      <c r="E72" s="67"/>
      <c r="F72" s="86">
        <f>F68+F70+F71</f>
        <v>115045911.99420001</v>
      </c>
      <c r="G72" s="81"/>
    </row>
    <row r="73" spans="1:7" ht="36.75" customHeight="1" thickBot="1" x14ac:dyDescent="0.35">
      <c r="A73" s="87" t="s">
        <v>102</v>
      </c>
      <c r="B73" s="88"/>
      <c r="C73" s="82"/>
      <c r="D73" s="83"/>
      <c r="E73" s="83"/>
      <c r="F73" s="84">
        <v>115000000</v>
      </c>
      <c r="G73" s="85" t="s">
        <v>101</v>
      </c>
    </row>
    <row r="75" spans="1:7" x14ac:dyDescent="0.3">
      <c r="A75" s="22"/>
    </row>
  </sheetData>
  <mergeCells count="33">
    <mergeCell ref="A1:G1"/>
    <mergeCell ref="A2:C2"/>
    <mergeCell ref="D2:E2"/>
    <mergeCell ref="F2:G2"/>
    <mergeCell ref="B3:C3"/>
    <mergeCell ref="D3:E7"/>
    <mergeCell ref="B4:C4"/>
    <mergeCell ref="B5:C5"/>
    <mergeCell ref="B7:C7"/>
    <mergeCell ref="A11:A34"/>
    <mergeCell ref="B11:B16"/>
    <mergeCell ref="G11:G34"/>
    <mergeCell ref="B17:B22"/>
    <mergeCell ref="B23:B28"/>
    <mergeCell ref="B29:B34"/>
    <mergeCell ref="A65:B65"/>
    <mergeCell ref="A35:B35"/>
    <mergeCell ref="A36:A38"/>
    <mergeCell ref="A39:B39"/>
    <mergeCell ref="A40:A51"/>
    <mergeCell ref="B40:B43"/>
    <mergeCell ref="B44:B51"/>
    <mergeCell ref="A52:B52"/>
    <mergeCell ref="A53:A61"/>
    <mergeCell ref="B56:B59"/>
    <mergeCell ref="A62:B62"/>
    <mergeCell ref="A64:B64"/>
    <mergeCell ref="A73:B73"/>
    <mergeCell ref="A67:B67"/>
    <mergeCell ref="A68:B68"/>
    <mergeCell ref="A70:B70"/>
    <mergeCell ref="A71:B71"/>
    <mergeCell ref="A72:B72"/>
  </mergeCells>
  <phoneticPr fontId="2" type="noConversion"/>
  <printOptions horizontalCentered="1"/>
  <pageMargins left="0.7" right="0.7" top="0.75" bottom="0.75" header="0.3" footer="0.3"/>
  <pageSetup paperSize="8" scale="62" fitToHeight="0" orientation="portrait" r:id="rId1"/>
  <headerFooter>
    <oddFooter>&amp;C&amp;P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v14</vt:lpstr>
      <vt:lpstr>'v14'!Print_Area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</dc:creator>
  <cp:lastModifiedBy>CHEIL</cp:lastModifiedBy>
  <cp:lastPrinted>2020-01-07T02:31:34Z</cp:lastPrinted>
  <dcterms:created xsi:type="dcterms:W3CDTF">2019-12-18T07:41:32Z</dcterms:created>
  <dcterms:modified xsi:type="dcterms:W3CDTF">2026-05-18T04:56:12Z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