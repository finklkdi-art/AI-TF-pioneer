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name="v14" sheetId="1" state="visible" r:id="rId1"/>
  </sheets>
  <definedNames>
    <definedName name="_xlnm.Print_Area" localSheetId="0">'v14'!$A$1:$G$73</definedName>
  </definedNames>
  <calcPr calcId="191029" fullCalcOnLoad="1"/>
</workbook>
</file>

<file path=xl/styles.xml><?xml version="1.0" encoding="utf-8"?>
<styleSheet xmlns="http://schemas.openxmlformats.org/spreadsheetml/2006/main">
  <numFmts count="5">
    <numFmt numFmtId="164" formatCode="_-* #,##0_-;\-* #,##0_-;_-* &quot;-&quot;_-;_-@_-"/>
    <numFmt numFmtId="165" formatCode="_(* #,##0_);_(* \(#,##0\);_(* &quot;-&quot;??_);_(@_)"/>
    <numFmt numFmtId="166" formatCode="#,##0_ "/>
    <numFmt numFmtId="167" formatCode="_-* #,##0.0_-;\-* #,##0.0_-;_-* &quot;-&quot;_-;_-@_-"/>
    <numFmt numFmtId="168" formatCode="_-* #,##0.00_-;\-* #,##0.00_-;_-* &quot;-&quot;??_-;_-@_-"/>
  </numFmts>
  <fonts count="27">
    <font>
      <name val="맑은 고딕"/>
      <charset val="129"/>
      <family val="2"/>
      <color theme="1"/>
      <sz val="11"/>
      <scheme val="minor"/>
    </font>
    <font>
      <name val="맑은 고딕"/>
      <charset val="129"/>
      <family val="2"/>
      <color theme="1"/>
      <sz val="11"/>
      <scheme val="minor"/>
    </font>
    <font>
      <name val="맑은 고딕"/>
      <charset val="129"/>
      <family val="2"/>
      <sz val="8"/>
      <scheme val="minor"/>
    </font>
    <font>
      <name val="돋움"/>
      <charset val="129"/>
      <family val="3"/>
      <color rgb="FF000000"/>
      <sz val="11"/>
    </font>
    <font>
      <name val="Arial"/>
      <family val="2"/>
      <color rgb="FF000000"/>
      <sz val="10"/>
    </font>
    <font>
      <name val="맑은 고딕"/>
      <charset val="129"/>
      <family val="3"/>
      <color rgb="FFFF0000"/>
      <sz val="11"/>
      <scheme val="minor"/>
    </font>
    <font>
      <name val="맑은 고딕"/>
      <charset val="129"/>
      <family val="3"/>
      <color theme="1"/>
      <sz val="11"/>
      <scheme val="major"/>
    </font>
    <font>
      <name val="맑은 고딕"/>
      <charset val="129"/>
      <family val="3"/>
      <b val="1"/>
      <color theme="1"/>
      <sz val="11"/>
      <scheme val="major"/>
    </font>
    <font>
      <name val="맑은 고딕"/>
      <charset val="129"/>
      <family val="3"/>
      <color rgb="FF000000"/>
      <sz val="11"/>
      <scheme val="major"/>
    </font>
    <font>
      <name val="맑은 고딕"/>
      <charset val="129"/>
      <family val="3"/>
      <color theme="1"/>
      <sz val="11"/>
      <scheme val="minor"/>
    </font>
    <font>
      <name val="맑은 고딕"/>
      <charset val="129"/>
      <family val="3"/>
      <b val="1"/>
      <color theme="1"/>
      <sz val="20"/>
      <scheme val="minor"/>
    </font>
    <font>
      <name val="맑은 고딕"/>
      <charset val="129"/>
      <family val="3"/>
      <color rgb="FF000000"/>
      <sz val="8"/>
      <scheme val="minor"/>
    </font>
    <font>
      <name val="맑은 고딕"/>
      <charset val="129"/>
      <family val="3"/>
      <b val="1"/>
      <color rgb="FF000000"/>
      <sz val="12"/>
      <scheme val="major"/>
    </font>
    <font>
      <name val="맑은 고딕"/>
      <charset val="129"/>
      <family val="3"/>
      <color rgb="FF000000"/>
      <sz val="10"/>
      <scheme val="major"/>
    </font>
    <font>
      <name val="맑은 고딕"/>
      <charset val="129"/>
      <family val="3"/>
      <color rgb="FF000000"/>
      <sz val="12"/>
      <scheme val="minor"/>
    </font>
    <font>
      <name val="맑은 고딕"/>
      <charset val="129"/>
      <family val="3"/>
      <color rgb="FF000000"/>
      <sz val="12"/>
      <scheme val="major"/>
    </font>
    <font>
      <name val="맑은 고딕"/>
      <charset val="129"/>
      <family val="3"/>
      <sz val="12"/>
      <scheme val="major"/>
    </font>
    <font>
      <name val="맑은 고딕"/>
      <charset val="129"/>
      <family val="3"/>
      <sz val="8"/>
      <scheme val="minor"/>
    </font>
    <font>
      <name val="맑은 고딕"/>
      <charset val="129"/>
      <family val="3"/>
      <b val="1"/>
      <color theme="1"/>
      <sz val="11"/>
      <scheme val="minor"/>
    </font>
    <font>
      <name val="맑은 고딕"/>
      <charset val="129"/>
      <family val="3"/>
      <b val="1"/>
      <color rgb="FF000000"/>
      <sz val="10"/>
      <scheme val="major"/>
    </font>
    <font>
      <name val="맑은 고딕"/>
      <charset val="129"/>
      <family val="3"/>
      <b val="1"/>
      <color rgb="FF000000"/>
      <sz val="11"/>
    </font>
    <font>
      <name val="맑은 고딕"/>
      <charset val="129"/>
      <family val="3"/>
      <color rgb="FFFF0000"/>
      <sz val="11"/>
      <scheme val="major"/>
    </font>
    <font>
      <name val="맑은 고딕"/>
      <charset val="129"/>
      <family val="3"/>
      <color theme="1"/>
      <sz val="10"/>
      <scheme val="major"/>
    </font>
    <font>
      <name val="맑은 고딕"/>
      <charset val="129"/>
      <family val="3"/>
      <b val="1"/>
      <color theme="1"/>
      <sz val="10"/>
      <scheme val="major"/>
    </font>
    <font>
      <name val="맑은 고딕"/>
      <charset val="129"/>
      <family val="3"/>
      <b val="1"/>
      <color theme="1"/>
      <sz val="14"/>
      <scheme val="major"/>
    </font>
    <font>
      <name val="맑은 고딕"/>
      <charset val="129"/>
      <family val="3"/>
      <b val="1"/>
      <color rgb="FFFF0000"/>
      <sz val="14"/>
      <scheme val="major"/>
    </font>
    <font>
      <name val="맑은 고딕"/>
      <charset val="129"/>
      <family val="3"/>
      <b val="1"/>
      <color theme="0"/>
      <sz val="14"/>
      <scheme val="major"/>
    </font>
  </fonts>
  <fills count="9">
    <fill>
      <patternFill/>
    </fill>
    <fill>
      <patternFill patternType="gray125"/>
    </fill>
    <fill>
      <patternFill patternType="solid">
        <fgColor rgb="FFFFFF00"/>
        <bgColor rgb="FFFFFFFF"/>
      </patternFill>
    </fill>
    <fill>
      <patternFill patternType="solid">
        <fgColor theme="0" tint="-0.1499984740745262"/>
        <bgColor rgb="FFFFFFFF"/>
      </patternFill>
    </fill>
    <fill>
      <patternFill patternType="solid">
        <fgColor theme="0"/>
        <bgColor indexed="64"/>
      </patternFill>
    </fill>
    <fill>
      <patternFill patternType="solid">
        <fgColor rgb="FFFFC000"/>
        <bgColor rgb="FFFFFFFF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rgb="FFC00000"/>
        <bgColor rgb="FFFFFFFF"/>
      </patternFill>
    </fill>
  </fills>
  <borders count="4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medium">
        <color auto="1"/>
      </bottom>
      <diagonal/>
    </border>
    <border>
      <left/>
      <right style="thin">
        <color auto="1"/>
      </right>
      <top/>
      <bottom style="medium">
        <color auto="1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auto="1"/>
      </right>
      <top style="thin">
        <color indexed="64"/>
      </top>
      <bottom style="medium">
        <color auto="1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auto="1"/>
      </right>
      <top style="thin">
        <color indexed="64"/>
      </top>
      <bottom/>
      <diagonal/>
    </border>
    <border>
      <left style="thin">
        <color indexed="64"/>
      </left>
      <right/>
      <top/>
      <bottom style="medium">
        <color auto="1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thin">
        <color auto="1"/>
      </right>
      <top style="thin">
        <color indexed="64"/>
      </top>
      <bottom style="thin">
        <color indexed="64"/>
      </bottom>
      <diagonal/>
    </border>
    <border>
      <left/>
      <right style="thin">
        <color auto="1"/>
      </right>
      <top style="thin">
        <color indexed="64"/>
      </top>
      <bottom style="thin">
        <color indexed="64"/>
      </bottom>
      <diagonal/>
    </border>
  </borders>
  <cellStyleXfs count="8">
    <xf numFmtId="0" fontId="1" fillId="0" borderId="0" applyAlignment="1">
      <alignment vertical="center"/>
    </xf>
    <xf numFmtId="41" fontId="1" fillId="0" borderId="0" applyAlignment="1">
      <alignment vertical="center"/>
    </xf>
    <xf numFmtId="0" fontId="3" fillId="0" borderId="0"/>
    <xf numFmtId="0" fontId="4" fillId="0" borderId="0"/>
    <xf numFmtId="43" fontId="4" fillId="0" borderId="0"/>
    <xf numFmtId="0" fontId="9" fillId="0" borderId="0" applyAlignment="1">
      <alignment vertical="center"/>
    </xf>
    <xf numFmtId="41" fontId="9" fillId="0" borderId="0" applyAlignment="1">
      <alignment vertical="center"/>
    </xf>
    <xf numFmtId="41" fontId="9" fillId="0" borderId="0" applyAlignment="1">
      <alignment vertical="center"/>
    </xf>
  </cellStyleXfs>
  <cellXfs count="188">
    <xf numFmtId="0" fontId="0" fillId="0" borderId="0" applyAlignment="1" pivotButton="0" quotePrefix="0" xfId="0">
      <alignment vertical="center"/>
    </xf>
    <xf numFmtId="164" fontId="6" fillId="0" borderId="1" applyAlignment="1" pivotButton="0" quotePrefix="0" xfId="1">
      <alignment horizontal="center" vertical="center"/>
    </xf>
    <xf numFmtId="0" fontId="6" fillId="0" borderId="1" applyAlignment="1" pivotButton="0" quotePrefix="0" xfId="1">
      <alignment vertical="center"/>
    </xf>
    <xf numFmtId="0" fontId="6" fillId="0" borderId="1" applyAlignment="1" pivotButton="0" quotePrefix="0" xfId="1">
      <alignment vertical="center"/>
    </xf>
    <xf numFmtId="0" fontId="9" fillId="0" borderId="0" applyAlignment="1" pivotButton="0" quotePrefix="0" xfId="5">
      <alignment vertical="center"/>
    </xf>
    <xf numFmtId="0" fontId="13" fillId="0" borderId="0" applyAlignment="1" pivotButton="0" quotePrefix="0" xfId="3">
      <alignment vertical="center"/>
    </xf>
    <xf numFmtId="0" fontId="14" fillId="0" borderId="3" applyAlignment="1" pivotButton="0" quotePrefix="0" xfId="3">
      <alignment horizontal="center" vertical="center" shrinkToFit="1"/>
    </xf>
    <xf numFmtId="0" fontId="8" fillId="0" borderId="1" applyAlignment="1" pivotButton="0" quotePrefix="0" xfId="3">
      <alignment horizontal="center" vertical="center"/>
    </xf>
    <xf numFmtId="0" fontId="16" fillId="0" borderId="4" applyAlignment="1" pivotButton="0" quotePrefix="0" xfId="3">
      <alignment horizontal="center" vertical="center"/>
    </xf>
    <xf numFmtId="0" fontId="14" fillId="0" borderId="3" applyAlignment="1" pivotButton="0" quotePrefix="0" xfId="3">
      <alignment horizontal="center" vertical="center" wrapText="1" shrinkToFit="1"/>
    </xf>
    <xf numFmtId="165" fontId="8" fillId="0" borderId="22" applyAlignment="1" pivotButton="0" quotePrefix="0" xfId="4">
      <alignment vertical="center" shrinkToFit="1"/>
    </xf>
    <xf numFmtId="0" fontId="14" fillId="0" borderId="5" applyAlignment="1" pivotButton="0" quotePrefix="0" xfId="3">
      <alignment horizontal="center" vertical="center" shrinkToFit="1"/>
    </xf>
    <xf numFmtId="0" fontId="8" fillId="0" borderId="6" applyAlignment="1" pivotButton="0" quotePrefix="0" xfId="3">
      <alignment horizontal="center" vertical="center"/>
    </xf>
    <xf numFmtId="0" fontId="16" fillId="0" borderId="11" applyAlignment="1" pivotButton="0" quotePrefix="0" xfId="3">
      <alignment horizontal="center" vertical="center"/>
    </xf>
    <xf numFmtId="0" fontId="14" fillId="0" borderId="0" applyAlignment="1" pivotButton="0" quotePrefix="0" xfId="3">
      <alignment horizontal="center" vertical="center" shrinkToFit="1"/>
    </xf>
    <xf numFmtId="49" fontId="9" fillId="0" borderId="0" applyAlignment="1" pivotButton="0" quotePrefix="0" xfId="5">
      <alignment vertical="center"/>
    </xf>
    <xf numFmtId="0" fontId="13" fillId="0" borderId="0" applyAlignment="1" pivotButton="0" quotePrefix="0" xfId="3">
      <alignment horizontal="left" vertical="center"/>
    </xf>
    <xf numFmtId="0" fontId="8" fillId="0" borderId="0" applyAlignment="1" pivotButton="0" quotePrefix="0" xfId="3">
      <alignment horizontal="center" vertical="center"/>
    </xf>
    <xf numFmtId="0" fontId="15" fillId="0" borderId="0" applyAlignment="1" pivotButton="0" quotePrefix="0" xfId="3">
      <alignment horizontal="center" vertical="center" shrinkToFit="1"/>
    </xf>
    <xf numFmtId="49" fontId="9" fillId="0" borderId="0" applyAlignment="1" pivotButton="0" quotePrefix="0" xfId="5">
      <alignment horizontal="center" vertical="center"/>
    </xf>
    <xf numFmtId="49" fontId="9" fillId="0" borderId="0" applyAlignment="1" pivotButton="0" quotePrefix="0" xfId="5">
      <alignment horizontal="left" vertical="center"/>
    </xf>
    <xf numFmtId="0" fontId="13" fillId="0" borderId="0" pivotButton="0" quotePrefix="0" xfId="2"/>
    <xf numFmtId="0" fontId="5" fillId="0" borderId="0" applyAlignment="1" pivotButton="0" quotePrefix="1" xfId="5">
      <alignment vertical="center"/>
    </xf>
    <xf numFmtId="0" fontId="6" fillId="0" borderId="1" applyAlignment="1" pivotButton="0" quotePrefix="0" xfId="2">
      <alignment vertical="center"/>
    </xf>
    <xf numFmtId="164" fontId="6" fillId="0" borderId="1" applyAlignment="1" pivotButton="0" quotePrefix="0" xfId="3">
      <alignment vertical="center" shrinkToFit="1"/>
    </xf>
    <xf numFmtId="0" fontId="6" fillId="0" borderId="1" applyAlignment="1" pivotButton="0" quotePrefix="0" xfId="2">
      <alignment horizontal="left" vertical="center"/>
    </xf>
    <xf numFmtId="164" fontId="8" fillId="0" borderId="0" applyAlignment="1" pivotButton="0" quotePrefix="0" xfId="1">
      <alignment horizontal="center" vertical="center"/>
    </xf>
    <xf numFmtId="164" fontId="19" fillId="0" borderId="0" applyAlignment="1" pivotButton="0" quotePrefix="0" xfId="1">
      <alignment horizontal="center" vertical="center"/>
    </xf>
    <xf numFmtId="164" fontId="6" fillId="0" borderId="1" applyAlignment="1" pivotButton="0" quotePrefix="0" xfId="1">
      <alignment horizontal="center" vertical="center"/>
    </xf>
    <xf numFmtId="164" fontId="6" fillId="0" borderId="22" applyAlignment="1" pivotButton="0" quotePrefix="0" xfId="1">
      <alignment vertical="center"/>
    </xf>
    <xf numFmtId="0" fontId="6" fillId="0" borderId="3" applyAlignment="1" pivotButton="0" quotePrefix="0" xfId="2">
      <alignment vertical="center" wrapText="1"/>
    </xf>
    <xf numFmtId="164" fontId="6" fillId="0" borderId="17" applyAlignment="1" pivotButton="0" quotePrefix="0" xfId="1">
      <alignment horizontal="center" vertical="center"/>
    </xf>
    <xf numFmtId="0" fontId="7" fillId="6" borderId="1" applyAlignment="1" pivotButton="0" quotePrefix="0" xfId="2">
      <alignment vertical="center"/>
    </xf>
    <xf numFmtId="164" fontId="7" fillId="6" borderId="1" applyAlignment="1" pivotButton="0" quotePrefix="0" xfId="1">
      <alignment vertical="center"/>
    </xf>
    <xf numFmtId="0" fontId="7" fillId="6" borderId="22" applyAlignment="1" pivotButton="0" quotePrefix="0" xfId="2">
      <alignment vertical="center" wrapText="1"/>
    </xf>
    <xf numFmtId="49" fontId="18" fillId="3" borderId="7" applyAlignment="1" pivotButton="0" quotePrefix="0" xfId="5">
      <alignment horizontal="center" vertical="center"/>
    </xf>
    <xf numFmtId="49" fontId="18" fillId="3" borderId="8" applyAlignment="1" pivotButton="0" quotePrefix="0" xfId="5">
      <alignment horizontal="center" vertical="center"/>
    </xf>
    <xf numFmtId="49" fontId="18" fillId="3" borderId="2" applyAlignment="1" pivotButton="0" quotePrefix="0" xfId="5">
      <alignment horizontal="center" vertical="center"/>
    </xf>
    <xf numFmtId="165" fontId="20" fillId="0" borderId="17" applyAlignment="1" pivotButton="0" quotePrefix="0" xfId="4">
      <alignment vertical="center" shrinkToFit="1"/>
    </xf>
    <xf numFmtId="0" fontId="6" fillId="7" borderId="1" applyAlignment="1" pivotButton="0" quotePrefix="0" xfId="2">
      <alignment vertical="center"/>
    </xf>
    <xf numFmtId="164" fontId="6" fillId="7" borderId="1" applyAlignment="1" pivotButton="0" quotePrefix="0" xfId="1">
      <alignment vertical="center"/>
    </xf>
    <xf numFmtId="164" fontId="6" fillId="0" borderId="1" applyAlignment="1" pivotButton="0" quotePrefix="0" xfId="1">
      <alignment vertical="center"/>
    </xf>
    <xf numFmtId="0" fontId="6" fillId="0" borderId="1" applyAlignment="1" pivotButton="0" quotePrefix="0" xfId="2">
      <alignment vertical="center" wrapText="1"/>
    </xf>
    <xf numFmtId="164" fontId="21" fillId="0" borderId="1" applyAlignment="1" pivotButton="0" quotePrefix="0" xfId="1">
      <alignment vertical="center"/>
    </xf>
    <xf numFmtId="164" fontId="21" fillId="0" borderId="1" applyAlignment="1" pivotButton="0" quotePrefix="0" xfId="1">
      <alignment horizontal="center" vertical="center"/>
    </xf>
    <xf numFmtId="166" fontId="21" fillId="0" borderId="4" applyAlignment="1" pivotButton="0" quotePrefix="0" xfId="2">
      <alignment horizontal="left" vertical="center" wrapText="1"/>
    </xf>
    <xf numFmtId="164" fontId="7" fillId="6" borderId="1" applyAlignment="1" pivotButton="0" quotePrefix="0" xfId="1">
      <alignment vertical="center"/>
    </xf>
    <xf numFmtId="164" fontId="7" fillId="6" borderId="1" applyAlignment="1" pivotButton="0" quotePrefix="0" xfId="1">
      <alignment horizontal="center" vertical="center"/>
    </xf>
    <xf numFmtId="164" fontId="7" fillId="6" borderId="1" applyAlignment="1" pivotButton="0" quotePrefix="0" xfId="4">
      <alignment vertical="center" shrinkToFit="1"/>
    </xf>
    <xf numFmtId="49" fontId="9" fillId="0" borderId="0" applyAlignment="1" pivotButton="0" quotePrefix="0" xfId="5">
      <alignment horizontal="left"/>
    </xf>
    <xf numFmtId="49" fontId="9" fillId="0" borderId="0" applyAlignment="1" pivotButton="0" quotePrefix="0" xfId="5">
      <alignment horizontal="center" vertical="center"/>
    </xf>
    <xf numFmtId="49" fontId="9" fillId="0" borderId="0" applyAlignment="1" pivotButton="0" quotePrefix="0" xfId="5">
      <alignment horizontal="left" vertical="center"/>
    </xf>
    <xf numFmtId="164" fontId="22" fillId="0" borderId="0" applyAlignment="1" pivotButton="0" quotePrefix="0" xfId="1">
      <alignment vertical="center"/>
    </xf>
    <xf numFmtId="164" fontId="22" fillId="0" borderId="0" applyAlignment="1" pivotButton="0" quotePrefix="0" xfId="1">
      <alignment horizontal="center" vertical="center"/>
    </xf>
    <xf numFmtId="49" fontId="9" fillId="0" borderId="0" applyAlignment="1" pivotButton="0" quotePrefix="0" xfId="5">
      <alignment vertical="center"/>
    </xf>
    <xf numFmtId="49" fontId="9" fillId="0" borderId="0" applyAlignment="1" pivotButton="0" quotePrefix="0" xfId="5">
      <alignment horizontal="right" vertical="center"/>
    </xf>
    <xf numFmtId="164" fontId="7" fillId="3" borderId="8" applyAlignment="1" pivotButton="0" quotePrefix="0" xfId="1">
      <alignment horizontal="center" vertical="center"/>
    </xf>
    <xf numFmtId="164" fontId="6" fillId="7" borderId="1" applyAlignment="1" pivotButton="0" quotePrefix="0" xfId="1">
      <alignment horizontal="center" vertical="center"/>
    </xf>
    <xf numFmtId="166" fontId="7" fillId="6" borderId="4" applyAlignment="1" pivotButton="0" quotePrefix="0" xfId="2">
      <alignment horizontal="center" vertical="center" wrapText="1"/>
    </xf>
    <xf numFmtId="166" fontId="6" fillId="0" borderId="4" applyAlignment="1" pivotButton="0" quotePrefix="0" xfId="2">
      <alignment horizontal="center" vertical="center" wrapText="1"/>
    </xf>
    <xf numFmtId="166" fontId="6" fillId="0" borderId="4" applyAlignment="1" pivotButton="0" quotePrefix="0" xfId="2">
      <alignment horizontal="left" vertical="center" wrapText="1"/>
    </xf>
    <xf numFmtId="166" fontId="6" fillId="0" borderId="28" applyAlignment="1" pivotButton="0" quotePrefix="0" xfId="2">
      <alignment horizontal="center" vertical="center" wrapText="1"/>
    </xf>
    <xf numFmtId="0" fontId="7" fillId="5" borderId="1" applyAlignment="1" pivotButton="0" quotePrefix="0" xfId="3">
      <alignment vertical="center"/>
    </xf>
    <xf numFmtId="164" fontId="7" fillId="5" borderId="1" applyAlignment="1" pivotButton="0" quotePrefix="0" xfId="1">
      <alignment horizontal="center" vertical="center"/>
    </xf>
    <xf numFmtId="164" fontId="7" fillId="5" borderId="1" applyAlignment="1" pivotButton="0" quotePrefix="0" xfId="7">
      <alignment vertical="center" shrinkToFit="1"/>
    </xf>
    <xf numFmtId="0" fontId="23" fillId="5" borderId="4" applyAlignment="1" pivotButton="0" quotePrefix="0" xfId="3">
      <alignment horizontal="center" vertical="center"/>
    </xf>
    <xf numFmtId="0" fontId="24" fillId="2" borderId="6" applyAlignment="1" pivotButton="0" quotePrefix="0" xfId="3">
      <alignment vertical="center"/>
    </xf>
    <xf numFmtId="164" fontId="24" fillId="2" borderId="6" applyAlignment="1" pivotButton="0" quotePrefix="0" xfId="1">
      <alignment horizontal="center" vertical="center"/>
    </xf>
    <xf numFmtId="0" fontId="6" fillId="0" borderId="1" applyAlignment="1" pivotButton="0" quotePrefix="0" xfId="2">
      <alignment vertical="center"/>
    </xf>
    <xf numFmtId="0" fontId="21" fillId="0" borderId="1" applyAlignment="1" pivotButton="0" quotePrefix="0" xfId="1">
      <alignment vertical="center"/>
    </xf>
    <xf numFmtId="164" fontId="21" fillId="0" borderId="22" applyAlignment="1" pivotButton="0" quotePrefix="0" xfId="1">
      <alignment vertical="center"/>
    </xf>
    <xf numFmtId="0" fontId="21" fillId="0" borderId="1" applyAlignment="1" pivotButton="0" quotePrefix="0" xfId="2">
      <alignment vertical="center"/>
    </xf>
    <xf numFmtId="164" fontId="21" fillId="0" borderId="1" applyAlignment="1" pivotButton="0" quotePrefix="0" xfId="1">
      <alignment horizontal="center" vertical="center"/>
    </xf>
    <xf numFmtId="0" fontId="6" fillId="0" borderId="1" applyAlignment="1" pivotButton="0" quotePrefix="0" xfId="2">
      <alignment horizontal="left" vertical="center"/>
    </xf>
    <xf numFmtId="167" fontId="21" fillId="0" borderId="1" applyAlignment="1" pivotButton="0" quotePrefix="0" xfId="1">
      <alignment horizontal="center" vertical="center"/>
    </xf>
    <xf numFmtId="167" fontId="21" fillId="0" borderId="22" applyAlignment="1" pivotButton="0" quotePrefix="0" xfId="1">
      <alignment vertical="center"/>
    </xf>
    <xf numFmtId="166" fontId="6" fillId="4" borderId="4" applyAlignment="1" pivotButton="0" quotePrefix="0" xfId="2">
      <alignment horizontal="left" vertical="center" wrapText="1"/>
    </xf>
    <xf numFmtId="164" fontId="21" fillId="0" borderId="1" applyAlignment="1" pivotButton="0" quotePrefix="0" xfId="1">
      <alignment horizontal="center" vertical="center"/>
    </xf>
    <xf numFmtId="0" fontId="21" fillId="0" borderId="1" applyAlignment="1" pivotButton="0" quotePrefix="0" xfId="2">
      <alignment horizontal="left" vertical="center"/>
    </xf>
    <xf numFmtId="168" fontId="6" fillId="0" borderId="1" applyAlignment="1" pivotButton="0" quotePrefix="0" xfId="3">
      <alignment vertical="center" shrinkToFit="1"/>
    </xf>
    <xf numFmtId="166" fontId="21" fillId="0" borderId="28" applyAlignment="1" pivotButton="0" quotePrefix="0" xfId="2">
      <alignment horizontal="center" vertical="center" wrapText="1"/>
    </xf>
    <xf numFmtId="0" fontId="25" fillId="2" borderId="11" applyAlignment="1" pivotButton="0" quotePrefix="0" xfId="3">
      <alignment horizontal="center" vertical="center"/>
    </xf>
    <xf numFmtId="0" fontId="26" fillId="8" borderId="6" applyAlignment="1" pivotButton="0" quotePrefix="0" xfId="3">
      <alignment vertical="center"/>
    </xf>
    <xf numFmtId="164" fontId="26" fillId="8" borderId="6" applyAlignment="1" pivotButton="0" quotePrefix="0" xfId="1">
      <alignment horizontal="center" vertical="center"/>
    </xf>
    <xf numFmtId="164" fontId="26" fillId="8" borderId="6" applyAlignment="1" pivotButton="0" quotePrefix="0" xfId="7">
      <alignment vertical="center" shrinkToFit="1"/>
    </xf>
    <xf numFmtId="0" fontId="26" fillId="8" borderId="11" applyAlignment="1" pivotButton="0" quotePrefix="0" xfId="3">
      <alignment horizontal="center" vertical="center"/>
    </xf>
    <xf numFmtId="164" fontId="7" fillId="2" borderId="6" applyAlignment="1" pivotButton="0" quotePrefix="0" xfId="7">
      <alignment vertical="center" shrinkToFit="1"/>
    </xf>
    <xf numFmtId="0" fontId="26" fillId="8" borderId="29" applyAlignment="1" pivotButton="0" quotePrefix="0" xfId="3">
      <alignment horizontal="center" vertical="center"/>
    </xf>
    <xf numFmtId="0" fontId="26" fillId="8" borderId="25" applyAlignment="1" pivotButton="0" quotePrefix="0" xfId="3">
      <alignment horizontal="center" vertical="center"/>
    </xf>
    <xf numFmtId="0" fontId="7" fillId="6" borderId="27" applyAlignment="1" pivotButton="0" quotePrefix="0" xfId="2">
      <alignment horizontal="center" vertical="center" wrapText="1"/>
    </xf>
    <xf numFmtId="0" fontId="7" fillId="6" borderId="26" applyAlignment="1" pivotButton="0" quotePrefix="0" xfId="2">
      <alignment horizontal="center" vertical="center" wrapText="1"/>
    </xf>
    <xf numFmtId="0" fontId="7" fillId="5" borderId="27" applyAlignment="1" pivotButton="0" quotePrefix="0" xfId="3">
      <alignment horizontal="center" vertical="center"/>
    </xf>
    <xf numFmtId="0" fontId="7" fillId="5" borderId="22" applyAlignment="1" pivotButton="0" quotePrefix="0" xfId="3">
      <alignment horizontal="center" vertical="center"/>
    </xf>
    <xf numFmtId="0" fontId="7" fillId="6" borderId="22" applyAlignment="1" pivotButton="0" quotePrefix="0" xfId="2">
      <alignment horizontal="center" vertical="center" wrapText="1"/>
    </xf>
    <xf numFmtId="0" fontId="24" fillId="2" borderId="29" applyAlignment="1" pivotButton="0" quotePrefix="0" xfId="3">
      <alignment horizontal="center" vertical="center"/>
    </xf>
    <xf numFmtId="0" fontId="24" fillId="2" borderId="25" applyAlignment="1" pivotButton="0" quotePrefix="0" xfId="3">
      <alignment horizontal="center" vertical="center"/>
    </xf>
    <xf numFmtId="0" fontId="6" fillId="0" borderId="13" applyAlignment="1" pivotButton="0" quotePrefix="0" xfId="2">
      <alignment horizontal="left" vertical="center" wrapText="1"/>
    </xf>
    <xf numFmtId="0" fontId="6" fillId="0" borderId="14" applyAlignment="1" pivotButton="0" quotePrefix="0" xfId="2">
      <alignment horizontal="left" vertical="center" wrapText="1"/>
    </xf>
    <xf numFmtId="0" fontId="6" fillId="0" borderId="15" applyAlignment="1" pivotButton="0" quotePrefix="0" xfId="2">
      <alignment horizontal="left" vertical="center" wrapText="1"/>
    </xf>
    <xf numFmtId="0" fontId="6" fillId="0" borderId="3" applyAlignment="1" pivotButton="0" quotePrefix="0" xfId="2">
      <alignment horizontal="left" vertical="center" wrapText="1"/>
    </xf>
    <xf numFmtId="0" fontId="6" fillId="0" borderId="1" applyAlignment="1" pivotButton="0" quotePrefix="0" xfId="1">
      <alignment horizontal="left" vertical="center"/>
    </xf>
    <xf numFmtId="0" fontId="6" fillId="0" borderId="1" applyAlignment="1" pivotButton="0" quotePrefix="0" xfId="2">
      <alignment horizontal="left" vertical="center" wrapText="1"/>
    </xf>
    <xf numFmtId="0" fontId="6" fillId="0" borderId="12" applyAlignment="1" pivotButton="0" quotePrefix="0" xfId="1">
      <alignment horizontal="left" vertical="center"/>
    </xf>
    <xf numFmtId="0" fontId="6" fillId="0" borderId="30" applyAlignment="1" pivotButton="0" quotePrefix="0" xfId="1">
      <alignment horizontal="left" vertical="center"/>
    </xf>
    <xf numFmtId="0" fontId="6" fillId="0" borderId="31" applyAlignment="1" pivotButton="0" quotePrefix="0" xfId="1">
      <alignment horizontal="left" vertical="center"/>
    </xf>
    <xf numFmtId="0" fontId="6" fillId="0" borderId="12" applyAlignment="1" pivotButton="0" quotePrefix="0" xfId="2">
      <alignment horizontal="center" vertical="center" wrapText="1"/>
    </xf>
    <xf numFmtId="0" fontId="6" fillId="0" borderId="30" applyAlignment="1" pivotButton="0" quotePrefix="0" xfId="2">
      <alignment horizontal="center" vertical="center"/>
    </xf>
    <xf numFmtId="0" fontId="6" fillId="0" borderId="31" applyAlignment="1" pivotButton="0" quotePrefix="0" xfId="2">
      <alignment horizontal="center" vertical="center"/>
    </xf>
    <xf numFmtId="166" fontId="21" fillId="4" borderId="32" applyAlignment="1" pivotButton="0" quotePrefix="0" xfId="2">
      <alignment horizontal="left" vertical="center" wrapText="1"/>
    </xf>
    <xf numFmtId="166" fontId="21" fillId="4" borderId="33" applyAlignment="1" pivotButton="0" quotePrefix="0" xfId="2">
      <alignment horizontal="left" vertical="center" wrapText="1"/>
    </xf>
    <xf numFmtId="166" fontId="21" fillId="4" borderId="34" applyAlignment="1" pivotButton="0" quotePrefix="0" xfId="2">
      <alignment horizontal="left" vertical="center" wrapText="1"/>
    </xf>
    <xf numFmtId="49" fontId="10" fillId="0" borderId="0" applyAlignment="1" pivotButton="0" quotePrefix="0" xfId="5">
      <alignment horizontal="center" vertical="center"/>
    </xf>
    <xf numFmtId="0" fontId="12" fillId="2" borderId="16" applyAlignment="1" pivotButton="0" quotePrefix="0" xfId="3">
      <alignment horizontal="center" vertical="center"/>
    </xf>
    <xf numFmtId="0" fontId="12" fillId="2" borderId="10" applyAlignment="1" pivotButton="0" quotePrefix="0" xfId="3">
      <alignment horizontal="center" vertical="center"/>
    </xf>
    <xf numFmtId="164" fontId="12" fillId="2" borderId="9" applyAlignment="1" pivotButton="0" quotePrefix="0" xfId="1">
      <alignment horizontal="center" vertical="center"/>
    </xf>
    <xf numFmtId="164" fontId="12" fillId="2" borderId="10" applyAlignment="1" pivotButton="0" quotePrefix="0" xfId="1">
      <alignment horizontal="center" vertical="center"/>
    </xf>
    <xf numFmtId="0" fontId="12" fillId="2" borderId="8" applyAlignment="1" pivotButton="0" quotePrefix="0" xfId="3">
      <alignment horizontal="center" vertical="center"/>
    </xf>
    <xf numFmtId="0" fontId="12" fillId="2" borderId="2" applyAlignment="1" pivotButton="0" quotePrefix="0" xfId="3">
      <alignment horizontal="center" vertical="center"/>
    </xf>
    <xf numFmtId="0" fontId="15" fillId="0" borderId="1" applyAlignment="1" pivotButton="0" quotePrefix="0" xfId="5">
      <alignment horizontal="center" vertical="center"/>
    </xf>
    <xf numFmtId="164" fontId="8" fillId="0" borderId="18" applyAlignment="1" pivotButton="0" quotePrefix="0" xfId="1">
      <alignment horizontal="center" vertical="center" wrapText="1"/>
    </xf>
    <xf numFmtId="164" fontId="8" fillId="0" borderId="19" applyAlignment="1" pivotButton="0" quotePrefix="0" xfId="1">
      <alignment horizontal="center" vertical="center" wrapText="1"/>
    </xf>
    <xf numFmtId="164" fontId="8" fillId="0" borderId="20" applyAlignment="1" pivotButton="0" quotePrefix="0" xfId="1">
      <alignment horizontal="center" vertical="center" wrapText="1"/>
    </xf>
    <xf numFmtId="164" fontId="8" fillId="0" borderId="21" applyAlignment="1" pivotButton="0" quotePrefix="0" xfId="1">
      <alignment horizontal="center" vertical="center" wrapText="1"/>
    </xf>
    <xf numFmtId="164" fontId="8" fillId="0" borderId="23" applyAlignment="1" pivotButton="0" quotePrefix="0" xfId="1">
      <alignment horizontal="center" vertical="center" wrapText="1"/>
    </xf>
    <xf numFmtId="164" fontId="8" fillId="0" borderId="24" applyAlignment="1" pivotButton="0" quotePrefix="0" xfId="1">
      <alignment horizontal="center" vertical="center" wrapText="1"/>
    </xf>
    <xf numFmtId="0" fontId="15" fillId="0" borderId="6" applyAlignment="1" pivotButton="0" quotePrefix="0" xfId="3">
      <alignment horizontal="center" vertical="center"/>
    </xf>
    <xf numFmtId="164" fontId="19" fillId="0" borderId="0" applyAlignment="1" pivotButton="0" quotePrefix="0" xfId="1">
      <alignment horizontal="center" vertical="center"/>
    </xf>
    <xf numFmtId="0" fontId="0" fillId="0" borderId="0" pivotButton="0" quotePrefix="0" xfId="0"/>
    <xf numFmtId="0" fontId="0" fillId="0" borderId="10" pivotButton="0" quotePrefix="0" xfId="0"/>
    <xf numFmtId="164" fontId="12" fillId="2" borderId="9" applyAlignment="1" pivotButton="0" quotePrefix="0" xfId="1">
      <alignment horizontal="center" vertical="center"/>
    </xf>
    <xf numFmtId="0" fontId="0" fillId="0" borderId="37" pivotButton="0" quotePrefix="0" xfId="0"/>
    <xf numFmtId="0" fontId="0" fillId="0" borderId="40" pivotButton="0" quotePrefix="0" xfId="0"/>
    <xf numFmtId="164" fontId="8" fillId="0" borderId="41" applyAlignment="1" pivotButton="0" quotePrefix="0" xfId="1">
      <alignment horizontal="center" vertical="center" wrapText="1"/>
    </xf>
    <xf numFmtId="0" fontId="0" fillId="0" borderId="43" pivotButton="0" quotePrefix="0" xfId="0"/>
    <xf numFmtId="0" fontId="0" fillId="0" borderId="42" pivotButton="0" quotePrefix="0" xfId="0"/>
    <xf numFmtId="0" fontId="0" fillId="0" borderId="21" pivotButton="0" quotePrefix="0" xfId="0"/>
    <xf numFmtId="165" fontId="20" fillId="0" borderId="17" applyAlignment="1" pivotButton="0" quotePrefix="0" xfId="4">
      <alignment vertical="center" shrinkToFit="1"/>
    </xf>
    <xf numFmtId="165" fontId="8" fillId="0" borderId="22" applyAlignment="1" pivotButton="0" quotePrefix="0" xfId="4">
      <alignment vertical="center" shrinkToFit="1"/>
    </xf>
    <xf numFmtId="0" fontId="0" fillId="0" borderId="25" pivotButton="0" quotePrefix="0" xfId="0"/>
    <xf numFmtId="0" fontId="0" fillId="0" borderId="44" pivotButton="0" quotePrefix="0" xfId="0"/>
    <xf numFmtId="0" fontId="0" fillId="0" borderId="24" pivotButton="0" quotePrefix="0" xfId="0"/>
    <xf numFmtId="164" fontId="8" fillId="0" borderId="0" applyAlignment="1" pivotButton="0" quotePrefix="0" xfId="1">
      <alignment horizontal="center" vertical="center"/>
    </xf>
    <xf numFmtId="164" fontId="22" fillId="0" borderId="0" applyAlignment="1" pivotButton="0" quotePrefix="0" xfId="1">
      <alignment vertical="center"/>
    </xf>
    <xf numFmtId="164" fontId="22" fillId="0" borderId="0" applyAlignment="1" pivotButton="0" quotePrefix="0" xfId="1">
      <alignment horizontal="center" vertical="center"/>
    </xf>
    <xf numFmtId="164" fontId="7" fillId="3" borderId="8" applyAlignment="1" pivotButton="0" quotePrefix="0" xfId="1">
      <alignment horizontal="center" vertical="center"/>
    </xf>
    <xf numFmtId="0" fontId="6" fillId="0" borderId="1" applyAlignment="1" pivotButton="0" quotePrefix="0" xfId="2">
      <alignment horizontal="center" vertical="center" wrapText="1"/>
    </xf>
    <xf numFmtId="164" fontId="6" fillId="7" borderId="1" applyAlignment="1" pivotButton="0" quotePrefix="0" xfId="1">
      <alignment horizontal="center" vertical="center"/>
    </xf>
    <xf numFmtId="164" fontId="6" fillId="7" borderId="1" applyAlignment="1" pivotButton="0" quotePrefix="0" xfId="1">
      <alignment vertical="center"/>
    </xf>
    <xf numFmtId="166" fontId="21" fillId="4" borderId="4" applyAlignment="1" pivotButton="0" quotePrefix="0" xfId="2">
      <alignment horizontal="left" vertical="center" wrapText="1"/>
    </xf>
    <xf numFmtId="0" fontId="0" fillId="0" borderId="14" pivotButton="0" quotePrefix="0" xfId="0"/>
    <xf numFmtId="0" fontId="0" fillId="0" borderId="30" pivotButton="0" quotePrefix="0" xfId="0"/>
    <xf numFmtId="164" fontId="6" fillId="0" borderId="1" applyAlignment="1" pivotButton="0" quotePrefix="0" xfId="1">
      <alignment horizontal="center" vertical="center"/>
    </xf>
    <xf numFmtId="164" fontId="6" fillId="0" borderId="1" applyAlignment="1" pivotButton="0" quotePrefix="0" xfId="1">
      <alignment vertical="center"/>
    </xf>
    <xf numFmtId="0" fontId="0" fillId="0" borderId="33" pivotButton="0" quotePrefix="0" xfId="0"/>
    <xf numFmtId="0" fontId="0" fillId="0" borderId="31" pivotButton="0" quotePrefix="0" xfId="0"/>
    <xf numFmtId="164" fontId="21" fillId="0" borderId="1" applyAlignment="1" pivotButton="0" quotePrefix="0" xfId="1">
      <alignment horizontal="center" vertical="center"/>
    </xf>
    <xf numFmtId="164" fontId="21" fillId="0" borderId="1" applyAlignment="1" pivotButton="0" quotePrefix="0" xfId="1">
      <alignment vertical="center"/>
    </xf>
    <xf numFmtId="0" fontId="0" fillId="0" borderId="15" pivotButton="0" quotePrefix="0" xfId="0"/>
    <xf numFmtId="0" fontId="0" fillId="0" borderId="34" pivotButton="0" quotePrefix="0" xfId="0"/>
    <xf numFmtId="0" fontId="7" fillId="6" borderId="46" applyAlignment="1" pivotButton="0" quotePrefix="0" xfId="2">
      <alignment horizontal="center" vertical="center" wrapText="1"/>
    </xf>
    <xf numFmtId="0" fontId="0" fillId="0" borderId="47" pivotButton="0" quotePrefix="0" xfId="0"/>
    <xf numFmtId="164" fontId="7" fillId="6" borderId="1" applyAlignment="1" pivotButton="0" quotePrefix="0" xfId="1">
      <alignment horizontal="center" vertical="center"/>
    </xf>
    <xf numFmtId="164" fontId="7" fillId="6" borderId="1" applyAlignment="1" pivotButton="0" quotePrefix="0" xfId="1">
      <alignment vertical="center"/>
    </xf>
    <xf numFmtId="166" fontId="7" fillId="6" borderId="4" applyAlignment="1" pivotButton="0" quotePrefix="0" xfId="2">
      <alignment horizontal="center" vertical="center" wrapText="1"/>
    </xf>
    <xf numFmtId="167" fontId="21" fillId="0" borderId="1" applyAlignment="1" pivotButton="0" quotePrefix="0" xfId="1">
      <alignment horizontal="center" vertical="center"/>
    </xf>
    <xf numFmtId="167" fontId="21" fillId="0" borderId="22" applyAlignment="1" pivotButton="0" quotePrefix="0" xfId="1">
      <alignment vertical="center"/>
    </xf>
    <xf numFmtId="166" fontId="21" fillId="0" borderId="4" applyAlignment="1" pivotButton="0" quotePrefix="0" xfId="2">
      <alignment horizontal="left" vertical="center" wrapText="1"/>
    </xf>
    <xf numFmtId="164" fontId="6" fillId="0" borderId="22" applyAlignment="1" pivotButton="0" quotePrefix="0" xfId="1">
      <alignment vertical="center"/>
    </xf>
    <xf numFmtId="166" fontId="6" fillId="4" borderId="4" applyAlignment="1" pivotButton="0" quotePrefix="0" xfId="2">
      <alignment horizontal="left" vertical="center" wrapText="1"/>
    </xf>
    <xf numFmtId="164" fontId="21" fillId="0" borderId="22" applyAlignment="1" pivotButton="0" quotePrefix="0" xfId="1">
      <alignment vertical="center"/>
    </xf>
    <xf numFmtId="166" fontId="6" fillId="0" borderId="4" applyAlignment="1" pivotButton="0" quotePrefix="0" xfId="2">
      <alignment horizontal="left" vertical="center" wrapText="1"/>
    </xf>
    <xf numFmtId="164" fontId="7" fillId="6" borderId="1" applyAlignment="1" pivotButton="0" quotePrefix="0" xfId="4">
      <alignment vertical="center" shrinkToFit="1"/>
    </xf>
    <xf numFmtId="166" fontId="6" fillId="0" borderId="4" applyAlignment="1" pivotButton="0" quotePrefix="0" xfId="2">
      <alignment horizontal="center" vertical="center" wrapText="1"/>
    </xf>
    <xf numFmtId="164" fontId="6" fillId="0" borderId="17" applyAlignment="1" pivotButton="0" quotePrefix="0" xfId="1">
      <alignment horizontal="center" vertical="center"/>
    </xf>
    <xf numFmtId="164" fontId="6" fillId="0" borderId="1" applyAlignment="1" pivotButton="0" quotePrefix="0" xfId="3">
      <alignment vertical="center" shrinkToFit="1"/>
    </xf>
    <xf numFmtId="166" fontId="6" fillId="0" borderId="28" applyAlignment="1" pivotButton="0" quotePrefix="0" xfId="2">
      <alignment horizontal="center" vertical="center" wrapText="1"/>
    </xf>
    <xf numFmtId="0" fontId="0" fillId="0" borderId="26" pivotButton="0" quotePrefix="0" xfId="0"/>
    <xf numFmtId="0" fontId="7" fillId="5" borderId="46" applyAlignment="1" pivotButton="0" quotePrefix="0" xfId="3">
      <alignment horizontal="center" vertical="center"/>
    </xf>
    <xf numFmtId="164" fontId="7" fillId="5" borderId="1" applyAlignment="1" pivotButton="0" quotePrefix="0" xfId="1">
      <alignment horizontal="center" vertical="center"/>
    </xf>
    <xf numFmtId="164" fontId="7" fillId="5" borderId="1" applyAlignment="1" pivotButton="0" quotePrefix="0" xfId="7">
      <alignment vertical="center" shrinkToFit="1"/>
    </xf>
    <xf numFmtId="168" fontId="6" fillId="0" borderId="1" applyAlignment="1" pivotButton="0" quotePrefix="0" xfId="3">
      <alignment vertical="center" shrinkToFit="1"/>
    </xf>
    <xf numFmtId="166" fontId="21" fillId="0" borderId="28" applyAlignment="1" pivotButton="0" quotePrefix="0" xfId="2">
      <alignment horizontal="center" vertical="center" wrapText="1"/>
    </xf>
    <xf numFmtId="0" fontId="24" fillId="2" borderId="5" applyAlignment="1" pivotButton="0" quotePrefix="0" xfId="3">
      <alignment horizontal="center" vertical="center"/>
    </xf>
    <xf numFmtId="164" fontId="24" fillId="2" borderId="6" applyAlignment="1" pivotButton="0" quotePrefix="0" xfId="1">
      <alignment horizontal="center" vertical="center"/>
    </xf>
    <xf numFmtId="164" fontId="7" fillId="2" borderId="6" applyAlignment="1" pivotButton="0" quotePrefix="0" xfId="7">
      <alignment vertical="center" shrinkToFit="1"/>
    </xf>
    <xf numFmtId="0" fontId="26" fillId="8" borderId="5" applyAlignment="1" pivotButton="0" quotePrefix="0" xfId="3">
      <alignment horizontal="center" vertical="center"/>
    </xf>
    <xf numFmtId="164" fontId="26" fillId="8" borderId="6" applyAlignment="1" pivotButton="0" quotePrefix="0" xfId="1">
      <alignment horizontal="center" vertical="center"/>
    </xf>
    <xf numFmtId="164" fontId="26" fillId="8" borderId="6" applyAlignment="1" pivotButton="0" quotePrefix="0" xfId="7">
      <alignment vertical="center" shrinkToFit="1"/>
    </xf>
  </cellXfs>
  <cellStyles count="8">
    <cellStyle name="표준" xfId="0" builtinId="0"/>
    <cellStyle name="쉼표 [0]" xfId="1" builtinId="6"/>
    <cellStyle name="표준 - Styl1" xfId="2"/>
    <cellStyle name="표준 2 10 3" xfId="3"/>
    <cellStyle name="쉼표 [0] 2 15" xfId="4"/>
    <cellStyle name="표준 2" xfId="5"/>
    <cellStyle name="쉼표 [0] 2" xfId="6"/>
    <cellStyle name="Comma [0]" xfId="7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tabColor theme="9" tint="0.5999328592791529"/>
    <outlinePr summaryBelow="1" summaryRight="1"/>
    <pageSetUpPr fitToPage="1"/>
  </sheetPr>
  <dimension ref="A1:G75"/>
  <sheetViews>
    <sheetView showGridLines="0" tabSelected="1" view="pageBreakPreview" zoomScale="85" zoomScaleNormal="85" zoomScaleSheetLayoutView="85" workbookViewId="0">
      <selection activeCell="A1" sqref="A1:G1"/>
    </sheetView>
  </sheetViews>
  <sheetFormatPr baseColWidth="8" defaultColWidth="8.875" defaultRowHeight="16.5"/>
  <cols>
    <col width="16.625" customWidth="1" style="50" min="1" max="1"/>
    <col width="29.25" bestFit="1" customWidth="1" style="50" min="2" max="2"/>
    <col width="58" bestFit="1" customWidth="1" style="51" min="3" max="3"/>
    <col width="10.875" customWidth="1" style="126" min="4" max="5"/>
    <col width="16.625" customWidth="1" style="54" min="6" max="6"/>
    <col width="49.625" customWidth="1" style="54" min="7" max="7"/>
    <col width="8.875" customWidth="1" style="4" min="8" max="16384"/>
  </cols>
  <sheetData>
    <row r="1" ht="47.25" customHeight="1" s="127" thickBot="1">
      <c r="A1" s="111" t="inlineStr">
        <is>
          <t>자산관리 세미나 견적서</t>
        </is>
      </c>
    </row>
    <row r="2" ht="20.25" customFormat="1" customHeight="1" s="5">
      <c r="A2" s="112" t="inlineStr">
        <is>
          <t>공급받는자</t>
        </is>
      </c>
      <c r="B2" s="128" t="n"/>
      <c r="C2" s="128" t="n"/>
      <c r="D2" s="129" t="inlineStr">
        <is>
          <t>[행사운영대행]</t>
        </is>
      </c>
      <c r="E2" s="128" t="n"/>
      <c r="F2" s="116" t="inlineStr">
        <is>
          <t>공급자</t>
        </is>
      </c>
      <c r="G2" s="130" t="n"/>
    </row>
    <row r="3" ht="20.25" customFormat="1" customHeight="1" s="5">
      <c r="A3" s="6" t="inlineStr">
        <is>
          <t xml:space="preserve">CLIENT </t>
        </is>
      </c>
      <c r="B3" s="118" t="n"/>
      <c r="C3" s="131" t="n"/>
      <c r="D3" s="132" t="inlineStr">
        <is>
          <t>아래와 같이
견적 합니다.</t>
        </is>
      </c>
      <c r="E3" s="133" t="n"/>
      <c r="F3" s="7" t="inlineStr">
        <is>
          <t>회사명</t>
        </is>
      </c>
      <c r="G3" s="8" t="inlineStr">
        <is>
          <t>광고대행사</t>
        </is>
      </c>
    </row>
    <row r="4" ht="20.25" customFormat="1" customHeight="1" s="5">
      <c r="A4" s="6" t="inlineStr">
        <is>
          <t>JOB</t>
        </is>
      </c>
      <c r="B4" s="118" t="n"/>
      <c r="C4" s="131" t="n"/>
      <c r="D4" s="134" t="n"/>
      <c r="E4" s="135" t="n"/>
      <c r="F4" s="7" t="inlineStr">
        <is>
          <t>대표이사</t>
        </is>
      </c>
      <c r="G4" s="8" t="inlineStr">
        <is>
          <t>유정근</t>
        </is>
      </c>
    </row>
    <row r="5" ht="20.25" customFormat="1" customHeight="1" s="5">
      <c r="A5" s="6" t="inlineStr">
        <is>
          <t>Job No.</t>
        </is>
      </c>
      <c r="B5" s="118" t="n"/>
      <c r="C5" s="131" t="n"/>
      <c r="D5" s="134" t="n"/>
      <c r="E5" s="135" t="n"/>
      <c r="F5" s="7" t="inlineStr">
        <is>
          <t>사업자등록번호</t>
        </is>
      </c>
      <c r="G5" s="8" t="inlineStr">
        <is>
          <t>202-81-45960</t>
        </is>
      </c>
    </row>
    <row r="6" ht="36.75" customFormat="1" customHeight="1" s="5">
      <c r="A6" s="9" t="inlineStr">
        <is>
          <t>거래가격</t>
        </is>
      </c>
      <c r="B6" s="136">
        <f>+F72</f>
        <v/>
      </c>
      <c r="C6" s="137" t="inlineStr">
        <is>
          <t>원 (VAT 포함)</t>
        </is>
      </c>
      <c r="D6" s="134" t="n"/>
      <c r="E6" s="135" t="n"/>
      <c r="F6" s="7" t="inlineStr">
        <is>
          <t>사업장주소</t>
        </is>
      </c>
      <c r="G6" s="8" t="inlineStr">
        <is>
          <t>서울특별시 용산구 이태원로 222</t>
        </is>
      </c>
    </row>
    <row r="7" ht="20.25" customFormat="1" customHeight="1" s="5" thickBot="1">
      <c r="A7" s="11" t="inlineStr">
        <is>
          <t>담당자/연락처</t>
        </is>
      </c>
      <c r="B7" s="125" t="n"/>
      <c r="C7" s="138" t="n"/>
      <c r="D7" s="139" t="n"/>
      <c r="E7" s="140" t="n"/>
      <c r="F7" s="12" t="inlineStr">
        <is>
          <t>담당자/연락처</t>
        </is>
      </c>
      <c r="G7" s="13" t="inlineStr">
        <is>
          <t>권두인 프로 / 010-9957-7654</t>
        </is>
      </c>
    </row>
    <row r="8" ht="20.25" customFormat="1" customHeight="1" s="5">
      <c r="A8" s="14" t="n"/>
      <c r="B8" s="54" t="n"/>
      <c r="C8" s="16" t="n"/>
      <c r="D8" s="141" t="n"/>
      <c r="E8" s="141" t="n"/>
      <c r="F8" s="18" t="n"/>
      <c r="G8" s="17" t="n"/>
    </row>
    <row r="9" ht="18.75" customHeight="1" s="127" thickBot="1">
      <c r="A9" s="49" t="n"/>
      <c r="B9" s="50" t="n"/>
      <c r="C9" s="51" t="n"/>
      <c r="D9" s="142" t="n"/>
      <c r="E9" s="143" t="n"/>
      <c r="F9" s="54" t="n"/>
      <c r="G9" s="55" t="inlineStr">
        <is>
          <t>(단위: KRW)</t>
        </is>
      </c>
    </row>
    <row r="10" ht="19.5" customHeight="1" s="127">
      <c r="A10" s="35" t="inlineStr">
        <is>
          <t>구분</t>
        </is>
      </c>
      <c r="B10" s="36" t="inlineStr">
        <is>
          <t>항목</t>
        </is>
      </c>
      <c r="C10" s="36" t="inlineStr">
        <is>
          <t>구성</t>
        </is>
      </c>
      <c r="D10" s="144" t="inlineStr">
        <is>
          <t>단위(회)</t>
        </is>
      </c>
      <c r="E10" s="144" t="inlineStr">
        <is>
          <t>수량</t>
        </is>
      </c>
      <c r="F10" s="36" t="inlineStr">
        <is>
          <t>거래가격</t>
        </is>
      </c>
      <c r="G10" s="37" t="inlineStr">
        <is>
          <t>비고</t>
        </is>
      </c>
    </row>
    <row r="11" ht="16.5" customFormat="1" customHeight="1" s="21">
      <c r="A11" s="99" t="inlineStr">
        <is>
          <t>1. 장소</t>
        </is>
      </c>
      <c r="B11" s="145" t="inlineStr">
        <is>
          <t>호텔신라 영빈관 루비홀
1/15(수)</t>
        </is>
      </c>
      <c r="C11" s="39" t="inlineStr">
        <is>
          <t>합계</t>
        </is>
      </c>
      <c r="D11" s="146" t="n">
        <v>1</v>
      </c>
      <c r="E11" s="146" t="n">
        <v>1</v>
      </c>
      <c r="F11" s="147">
        <f>SUM(F12:F16)</f>
        <v/>
      </c>
      <c r="G11" s="148" t="inlineStr">
        <is>
          <t>1월 29일(수) 취소 반영</t>
        </is>
      </c>
    </row>
    <row r="12" customFormat="1" s="21">
      <c r="A12" s="149" t="n"/>
      <c r="B12" s="150" t="n"/>
      <c r="C12" s="68" t="inlineStr">
        <is>
          <t xml:space="preserve"> .대관(루비) *All Day 기준 (14:00~20:00)</t>
        </is>
      </c>
      <c r="D12" s="151" t="n">
        <v>1</v>
      </c>
      <c r="E12" s="151" t="n">
        <v>1</v>
      </c>
      <c r="F12" s="152" t="n">
        <v>0</v>
      </c>
      <c r="G12" s="153" t="n"/>
    </row>
    <row r="13" customFormat="1" s="21">
      <c r="A13" s="149" t="n"/>
      <c r="B13" s="150" t="n"/>
      <c r="C13" s="68" t="inlineStr">
        <is>
          <t xml:space="preserve"> .디너 BUSINESS FRENCH 90,909</t>
        </is>
      </c>
      <c r="D13" s="151" t="n">
        <v>1</v>
      </c>
      <c r="E13" s="151" t="n">
        <v>73</v>
      </c>
      <c r="F13" s="152" t="n">
        <v>7300000</v>
      </c>
      <c r="G13" s="153" t="n"/>
    </row>
    <row r="14" customFormat="1" s="21">
      <c r="A14" s="149" t="n"/>
      <c r="B14" s="150" t="n"/>
      <c r="C14" s="68" t="inlineStr">
        <is>
          <t xml:space="preserve"> .하우스와인</t>
        </is>
      </c>
      <c r="D14" s="151" t="n">
        <v>1</v>
      </c>
      <c r="E14" s="151" t="n">
        <v>19</v>
      </c>
      <c r="F14" s="152" t="n">
        <v>1615000</v>
      </c>
      <c r="G14" s="153" t="n"/>
    </row>
    <row r="15" customFormat="1" s="21">
      <c r="A15" s="149" t="n"/>
      <c r="B15" s="150" t="n"/>
      <c r="C15" s="68" t="inlineStr">
        <is>
          <t xml:space="preserve"> .볼펜 (무료제공)</t>
        </is>
      </c>
      <c r="D15" s="151" t="n">
        <v>1</v>
      </c>
      <c r="E15" s="151" t="n">
        <v>50</v>
      </c>
      <c r="F15" s="152" t="n">
        <v>0</v>
      </c>
      <c r="G15" s="153" t="n"/>
    </row>
    <row r="16" customFormat="1" s="21">
      <c r="A16" s="149" t="n"/>
      <c r="B16" s="154" t="n"/>
      <c r="C16" s="68" t="inlineStr">
        <is>
          <t xml:space="preserve"> .빔프로젝트</t>
        </is>
      </c>
      <c r="D16" s="151" t="n">
        <v>1</v>
      </c>
      <c r="E16" s="151" t="n">
        <v>1</v>
      </c>
      <c r="F16" s="152" t="n">
        <v>275000</v>
      </c>
      <c r="G16" s="153" t="n"/>
    </row>
    <row r="17" customFormat="1" s="21">
      <c r="A17" s="149" t="n"/>
      <c r="B17" s="145" t="inlineStr">
        <is>
          <t>여의도 콘래드 스튜디오
1/21(화)</t>
        </is>
      </c>
      <c r="C17" s="39" t="inlineStr">
        <is>
          <t>합계</t>
        </is>
      </c>
      <c r="D17" s="146" t="n">
        <v>1</v>
      </c>
      <c r="E17" s="146" t="n">
        <v>1</v>
      </c>
      <c r="F17" s="147">
        <f>SUM(F18:F22)</f>
        <v/>
      </c>
      <c r="G17" s="153" t="n"/>
    </row>
    <row r="18" customFormat="1" s="21">
      <c r="A18" s="149" t="n"/>
      <c r="B18" s="150" t="n"/>
      <c r="C18" s="68" t="inlineStr">
        <is>
          <t xml:space="preserve"> .대관(스튜디오 1,2) *All Day 기준 (14:00~20:00)</t>
        </is>
      </c>
      <c r="D18" s="151" t="n">
        <v>1</v>
      </c>
      <c r="E18" s="151" t="n">
        <v>1</v>
      </c>
      <c r="F18" s="152" t="n">
        <v>2486000</v>
      </c>
      <c r="G18" s="153" t="n"/>
    </row>
    <row r="19" customFormat="1" s="21">
      <c r="A19" s="149" t="n"/>
      <c r="B19" s="150" t="n"/>
      <c r="C19" s="68" t="inlineStr">
        <is>
          <t xml:space="preserve"> .디너</t>
        </is>
      </c>
      <c r="D19" s="151" t="n">
        <v>1</v>
      </c>
      <c r="E19" s="151" t="n">
        <v>50</v>
      </c>
      <c r="F19" s="152" t="n">
        <v>5775000</v>
      </c>
      <c r="G19" s="153" t="n"/>
    </row>
    <row r="20" customFormat="1" s="21">
      <c r="A20" s="149" t="n"/>
      <c r="B20" s="150" t="n"/>
      <c r="C20" s="68" t="inlineStr">
        <is>
          <t xml:space="preserve"> .하우스와인</t>
        </is>
      </c>
      <c r="D20" s="151" t="n">
        <v>1</v>
      </c>
      <c r="E20" s="151" t="n">
        <v>6</v>
      </c>
      <c r="F20" s="152" t="n">
        <v>396000</v>
      </c>
      <c r="G20" s="153" t="n"/>
    </row>
    <row r="21" customFormat="1" s="21">
      <c r="A21" s="149" t="n"/>
      <c r="B21" s="150" t="n"/>
      <c r="C21" s="68" t="inlineStr">
        <is>
          <t xml:space="preserve"> .볼펜 (무료제공)</t>
        </is>
      </c>
      <c r="D21" s="151" t="n">
        <v>1</v>
      </c>
      <c r="E21" s="151" t="n">
        <v>54</v>
      </c>
      <c r="F21" s="152" t="n">
        <v>0</v>
      </c>
      <c r="G21" s="153" t="n"/>
    </row>
    <row r="22" customFormat="1" s="21">
      <c r="A22" s="149" t="n"/>
      <c r="B22" s="154" t="n"/>
      <c r="C22" s="68" t="inlineStr">
        <is>
          <t xml:space="preserve"> .빔프로젝트</t>
        </is>
      </c>
      <c r="D22" s="151" t="n">
        <v>1</v>
      </c>
      <c r="E22" s="151" t="n">
        <v>1</v>
      </c>
      <c r="F22" s="152" t="n">
        <v>0</v>
      </c>
      <c r="G22" s="153" t="n"/>
    </row>
    <row r="23" customFormat="1" s="21">
      <c r="A23" s="149" t="n"/>
      <c r="B23" s="145" t="inlineStr">
        <is>
          <t>인터콘티넨탈 파르나스 로즈룸
1/22(수)</t>
        </is>
      </c>
      <c r="C23" s="39" t="inlineStr">
        <is>
          <t>합계</t>
        </is>
      </c>
      <c r="D23" s="146" t="n">
        <v>1</v>
      </c>
      <c r="E23" s="146" t="n">
        <v>1</v>
      </c>
      <c r="F23" s="147">
        <f>SUM(F24:F28)</f>
        <v/>
      </c>
      <c r="G23" s="153" t="n"/>
    </row>
    <row r="24" customFormat="1" s="21">
      <c r="A24" s="149" t="n"/>
      <c r="B24" s="150" t="n"/>
      <c r="C24" s="68" t="inlineStr">
        <is>
          <t xml:space="preserve"> .대관(로즈) *Half Day 기준 (14:00~20:00)</t>
        </is>
      </c>
      <c r="D24" s="151" t="n">
        <v>1</v>
      </c>
      <c r="E24" s="151" t="n">
        <v>1</v>
      </c>
      <c r="F24" s="152" t="n">
        <v>0</v>
      </c>
      <c r="G24" s="153" t="n"/>
    </row>
    <row r="25" customFormat="1" s="21">
      <c r="A25" s="149" t="n"/>
      <c r="B25" s="150" t="n"/>
      <c r="C25" s="68" t="inlineStr">
        <is>
          <t xml:space="preserve"> .디너</t>
        </is>
      </c>
      <c r="D25" s="151" t="n">
        <v>1</v>
      </c>
      <c r="E25" s="151" t="n">
        <v>55</v>
      </c>
      <c r="F25" s="152" t="n">
        <v>6325000</v>
      </c>
      <c r="G25" s="153" t="n"/>
    </row>
    <row r="26" customFormat="1" s="21">
      <c r="A26" s="149" t="n"/>
      <c r="B26" s="150" t="n"/>
      <c r="C26" s="68" t="inlineStr">
        <is>
          <t xml:space="preserve"> .하우스와인</t>
        </is>
      </c>
      <c r="D26" s="151" t="n">
        <v>1</v>
      </c>
      <c r="E26" s="151" t="n">
        <v>8</v>
      </c>
      <c r="F26" s="152" t="n">
        <v>680000</v>
      </c>
      <c r="G26" s="153" t="n"/>
    </row>
    <row r="27" customFormat="1" s="21">
      <c r="A27" s="149" t="n"/>
      <c r="B27" s="150" t="n"/>
      <c r="C27" s="68" t="inlineStr">
        <is>
          <t xml:space="preserve"> .볼펜</t>
        </is>
      </c>
      <c r="D27" s="151" t="n">
        <v>1</v>
      </c>
      <c r="E27" s="151" t="n">
        <v>55</v>
      </c>
      <c r="F27" s="152" t="n">
        <v>60500</v>
      </c>
      <c r="G27" s="153" t="n"/>
    </row>
    <row r="28" customFormat="1" s="21">
      <c r="A28" s="149" t="n"/>
      <c r="B28" s="154" t="n"/>
      <c r="C28" s="68" t="inlineStr">
        <is>
          <t xml:space="preserve"> .빔프로젝트</t>
        </is>
      </c>
      <c r="D28" s="151" t="n">
        <v>1</v>
      </c>
      <c r="E28" s="151" t="n">
        <v>1</v>
      </c>
      <c r="F28" s="152" t="n">
        <v>330000</v>
      </c>
      <c r="G28" s="153" t="n"/>
    </row>
    <row r="29" customFormat="1" s="21">
      <c r="A29" s="149" t="n"/>
      <c r="B29" s="145" t="inlineStr">
        <is>
          <t>인터콘티넨탈 파르나스 로즈룸
1/29(수) - 행사 미진행</t>
        </is>
      </c>
      <c r="C29" s="39" t="inlineStr">
        <is>
          <t>합계</t>
        </is>
      </c>
      <c r="D29" s="146" t="n">
        <v>1</v>
      </c>
      <c r="E29" s="146" t="n">
        <v>1</v>
      </c>
      <c r="F29" s="147" t="n">
        <v>6032727</v>
      </c>
      <c r="G29" s="153" t="n"/>
    </row>
    <row r="30" customFormat="1" s="21">
      <c r="A30" s="149" t="n"/>
      <c r="B30" s="150" t="n"/>
      <c r="C30" s="68" t="inlineStr">
        <is>
          <t xml:space="preserve"> .대관(로즈) *Half Day 기준 (14:00~20:00)</t>
        </is>
      </c>
      <c r="D30" s="151" t="n">
        <v>0</v>
      </c>
      <c r="E30" s="151" t="n">
        <v>0</v>
      </c>
      <c r="F30" s="152" t="n">
        <v>0</v>
      </c>
      <c r="G30" s="153" t="n"/>
    </row>
    <row r="31" customFormat="1" s="21">
      <c r="A31" s="149" t="n"/>
      <c r="B31" s="150" t="n"/>
      <c r="C31" s="68" t="inlineStr">
        <is>
          <t xml:space="preserve"> .디너 (와인으로 대체)</t>
        </is>
      </c>
      <c r="D31" s="151" t="n">
        <v>1</v>
      </c>
      <c r="E31" s="151" t="n">
        <v>40</v>
      </c>
      <c r="F31" s="152" t="n">
        <v>6032727</v>
      </c>
      <c r="G31" s="153" t="n"/>
    </row>
    <row r="32" customFormat="1" s="21">
      <c r="A32" s="149" t="n"/>
      <c r="B32" s="150" t="n"/>
      <c r="C32" s="68" t="inlineStr">
        <is>
          <t xml:space="preserve"> .하우스와인</t>
        </is>
      </c>
      <c r="D32" s="151" t="n">
        <v>0</v>
      </c>
      <c r="E32" s="151" t="n">
        <v>0</v>
      </c>
      <c r="F32" s="152" t="n">
        <v>0</v>
      </c>
      <c r="G32" s="153" t="n"/>
    </row>
    <row r="33" customFormat="1" s="21">
      <c r="A33" s="149" t="n"/>
      <c r="B33" s="150" t="n"/>
      <c r="C33" s="71" t="inlineStr">
        <is>
          <t xml:space="preserve"> .볼펜</t>
        </is>
      </c>
      <c r="D33" s="155" t="n">
        <v>0</v>
      </c>
      <c r="E33" s="155" t="n">
        <v>0</v>
      </c>
      <c r="F33" s="156" t="n">
        <v>0</v>
      </c>
      <c r="G33" s="153" t="n"/>
    </row>
    <row r="34" customFormat="1" s="21">
      <c r="A34" s="157" t="n"/>
      <c r="B34" s="154" t="n"/>
      <c r="C34" s="68" t="inlineStr">
        <is>
          <t xml:space="preserve"> .빔프로젝트</t>
        </is>
      </c>
      <c r="D34" s="151" t="n">
        <v>0</v>
      </c>
      <c r="E34" s="151" t="n">
        <v>0</v>
      </c>
      <c r="F34" s="152" t="n">
        <v>0</v>
      </c>
      <c r="G34" s="158" t="n"/>
    </row>
    <row r="35" ht="18" customFormat="1" customHeight="1" s="21">
      <c r="A35" s="159" t="inlineStr">
        <is>
          <t>소계</t>
        </is>
      </c>
      <c r="B35" s="160" t="n"/>
      <c r="C35" s="32" t="n"/>
      <c r="D35" s="161" t="n"/>
      <c r="E35" s="161" t="n"/>
      <c r="F35" s="162">
        <f>F11+F17+F23+F29</f>
        <v/>
      </c>
      <c r="G35" s="163" t="n"/>
    </row>
    <row r="36" customFormat="1" s="21">
      <c r="A36" s="99" t="inlineStr">
        <is>
          <t>2. 시스템</t>
        </is>
      </c>
      <c r="B36" s="42" t="inlineStr">
        <is>
          <t>영상</t>
        </is>
      </c>
      <c r="C36" s="71" t="inlineStr">
        <is>
          <t>영상콘솔, 오퍼레이터</t>
        </is>
      </c>
      <c r="D36" s="164" t="n">
        <v>3.5</v>
      </c>
      <c r="E36" s="164" t="n">
        <v>1</v>
      </c>
      <c r="F36" s="165" t="n">
        <v>8750000</v>
      </c>
      <c r="G36" s="166" t="inlineStr">
        <is>
          <t>1월 29일(수) 취소 반영</t>
        </is>
      </c>
    </row>
    <row r="37" customFormat="1" s="21">
      <c r="A37" s="149" t="n"/>
      <c r="B37" s="42" t="inlineStr">
        <is>
          <t>음향</t>
        </is>
      </c>
      <c r="C37" s="71" t="inlineStr">
        <is>
          <t>오퍼레이터</t>
        </is>
      </c>
      <c r="D37" s="164" t="n">
        <v>3.5</v>
      </c>
      <c r="E37" s="164" t="n">
        <v>1</v>
      </c>
      <c r="F37" s="165" t="n">
        <v>1312500</v>
      </c>
      <c r="G37" s="166" t="inlineStr">
        <is>
          <t>1월 29일(수) 취소 반영</t>
        </is>
      </c>
    </row>
    <row r="38" customFormat="1" s="21">
      <c r="A38" s="157" t="n"/>
      <c r="B38" s="42" t="inlineStr">
        <is>
          <t>기타</t>
        </is>
      </c>
      <c r="C38" s="71" t="inlineStr">
        <is>
          <t xml:space="preserve">시스템 운반, 퍼팩트큐, 노트북, 모니터, 프린터기 등 </t>
        </is>
      </c>
      <c r="D38" s="155" t="n">
        <v>3</v>
      </c>
      <c r="E38" s="164" t="n">
        <v>1</v>
      </c>
      <c r="F38" s="165" t="n">
        <v>3000000</v>
      </c>
      <c r="G38" s="166" t="inlineStr">
        <is>
          <t>1월 29일(수) 취소 반영</t>
        </is>
      </c>
    </row>
    <row r="39" ht="18" customFormat="1" customHeight="1" s="21">
      <c r="A39" s="159" t="inlineStr">
        <is>
          <t>소계</t>
        </is>
      </c>
      <c r="B39" s="160" t="n"/>
      <c r="C39" s="32" t="n"/>
      <c r="D39" s="161" t="n"/>
      <c r="E39" s="161" t="n"/>
      <c r="F39" s="162">
        <f>SUM(F36:F38)</f>
        <v/>
      </c>
      <c r="G39" s="163" t="n"/>
    </row>
    <row r="40" customFormat="1" s="21">
      <c r="A40" s="99" t="inlineStr">
        <is>
          <t>3. 제작</t>
        </is>
      </c>
      <c r="B40" s="100" t="inlineStr">
        <is>
          <t>인쇄물</t>
        </is>
      </c>
      <c r="C40" s="73" t="inlineStr">
        <is>
          <t>오프라인 초청장</t>
        </is>
      </c>
      <c r="D40" s="151" t="n">
        <v>9</v>
      </c>
      <c r="E40" s="151" t="n">
        <v>100</v>
      </c>
      <c r="F40" s="167" t="n">
        <v>5625000</v>
      </c>
      <c r="G40" s="168" t="n"/>
    </row>
    <row r="41" customFormat="1" s="21">
      <c r="A41" s="149" t="n"/>
      <c r="B41" s="150" t="n"/>
      <c r="C41" s="73" t="inlineStr">
        <is>
          <t>모바일 초청장</t>
        </is>
      </c>
      <c r="D41" s="151" t="n">
        <v>9</v>
      </c>
      <c r="E41" s="151" t="n">
        <v>1</v>
      </c>
      <c r="F41" s="167" t="n">
        <v>1125000</v>
      </c>
      <c r="G41" s="168" t="n"/>
    </row>
    <row r="42" ht="33" customFormat="1" customHeight="1" s="21">
      <c r="A42" s="149" t="n"/>
      <c r="B42" s="150" t="n"/>
      <c r="C42" s="78" t="inlineStr">
        <is>
          <t>테이블 네임텍</t>
        </is>
      </c>
      <c r="D42" s="155" t="n">
        <v>1</v>
      </c>
      <c r="E42" s="155" t="n">
        <v>172</v>
      </c>
      <c r="F42" s="169" t="n">
        <v>430000</v>
      </c>
      <c r="G42" s="168" t="inlineStr">
        <is>
          <t>총 참석사수 172명(현장 제작 제외)
1월 29일(수) 취소 반영</t>
        </is>
      </c>
    </row>
    <row r="43" ht="33" customFormat="1" customHeight="1" s="21">
      <c r="A43" s="149" t="n"/>
      <c r="B43" s="154" t="n"/>
      <c r="C43" s="78" t="inlineStr">
        <is>
          <t>테이블 넘버링</t>
        </is>
      </c>
      <c r="D43" s="155" t="n">
        <v>2</v>
      </c>
      <c r="E43" s="155" t="n">
        <v>9</v>
      </c>
      <c r="F43" s="169" t="n">
        <v>45000</v>
      </c>
      <c r="G43" s="168" t="inlineStr">
        <is>
          <t>9개 2벌 제작 공통으로 사용
1월 29일(수) 취소 반영</t>
        </is>
      </c>
    </row>
    <row r="44" customFormat="1" s="21">
      <c r="A44" s="149" t="n"/>
      <c r="B44" s="101" t="inlineStr">
        <is>
          <t>장치장식</t>
        </is>
      </c>
      <c r="C44" s="3" t="inlineStr">
        <is>
          <t>행사타이틀 유도싸인 배너</t>
        </is>
      </c>
      <c r="D44" s="151" t="n">
        <v>2</v>
      </c>
      <c r="E44" s="151" t="n">
        <v>2</v>
      </c>
      <c r="F44" s="167" t="n">
        <v>600000</v>
      </c>
      <c r="G44" s="168" t="n"/>
    </row>
    <row r="45" customFormat="1" s="21">
      <c r="A45" s="149" t="n"/>
      <c r="B45" s="150" t="n"/>
      <c r="C45" s="3" t="inlineStr">
        <is>
          <t>행사타이틀 등록데스크 배너</t>
        </is>
      </c>
      <c r="D45" s="151" t="n">
        <v>2</v>
      </c>
      <c r="E45" s="151" t="n">
        <v>2</v>
      </c>
      <c r="F45" s="167" t="n">
        <v>600000</v>
      </c>
      <c r="G45" s="168" t="n"/>
    </row>
    <row r="46" customFormat="1" s="21">
      <c r="A46" s="149" t="n"/>
      <c r="B46" s="150" t="n"/>
      <c r="C46" s="3" t="inlineStr">
        <is>
          <t>프로그램 안내 보드 (A1)</t>
        </is>
      </c>
      <c r="D46" s="151" t="n">
        <v>3</v>
      </c>
      <c r="E46" s="151" t="n">
        <v>1</v>
      </c>
      <c r="F46" s="167" t="n">
        <v>450000</v>
      </c>
      <c r="G46" s="168" t="n"/>
    </row>
    <row r="47" customFormat="1" s="21">
      <c r="A47" s="149" t="n"/>
      <c r="B47" s="150" t="n"/>
      <c r="C47" s="3" t="inlineStr">
        <is>
          <t xml:space="preserve">좌석배치도 보드 (A1) </t>
        </is>
      </c>
      <c r="D47" s="151" t="n">
        <v>3</v>
      </c>
      <c r="E47" s="151" t="n">
        <v>2</v>
      </c>
      <c r="F47" s="167" t="n">
        <v>900000</v>
      </c>
      <c r="G47" s="168" t="n"/>
    </row>
    <row r="48" customFormat="1" s="21">
      <c r="A48" s="149" t="n"/>
      <c r="B48" s="150" t="n"/>
      <c r="C48" s="3" t="inlineStr">
        <is>
          <t>포디움 보드</t>
        </is>
      </c>
      <c r="D48" s="151" t="n">
        <v>1</v>
      </c>
      <c r="E48" s="151" t="n">
        <v>8</v>
      </c>
      <c r="F48" s="167" t="n">
        <v>1200000</v>
      </c>
      <c r="G48" s="168" t="n"/>
    </row>
    <row r="49" customFormat="1" s="21">
      <c r="A49" s="149" t="n"/>
      <c r="B49" s="150" t="n"/>
      <c r="C49" s="73" t="inlineStr">
        <is>
          <t>현수막_무대 행사타이틀</t>
        </is>
      </c>
      <c r="D49" s="151" t="n">
        <v>2</v>
      </c>
      <c r="E49" s="151" t="n">
        <v>1</v>
      </c>
      <c r="F49" s="167" t="n">
        <v>500000</v>
      </c>
      <c r="G49" s="168" t="n"/>
    </row>
    <row r="50" customFormat="1" s="21">
      <c r="A50" s="149" t="n"/>
      <c r="B50" s="150" t="n"/>
      <c r="C50" s="73" t="inlineStr">
        <is>
          <t>현수막_A증권과 함께하세요 @신라호텔</t>
        </is>
      </c>
      <c r="D50" s="151" t="n">
        <v>1</v>
      </c>
      <c r="E50" s="151" t="n">
        <v>1</v>
      </c>
      <c r="F50" s="167" t="n">
        <v>250000</v>
      </c>
      <c r="G50" s="170" t="n"/>
    </row>
    <row r="51" customFormat="1" s="21">
      <c r="A51" s="157" t="n"/>
      <c r="B51" s="154" t="n"/>
      <c r="C51" s="73" t="inlineStr">
        <is>
          <t>현수막_A증권과 함께하세요 @콘래드, 인터콘티넨탈</t>
        </is>
      </c>
      <c r="D51" s="151" t="n">
        <v>2</v>
      </c>
      <c r="E51" s="151" t="n">
        <v>1</v>
      </c>
      <c r="F51" s="167">
        <f>187500*2</f>
        <v/>
      </c>
      <c r="G51" s="170" t="n"/>
    </row>
    <row r="52" ht="18" customFormat="1" customHeight="1" s="21">
      <c r="A52" s="159" t="inlineStr">
        <is>
          <t>소계</t>
        </is>
      </c>
      <c r="B52" s="160" t="n"/>
      <c r="C52" s="32" t="n"/>
      <c r="D52" s="162" t="n"/>
      <c r="E52" s="161" t="n"/>
      <c r="F52" s="171">
        <f>SUM(F40:F51)</f>
        <v/>
      </c>
      <c r="G52" s="163" t="n"/>
    </row>
    <row r="53" customFormat="1" s="21">
      <c r="A53" s="99" t="inlineStr">
        <is>
          <t>4. 인건비</t>
        </is>
      </c>
      <c r="B53" s="3" t="inlineStr">
        <is>
          <t>연출</t>
        </is>
      </c>
      <c r="C53" s="69" t="inlineStr">
        <is>
          <t>행사연출, 콘솔관리, 시나리오 작업</t>
        </is>
      </c>
      <c r="D53" s="164" t="n">
        <v>3.5</v>
      </c>
      <c r="E53" s="155" t="n">
        <v>1</v>
      </c>
      <c r="F53" s="169" t="n">
        <v>7000000</v>
      </c>
      <c r="G53" s="166" t="inlineStr">
        <is>
          <t>1월 29일(수) 취소 반영</t>
        </is>
      </c>
    </row>
    <row r="54" customFormat="1" s="21">
      <c r="A54" s="149" t="n"/>
      <c r="B54" s="3" t="inlineStr">
        <is>
          <t>운영</t>
        </is>
      </c>
      <c r="C54" s="69" t="inlineStr">
        <is>
          <t>무대 및 사회자 운영, 매뉴얼 작업</t>
        </is>
      </c>
      <c r="D54" s="164" t="n">
        <v>3.5</v>
      </c>
      <c r="E54" s="155" t="n">
        <v>2</v>
      </c>
      <c r="F54" s="169" t="n">
        <v>10500000</v>
      </c>
      <c r="G54" s="166" t="inlineStr">
        <is>
          <t>1월 29일(수) 취소 반영</t>
        </is>
      </c>
    </row>
    <row r="55" customFormat="1" s="21">
      <c r="A55" s="149" t="n"/>
      <c r="B55" s="3" t="inlineStr">
        <is>
          <t>디자인</t>
        </is>
      </c>
      <c r="C55" s="3" t="inlineStr">
        <is>
          <t>인쇄 및 장치장식 디자인</t>
        </is>
      </c>
      <c r="D55" s="151" t="n">
        <v>1</v>
      </c>
      <c r="E55" s="151" t="n">
        <v>1</v>
      </c>
      <c r="F55" s="167" t="n">
        <v>2500000</v>
      </c>
      <c r="G55" s="172" t="n"/>
    </row>
    <row r="56" customFormat="1" s="21">
      <c r="A56" s="149" t="n"/>
      <c r="B56" s="100" t="inlineStr">
        <is>
          <t>사회자</t>
        </is>
      </c>
      <c r="C56" s="69" t="inlineStr">
        <is>
          <t>아니운서 전혜원 서울 1회 / 1월 21일(화)</t>
        </is>
      </c>
      <c r="D56" s="155" t="n">
        <v>1</v>
      </c>
      <c r="E56" s="155" t="n">
        <v>1</v>
      </c>
      <c r="F56" s="169" t="n">
        <v>880000</v>
      </c>
      <c r="G56" s="166" t="inlineStr">
        <is>
          <t>1월 29일(수) 취소 반영</t>
        </is>
      </c>
    </row>
    <row r="57" customFormat="1" s="21">
      <c r="A57" s="149" t="n"/>
      <c r="B57" s="150" t="n"/>
      <c r="C57" s="69" t="inlineStr">
        <is>
          <t>아니운서 전혜원 지방 1회 / 1월 20일(월)</t>
        </is>
      </c>
      <c r="D57" s="155" t="n">
        <v>1</v>
      </c>
      <c r="E57" s="155" t="n">
        <v>1</v>
      </c>
      <c r="F57" s="169" t="n">
        <v>990000</v>
      </c>
      <c r="G57" s="166" t="inlineStr">
        <is>
          <t>1월 30일(목) 취소 반영</t>
        </is>
      </c>
    </row>
    <row r="58" customFormat="1" s="21">
      <c r="A58" s="149" t="n"/>
      <c r="B58" s="150" t="n"/>
      <c r="C58" s="3" t="inlineStr">
        <is>
          <t>아나운서 안수미 서울 1회 / 1월 15일(수)</t>
        </is>
      </c>
      <c r="D58" s="151" t="n">
        <v>1</v>
      </c>
      <c r="E58" s="151" t="n">
        <v>1</v>
      </c>
      <c r="F58" s="167" t="n">
        <v>880000</v>
      </c>
      <c r="G58" s="170" t="n"/>
    </row>
    <row r="59" customFormat="1" s="21">
      <c r="A59" s="149" t="n"/>
      <c r="B59" s="154" t="n"/>
      <c r="C59" s="3" t="inlineStr">
        <is>
          <t>아나운서 정유미 서울 1회 / 1월 22일(수)</t>
        </is>
      </c>
      <c r="D59" s="151" t="n">
        <v>1</v>
      </c>
      <c r="E59" s="151" t="n">
        <v>1</v>
      </c>
      <c r="F59" s="167" t="n">
        <v>880000</v>
      </c>
      <c r="G59" s="170" t="n"/>
    </row>
    <row r="60" customFormat="1" s="21">
      <c r="A60" s="149" t="n"/>
      <c r="B60" s="3" t="inlineStr">
        <is>
          <t>진행팀장</t>
        </is>
      </c>
      <c r="C60" s="69" t="inlineStr">
        <is>
          <t>사전준비 및 현장 운영</t>
        </is>
      </c>
      <c r="D60" s="155" t="n">
        <v>3</v>
      </c>
      <c r="E60" s="155" t="n">
        <v>1</v>
      </c>
      <c r="F60" s="169" t="n">
        <v>750000</v>
      </c>
      <c r="G60" s="166" t="inlineStr">
        <is>
          <t>1월 29일(수) 취소 반영</t>
        </is>
      </c>
    </row>
    <row r="61" customFormat="1" s="21">
      <c r="A61" s="157" t="n"/>
      <c r="B61" s="3" t="inlineStr">
        <is>
          <t>진행스텝</t>
        </is>
      </c>
      <c r="C61" s="69" t="inlineStr">
        <is>
          <t>현장운영 및 안내데스크 운영</t>
        </is>
      </c>
      <c r="D61" s="155" t="n">
        <v>3</v>
      </c>
      <c r="E61" s="155" t="n">
        <v>2</v>
      </c>
      <c r="F61" s="169" t="n">
        <v>1125000</v>
      </c>
      <c r="G61" s="166" t="inlineStr">
        <is>
          <t>1월 29일(수) 취소 반영</t>
        </is>
      </c>
    </row>
    <row r="62" ht="18" customFormat="1" customHeight="1" s="21">
      <c r="A62" s="159" t="inlineStr">
        <is>
          <t>소계</t>
        </is>
      </c>
      <c r="B62" s="160" t="n"/>
      <c r="C62" s="32" t="n"/>
      <c r="D62" s="162" t="n"/>
      <c r="E62" s="161" t="n"/>
      <c r="F62" s="171">
        <f>SUM(F53:F61)</f>
        <v/>
      </c>
      <c r="G62" s="163" t="n"/>
    </row>
    <row r="63" ht="33" customFormat="1" customHeight="1" s="21">
      <c r="A63" s="30" t="inlineStr">
        <is>
          <t>5. 기타</t>
        </is>
      </c>
      <c r="B63" s="3" t="inlineStr">
        <is>
          <t>답례품</t>
        </is>
      </c>
      <c r="C63" s="3" t="inlineStr">
        <is>
          <t>참가자 증정용 기념품</t>
        </is>
      </c>
      <c r="D63" s="151" t="n">
        <v>1</v>
      </c>
      <c r="E63" s="173" t="n">
        <v>400</v>
      </c>
      <c r="F63" s="174" t="n">
        <v>10909200</v>
      </c>
      <c r="G63" s="175" t="inlineStr">
        <is>
          <t>1차 300세트 발주 (1/7)
2차 100세트 발주 (1/16)</t>
        </is>
      </c>
    </row>
    <row r="64" ht="18" customFormat="1" customHeight="1" s="21">
      <c r="A64" s="89" t="inlineStr">
        <is>
          <t>소계</t>
        </is>
      </c>
      <c r="B64" s="176" t="n"/>
      <c r="C64" s="34" t="n"/>
      <c r="D64" s="162" t="n"/>
      <c r="E64" s="161" t="n"/>
      <c r="F64" s="171">
        <f>SUM(F63)</f>
        <v/>
      </c>
      <c r="G64" s="163" t="n"/>
    </row>
    <row r="65" ht="21" customFormat="1" customHeight="1" s="21">
      <c r="A65" s="177" t="inlineStr">
        <is>
          <t>행사비 합계 (대행수수료 제외)</t>
        </is>
      </c>
      <c r="B65" s="160" t="n"/>
      <c r="C65" s="62" t="n"/>
      <c r="D65" s="178" t="n"/>
      <c r="E65" s="178" t="n"/>
      <c r="F65" s="179">
        <f>F35+F39+F52+F62+F64</f>
        <v/>
      </c>
      <c r="G65" s="65" t="n"/>
    </row>
    <row r="66" customFormat="1" s="21">
      <c r="A66" s="30" t="inlineStr">
        <is>
          <t>6. 대행수수료</t>
        </is>
      </c>
      <c r="B66" s="3" t="inlineStr">
        <is>
          <t>대행수수료</t>
        </is>
      </c>
      <c r="C66" s="3" t="inlineStr">
        <is>
          <t>광고대행사 대행수수료</t>
        </is>
      </c>
      <c r="D66" s="151" t="n">
        <v>1</v>
      </c>
      <c r="E66" s="173" t="n">
        <v>1</v>
      </c>
      <c r="F66" s="180">
        <f>F65*8.6%</f>
        <v/>
      </c>
      <c r="G66" s="181" t="inlineStr">
        <is>
          <t>8.6% 수수료율 적용</t>
        </is>
      </c>
    </row>
    <row r="67" ht="18" customFormat="1" customHeight="1" s="21">
      <c r="A67" s="89" t="inlineStr">
        <is>
          <t>소계</t>
        </is>
      </c>
      <c r="B67" s="176" t="n"/>
      <c r="C67" s="34" t="n"/>
      <c r="D67" s="162" t="n"/>
      <c r="E67" s="161" t="n"/>
      <c r="F67" s="171">
        <f>SUM(F66)</f>
        <v/>
      </c>
      <c r="G67" s="163" t="n"/>
    </row>
    <row r="68" ht="21" customFormat="1" customHeight="1" s="21">
      <c r="A68" s="177" t="inlineStr">
        <is>
          <t>행사비 합계 (대행수수료 포함)</t>
        </is>
      </c>
      <c r="B68" s="160" t="n"/>
      <c r="C68" s="62" t="n"/>
      <c r="D68" s="178" t="n"/>
      <c r="E68" s="178" t="n"/>
      <c r="F68" s="179">
        <f>F65+F67</f>
        <v/>
      </c>
      <c r="G68" s="65" t="n"/>
    </row>
    <row r="69" customFormat="1" s="21">
      <c r="A69" s="30" t="inlineStr">
        <is>
          <t>7. 운영비</t>
        </is>
      </c>
      <c r="B69" s="3" t="inlineStr">
        <is>
          <t>진행비</t>
        </is>
      </c>
      <c r="C69" s="3" t="inlineStr">
        <is>
          <t>사전 및 현장 진행비, 운송료, 식대, 기타</t>
        </is>
      </c>
      <c r="D69" s="151" t="n">
        <v>1</v>
      </c>
      <c r="E69" s="173" t="n">
        <v>1</v>
      </c>
      <c r="F69" s="174" t="n">
        <v>3750000</v>
      </c>
      <c r="G69" s="175" t="n"/>
    </row>
    <row r="70" ht="18" customFormat="1" customHeight="1" s="21">
      <c r="A70" s="159" t="inlineStr">
        <is>
          <t>소계</t>
        </is>
      </c>
      <c r="B70" s="160" t="n"/>
      <c r="C70" s="34" t="n"/>
      <c r="D70" s="162" t="n"/>
      <c r="E70" s="161" t="n"/>
      <c r="F70" s="171">
        <f>SUM(F69)</f>
        <v/>
      </c>
      <c r="G70" s="163" t="n"/>
    </row>
    <row r="71">
      <c r="A71" s="159" t="inlineStr">
        <is>
          <t>VAT</t>
        </is>
      </c>
      <c r="B71" s="160" t="n"/>
      <c r="C71" s="34" t="n"/>
      <c r="D71" s="162" t="n"/>
      <c r="E71" s="161" t="n"/>
      <c r="F71" s="171">
        <f>(F68+F70)*0.1</f>
        <v/>
      </c>
      <c r="G71" s="163" t="n"/>
    </row>
    <row r="72" ht="21" customHeight="1" s="127" thickBot="1">
      <c r="A72" s="182" t="inlineStr">
        <is>
          <t>총합</t>
        </is>
      </c>
      <c r="B72" s="138" t="n"/>
      <c r="C72" s="66" t="n"/>
      <c r="D72" s="183" t="n"/>
      <c r="E72" s="183" t="n"/>
      <c r="F72" s="184">
        <f>F68+F70+F71</f>
        <v/>
      </c>
      <c r="G72" s="81" t="n"/>
    </row>
    <row r="73" ht="36.75" customHeight="1" s="127" thickBot="1">
      <c r="A73" s="185" t="inlineStr">
        <is>
          <t>최종 청구 금액</t>
        </is>
      </c>
      <c r="B73" s="138" t="n"/>
      <c r="C73" s="82" t="n"/>
      <c r="D73" s="186" t="n"/>
      <c r="E73" s="186" t="n"/>
      <c r="F73" s="187" t="n">
        <v>115000000</v>
      </c>
      <c r="G73" s="85" t="inlineStr">
        <is>
          <t>십만원 단위 미만 절사</t>
        </is>
      </c>
    </row>
    <row r="74"/>
    <row r="75">
      <c r="A75" s="22" t="n"/>
    </row>
  </sheetData>
  <mergeCells count="33">
    <mergeCell ref="A64:B64"/>
    <mergeCell ref="B56:B59"/>
    <mergeCell ref="B7:C7"/>
    <mergeCell ref="G11:G34"/>
    <mergeCell ref="B3:C3"/>
    <mergeCell ref="A73:B73"/>
    <mergeCell ref="A11:A34"/>
    <mergeCell ref="A70:B70"/>
    <mergeCell ref="A2:C2"/>
    <mergeCell ref="A40:A51"/>
    <mergeCell ref="D2:E2"/>
    <mergeCell ref="A65:B65"/>
    <mergeCell ref="B17:B22"/>
    <mergeCell ref="B11:B16"/>
    <mergeCell ref="B29:B34"/>
    <mergeCell ref="B23:B28"/>
    <mergeCell ref="A36:A38"/>
    <mergeCell ref="F2:G2"/>
    <mergeCell ref="A53:A61"/>
    <mergeCell ref="A1:G1"/>
    <mergeCell ref="B40:B43"/>
    <mergeCell ref="A71:B71"/>
    <mergeCell ref="B44:B51"/>
    <mergeCell ref="A35:B35"/>
    <mergeCell ref="A62:B62"/>
    <mergeCell ref="D3:E7"/>
    <mergeCell ref="A52:B52"/>
    <mergeCell ref="A72:B72"/>
    <mergeCell ref="B5:C5"/>
    <mergeCell ref="A68:B68"/>
    <mergeCell ref="A67:B67"/>
    <mergeCell ref="B4:C4"/>
    <mergeCell ref="A39:B39"/>
  </mergeCells>
  <printOptions horizontalCentered="1"/>
  <pageMargins left="0.7" right="0.7" top="0.75" bottom="0.75" header="0.3" footer="0.3"/>
  <pageSetup orientation="portrait" paperSize="8" scale="62" fitToHeight="0"/>
  <headerFooter>
    <oddHeader/>
    <oddFooter>&amp;C&amp;P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LG</dc:creator>
  <dcterms:created xsi:type="dcterms:W3CDTF">2019-12-18T07:41:32Z</dcterms:created>
  <dcterms:modified xsi:type="dcterms:W3CDTF">2026-05-18T12:22:49Z</dcterms:modified>
  <cp:lastModifiedBy>CHEIL</cp:lastModifiedBy>
  <cp:lastPrinted>2020-01-07T02:31:34Z</cp:lastPrinted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NSCPROP" fmtid="{D5CDD505-2E9C-101B-9397-08002B2CF9AE}" pid="2">
    <vt:lpwstr>NSCCustomProperty</vt:lpwstr>
  </property>
</Properties>
</file>