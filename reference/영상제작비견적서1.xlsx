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견적서" sheetId="1" state="visible" r:id="rId1"/>
  </sheets>
  <externalReferences>
    <externalReference r:id="rId2"/>
    <externalReference r:id="rId3"/>
  </externalReferences>
  <definedNames>
    <definedName name="_1">[2]I一般比!#REF!</definedName>
    <definedName name="_2">[2]I一般比!#REF!</definedName>
    <definedName name="_3">#N/A</definedName>
    <definedName name="_4">[2]I一般比!#REF!</definedName>
    <definedName name="\0">#N/A</definedName>
    <definedName name="\a">#N/A</definedName>
    <definedName name="\g">'[2]N賃率-職'!#REF!</definedName>
    <definedName name="\x">#N/A</definedName>
    <definedName name="\z">#N/A</definedName>
    <definedName name="기ㅏㅓㅣㅏㅓㅏㅣㅓ">[1]I一般比!#REF!</definedName>
    <definedName name="ㄴㄴ">[2]I一般比!#REF!</definedName>
    <definedName name="ㄷㄱㄷ">'[2]N賃率-職'!#REF!</definedName>
    <definedName name="ㅇㅇ">[2]I一般比!#REF!</definedName>
    <definedName name="_xlnm.Print_Area" localSheetId="0">'견적서'!$A$1:$I$32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_ ;_ * \-#,##0_ ;_ * &quot;-&quot;_ ;_ @_ "/>
    <numFmt numFmtId="165" formatCode="#,##0.00_ "/>
    <numFmt numFmtId="166" formatCode="_ * #,##0.00_ ;_ * \-#,##0.00_ ;_ * &quot;-&quot;??_ ;_ @_ "/>
  </numFmts>
  <fonts count="25">
    <font>
      <name val="맑은 고딕"/>
      <family val="3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Tahoma"/>
      <family val="2"/>
      <sz val="11"/>
    </font>
    <font>
      <name val="돋움"/>
      <family val="3"/>
      <sz val="8"/>
    </font>
    <font>
      <name val="Tahoma"/>
      <family val="2"/>
      <b val="1"/>
      <sz val="10"/>
    </font>
    <font>
      <name val="돋움"/>
      <family val="3"/>
      <sz val="10"/>
    </font>
    <font>
      <name val="HY중고딕"/>
      <charset val="129"/>
      <family val="1"/>
      <sz val="11"/>
    </font>
    <font>
      <name val="HY중고딕"/>
      <charset val="129"/>
      <family val="1"/>
      <sz val="9"/>
    </font>
    <font>
      <name val="맑은 고딕"/>
      <charset val="129"/>
      <family val="3"/>
      <b val="1"/>
      <sz val="16"/>
      <scheme val="major"/>
    </font>
    <font>
      <name val="나눔고딕"/>
      <charset val="129"/>
      <family val="3"/>
      <b val="1"/>
      <sz val="10"/>
    </font>
    <font>
      <name val="나눔고딕"/>
      <charset val="129"/>
      <family val="3"/>
      <sz val="10"/>
    </font>
    <font>
      <name val="나눔고딕"/>
      <charset val="129"/>
      <family val="3"/>
      <b val="1"/>
      <color rgb="FFFF0000"/>
      <sz val="10"/>
    </font>
    <font>
      <name val="나눔고딕"/>
      <charset val="129"/>
      <family val="3"/>
      <sz val="11"/>
    </font>
    <font>
      <name val="ARIAL"/>
      <family val="2"/>
      <color indexed="8"/>
      <sz val="10"/>
    </font>
    <font>
      <name val="Arial"/>
      <family val="2"/>
      <b val="1"/>
      <sz val="12"/>
    </font>
    <font>
      <name val="굴림체"/>
      <charset val="129"/>
      <family val="3"/>
      <b val="1"/>
      <sz val="13"/>
      <u val="single"/>
    </font>
    <font>
      <name val="굴림체"/>
      <charset val="129"/>
      <family val="3"/>
      <sz val="12"/>
    </font>
    <font>
      <name val="굴림체"/>
      <charset val="129"/>
      <family val="3"/>
      <sz val="11"/>
    </font>
    <font>
      <name val="맑은 고딕"/>
      <charset val="129"/>
      <family val="3"/>
      <color theme="1"/>
      <sz val="11"/>
      <scheme val="minor"/>
    </font>
    <font>
      <name val="바탕체"/>
      <charset val="129"/>
      <family val="1"/>
      <sz val="12"/>
    </font>
    <font>
      <name val="돋움"/>
      <charset val="129"/>
      <family val="3"/>
      <sz val="11"/>
    </font>
    <font>
      <name val="나눔고딕"/>
      <charset val="129"/>
      <family val="3"/>
      <color rgb="FFFF0000"/>
      <sz val="10"/>
    </font>
    <font>
      <name val="돋움"/>
      <family val="3"/>
      <sz val="11"/>
    </font>
    <font>
      <name val="나눔고딕"/>
      <charset val="129"/>
      <family val="3"/>
      <color rgb="FFFF0000"/>
      <sz val="11"/>
    </font>
  </fonts>
  <fills count="4">
    <fill>
      <patternFill/>
    </fill>
    <fill>
      <patternFill patternType="gray125"/>
    </fill>
    <fill>
      <patternFill patternType="solid">
        <fgColor indexed="42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 applyAlignment="1">
      <alignment vertical="center"/>
    </xf>
    <xf numFmtId="0" fontId="14" fillId="0" borderId="0"/>
    <xf numFmtId="43" fontId="14" fillId="0" borderId="0"/>
    <xf numFmtId="0" fontId="15" fillId="0" borderId="1" applyAlignment="1">
      <alignment horizontal="left" vertical="center"/>
    </xf>
    <xf numFmtId="0" fontId="15" fillId="0" borderId="8" applyAlignment="1">
      <alignment horizontal="left" vertical="center"/>
    </xf>
    <xf numFmtId="0" fontId="16" fillId="0" borderId="0" applyAlignment="1">
      <alignment horizontal="centerContinuous" vertical="center"/>
    </xf>
    <xf numFmtId="0" fontId="17" fillId="3" borderId="0" applyAlignment="1">
      <alignment horizontal="center" vertical="center"/>
    </xf>
    <xf numFmtId="9" fontId="18" fillId="3" borderId="0" applyAlignment="1">
      <alignment horizontal="right"/>
    </xf>
    <xf numFmtId="10" fontId="18" fillId="0" borderId="0" applyAlignment="1">
      <alignment horizontal="right"/>
    </xf>
    <xf numFmtId="43" fontId="14" fillId="0" borderId="0"/>
    <xf numFmtId="41" fontId="2" fillId="0" borderId="0" applyAlignment="1">
      <alignment vertical="center"/>
    </xf>
    <xf numFmtId="41" fontId="19" fillId="0" borderId="0" applyAlignment="1">
      <alignment vertical="center"/>
    </xf>
    <xf numFmtId="41" fontId="2" fillId="0" borderId="0" applyAlignment="1">
      <alignment vertical="center"/>
    </xf>
    <xf numFmtId="41" fontId="2" fillId="0" borderId="0" applyAlignment="1">
      <alignment vertical="center"/>
    </xf>
    <xf numFmtId="164" fontId="20" fillId="0" borderId="0"/>
    <xf numFmtId="165" fontId="18" fillId="3" borderId="0" applyAlignment="1">
      <alignment horizontal="right"/>
    </xf>
    <xf numFmtId="166" fontId="20" fillId="0" borderId="0"/>
    <xf numFmtId="0" fontId="14" fillId="0" borderId="0"/>
    <xf numFmtId="0" fontId="19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19" fillId="0" borderId="0" applyAlignment="1">
      <alignment vertical="center"/>
    </xf>
    <xf numFmtId="0" fontId="21" fillId="0" borderId="0"/>
    <xf numFmtId="0" fontId="2" fillId="0" borderId="0" applyAlignment="1">
      <alignment vertical="center"/>
    </xf>
    <xf numFmtId="0" fontId="2" fillId="0" borderId="0" applyAlignment="1">
      <alignment vertical="center"/>
    </xf>
    <xf numFmtId="41" fontId="2" fillId="0" borderId="0" applyAlignment="1">
      <alignment vertical="center"/>
    </xf>
    <xf numFmtId="41" fontId="19" fillId="0" borderId="0" applyAlignment="1">
      <alignment vertical="center"/>
    </xf>
    <xf numFmtId="41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23" fillId="0" borderId="0"/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4" fillId="0" borderId="0"/>
  </cellStyleXfs>
  <cellXfs count="65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0" borderId="5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5" applyAlignment="1" pivotButton="0" quotePrefix="0" xfId="0">
      <alignment horizontal="left" vertical="top"/>
    </xf>
    <xf numFmtId="0" fontId="10" fillId="2" borderId="4" applyAlignment="1" pivotButton="0" quotePrefix="0" xfId="0">
      <alignment horizontal="left" vertical="center"/>
    </xf>
    <xf numFmtId="0" fontId="10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left" vertical="center"/>
    </xf>
    <xf numFmtId="0" fontId="10" fillId="2" borderId="3" applyAlignment="1" pivotButton="0" quotePrefix="0" xfId="0">
      <alignment horizontal="left" vertical="center"/>
    </xf>
    <xf numFmtId="0" fontId="10" fillId="2" borderId="3" applyAlignment="1" pivotButton="0" quotePrefix="0" xfId="0">
      <alignment horizontal="center" vertical="center"/>
    </xf>
    <xf numFmtId="41" fontId="10" fillId="2" borderId="3" applyAlignment="1" pivotButton="0" quotePrefix="0" xfId="0">
      <alignment horizontal="left" vertical="center"/>
    </xf>
    <xf numFmtId="41" fontId="10" fillId="2" borderId="3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0" fillId="2" borderId="2" applyAlignment="1" pivotButton="0" quotePrefix="0" xfId="0">
      <alignment vertical="center"/>
    </xf>
    <xf numFmtId="0" fontId="10" fillId="2" borderId="6" applyAlignment="1" pivotButton="0" quotePrefix="0" xfId="0">
      <alignment horizontal="center" vertical="center"/>
    </xf>
    <xf numFmtId="0" fontId="10" fillId="2" borderId="6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 vertical="center"/>
    </xf>
    <xf numFmtId="41" fontId="11" fillId="0" borderId="6" applyAlignment="1" pivotButton="0" quotePrefix="0" xfId="0">
      <alignment horizontal="left" vertical="center"/>
    </xf>
    <xf numFmtId="41" fontId="10" fillId="2" borderId="6" applyAlignment="1" pivotButton="0" quotePrefix="0" xfId="0">
      <alignment horizontal="center" vertical="center" wrapText="1"/>
    </xf>
    <xf numFmtId="41" fontId="10" fillId="2" borderId="6" applyAlignment="1" pivotButton="0" quotePrefix="0" xfId="0">
      <alignment horizontal="center" vertical="center"/>
    </xf>
    <xf numFmtId="41" fontId="22" fillId="0" borderId="6" applyAlignment="1" pivotButton="0" quotePrefix="0" xfId="0">
      <alignment horizontal="left" vertical="center"/>
    </xf>
    <xf numFmtId="41" fontId="12" fillId="2" borderId="6" applyAlignment="1" pivotButton="0" quotePrefix="0" xfId="0">
      <alignment horizontal="center" vertical="center" wrapText="1"/>
    </xf>
    <xf numFmtId="41" fontId="12" fillId="2" borderId="6" applyAlignment="1" pivotButton="0" quotePrefix="0" xfId="0">
      <alignment horizontal="center" vertical="center"/>
    </xf>
    <xf numFmtId="0" fontId="10" fillId="2" borderId="7" applyAlignment="1" pivotButton="0" quotePrefix="0" xfId="0">
      <alignment horizontal="center" vertical="center"/>
    </xf>
    <xf numFmtId="0" fontId="10" fillId="2" borderId="8" applyAlignment="1" pivotButton="0" quotePrefix="0" xfId="0">
      <alignment horizontal="center" vertical="center"/>
    </xf>
    <xf numFmtId="0" fontId="10" fillId="2" borderId="9" applyAlignment="1" pivotButton="0" quotePrefix="0" xfId="0">
      <alignment horizontal="center" vertical="center"/>
    </xf>
    <xf numFmtId="0" fontId="13" fillId="0" borderId="7" applyAlignment="1" pivotButton="0" quotePrefix="0" xfId="0">
      <alignment horizontal="left" vertical="center" wrapText="1"/>
    </xf>
    <xf numFmtId="0" fontId="13" fillId="0" borderId="9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center" vertical="center"/>
    </xf>
    <xf numFmtId="0" fontId="10" fillId="2" borderId="6" applyAlignment="1" pivotButton="0" quotePrefix="0" xfId="0">
      <alignment horizontal="center" vertical="center"/>
    </xf>
    <xf numFmtId="0" fontId="10" fillId="2" borderId="6" applyAlignment="1" pivotButton="0" quotePrefix="0" xfId="0">
      <alignment horizontal="center" vertical="center"/>
    </xf>
    <xf numFmtId="0" fontId="11" fillId="0" borderId="10" applyAlignment="1" pivotButton="0" quotePrefix="0" xfId="0">
      <alignment horizontal="center" vertical="center"/>
    </xf>
    <xf numFmtId="0" fontId="11" fillId="0" borderId="11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center"/>
    </xf>
    <xf numFmtId="0" fontId="11" fillId="0" borderId="7" applyAlignment="1" pivotButton="0" quotePrefix="0" xfId="0">
      <alignment horizontal="left" vertical="center" wrapText="1"/>
    </xf>
    <xf numFmtId="0" fontId="11" fillId="0" borderId="9" applyAlignment="1" pivotButton="0" quotePrefix="0" xfId="0">
      <alignment horizontal="left" vertical="center" wrapText="1"/>
    </xf>
    <xf numFmtId="0" fontId="24" fillId="0" borderId="6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left" vertical="center" wrapText="1"/>
    </xf>
    <xf numFmtId="0" fontId="22" fillId="0" borderId="9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center" vertical="center" wrapText="1"/>
    </xf>
    <xf numFmtId="0" fontId="0" fillId="0" borderId="0" pivotButton="0" quotePrefix="0" xfId="0"/>
    <xf numFmtId="41" fontId="10" fillId="2" borderId="3" applyAlignment="1" pivotButton="0" quotePrefix="0" xfId="0">
      <alignment horizontal="center" vertical="center"/>
    </xf>
    <xf numFmtId="41" fontId="10" fillId="2" borderId="3" applyAlignment="1" pivotButton="0" quotePrefix="0" xfId="0">
      <alignment horizontal="left" vertical="center"/>
    </xf>
    <xf numFmtId="0" fontId="0" fillId="0" borderId="9" pivotButton="0" quotePrefix="0" xfId="0"/>
    <xf numFmtId="41" fontId="11" fillId="0" borderId="6" applyAlignment="1" pivotButton="0" quotePrefix="0" xfId="0">
      <alignment horizontal="left" vertical="center"/>
    </xf>
    <xf numFmtId="41" fontId="22" fillId="0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8" pivotButton="0" quotePrefix="0" xfId="0"/>
    <xf numFmtId="41" fontId="10" fillId="2" borderId="6" applyAlignment="1" pivotButton="0" quotePrefix="0" xfId="0">
      <alignment horizontal="center" vertical="center" wrapText="1"/>
    </xf>
    <xf numFmtId="41" fontId="12" fillId="2" borderId="6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left" vertical="center" wrapText="1"/>
    </xf>
    <xf numFmtId="0" fontId="22" fillId="0" borderId="6" applyAlignment="1" pivotButton="0" quotePrefix="0" xfId="0">
      <alignment horizontal="left" vertical="center" wrapText="1"/>
    </xf>
    <xf numFmtId="0" fontId="11" fillId="0" borderId="17" applyAlignment="1" pivotButton="0" quotePrefix="0" xfId="0">
      <alignment horizontal="center" vertical="center"/>
    </xf>
    <xf numFmtId="0" fontId="0" fillId="0" borderId="11" pivotButton="0" quotePrefix="0" xfId="0"/>
    <xf numFmtId="41" fontId="10" fillId="2" borderId="6" applyAlignment="1" pivotButton="0" quotePrefix="0" xfId="0">
      <alignment horizontal="center" vertical="center"/>
    </xf>
    <xf numFmtId="41" fontId="12" fillId="2" borderId="6" applyAlignment="1" pivotButton="0" quotePrefix="0" xfId="0">
      <alignment horizontal="center" vertical="center"/>
    </xf>
    <xf numFmtId="0" fontId="13" fillId="0" borderId="6" applyAlignment="1" pivotButton="0" quotePrefix="0" xfId="0">
      <alignment horizontal="left" vertical="center" wrapText="1"/>
    </xf>
  </cellXfs>
  <cellStyles count="34">
    <cellStyle name="표준" xfId="0" builtinId="0"/>
    <cellStyle name="표준 2" xfId="1"/>
    <cellStyle name="쉼표 [0] 2" xfId="2"/>
    <cellStyle name="Header1" xfId="3"/>
    <cellStyle name="Header2" xfId="4"/>
    <cellStyle name="title [1]" xfId="5"/>
    <cellStyle name="title [2]" xfId="6"/>
    <cellStyle name="백분율 [0]" xfId="7"/>
    <cellStyle name="백분율 [2]" xfId="8"/>
    <cellStyle name="쉼표 [0] 2 2" xfId="9"/>
    <cellStyle name="쉼표 [0] 3" xfId="10"/>
    <cellStyle name="쉼표 [0] 3 2" xfId="11"/>
    <cellStyle name="쉼표 [0] 4" xfId="12"/>
    <cellStyle name="쉼표 [0] 5" xfId="13"/>
    <cellStyle name="콤마 [0]_1안" xfId="14"/>
    <cellStyle name="콤마 [2]" xfId="15"/>
    <cellStyle name="콤마_6월실적" xfId="16"/>
    <cellStyle name="표준 2 2" xfId="17"/>
    <cellStyle name="표준 3" xfId="18"/>
    <cellStyle name="표준 3 2" xfId="19"/>
    <cellStyle name="표준 4" xfId="20"/>
    <cellStyle name="표준 5" xfId="21"/>
    <cellStyle name="표준 6" xfId="22"/>
    <cellStyle name="표준 7" xfId="23"/>
    <cellStyle name="표준 8" xfId="24"/>
    <cellStyle name="쉼표 [0] 6" xfId="25"/>
    <cellStyle name="쉼표 [0] 4 2" xfId="26"/>
    <cellStyle name="쉼표 [0] 5 2" xfId="27"/>
    <cellStyle name="표준 3 2 2" xfId="28"/>
    <cellStyle name="표준 4 2" xfId="29"/>
    <cellStyle name="표준 6 2" xfId="30"/>
    <cellStyle name="표준 7 2" xfId="31"/>
    <cellStyle name="표준 8 2" xfId="32"/>
    <cellStyle name="표준 9" xfId="33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&#51060;&#49440;&#55148;/DOCUME~1/&#52852;&#52852;&#50724;~1/&#45224;&#44592;&#54840;/&#44032;&#51256;&#44032;&#49464;&#50836;/work-form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FaFo/Desktop/&#54620;&#50984;%20&#44204;&#51201;/&#45224;&#44592;&#54840;/&#44032;&#51256;&#44032;&#49464;&#50836;/work-form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一般比"/>
      <sheetName val="N賃率-職"/>
    </sheetNames>
    <sheetDataSet>
      <sheetData sheetId="0" refreshError="1"/>
      <sheetData sheetId="1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I一般比"/>
      <sheetName val="N賃率-職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I32"/>
  <sheetViews>
    <sheetView tabSelected="1" zoomScale="85" zoomScaleNormal="85" workbookViewId="0">
      <selection activeCell="A2" sqref="A2"/>
    </sheetView>
  </sheetViews>
  <sheetFormatPr baseColWidth="8" defaultColWidth="8.875" defaultRowHeight="14.25" customHeight="1"/>
  <cols>
    <col width="20" customWidth="1" style="1" min="1" max="1"/>
    <col width="18.125" customWidth="1" style="2" min="2" max="2"/>
    <col width="18" customWidth="1" style="2" min="3" max="3"/>
    <col width="19.625" customWidth="1" style="2" min="4" max="6"/>
    <col width="19.75" customWidth="1" style="2" min="7" max="7"/>
    <col width="17.75" customWidth="1" style="2" min="8" max="8"/>
    <col width="31.875" customWidth="1" style="2" min="9" max="9"/>
  </cols>
  <sheetData>
    <row r="1" ht="23.25" customHeight="1" s="47">
      <c r="A1" s="5" t="e">
        <v>#VALUE!</v>
      </c>
      <c r="B1" s="5" t="n"/>
      <c r="C1" s="7" t="n"/>
      <c r="D1" s="6" t="n"/>
      <c r="E1" s="6" t="n"/>
      <c r="F1" s="6" t="n"/>
      <c r="G1" s="6" t="n"/>
      <c r="H1" s="6" t="n"/>
      <c r="I1" s="6" t="n"/>
    </row>
    <row r="2" ht="21.6" customFormat="1" customHeight="1" s="3">
      <c r="A2" s="8" t="inlineStr">
        <is>
          <t xml:space="preserve">JOB NO : </t>
        </is>
      </c>
      <c r="B2" s="8" t="n"/>
      <c r="C2" s="8" t="n"/>
      <c r="D2" s="8" t="inlineStr">
        <is>
          <t>규격(편수) : □ 메인 :15"X 1 (편)</t>
        </is>
      </c>
      <c r="E2" s="8" t="n"/>
      <c r="F2" s="8" t="n"/>
      <c r="G2" s="8" t="n"/>
      <c r="H2" s="8" t="n"/>
      <c r="I2" s="8" t="inlineStr">
        <is>
          <t>□ 추가 : 기타 극장/엘리베이터 소재</t>
        </is>
      </c>
    </row>
    <row r="3" ht="21.6" customFormat="1" customHeight="1" s="3">
      <c r="A3" s="10" t="inlineStr">
        <is>
          <t xml:space="preserve">JOB 명 : </t>
        </is>
      </c>
      <c r="B3" s="10" t="n"/>
      <c r="C3" s="10" t="n"/>
      <c r="D3" s="10" t="inlineStr">
        <is>
          <t>매체집행 : □ TVC    □ CATV    □ 극장용  □ 유튜브 외</t>
        </is>
      </c>
      <c r="E3" s="10" t="n"/>
      <c r="F3" s="10" t="n"/>
      <c r="G3" s="10" t="n"/>
      <c r="H3" s="10" t="n"/>
      <c r="I3" s="10" t="n"/>
    </row>
    <row r="4" ht="21.6" customFormat="1" customHeight="1" s="3">
      <c r="A4" s="11" t="inlineStr">
        <is>
          <t xml:space="preserve">제작 CD : 이상현         </t>
        </is>
      </c>
      <c r="B4" s="11" t="inlineStr">
        <is>
          <t>ART : 한태희</t>
        </is>
      </c>
      <c r="C4" s="11" t="inlineStr">
        <is>
          <t>CW : 석정호</t>
        </is>
      </c>
      <c r="D4" s="20" t="inlineStr">
        <is>
          <t>AE : 이재환, 유인명, 최병호, 권두인, 박소현</t>
        </is>
      </c>
      <c r="E4" s="20" t="n"/>
      <c r="F4" s="20" t="n"/>
      <c r="G4" s="11" t="n"/>
      <c r="H4" s="11" t="n"/>
      <c r="I4" s="11" t="n"/>
    </row>
    <row r="5" ht="21.6" customFormat="1" customHeight="1" s="3">
      <c r="A5" s="10" t="inlineStr">
        <is>
          <t>프로덕션 : 시대의 시선</t>
        </is>
      </c>
      <c r="B5" s="10" t="inlineStr">
        <is>
          <t>감독 : 박성철</t>
        </is>
      </c>
      <c r="C5" s="10" t="inlineStr">
        <is>
          <t>PD : 김양훈</t>
        </is>
      </c>
      <c r="D5" s="10" t="inlineStr">
        <is>
          <t>PM : 박주일</t>
        </is>
      </c>
      <c r="E5" s="10" t="n"/>
      <c r="F5" s="10" t="n"/>
      <c r="G5" s="10" t="n"/>
      <c r="H5" s="10" t="n"/>
      <c r="I5" s="10" t="n"/>
    </row>
    <row r="6" ht="21.6" customFormat="1" customHeight="1" s="3">
      <c r="A6" s="12" t="inlineStr">
        <is>
          <t>촬영일자 : 3/18,19</t>
        </is>
      </c>
      <c r="B6" s="12" t="inlineStr">
        <is>
          <t>온에어일 : 4/1</t>
        </is>
      </c>
      <c r="C6" s="13" t="n"/>
      <c r="D6" s="12" t="inlineStr">
        <is>
          <t xml:space="preserve">예산 : </t>
        </is>
      </c>
      <c r="E6" s="12" t="n"/>
      <c r="F6" s="12" t="n"/>
      <c r="G6" s="48" t="n"/>
      <c r="H6" s="49" t="inlineStr">
        <is>
          <t>완료견적 :</t>
        </is>
      </c>
      <c r="I6" s="48">
        <f>+G29</f>
        <v/>
      </c>
    </row>
    <row r="7" ht="21.6" customFormat="1" customHeight="1" s="3">
      <c r="A7" s="16" t="n"/>
      <c r="B7" s="16" t="n"/>
      <c r="C7" s="17" t="n"/>
      <c r="D7" s="16" t="n"/>
      <c r="E7" s="16" t="n"/>
      <c r="F7" s="16" t="n"/>
      <c r="G7" s="16" t="n"/>
      <c r="H7" s="16" t="n"/>
      <c r="I7" s="17" t="n"/>
    </row>
    <row r="8" ht="36" customFormat="1" customHeight="1" s="4">
      <c r="A8" s="37" t="inlineStr">
        <is>
          <t>구분</t>
        </is>
      </c>
      <c r="B8" s="37" t="inlineStr">
        <is>
          <t>항목</t>
        </is>
      </c>
      <c r="C8" s="37" t="inlineStr">
        <is>
          <t>협력회사</t>
        </is>
      </c>
      <c r="D8" s="22" t="inlineStr">
        <is>
          <t>사전견적
(3/15)</t>
        </is>
      </c>
      <c r="E8" s="22" t="inlineStr">
        <is>
          <t>견적 조정</t>
        </is>
      </c>
      <c r="F8" s="22" t="inlineStr">
        <is>
          <t>최종견적
(3/29)</t>
        </is>
      </c>
      <c r="G8" s="37" t="inlineStr">
        <is>
          <t>최종견적</t>
        </is>
      </c>
      <c r="H8" s="37" t="inlineStr">
        <is>
          <t>비  고</t>
        </is>
      </c>
      <c r="I8" s="50" t="n"/>
    </row>
    <row r="9" ht="26.25" customFormat="1" customHeight="1" s="4">
      <c r="A9" s="40" t="inlineStr">
        <is>
          <t>정가항목</t>
        </is>
      </c>
      <c r="B9" s="40" t="inlineStr">
        <is>
          <t>기획료</t>
        </is>
      </c>
      <c r="C9" s="40" t="inlineStr">
        <is>
          <t>광고대행사</t>
        </is>
      </c>
      <c r="D9" s="51" t="n">
        <v>3000000</v>
      </c>
      <c r="E9" s="52">
        <f>F9-D9</f>
        <v/>
      </c>
      <c r="F9" s="51" t="n">
        <v>1500000</v>
      </c>
      <c r="G9" s="51" t="n"/>
      <c r="H9" s="43" t="inlineStr">
        <is>
          <t>광고대행사 정가항목 50% 조정</t>
        </is>
      </c>
      <c r="I9" s="50" t="n"/>
    </row>
    <row r="10" ht="26.25" customFormat="1" customHeight="1" s="4">
      <c r="A10" s="53" t="n"/>
      <c r="B10" s="40" t="inlineStr">
        <is>
          <t>Copy료</t>
        </is>
      </c>
      <c r="C10" s="53" t="n"/>
      <c r="D10" s="51" t="n">
        <v>2000000</v>
      </c>
      <c r="E10" s="52">
        <f>F10-D10</f>
        <v/>
      </c>
      <c r="F10" s="51" t="n">
        <v>1000000</v>
      </c>
      <c r="G10" s="51" t="n"/>
      <c r="H10" s="43" t="inlineStr">
        <is>
          <t>광고대행사 정가항목 50% 조정</t>
        </is>
      </c>
      <c r="I10" s="50" t="n"/>
    </row>
    <row r="11" ht="26.25" customFormat="1" customHeight="1" s="4">
      <c r="A11" s="53" t="n"/>
      <c r="B11" s="40" t="inlineStr">
        <is>
          <t>Creative Work료</t>
        </is>
      </c>
      <c r="C11" s="53" t="n"/>
      <c r="D11" s="51" t="n">
        <v>2000000</v>
      </c>
      <c r="E11" s="52">
        <f>F11-D11</f>
        <v/>
      </c>
      <c r="F11" s="51" t="n">
        <v>1000000</v>
      </c>
      <c r="G11" s="51" t="n"/>
      <c r="H11" s="43" t="inlineStr">
        <is>
          <t>광고대행사 정가항목 50% 조정</t>
        </is>
      </c>
      <c r="I11" s="50" t="n"/>
    </row>
    <row r="12" ht="26.25" customFormat="1" customHeight="1" s="4">
      <c r="A12" s="53" t="n"/>
      <c r="B12" s="40" t="inlineStr">
        <is>
          <t>Direction료</t>
        </is>
      </c>
      <c r="C12" s="53" t="n"/>
      <c r="D12" s="51" t="n">
        <v>2000000</v>
      </c>
      <c r="E12" s="52">
        <f>F12-D12</f>
        <v/>
      </c>
      <c r="F12" s="51" t="n">
        <v>1000000</v>
      </c>
      <c r="G12" s="51" t="n"/>
      <c r="H12" s="43" t="inlineStr">
        <is>
          <t>광고대행사 정가항목 50% 조정</t>
        </is>
      </c>
      <c r="I12" s="50" t="n"/>
    </row>
    <row r="13" ht="26.25" customFormat="1" customHeight="1" s="4">
      <c r="A13" s="54" t="n"/>
      <c r="B13" s="40" t="inlineStr">
        <is>
          <t>자료조사비</t>
        </is>
      </c>
      <c r="C13" s="54" t="n"/>
      <c r="D13" s="51" t="n">
        <v>500000</v>
      </c>
      <c r="E13" s="52">
        <f>F13-D13</f>
        <v/>
      </c>
      <c r="F13" s="51" t="n">
        <v>0</v>
      </c>
      <c r="G13" s="51" t="n"/>
      <c r="H13" s="43" t="inlineStr">
        <is>
          <t>광고대행사 정가항목 100% 조정</t>
        </is>
      </c>
      <c r="I13" s="50" t="n"/>
    </row>
    <row r="14" ht="26.25" customFormat="1" customHeight="1" s="4">
      <c r="A14" s="37" t="inlineStr">
        <is>
          <t>정가항목계 (A)</t>
        </is>
      </c>
      <c r="B14" s="55" t="n"/>
      <c r="C14" s="50" t="n"/>
      <c r="D14" s="56">
        <f>SUM(D9:D13)</f>
        <v/>
      </c>
      <c r="E14" s="57">
        <f>F14-D14</f>
        <v/>
      </c>
      <c r="F14" s="56">
        <f>SUM(F9:F13)</f>
        <v/>
      </c>
      <c r="G14" s="37" t="n"/>
      <c r="H14" s="37" t="n"/>
      <c r="I14" s="50" t="n"/>
    </row>
    <row r="15" ht="26.25" customFormat="1" customHeight="1" s="4">
      <c r="A15" s="40" t="inlineStr">
        <is>
          <t>PD</t>
        </is>
      </c>
      <c r="B15" s="40" t="inlineStr">
        <is>
          <t xml:space="preserve">  Producer</t>
        </is>
      </c>
      <c r="C15" s="40" t="inlineStr">
        <is>
          <t>디케이필름</t>
        </is>
      </c>
      <c r="D15" s="51" t="n">
        <v>6000000</v>
      </c>
      <c r="E15" s="52">
        <f>F15-D15</f>
        <v/>
      </c>
      <c r="F15" s="51" t="n">
        <v>6000000</v>
      </c>
      <c r="G15" s="51" t="n"/>
      <c r="H15" s="58" t="inlineStr">
        <is>
          <t>15초 1종(15초) + 기타 소재</t>
        </is>
      </c>
      <c r="I15" s="50" t="n"/>
    </row>
    <row r="16" ht="26.25" customFormat="1" customHeight="1" s="4">
      <c r="A16" s="40" t="inlineStr">
        <is>
          <t>콘티</t>
        </is>
      </c>
      <c r="B16" s="40" t="inlineStr">
        <is>
          <t>콘티/일러스트</t>
        </is>
      </c>
      <c r="C16" s="40" t="n"/>
      <c r="D16" s="51" t="n"/>
      <c r="E16" s="52">
        <f>F16-D16</f>
        <v/>
      </c>
      <c r="F16" s="51" t="n"/>
      <c r="G16" s="51" t="n"/>
      <c r="H16" s="46" t="n"/>
      <c r="I16" s="50" t="n"/>
    </row>
    <row r="17" ht="26.25" customFormat="1" customHeight="1" s="4">
      <c r="A17" s="40" t="inlineStr">
        <is>
          <t>CF 프로덕션</t>
        </is>
      </c>
      <c r="B17" s="40" t="inlineStr">
        <is>
          <t>연출 및 제작</t>
        </is>
      </c>
      <c r="C17" s="40" t="inlineStr">
        <is>
          <t>시대의 시선</t>
        </is>
      </c>
      <c r="D17" s="51" t="n">
        <v>154020000</v>
      </c>
      <c r="E17" s="52">
        <f>F17-D17</f>
        <v/>
      </c>
      <c r="F17" s="51" t="n">
        <v>131460000</v>
      </c>
      <c r="G17" s="51" t="n"/>
      <c r="H17" s="59" t="inlineStr">
        <is>
          <t>*상세 시트 별첨</t>
        </is>
      </c>
      <c r="I17" s="50" t="n"/>
    </row>
    <row r="18" ht="102.75" customFormat="1" customHeight="1" s="4">
      <c r="A18" s="40" t="inlineStr">
        <is>
          <t>녹음</t>
        </is>
      </c>
      <c r="B18" s="40" t="inlineStr">
        <is>
          <t>녹음실</t>
        </is>
      </c>
      <c r="C18" s="40" t="inlineStr">
        <is>
          <t>키스에프엠</t>
        </is>
      </c>
      <c r="D18" s="51" t="n">
        <v>2000000</v>
      </c>
      <c r="E18" s="52">
        <f>F18-D18</f>
        <v/>
      </c>
      <c r="F18" s="51" t="n">
        <v>1500000</v>
      </c>
      <c r="G18" s="51" t="n"/>
      <c r="H18" s="58" t="inlineStr">
        <is>
          <t>녹음실 사용료/ 효과작업료
 - TVC 영상 1종(15초) + 기타 소재
    * 녹음실 사용료 단위당 단가 60만 원
    * 효과작업료 단위당 단가 30만 원
    → 단위당 합계 90만 원 *3 = 270만 원
       (총합 기준 네고 진행 -120만 원)</t>
        </is>
      </c>
      <c r="I18" s="50" t="n"/>
    </row>
    <row r="19" ht="26.25" customFormat="1" customHeight="1" s="4">
      <c r="A19" s="53" t="n"/>
      <c r="B19" s="40" t="inlineStr">
        <is>
          <t>오디오 PD</t>
        </is>
      </c>
      <c r="C19" s="40" t="inlineStr">
        <is>
          <t>황인우</t>
        </is>
      </c>
      <c r="D19" s="51" t="n">
        <v>2000000</v>
      </c>
      <c r="E19" s="52">
        <f>F19-D19</f>
        <v/>
      </c>
      <c r="F19" s="51" t="n">
        <v>1000000</v>
      </c>
      <c r="G19" s="51" t="n"/>
      <c r="H19" s="46" t="n"/>
      <c r="I19" s="50" t="n"/>
    </row>
    <row r="20" ht="53.25" customFormat="1" customHeight="1" s="4">
      <c r="A20" s="54" t="n"/>
      <c r="B20" s="40" t="inlineStr">
        <is>
          <t>성우</t>
        </is>
      </c>
      <c r="C20" s="40" t="n"/>
      <c r="D20" s="51" t="n">
        <v>1000000</v>
      </c>
      <c r="E20" s="52">
        <f>F20-D20</f>
        <v/>
      </c>
      <c r="F20" s="51" t="n">
        <v>1100000</v>
      </c>
      <c r="G20" s="51" t="n"/>
      <c r="H20" s="58" t="inlineStr">
        <is>
          <t>더빙, 나레이션 성우
- 마이크치 : 50만 원
- 쟈코비 : 60만 원</t>
        </is>
      </c>
      <c r="I20" s="50" t="n"/>
    </row>
    <row r="21" ht="68.25" customFormat="1" customHeight="1" s="4">
      <c r="A21" s="40" t="inlineStr">
        <is>
          <t>POST 프로덕션</t>
        </is>
      </c>
      <c r="B21" s="40" t="inlineStr">
        <is>
          <t>NTC</t>
        </is>
      </c>
      <c r="C21" s="40" t="inlineStr">
        <is>
          <t>남색</t>
        </is>
      </c>
      <c r="D21" s="51" t="n">
        <v>8500000</v>
      </c>
      <c r="E21" s="52">
        <f>F21-D21</f>
        <v/>
      </c>
      <c r="F21" s="51" t="n">
        <v>6000000</v>
      </c>
      <c r="G21" s="51" t="n"/>
      <c r="H21" s="58" t="inlineStr">
        <is>
          <t>컨버팅 및 색 보정
 - TVC 영상 1종(15초) + 기타 소재
    * 타임당 500만 원 * 2 = 1,000만 원
       (총합 기준 네고 진행 -400만 원)</t>
        </is>
      </c>
      <c r="I21" s="50" t="n"/>
    </row>
    <row r="22" ht="71.25" customFormat="1" customHeight="1" s="4">
      <c r="A22" s="53" t="n"/>
      <c r="B22" s="40" t="inlineStr">
        <is>
          <t>편집</t>
        </is>
      </c>
      <c r="C22" s="40" t="inlineStr">
        <is>
          <t>화이어웍스</t>
        </is>
      </c>
      <c r="D22" s="51" t="n">
        <v>8500000</v>
      </c>
      <c r="E22" s="52">
        <f>F22-D22</f>
        <v/>
      </c>
      <c r="F22" s="51" t="n">
        <v>6000000</v>
      </c>
      <c r="G22" s="51" t="n"/>
      <c r="H22" s="58" t="inlineStr">
        <is>
          <t>촬영 영상 편집 작업
 - TVC 영상 1종(15초) + 기타 소재
    * 타임당 500만 원 * 2 = 1,000만 원
      (총합 기준 네고 진행 -400만 원)</t>
        </is>
      </c>
      <c r="I22" s="50" t="n"/>
    </row>
    <row r="23" ht="75" customFormat="1" customHeight="1" s="4">
      <c r="A23" s="53" t="n"/>
      <c r="B23" s="40" t="inlineStr">
        <is>
          <t>2D</t>
        </is>
      </c>
      <c r="C23" s="40" t="inlineStr">
        <is>
          <t>러스터</t>
        </is>
      </c>
      <c r="D23" s="51" t="n">
        <v>16000000</v>
      </c>
      <c r="E23" s="52">
        <f>F23-D23</f>
        <v/>
      </c>
      <c r="F23" s="51" t="n">
        <v>10000000</v>
      </c>
      <c r="G23" s="51" t="n"/>
      <c r="H23" s="58" t="inlineStr">
        <is>
          <t>CG, 합성 작업
 - TVC 영상 1종(15초) + 기타 소재
    * 타임당 500만 원 * 4 = 2,000만 원
      (총합 기준 네고 진행 -1,000만 원)</t>
        </is>
      </c>
      <c r="I23" s="50" t="n"/>
    </row>
    <row r="24" ht="26.25" customFormat="1" customHeight="1" s="4">
      <c r="A24" s="54" t="n"/>
      <c r="B24" s="40" t="inlineStr">
        <is>
          <t>3D</t>
        </is>
      </c>
      <c r="C24" s="40" t="n"/>
      <c r="D24" s="51" t="n"/>
      <c r="E24" s="52">
        <f>F24-D24</f>
        <v/>
      </c>
      <c r="F24" s="51" t="n"/>
      <c r="G24" s="51" t="n"/>
      <c r="H24" s="46" t="n"/>
      <c r="I24" s="50" t="n"/>
    </row>
    <row r="25" ht="107.25" customFormat="1" customHeight="1" s="4">
      <c r="A25" s="40" t="inlineStr">
        <is>
          <t>모델 부문</t>
        </is>
      </c>
      <c r="B25" s="40" t="inlineStr">
        <is>
          <t>모델</t>
        </is>
      </c>
      <c r="C25" s="40" t="inlineStr">
        <is>
          <t>레디</t>
        </is>
      </c>
      <c r="D25" s="51" t="n">
        <v>23000000</v>
      </c>
      <c r="E25" s="52">
        <f>F25-D25</f>
        <v/>
      </c>
      <c r="F25" s="51" t="n">
        <v>18900000</v>
      </c>
      <c r="G25" s="51" t="n"/>
      <c r="H25" s="58" t="inlineStr">
        <is>
          <t>한국인 4인, 외국인 1인, 보조출연 6인, 3개월 기준
- 제이슨 : 700만 원
- 박찬우 : 300만 원
- 위광훈 : 300만 원
- 류환희 : 250만 원
- 오상연 : 250만 원
- 성인 보조출연 6인 : 90만 원</t>
        </is>
      </c>
      <c r="I25" s="50" t="n"/>
    </row>
    <row r="26" ht="26.25" customFormat="1" customHeight="1" s="4">
      <c r="A26" s="60" t="inlineStr">
        <is>
          <t>저작권 부문</t>
        </is>
      </c>
      <c r="B26" s="40" t="inlineStr">
        <is>
          <t>음원</t>
        </is>
      </c>
      <c r="C26" s="40" t="n"/>
      <c r="D26" s="51" t="n">
        <v>4000000</v>
      </c>
      <c r="E26" s="52">
        <f>F26-D26</f>
        <v/>
      </c>
      <c r="F26" s="51" t="n">
        <v>4000000</v>
      </c>
      <c r="G26" s="51" t="n"/>
      <c r="H26" s="58" t="inlineStr">
        <is>
          <t>라이브러리 음원 1건</t>
        </is>
      </c>
      <c r="I26" s="50" t="n"/>
    </row>
    <row r="27" ht="26.25" customFormat="1" customHeight="1" s="4">
      <c r="A27" s="61" t="n"/>
      <c r="B27" s="40" t="inlineStr">
        <is>
          <t>서체</t>
        </is>
      </c>
      <c r="C27" s="40" t="n"/>
      <c r="D27" s="51" t="n">
        <v>1400000</v>
      </c>
      <c r="E27" s="52">
        <f>F27-D27</f>
        <v/>
      </c>
      <c r="F27" s="51" t="n"/>
      <c r="G27" s="51" t="n"/>
      <c r="H27" s="58" t="inlineStr">
        <is>
          <t>무료 폰트 사용</t>
        </is>
      </c>
      <c r="I27" s="50" t="n"/>
    </row>
    <row r="28" ht="26.25" customFormat="1" customHeight="1" s="4">
      <c r="A28" s="40" t="inlineStr">
        <is>
          <t>기타 부문</t>
        </is>
      </c>
      <c r="B28" s="40" t="inlineStr">
        <is>
          <t>기타</t>
        </is>
      </c>
      <c r="C28" s="40" t="n"/>
      <c r="D28" s="51" t="n"/>
      <c r="E28" s="52">
        <f>F28-D28</f>
        <v/>
      </c>
      <c r="F28" s="51" t="n"/>
      <c r="G28" s="51" t="n"/>
      <c r="H28" s="46" t="n"/>
      <c r="I28" s="50" t="n"/>
    </row>
    <row r="29" ht="26.25" customFormat="1" customHeight="1" s="4">
      <c r="A29" s="37" t="inlineStr">
        <is>
          <t>외주항목계 (B)</t>
        </is>
      </c>
      <c r="B29" s="55" t="n"/>
      <c r="C29" s="50" t="n"/>
      <c r="D29" s="62">
        <f>SUM(D15:D28)</f>
        <v/>
      </c>
      <c r="E29" s="63">
        <f>F29-D29</f>
        <v/>
      </c>
      <c r="F29" s="62">
        <f>SUM(F15:F28)</f>
        <v/>
      </c>
      <c r="G29" s="62">
        <f>SUM(G15:G28)</f>
        <v/>
      </c>
      <c r="H29" s="37" t="n"/>
      <c r="I29" s="50" t="n"/>
    </row>
    <row r="30" ht="26.25" customFormat="1" customHeight="1" s="4">
      <c r="A30" s="35" t="inlineStr">
        <is>
          <t>대행수수료 (C)</t>
        </is>
      </c>
      <c r="B30" s="55" t="n"/>
      <c r="C30" s="50" t="n"/>
      <c r="D30" s="51">
        <f>D29*15%</f>
        <v/>
      </c>
      <c r="E30" s="52">
        <f>F30-D30</f>
        <v/>
      </c>
      <c r="F30" s="51">
        <f>F29*10%</f>
        <v/>
      </c>
      <c r="G30" s="51" t="n"/>
      <c r="H30" s="64" t="inlineStr">
        <is>
          <t xml:space="preserve"> (B)항목 * 17.65% → 10% 조정</t>
        </is>
      </c>
      <c r="I30" s="50" t="n"/>
    </row>
    <row r="31" ht="40.5" customFormat="1" customHeight="1" s="4">
      <c r="A31" s="37" t="inlineStr">
        <is>
          <t>총 합계</t>
        </is>
      </c>
      <c r="B31" s="55" t="n"/>
      <c r="C31" s="50" t="n"/>
      <c r="D31" s="62">
        <f>D14+D29+D30</f>
        <v/>
      </c>
      <c r="E31" s="63">
        <f>F31-D31</f>
        <v/>
      </c>
      <c r="F31" s="62">
        <f>F14+F29+F30</f>
        <v/>
      </c>
      <c r="G31" s="62">
        <f>SUM(G17:G30)</f>
        <v/>
      </c>
      <c r="H31" s="37" t="n"/>
      <c r="I31" s="50" t="n"/>
    </row>
    <row r="32" ht="14.25" customHeight="1" s="47">
      <c r="A32" s="18" t="n"/>
      <c r="B32" s="19" t="n"/>
      <c r="C32" s="19" t="n"/>
      <c r="D32" s="19" t="n"/>
      <c r="E32" s="19" t="n"/>
      <c r="F32" s="19" t="n"/>
      <c r="G32" s="19" t="n"/>
      <c r="H32" s="19" t="n"/>
      <c r="I32" s="19" t="n"/>
    </row>
  </sheetData>
  <mergeCells count="33">
    <mergeCell ref="C9:C13"/>
    <mergeCell ref="H20:I20"/>
    <mergeCell ref="H29:I29"/>
    <mergeCell ref="H10:I10"/>
    <mergeCell ref="H31:I31"/>
    <mergeCell ref="H9:I9"/>
    <mergeCell ref="H30:I30"/>
    <mergeCell ref="H25:I25"/>
    <mergeCell ref="H21:I21"/>
    <mergeCell ref="A9:A13"/>
    <mergeCell ref="A14:C14"/>
    <mergeCell ref="A26:A27"/>
    <mergeCell ref="A21:A24"/>
    <mergeCell ref="A29:C29"/>
    <mergeCell ref="H17:I17"/>
    <mergeCell ref="H11:I11"/>
    <mergeCell ref="H16:I16"/>
    <mergeCell ref="A31:C31"/>
    <mergeCell ref="H19:I19"/>
    <mergeCell ref="A30:C30"/>
    <mergeCell ref="H22:I22"/>
    <mergeCell ref="H28:I28"/>
    <mergeCell ref="H13:I13"/>
    <mergeCell ref="H27:I27"/>
    <mergeCell ref="H12:I12"/>
    <mergeCell ref="H8:I8"/>
    <mergeCell ref="H24:I24"/>
    <mergeCell ref="H18:I18"/>
    <mergeCell ref="H15:I15"/>
    <mergeCell ref="H23:I23"/>
    <mergeCell ref="H14:I14"/>
    <mergeCell ref="A18:A20"/>
    <mergeCell ref="H26:I26"/>
  </mergeCells>
  <pageMargins left="0.25" right="0.25" top="0.75" bottom="0.75" header="0.3" footer="0.3"/>
  <pageSetup orientation="portrait" paperSize="9" scale="5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손진석</dc:creator>
  <dcterms:created xsi:type="dcterms:W3CDTF">2005-04-20T05:06:33Z</dcterms:created>
  <dcterms:modified xsi:type="dcterms:W3CDTF">2026-05-18T12:22:50Z</dcterms:modified>
  <cp:lastModifiedBy>CHEIL</cp:lastModifiedBy>
  <cp:lastPrinted>2019-03-29T06:57:40Z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NSCPROP" fmtid="{D5CDD505-2E9C-101B-9397-08002B2CF9AE}" pid="2">
    <vt:lpwstr>NSCCustomProperty</vt:lpwstr>
  </property>
</Properties>
</file>