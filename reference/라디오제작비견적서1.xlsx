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RCM" sheetId="1" state="visible" r:id="rId1"/>
  </sheets>
  <definedNames>
    <definedName name="_xlnm.Print_Area" localSheetId="0">'RCM'!$A$1:$L$48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_-;_-@_-"/>
    <numFmt numFmtId="165" formatCode="\$#,##0_);[Red]\(\$#,##0\)"/>
    <numFmt numFmtId="166" formatCode="&quot;US$&quot;#,##0.00"/>
    <numFmt numFmtId="167" formatCode="&quot;₩&quot;#,##0"/>
  </numFmts>
  <fonts count="30">
    <font>
      <name val="돋움"/>
      <family val="3"/>
      <sz val="11"/>
    </font>
    <font>
      <name val="돋움"/>
      <family val="3"/>
      <sz val="11"/>
    </font>
    <font>
      <name val="돋움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rgb="FFFF0000"/>
      <sz val="11"/>
      <scheme val="minor"/>
    </font>
    <font>
      <name val="돋움"/>
      <family val="3"/>
      <sz val="11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sz val="9"/>
      <scheme val="minor"/>
    </font>
    <font>
      <name val="맑은 고딕"/>
      <charset val="129"/>
      <family val="3"/>
      <color rgb="FFFF0000"/>
      <sz val="9"/>
      <scheme val="minor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3"/>
      <b val="1"/>
      <sz val="8"/>
      <scheme val="minor"/>
    </font>
    <font>
      <name val="맑은 고딕"/>
      <charset val="129"/>
      <family val="3"/>
      <b val="1"/>
      <sz val="10"/>
      <scheme val="minor"/>
    </font>
    <font>
      <name val="Tahoma"/>
      <family val="2"/>
      <b val="1"/>
      <sz val="10"/>
    </font>
    <font>
      <name val="맑은 고딕"/>
      <charset val="129"/>
      <family val="3"/>
      <b val="1"/>
      <color rgb="FFFF0000"/>
      <sz val="9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color rgb="FFFF0000"/>
      <sz val="10"/>
      <scheme val="minor"/>
    </font>
    <font>
      <name val="돋움"/>
      <family val="3"/>
      <sz val="10"/>
    </font>
    <font>
      <name val="맑은 고딕"/>
      <charset val="129"/>
      <family val="3"/>
      <sz val="6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8"/>
      <scheme val="minor"/>
    </font>
    <font>
      <name val="맑은 고딕"/>
      <charset val="129"/>
      <family val="3"/>
      <color rgb="FFFF0000"/>
      <sz val="8"/>
      <scheme val="minor"/>
    </font>
    <font>
      <name val="Tahoma"/>
      <family val="2"/>
      <sz val="11"/>
    </font>
    <font>
      <name val="Tahoma"/>
      <family val="2"/>
      <sz val="8"/>
    </font>
    <font>
      <name val="Tahoma"/>
      <family val="2"/>
      <color rgb="FFFF0000"/>
      <sz val="11"/>
    </font>
    <font>
      <name val="돋움"/>
      <charset val="129"/>
      <family val="3"/>
      <sz val="8"/>
    </font>
    <font>
      <name val="Tahoma"/>
      <family val="2"/>
      <sz val="10"/>
    </font>
    <font>
      <name val="돋움"/>
      <charset val="129"/>
      <family val="3"/>
      <color rgb="FFFF0000"/>
      <sz val="10"/>
    </font>
  </fonts>
  <fills count="6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</fills>
  <borders count="59">
    <border>
      <left/>
      <right/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 style="medium">
        <color rgb="FFFF0000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6" fillId="0" borderId="0" applyAlignment="1">
      <alignment vertical="center"/>
    </xf>
    <xf numFmtId="41" fontId="6" fillId="0" borderId="0" applyAlignment="1">
      <alignment vertical="center"/>
    </xf>
  </cellStyleXfs>
  <cellXfs count="324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15" applyAlignment="1" pivotButton="0" quotePrefix="0" xfId="0">
      <alignment horizontal="left" vertical="center"/>
    </xf>
    <xf numFmtId="0" fontId="28" fillId="0" borderId="0" applyAlignment="1" pivotButton="0" quotePrefix="1" xfId="0">
      <alignment horizontal="center" vertical="center"/>
    </xf>
    <xf numFmtId="164" fontId="16" fillId="0" borderId="31" applyAlignment="1" pivotButton="0" quotePrefix="0" xfId="1">
      <alignment horizontal="left" vertical="center"/>
    </xf>
    <xf numFmtId="0" fontId="25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Continuous" vertical="top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centerContinuous" vertical="top"/>
    </xf>
    <xf numFmtId="0" fontId="3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0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right" vertical="center"/>
    </xf>
    <xf numFmtId="0" fontId="10" fillId="2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right" vertical="center"/>
    </xf>
    <xf numFmtId="0" fontId="14" fillId="2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0" fontId="10" fillId="2" borderId="3" applyAlignment="1" pivotButton="0" quotePrefix="0" xfId="0">
      <alignment horizontal="left" vertical="center"/>
    </xf>
    <xf numFmtId="0" fontId="10" fillId="2" borderId="3" applyAlignment="1" pivotButton="0" quotePrefix="0" xfId="0">
      <alignment horizontal="center" vertical="center"/>
    </xf>
    <xf numFmtId="0" fontId="14" fillId="2" borderId="3" applyAlignment="1" pivotButton="0" quotePrefix="0" xfId="0">
      <alignment horizontal="center" vertical="center"/>
    </xf>
    <xf numFmtId="0" fontId="10" fillId="2" borderId="3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6" fillId="2" borderId="4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16" fillId="2" borderId="6" applyAlignment="1" pivotButton="0" quotePrefix="0" xfId="0">
      <alignment horizontal="center" vertical="center"/>
    </xf>
    <xf numFmtId="0" fontId="16" fillId="2" borderId="7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6" fillId="0" borderId="8" applyAlignment="1" pivotButton="0" quotePrefix="0" xfId="0">
      <alignment horizontal="center" vertical="center"/>
    </xf>
    <xf numFmtId="0" fontId="16" fillId="0" borderId="9" applyAlignment="1" pivotButton="0" quotePrefix="0" xfId="0">
      <alignment horizontal="left" vertical="center"/>
    </xf>
    <xf numFmtId="0" fontId="16" fillId="0" borderId="10" applyAlignment="1" pivotButton="0" quotePrefix="0" xfId="0">
      <alignment horizontal="center" vertical="center"/>
    </xf>
    <xf numFmtId="0" fontId="16" fillId="0" borderId="11" applyAlignment="1" pivotButton="0" quotePrefix="0" xfId="0">
      <alignment horizontal="left" vertical="center"/>
    </xf>
    <xf numFmtId="0" fontId="16" fillId="0" borderId="12" applyAlignment="1" pivotButton="0" quotePrefix="0" xfId="0">
      <alignment horizontal="center" vertical="center"/>
    </xf>
    <xf numFmtId="164" fontId="16" fillId="0" borderId="13" applyAlignment="1" pivotButton="0" quotePrefix="0" xfId="1">
      <alignment horizontal="left" vertical="center"/>
    </xf>
    <xf numFmtId="164" fontId="17" fillId="0" borderId="13" applyAlignment="1" pivotButton="0" quotePrefix="0" xfId="1">
      <alignment horizontal="left" vertical="center"/>
    </xf>
    <xf numFmtId="0" fontId="16" fillId="0" borderId="14" applyAlignment="1" pivotButton="0" quotePrefix="0" xfId="0">
      <alignment horizontal="center" vertical="center"/>
    </xf>
    <xf numFmtId="0" fontId="16" fillId="0" borderId="15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16" fillId="0" borderId="16" applyAlignment="1" pivotButton="0" quotePrefix="0" xfId="0">
      <alignment horizontal="left" vertical="center"/>
    </xf>
    <xf numFmtId="164" fontId="16" fillId="0" borderId="16" applyAlignment="1" pivotButton="0" quotePrefix="0" xfId="1">
      <alignment horizontal="left" vertical="center"/>
    </xf>
    <xf numFmtId="164" fontId="16" fillId="0" borderId="13" applyAlignment="1" pivotButton="0" quotePrefix="0" xfId="1">
      <alignment horizontal="left" vertical="center"/>
    </xf>
    <xf numFmtId="164" fontId="17" fillId="0" borderId="13" applyAlignment="1" pivotButton="0" quotePrefix="0" xfId="1">
      <alignment horizontal="left" vertical="center"/>
    </xf>
    <xf numFmtId="0" fontId="18" fillId="0" borderId="0" applyAlignment="1" pivotButton="0" quotePrefix="0" xfId="0">
      <alignment vertical="center"/>
    </xf>
    <xf numFmtId="0" fontId="16" fillId="0" borderId="14" applyAlignment="1" pivotButton="0" quotePrefix="0" xfId="0">
      <alignment horizontal="center" vertical="center"/>
    </xf>
    <xf numFmtId="0" fontId="16" fillId="0" borderId="15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16" fillId="0" borderId="16" applyAlignment="1" pivotButton="0" quotePrefix="0" xfId="0">
      <alignment horizontal="left" vertical="center"/>
    </xf>
    <xf numFmtId="164" fontId="16" fillId="0" borderId="16" applyAlignment="1" pivotButton="0" quotePrefix="0" xfId="1">
      <alignment horizontal="left" vertical="center"/>
    </xf>
    <xf numFmtId="0" fontId="16" fillId="3" borderId="14" applyAlignment="1" pivotButton="0" quotePrefix="0" xfId="0">
      <alignment horizontal="center" vertical="center"/>
    </xf>
    <xf numFmtId="0" fontId="16" fillId="3" borderId="15" applyAlignment="1" pivotButton="0" quotePrefix="0" xfId="0">
      <alignment horizontal="left" vertical="center"/>
    </xf>
    <xf numFmtId="0" fontId="16" fillId="3" borderId="2" applyAlignment="1" pivotButton="0" quotePrefix="0" xfId="0">
      <alignment horizontal="center" vertical="center"/>
    </xf>
    <xf numFmtId="0" fontId="16" fillId="3" borderId="16" applyAlignment="1" pivotButton="0" quotePrefix="0" xfId="0">
      <alignment horizontal="left" vertical="center"/>
    </xf>
    <xf numFmtId="164" fontId="16" fillId="3" borderId="16" applyAlignment="1" pivotButton="0" quotePrefix="0" xfId="1">
      <alignment horizontal="left" vertical="center"/>
    </xf>
    <xf numFmtId="0" fontId="16" fillId="0" borderId="17" applyAlignment="1" pivotButton="0" quotePrefix="0" xfId="0">
      <alignment horizontal="center" vertical="center"/>
    </xf>
    <xf numFmtId="0" fontId="16" fillId="0" borderId="18" applyAlignment="1" pivotButton="0" quotePrefix="0" xfId="0">
      <alignment horizontal="left" vertical="center"/>
    </xf>
    <xf numFmtId="0" fontId="16" fillId="0" borderId="19" applyAlignment="1" pivotButton="0" quotePrefix="0" xfId="0">
      <alignment horizontal="center" vertical="center"/>
    </xf>
    <xf numFmtId="0" fontId="16" fillId="0" borderId="21" applyAlignment="1" pivotButton="0" quotePrefix="0" xfId="0">
      <alignment horizontal="left" vertical="center"/>
    </xf>
    <xf numFmtId="0" fontId="16" fillId="0" borderId="20" applyAlignment="1" pivotButton="0" quotePrefix="0" xfId="0">
      <alignment horizontal="center" vertical="center"/>
    </xf>
    <xf numFmtId="164" fontId="16" fillId="0" borderId="22" applyAlignment="1" pivotButton="0" quotePrefix="0" xfId="1">
      <alignment horizontal="left" vertical="center"/>
    </xf>
    <xf numFmtId="164" fontId="16" fillId="0" borderId="23" applyAlignment="1" pivotButton="0" quotePrefix="0" xfId="1">
      <alignment horizontal="left" vertical="center"/>
    </xf>
    <xf numFmtId="164" fontId="17" fillId="0" borderId="23" applyAlignment="1" pivotButton="0" quotePrefix="0" xfId="1">
      <alignment horizontal="left" vertical="center"/>
    </xf>
    <xf numFmtId="0" fontId="16" fillId="2" borderId="5" applyAlignment="1" pivotButton="0" quotePrefix="0" xfId="0">
      <alignment horizontal="left" vertical="center"/>
    </xf>
    <xf numFmtId="0" fontId="16" fillId="2" borderId="6" applyAlignment="1" pivotButton="0" quotePrefix="0" xfId="0">
      <alignment horizontal="left" vertical="center"/>
    </xf>
    <xf numFmtId="164" fontId="16" fillId="2" borderId="7" applyAlignment="1" pivotButton="0" quotePrefix="0" xfId="1">
      <alignment horizontal="left" vertical="center"/>
    </xf>
    <xf numFmtId="164" fontId="17" fillId="2" borderId="7" applyAlignment="1" pivotButton="0" quotePrefix="0" xfId="1">
      <alignment horizontal="left" vertical="center"/>
    </xf>
    <xf numFmtId="0" fontId="16" fillId="0" borderId="24" applyAlignment="1" pivotButton="0" quotePrefix="0" xfId="0">
      <alignment horizontal="left" vertical="center"/>
    </xf>
    <xf numFmtId="0" fontId="16" fillId="0" borderId="25" applyAlignment="1" pivotButton="0" quotePrefix="0" xfId="0">
      <alignment horizontal="left" vertical="center"/>
    </xf>
    <xf numFmtId="0" fontId="8" fillId="0" borderId="12" applyAlignment="1" pivotButton="0" quotePrefix="0" xfId="0">
      <alignment horizontal="center" vertical="center"/>
    </xf>
    <xf numFmtId="164" fontId="16" fillId="0" borderId="11" applyAlignment="1" pivotButton="0" quotePrefix="0" xfId="1">
      <alignment horizontal="left" vertical="center"/>
    </xf>
    <xf numFmtId="164" fontId="16" fillId="0" borderId="26" applyAlignment="1" pivotButton="0" quotePrefix="0" xfId="1">
      <alignment horizontal="left" vertical="center"/>
    </xf>
    <xf numFmtId="164" fontId="17" fillId="0" borderId="26" applyAlignment="1" pivotButton="0" quotePrefix="0" xfId="1">
      <alignment horizontal="left" vertical="center"/>
    </xf>
    <xf numFmtId="0" fontId="16" fillId="0" borderId="10" applyAlignment="1" pivotButton="0" quotePrefix="0" xfId="0">
      <alignment horizontal="left" vertical="center"/>
    </xf>
    <xf numFmtId="0" fontId="8" fillId="0" borderId="8" applyAlignment="1" pivotButton="0" quotePrefix="0" xfId="0">
      <alignment horizontal="center" vertical="center"/>
    </xf>
    <xf numFmtId="0" fontId="16" fillId="0" borderId="27" applyAlignment="1" pivotButton="0" quotePrefix="0" xfId="0">
      <alignment horizontal="left" vertical="center"/>
    </xf>
    <xf numFmtId="0" fontId="16" fillId="0" borderId="3" applyAlignment="1" pivotButton="0" quotePrefix="0" xfId="0">
      <alignment horizontal="left" vertical="center"/>
    </xf>
    <xf numFmtId="0" fontId="8" fillId="0" borderId="28" applyAlignment="1" pivotButton="0" quotePrefix="0" xfId="0">
      <alignment horizontal="center" vertical="center"/>
    </xf>
    <xf numFmtId="0" fontId="16" fillId="0" borderId="28" applyAlignment="1" pivotButton="0" quotePrefix="0" xfId="0">
      <alignment horizontal="center" vertical="center"/>
    </xf>
    <xf numFmtId="164" fontId="16" fillId="0" borderId="29" applyAlignment="1" pivotButton="0" quotePrefix="0" xfId="1">
      <alignment horizontal="left" vertical="center"/>
    </xf>
    <xf numFmtId="164" fontId="16" fillId="0" borderId="29" applyAlignment="1" pivotButton="0" quotePrefix="0" xfId="1">
      <alignment horizontal="left" vertical="center"/>
    </xf>
    <xf numFmtId="164" fontId="17" fillId="0" borderId="29" applyAlignment="1" pivotButton="0" quotePrefix="0" xfId="1">
      <alignment horizontal="left" vertical="center"/>
    </xf>
    <xf numFmtId="0" fontId="4" fillId="0" borderId="30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164" fontId="16" fillId="0" borderId="31" applyAlignment="1" pivotButton="0" quotePrefix="0" xfId="1">
      <alignment horizontal="left" vertical="center"/>
    </xf>
    <xf numFmtId="164" fontId="17" fillId="0" borderId="31" applyAlignment="1" pivotButton="0" quotePrefix="0" xfId="1">
      <alignment horizontal="left" vertical="center"/>
    </xf>
    <xf numFmtId="164" fontId="17" fillId="0" borderId="29" applyAlignment="1" pivotButton="0" quotePrefix="0" xfId="1">
      <alignment horizontal="left" vertical="center"/>
    </xf>
    <xf numFmtId="0" fontId="11" fillId="0" borderId="30" applyAlignment="1" pivotButton="0" quotePrefix="0" xfId="0">
      <alignment horizontal="center" vertical="center"/>
    </xf>
    <xf numFmtId="0" fontId="16" fillId="0" borderId="33" applyAlignment="1" pivotButton="0" quotePrefix="0" xfId="0">
      <alignment horizontal="center" vertical="center"/>
    </xf>
    <xf numFmtId="164" fontId="16" fillId="0" borderId="26" applyAlignment="1" pivotButton="0" quotePrefix="0" xfId="1">
      <alignment horizontal="left" vertical="center" shrinkToFit="1"/>
    </xf>
    <xf numFmtId="0" fontId="11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21" fillId="0" borderId="17" applyAlignment="1" pivotButton="0" quotePrefix="0" xfId="0">
      <alignment horizontal="center" vertical="center"/>
    </xf>
    <xf numFmtId="164" fontId="21" fillId="0" borderId="22" applyAlignment="1" pivotButton="0" quotePrefix="0" xfId="1">
      <alignment horizontal="left" vertical="center"/>
    </xf>
    <xf numFmtId="164" fontId="17" fillId="0" borderId="22" applyAlignment="1" pivotButton="0" quotePrefix="0" xfId="1">
      <alignment horizontal="left" vertical="center"/>
    </xf>
    <xf numFmtId="0" fontId="21" fillId="0" borderId="14" applyAlignment="1" pivotButton="0" quotePrefix="0" xfId="0">
      <alignment horizontal="center" vertical="center"/>
    </xf>
    <xf numFmtId="164" fontId="17" fillId="0" borderId="16" applyAlignment="1" pivotButton="0" quotePrefix="0" xfId="1">
      <alignment horizontal="left" vertical="center"/>
    </xf>
    <xf numFmtId="0" fontId="9" fillId="0" borderId="19" applyAlignment="1" pivotButton="0" quotePrefix="0" xfId="0">
      <alignment horizontal="left" vertical="center"/>
    </xf>
    <xf numFmtId="0" fontId="17" fillId="0" borderId="17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0" fontId="11" fillId="0" borderId="34" applyAlignment="1" pivotButton="0" quotePrefix="0" xfId="0">
      <alignment horizontal="center" vertical="center"/>
    </xf>
    <xf numFmtId="0" fontId="16" fillId="0" borderId="34" applyAlignment="1" pivotButton="0" quotePrefix="0" xfId="0">
      <alignment vertical="center"/>
    </xf>
    <xf numFmtId="164" fontId="16" fillId="0" borderId="33" applyAlignment="1" pivotButton="0" quotePrefix="0" xfId="1">
      <alignment horizontal="left" vertical="center"/>
    </xf>
    <xf numFmtId="0" fontId="16" fillId="0" borderId="36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165" fontId="16" fillId="0" borderId="23" applyAlignment="1" pivotButton="0" quotePrefix="0" xfId="1">
      <alignment horizontal="right" vertical="center"/>
    </xf>
    <xf numFmtId="0" fontId="4" fillId="0" borderId="32" applyAlignment="1" pivotButton="0" quotePrefix="0" xfId="0">
      <alignment horizontal="left" vertical="center"/>
    </xf>
    <xf numFmtId="0" fontId="16" fillId="0" borderId="33" applyAlignment="1" pivotButton="0" quotePrefix="0" xfId="0">
      <alignment horizontal="center" vertical="center" shrinkToFit="1"/>
    </xf>
    <xf numFmtId="164" fontId="17" fillId="0" borderId="33" applyAlignment="1" pivotButton="0" quotePrefix="0" xfId="1">
      <alignment horizontal="left" vertical="center"/>
    </xf>
    <xf numFmtId="0" fontId="16" fillId="0" borderId="14" applyAlignment="1" pivotButton="0" quotePrefix="0" xfId="0">
      <alignment horizontal="center" vertical="center" shrinkToFit="1"/>
    </xf>
    <xf numFmtId="164" fontId="16" fillId="0" borderId="16" applyAlignment="1" pivotButton="0" quotePrefix="0" xfId="1">
      <alignment horizontal="left" vertical="center" shrinkToFit="1"/>
    </xf>
    <xf numFmtId="0" fontId="16" fillId="0" borderId="28" applyAlignment="1" pivotButton="0" quotePrefix="0" xfId="0">
      <alignment horizontal="center" vertical="center" shrinkToFit="1"/>
    </xf>
    <xf numFmtId="164" fontId="16" fillId="0" borderId="29" applyAlignment="1" pivotButton="0" quotePrefix="0" xfId="1">
      <alignment horizontal="left" vertical="center" shrinkToFit="1"/>
    </xf>
    <xf numFmtId="0" fontId="16" fillId="0" borderId="0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164" fontId="16" fillId="0" borderId="21" applyAlignment="1" pivotButton="0" quotePrefix="0" xfId="1">
      <alignment horizontal="left" vertical="center"/>
    </xf>
    <xf numFmtId="165" fontId="16" fillId="2" borderId="6" applyAlignment="1" pivotButton="0" quotePrefix="0" xfId="0">
      <alignment horizontal="center" vertical="center"/>
    </xf>
    <xf numFmtId="164" fontId="16" fillId="2" borderId="4" applyAlignment="1" pivotButton="0" quotePrefix="0" xfId="1">
      <alignment horizontal="left" vertical="center"/>
    </xf>
    <xf numFmtId="164" fontId="17" fillId="2" borderId="4" applyAlignment="1" pivotButton="0" quotePrefix="0" xfId="1">
      <alignment horizontal="left" vertical="center"/>
    </xf>
    <xf numFmtId="0" fontId="16" fillId="3" borderId="37" applyAlignment="1" pivotButton="0" quotePrefix="0" xfId="0">
      <alignment horizontal="center" vertical="center"/>
    </xf>
    <xf numFmtId="0" fontId="16" fillId="3" borderId="38" applyAlignment="1" pivotButton="0" quotePrefix="0" xfId="0">
      <alignment horizontal="left" vertical="center"/>
    </xf>
    <xf numFmtId="0" fontId="16" fillId="3" borderId="38" applyAlignment="1" pivotButton="0" quotePrefix="0" xfId="0">
      <alignment horizontal="center" vertical="center"/>
    </xf>
    <xf numFmtId="10" fontId="16" fillId="3" borderId="38" applyAlignment="1" pivotButton="0" quotePrefix="0" xfId="0">
      <alignment horizontal="center" vertical="center"/>
    </xf>
    <xf numFmtId="164" fontId="16" fillId="3" borderId="37" applyAlignment="1" pivotButton="0" quotePrefix="0" xfId="1">
      <alignment horizontal="left" vertical="center"/>
    </xf>
    <xf numFmtId="164" fontId="17" fillId="3" borderId="37" applyAlignment="1" pivotButton="0" quotePrefix="0" xfId="1">
      <alignment horizontal="left" vertical="center"/>
    </xf>
    <xf numFmtId="0" fontId="12" fillId="2" borderId="6" applyAlignment="1" pivotButton="0" quotePrefix="0" xfId="0">
      <alignment horizontal="left" vertical="center"/>
    </xf>
    <xf numFmtId="165" fontId="12" fillId="2" borderId="6" applyAlignment="1" pivotButton="0" quotePrefix="0" xfId="0">
      <alignment horizontal="center" vertical="center"/>
    </xf>
    <xf numFmtId="166" fontId="12" fillId="2" borderId="6" applyAlignment="1" pivotButton="0" quotePrefix="0" xfId="0">
      <alignment horizontal="left" vertical="center"/>
    </xf>
    <xf numFmtId="167" fontId="16" fillId="2" borderId="4" applyAlignment="1" pivotButton="0" quotePrefix="0" xfId="1">
      <alignment horizontal="right" vertical="center"/>
    </xf>
    <xf numFmtId="167" fontId="17" fillId="2" borderId="4" applyAlignment="1" pivotButton="0" quotePrefix="0" xfId="1">
      <alignment horizontal="right" vertical="center"/>
    </xf>
    <xf numFmtId="0" fontId="18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left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4" fillId="0" borderId="33" applyAlignment="1" pivotButton="0" quotePrefix="0" xfId="0">
      <alignment horizontal="center" vertical="center"/>
    </xf>
    <xf numFmtId="164" fontId="23" fillId="0" borderId="26" applyAlignment="1" pivotButton="0" quotePrefix="0" xfId="1">
      <alignment horizontal="left" vertical="center"/>
    </xf>
    <xf numFmtId="0" fontId="4" fillId="0" borderId="17" applyAlignment="1" pivotButton="0" quotePrefix="0" xfId="0">
      <alignment horizontal="center" vertical="center"/>
    </xf>
    <xf numFmtId="165" fontId="16" fillId="0" borderId="22" applyAlignment="1" pivotButton="0" quotePrefix="0" xfId="1">
      <alignment horizontal="right" vertical="center"/>
    </xf>
    <xf numFmtId="0" fontId="4" fillId="0" borderId="28" applyAlignment="1" pivotButton="0" quotePrefix="0" xfId="0">
      <alignment horizontal="left" vertical="center"/>
    </xf>
    <xf numFmtId="164" fontId="4" fillId="0" borderId="26" applyAlignment="1" pivotButton="0" quotePrefix="0" xfId="1">
      <alignment horizontal="left" vertical="center"/>
    </xf>
    <xf numFmtId="0" fontId="11" fillId="0" borderId="30" applyAlignment="1" pivotButton="0" quotePrefix="0" xfId="0">
      <alignment horizontal="center" vertical="center" wrapText="1"/>
    </xf>
    <xf numFmtId="0" fontId="19" fillId="0" borderId="30" applyAlignment="1" pivotButton="0" quotePrefix="0" xfId="0">
      <alignment horizontal="center" vertical="center"/>
    </xf>
    <xf numFmtId="0" fontId="11" fillId="0" borderId="33" applyAlignment="1" pivotButton="0" quotePrefix="0" xfId="0">
      <alignment vertical="center"/>
    </xf>
    <xf numFmtId="0" fontId="11" fillId="0" borderId="28" applyAlignment="1" pivotButton="0" quotePrefix="0" xfId="0">
      <alignment vertical="center"/>
    </xf>
    <xf numFmtId="0" fontId="21" fillId="0" borderId="8" applyAlignment="1" pivotButton="0" quotePrefix="0" xfId="0">
      <alignment horizontal="center" vertical="center"/>
    </xf>
    <xf numFmtId="164" fontId="21" fillId="0" borderId="13" applyAlignment="1" pivotButton="0" quotePrefix="0" xfId="1">
      <alignment horizontal="left" vertical="center"/>
    </xf>
    <xf numFmtId="0" fontId="11" fillId="0" borderId="17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8" fillId="0" borderId="15" applyAlignment="1" pivotButton="0" quotePrefix="0" xfId="0">
      <alignment horizontal="left" vertical="center"/>
    </xf>
    <xf numFmtId="0" fontId="16" fillId="0" borderId="9" applyAlignment="1" pivotButton="0" quotePrefix="0" xfId="0">
      <alignment horizontal="left" vertical="center"/>
    </xf>
    <xf numFmtId="0" fontId="16" fillId="0" borderId="36" applyAlignment="1" pivotButton="0" quotePrefix="0" xfId="0">
      <alignment horizontal="center" vertical="center"/>
    </xf>
    <xf numFmtId="0" fontId="8" fillId="0" borderId="27" applyAlignment="1" pivotButton="0" quotePrefix="0" xfId="0">
      <alignment horizontal="left" vertical="center"/>
    </xf>
    <xf numFmtId="0" fontId="16" fillId="0" borderId="18" applyAlignment="1" pivotButton="0" quotePrefix="0" xfId="0">
      <alignment horizontal="left" vertical="center"/>
    </xf>
    <xf numFmtId="0" fontId="16" fillId="0" borderId="22" applyAlignment="1" pivotButton="0" quotePrefix="0" xfId="0">
      <alignment horizontal="left" vertical="center"/>
    </xf>
    <xf numFmtId="0" fontId="8" fillId="0" borderId="18" applyAlignment="1" pivotButton="0" quotePrefix="0" xfId="0">
      <alignment horizontal="left" vertical="center"/>
    </xf>
    <xf numFmtId="0" fontId="4" fillId="0" borderId="30" applyAlignment="1" pivotButton="0" quotePrefix="0" xfId="0">
      <alignment horizontal="center" vertical="center"/>
    </xf>
    <xf numFmtId="0" fontId="8" fillId="0" borderId="15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16" fillId="0" borderId="36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16" fillId="0" borderId="34" applyAlignment="1" pivotButton="0" quotePrefix="0" xfId="0">
      <alignment horizontal="center" vertical="center"/>
    </xf>
    <xf numFmtId="0" fontId="11" fillId="0" borderId="17" applyAlignment="1" pivotButton="0" quotePrefix="0" xfId="0">
      <alignment vertical="center"/>
    </xf>
    <xf numFmtId="0" fontId="11" fillId="0" borderId="14" applyAlignment="1" pivotButton="0" quotePrefix="0" xfId="0">
      <alignment vertical="center"/>
    </xf>
    <xf numFmtId="0" fontId="11" fillId="0" borderId="36" applyAlignment="1" pivotButton="0" quotePrefix="0" xfId="0">
      <alignment vertical="center"/>
    </xf>
    <xf numFmtId="0" fontId="12" fillId="0" borderId="37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2" fillId="0" borderId="39" applyAlignment="1" pivotButton="0" quotePrefix="0" xfId="0">
      <alignment vertical="center"/>
    </xf>
    <xf numFmtId="0" fontId="12" fillId="0" borderId="14" applyAlignment="1" pivotButton="0" quotePrefix="0" xfId="0">
      <alignment vertical="center"/>
    </xf>
    <xf numFmtId="0" fontId="16" fillId="0" borderId="35" applyAlignment="1" pivotButton="0" quotePrefix="0" xfId="0">
      <alignment horizontal="left" vertical="center"/>
    </xf>
    <xf numFmtId="0" fontId="16" fillId="0" borderId="31" applyAlignment="1" pivotButton="0" quotePrefix="0" xfId="0">
      <alignment horizontal="left" vertical="center"/>
    </xf>
    <xf numFmtId="0" fontId="8" fillId="0" borderId="15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12" fillId="2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167" fontId="16" fillId="4" borderId="4" applyAlignment="1" pivotButton="0" quotePrefix="0" xfId="1">
      <alignment horizontal="right" vertical="center"/>
    </xf>
    <xf numFmtId="167" fontId="17" fillId="4" borderId="4" applyAlignment="1" pivotButton="0" quotePrefix="0" xfId="1">
      <alignment horizontal="right" vertical="center"/>
    </xf>
    <xf numFmtId="0" fontId="8" fillId="0" borderId="40" applyAlignment="1" pivotButton="0" quotePrefix="0" xfId="0">
      <alignment horizontal="left" vertical="center"/>
    </xf>
    <xf numFmtId="0" fontId="8" fillId="0" borderId="41" applyAlignment="1" pivotButton="0" quotePrefix="0" xfId="0">
      <alignment horizontal="left" vertical="center"/>
    </xf>
    <xf numFmtId="0" fontId="17" fillId="0" borderId="34" applyAlignment="1" pivotButton="0" quotePrefix="0" xfId="0">
      <alignment horizontal="center" vertical="center"/>
    </xf>
    <xf numFmtId="164" fontId="16" fillId="0" borderId="41" applyAlignment="1" pivotButton="0" quotePrefix="0" xfId="1">
      <alignment horizontal="left" vertical="center"/>
    </xf>
    <xf numFmtId="164" fontId="21" fillId="0" borderId="41" applyAlignment="1" pivotButton="0" quotePrefix="0" xfId="1">
      <alignment horizontal="left" vertical="center"/>
    </xf>
    <xf numFmtId="164" fontId="17" fillId="0" borderId="41" applyAlignment="1" pivotButton="0" quotePrefix="0" xfId="1">
      <alignment horizontal="left" vertical="center"/>
    </xf>
    <xf numFmtId="0" fontId="11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164" fontId="21" fillId="0" borderId="16" applyAlignment="1" pivotButton="0" quotePrefix="0" xfId="1">
      <alignment horizontal="left" vertical="center"/>
    </xf>
    <xf numFmtId="0" fontId="4" fillId="0" borderId="28" applyAlignment="1" pivotButton="0" quotePrefix="0" xfId="0">
      <alignment horizontal="center" vertical="center"/>
    </xf>
    <xf numFmtId="0" fontId="8" fillId="0" borderId="15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17" fillId="0" borderId="30" applyAlignment="1" pivotButton="0" quotePrefix="0" xfId="0">
      <alignment horizontal="center" vertical="center"/>
    </xf>
    <xf numFmtId="164" fontId="16" fillId="0" borderId="43" applyAlignment="1" pivotButton="0" quotePrefix="0" xfId="1">
      <alignment horizontal="left" vertical="center"/>
    </xf>
    <xf numFmtId="164" fontId="16" fillId="0" borderId="43" applyAlignment="1" pivotButton="0" quotePrefix="0" xfId="1">
      <alignment horizontal="left" vertical="center"/>
    </xf>
    <xf numFmtId="164" fontId="16" fillId="3" borderId="43" applyAlignment="1" pivotButton="0" quotePrefix="0" xfId="1">
      <alignment horizontal="left" vertical="center"/>
    </xf>
    <xf numFmtId="164" fontId="16" fillId="0" borderId="44" applyAlignment="1" pivotButton="0" quotePrefix="0" xfId="1">
      <alignment horizontal="left" vertical="center"/>
    </xf>
    <xf numFmtId="164" fontId="16" fillId="2" borderId="45" applyAlignment="1" pivotButton="0" quotePrefix="0" xfId="1">
      <alignment horizontal="left" vertical="center"/>
    </xf>
    <xf numFmtId="164" fontId="16" fillId="0" borderId="46" applyAlignment="1" pivotButton="0" quotePrefix="0" xfId="1">
      <alignment horizontal="left" vertical="center"/>
    </xf>
    <xf numFmtId="164" fontId="16" fillId="0" borderId="47" applyAlignment="1" pivotButton="0" quotePrefix="0" xfId="1">
      <alignment horizontal="left" vertical="center"/>
    </xf>
    <xf numFmtId="164" fontId="16" fillId="0" borderId="48" applyAlignment="1" pivotButton="0" quotePrefix="0" xfId="1">
      <alignment horizontal="right" vertical="center"/>
    </xf>
    <xf numFmtId="164" fontId="16" fillId="0" borderId="46" applyAlignment="1" pivotButton="0" quotePrefix="0" xfId="1">
      <alignment horizontal="right" vertical="center"/>
    </xf>
    <xf numFmtId="164" fontId="16" fillId="0" borderId="49" applyAlignment="1" pivotButton="0" quotePrefix="0" xfId="1">
      <alignment horizontal="left" vertical="center"/>
    </xf>
    <xf numFmtId="164" fontId="16" fillId="0" borderId="50" applyAlignment="1" pivotButton="0" quotePrefix="0" xfId="1">
      <alignment horizontal="left" vertical="center"/>
    </xf>
    <xf numFmtId="164" fontId="16" fillId="0" borderId="46" applyAlignment="1" pivotButton="0" quotePrefix="0" xfId="1">
      <alignment horizontal="left" vertical="center"/>
    </xf>
    <xf numFmtId="164" fontId="16" fillId="0" borderId="47" applyAlignment="1" pivotButton="0" quotePrefix="0" xfId="1">
      <alignment horizontal="left" vertical="center"/>
    </xf>
    <xf numFmtId="164" fontId="16" fillId="0" borderId="51" applyAlignment="1" pivotButton="0" quotePrefix="0" xfId="1">
      <alignment horizontal="left" vertical="center"/>
    </xf>
    <xf numFmtId="164" fontId="16" fillId="3" borderId="52" applyAlignment="1" pivotButton="0" quotePrefix="0" xfId="1">
      <alignment horizontal="left" vertical="center"/>
    </xf>
    <xf numFmtId="167" fontId="16" fillId="2" borderId="45" applyAlignment="1" pivotButton="0" quotePrefix="0" xfId="1">
      <alignment horizontal="right" vertical="center"/>
    </xf>
    <xf numFmtId="167" fontId="16" fillId="4" borderId="53" applyAlignment="1" pivotButton="0" quotePrefix="0" xfId="1">
      <alignment horizontal="right" vertical="center"/>
    </xf>
    <xf numFmtId="164" fontId="16" fillId="0" borderId="49" applyAlignment="1" pivotButton="0" quotePrefix="0" xfId="1">
      <alignment horizontal="left" vertical="center"/>
    </xf>
    <xf numFmtId="0" fontId="16" fillId="5" borderId="42" applyAlignment="1" pivotButton="0" quotePrefix="0" xfId="0">
      <alignment horizontal="center" vertical="center"/>
    </xf>
    <xf numFmtId="0" fontId="16" fillId="4" borderId="4" applyAlignment="1" pivotButton="0" quotePrefix="0" xfId="0">
      <alignment horizontal="center" vertical="center"/>
    </xf>
    <xf numFmtId="164" fontId="18" fillId="0" borderId="0" applyAlignment="1" pivotButton="0" quotePrefix="0" xfId="0">
      <alignment vertical="center"/>
    </xf>
    <xf numFmtId="0" fontId="16" fillId="4" borderId="5" applyAlignment="1" pivotButton="0" quotePrefix="0" xfId="0">
      <alignment horizontal="center" vertical="center"/>
    </xf>
    <xf numFmtId="0" fontId="16" fillId="4" borderId="6" applyAlignment="1" pivotButton="0" quotePrefix="0" xfId="0">
      <alignment horizontal="center" vertical="center"/>
    </xf>
    <xf numFmtId="0" fontId="16" fillId="4" borderId="7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16" fillId="2" borderId="6" applyAlignment="1" pivotButton="0" quotePrefix="0" xfId="0">
      <alignment horizontal="center" vertical="center"/>
    </xf>
    <xf numFmtId="0" fontId="16" fillId="2" borderId="7" applyAlignment="1" pivotButton="0" quotePrefix="0" xfId="0">
      <alignment horizontal="center" vertical="center"/>
    </xf>
    <xf numFmtId="0" fontId="16" fillId="0" borderId="37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6" fillId="0" borderId="34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0" fontId="20" fillId="0" borderId="35" applyAlignment="1" pivotButton="0" quotePrefix="0" xfId="0">
      <alignment horizontal="left" vertical="center"/>
    </xf>
    <xf numFmtId="0" fontId="20" fillId="0" borderId="31" applyAlignment="1" pivotButton="0" quotePrefix="0" xfId="0">
      <alignment horizontal="left" vertical="center"/>
    </xf>
    <xf numFmtId="0" fontId="8" fillId="0" borderId="15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16" fillId="0" borderId="39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9" fillId="0" borderId="32" applyAlignment="1" pivotButton="0" quotePrefix="0" xfId="0">
      <alignment horizontal="left" vertical="center"/>
    </xf>
    <xf numFmtId="0" fontId="9" fillId="0" borderId="26" applyAlignment="1" pivotButton="0" quotePrefix="0" xfId="0">
      <alignment horizontal="left" vertical="center"/>
    </xf>
    <xf numFmtId="0" fontId="8" fillId="0" borderId="32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0" fillId="0" borderId="0" pivotButton="0" quotePrefix="0" xfId="0"/>
    <xf numFmtId="164" fontId="16" fillId="0" borderId="13" applyAlignment="1" pivotButton="0" quotePrefix="0" xfId="1">
      <alignment horizontal="left" vertical="center"/>
    </xf>
    <xf numFmtId="164" fontId="17" fillId="0" borderId="13" applyAlignment="1" pivotButton="0" quotePrefix="0" xfId="1">
      <alignment horizontal="left" vertical="center"/>
    </xf>
    <xf numFmtId="164" fontId="16" fillId="0" borderId="43" applyAlignment="1" pivotButton="0" quotePrefix="0" xfId="1">
      <alignment horizontal="left" vertical="center"/>
    </xf>
    <xf numFmtId="164" fontId="16" fillId="0" borderId="16" applyAlignment="1" pivotButton="0" quotePrefix="0" xfId="1">
      <alignment horizontal="left" vertical="center"/>
    </xf>
    <xf numFmtId="164" fontId="16" fillId="3" borderId="16" applyAlignment="1" pivotButton="0" quotePrefix="0" xfId="1">
      <alignment horizontal="left" vertical="center"/>
    </xf>
    <xf numFmtId="164" fontId="16" fillId="3" borderId="43" applyAlignment="1" pivotButton="0" quotePrefix="0" xfId="1">
      <alignment horizontal="left" vertical="center"/>
    </xf>
    <xf numFmtId="164" fontId="16" fillId="0" borderId="22" applyAlignment="1" pivotButton="0" quotePrefix="0" xfId="1">
      <alignment horizontal="left" vertical="center"/>
    </xf>
    <xf numFmtId="164" fontId="16" fillId="0" borderId="23" applyAlignment="1" pivotButton="0" quotePrefix="0" xfId="1">
      <alignment horizontal="left" vertical="center"/>
    </xf>
    <xf numFmtId="164" fontId="17" fillId="0" borderId="23" applyAlignment="1" pivotButton="0" quotePrefix="0" xfId="1">
      <alignment horizontal="left" vertical="center"/>
    </xf>
    <xf numFmtId="164" fontId="16" fillId="0" borderId="44" applyAlignment="1" pivotButton="0" quotePrefix="0" xfId="1">
      <alignment horizontal="left" vertical="center"/>
    </xf>
    <xf numFmtId="164" fontId="16" fillId="2" borderId="7" applyAlignment="1" pivotButton="0" quotePrefix="0" xfId="1">
      <alignment horizontal="left" vertical="center"/>
    </xf>
    <xf numFmtId="164" fontId="17" fillId="2" borderId="7" applyAlignment="1" pivotButton="0" quotePrefix="0" xfId="1">
      <alignment horizontal="left" vertical="center"/>
    </xf>
    <xf numFmtId="164" fontId="16" fillId="2" borderId="45" applyAlignment="1" pivotButton="0" quotePrefix="0" xfId="1">
      <alignment horizontal="left" vertical="center"/>
    </xf>
    <xf numFmtId="0" fontId="16" fillId="0" borderId="55" applyAlignment="1" pivotButton="0" quotePrefix="0" xfId="0">
      <alignment horizontal="center" vertical="center"/>
    </xf>
    <xf numFmtId="164" fontId="16" fillId="0" borderId="11" applyAlignment="1" pivotButton="0" quotePrefix="0" xfId="1">
      <alignment horizontal="left" vertical="center"/>
    </xf>
    <xf numFmtId="164" fontId="16" fillId="0" borderId="26" applyAlignment="1" pivotButton="0" quotePrefix="0" xfId="1">
      <alignment horizontal="left" vertical="center"/>
    </xf>
    <xf numFmtId="164" fontId="17" fillId="0" borderId="26" applyAlignment="1" pivotButton="0" quotePrefix="0" xfId="1">
      <alignment horizontal="left" vertical="center"/>
    </xf>
    <xf numFmtId="164" fontId="16" fillId="0" borderId="46" applyAlignment="1" pivotButton="0" quotePrefix="0" xfId="1">
      <alignment horizontal="left" vertical="center"/>
    </xf>
    <xf numFmtId="0" fontId="0" fillId="0" borderId="36" pivotButton="0" quotePrefix="0" xfId="0"/>
    <xf numFmtId="0" fontId="0" fillId="0" borderId="34" pivotButton="0" quotePrefix="0" xfId="0"/>
    <xf numFmtId="164" fontId="16" fillId="0" borderId="29" applyAlignment="1" pivotButton="0" quotePrefix="0" xfId="1">
      <alignment horizontal="left" vertical="center"/>
    </xf>
    <xf numFmtId="164" fontId="17" fillId="0" borderId="29" applyAlignment="1" pivotButton="0" quotePrefix="0" xfId="1">
      <alignment horizontal="left" vertical="center"/>
    </xf>
    <xf numFmtId="164" fontId="16" fillId="0" borderId="47" applyAlignment="1" pivotButton="0" quotePrefix="0" xfId="1">
      <alignment horizontal="left" vertical="center"/>
    </xf>
    <xf numFmtId="164" fontId="16" fillId="0" borderId="31" applyAlignment="1" pivotButton="0" quotePrefix="0" xfId="1">
      <alignment horizontal="left" vertical="center"/>
    </xf>
    <xf numFmtId="164" fontId="17" fillId="0" borderId="31" applyAlignment="1" pivotButton="0" quotePrefix="0" xfId="1">
      <alignment horizontal="left" vertical="center"/>
    </xf>
    <xf numFmtId="164" fontId="16" fillId="0" borderId="48" applyAlignment="1" pivotButton="0" quotePrefix="0" xfId="1">
      <alignment horizontal="right" vertical="center"/>
    </xf>
    <xf numFmtId="0" fontId="16" fillId="0" borderId="57" applyAlignment="1" pivotButton="0" quotePrefix="0" xfId="0">
      <alignment horizontal="center" vertical="center"/>
    </xf>
    <xf numFmtId="0" fontId="20" fillId="0" borderId="30" applyAlignment="1" pivotButton="0" quotePrefix="0" xfId="0">
      <alignment horizontal="left" vertical="center"/>
    </xf>
    <xf numFmtId="0" fontId="0" fillId="0" borderId="31" pivotButton="0" quotePrefix="0" xfId="0"/>
    <xf numFmtId="164" fontId="16" fillId="0" borderId="26" applyAlignment="1" pivotButton="0" quotePrefix="0" xfId="1">
      <alignment horizontal="left" vertical="center" shrinkToFit="1"/>
    </xf>
    <xf numFmtId="164" fontId="23" fillId="0" borderId="26" applyAlignment="1" pivotButton="0" quotePrefix="0" xfId="1">
      <alignment horizontal="left" vertical="center"/>
    </xf>
    <xf numFmtId="164" fontId="16" fillId="0" borderId="46" applyAlignment="1" pivotButton="0" quotePrefix="0" xfId="1">
      <alignment horizontal="right" vertical="center"/>
    </xf>
    <xf numFmtId="0" fontId="8" fillId="0" borderId="14" applyAlignment="1" pivotButton="0" quotePrefix="0" xfId="0">
      <alignment horizontal="left" vertical="center"/>
    </xf>
    <xf numFmtId="0" fontId="0" fillId="0" borderId="16" pivotButton="0" quotePrefix="0" xfId="0"/>
    <xf numFmtId="165" fontId="16" fillId="0" borderId="22" applyAlignment="1" pivotButton="0" quotePrefix="0" xfId="1">
      <alignment horizontal="right" vertical="center"/>
    </xf>
    <xf numFmtId="164" fontId="21" fillId="0" borderId="22" applyAlignment="1" pivotButton="0" quotePrefix="0" xfId="1">
      <alignment horizontal="left" vertical="center"/>
    </xf>
    <xf numFmtId="164" fontId="17" fillId="0" borderId="22" applyAlignment="1" pivotButton="0" quotePrefix="0" xfId="1">
      <alignment horizontal="left" vertical="center"/>
    </xf>
    <xf numFmtId="164" fontId="16" fillId="0" borderId="49" applyAlignment="1" pivotButton="0" quotePrefix="0" xfId="1">
      <alignment horizontal="left" vertical="center"/>
    </xf>
    <xf numFmtId="164" fontId="17" fillId="0" borderId="16" applyAlignment="1" pivotButton="0" quotePrefix="0" xfId="1">
      <alignment horizontal="left" vertical="center"/>
    </xf>
    <xf numFmtId="164" fontId="21" fillId="0" borderId="16" applyAlignment="1" pivotButton="0" quotePrefix="0" xfId="1">
      <alignment horizontal="left" vertical="center"/>
    </xf>
    <xf numFmtId="164" fontId="16" fillId="0" borderId="41" applyAlignment="1" pivotButton="0" quotePrefix="0" xfId="1">
      <alignment horizontal="left" vertical="center"/>
    </xf>
    <xf numFmtId="164" fontId="21" fillId="0" borderId="41" applyAlignment="1" pivotButton="0" quotePrefix="0" xfId="1">
      <alignment horizontal="left" vertical="center"/>
    </xf>
    <xf numFmtId="164" fontId="17" fillId="0" borderId="41" applyAlignment="1" pivotButton="0" quotePrefix="0" xfId="1">
      <alignment horizontal="left" vertical="center"/>
    </xf>
    <xf numFmtId="164" fontId="16" fillId="0" borderId="50" applyAlignment="1" pivotButton="0" quotePrefix="0" xfId="1">
      <alignment horizontal="left" vertical="center"/>
    </xf>
    <xf numFmtId="164" fontId="21" fillId="0" borderId="13" applyAlignment="1" pivotButton="0" quotePrefix="0" xfId="1">
      <alignment horizontal="left" vertical="center"/>
    </xf>
    <xf numFmtId="0" fontId="9" fillId="0" borderId="33" applyAlignment="1" pivotButton="0" quotePrefix="0" xfId="0">
      <alignment horizontal="left" vertical="center"/>
    </xf>
    <xf numFmtId="0" fontId="0" fillId="0" borderId="26" pivotButton="0" quotePrefix="0" xfId="0"/>
    <xf numFmtId="164" fontId="4" fillId="0" borderId="26" applyAlignment="1" pivotButton="0" quotePrefix="0" xfId="1">
      <alignment horizontal="left" vertical="center"/>
    </xf>
    <xf numFmtId="165" fontId="16" fillId="0" borderId="23" applyAlignment="1" pivotButton="0" quotePrefix="0" xfId="1">
      <alignment horizontal="right" vertical="center"/>
    </xf>
    <xf numFmtId="164" fontId="16" fillId="0" borderId="33" applyAlignment="1" pivotButton="0" quotePrefix="0" xfId="1">
      <alignment horizontal="left" vertical="center"/>
    </xf>
    <xf numFmtId="164" fontId="17" fillId="0" borderId="33" applyAlignment="1" pivotButton="0" quotePrefix="0" xfId="1">
      <alignment horizontal="left" vertical="center"/>
    </xf>
    <xf numFmtId="164" fontId="16" fillId="0" borderId="16" applyAlignment="1" pivotButton="0" quotePrefix="0" xfId="1">
      <alignment horizontal="left" vertical="center" shrinkToFit="1"/>
    </xf>
    <xf numFmtId="164" fontId="16" fillId="0" borderId="29" applyAlignment="1" pivotButton="0" quotePrefix="0" xfId="1">
      <alignment horizontal="left" vertical="center" shrinkToFit="1"/>
    </xf>
    <xf numFmtId="0" fontId="8" fillId="0" borderId="33" applyAlignment="1" pivotButton="0" quotePrefix="0" xfId="0">
      <alignment horizontal="center" vertical="center"/>
    </xf>
    <xf numFmtId="0" fontId="0" fillId="0" borderId="39" pivotButton="0" quotePrefix="0" xfId="0"/>
    <xf numFmtId="164" fontId="16" fillId="0" borderId="21" applyAlignment="1" pivotButton="0" quotePrefix="0" xfId="1">
      <alignment horizontal="left" vertical="center"/>
    </xf>
    <xf numFmtId="164" fontId="16" fillId="0" borderId="51" applyAlignment="1" pivotButton="0" quotePrefix="0" xfId="1">
      <alignment horizontal="left" vertical="center"/>
    </xf>
    <xf numFmtId="165" fontId="16" fillId="2" borderId="6" applyAlignment="1" pivotButton="0" quotePrefix="0" xfId="0">
      <alignment horizontal="center" vertical="center"/>
    </xf>
    <xf numFmtId="164" fontId="16" fillId="2" borderId="4" applyAlignment="1" pivotButton="0" quotePrefix="0" xfId="1">
      <alignment horizontal="left" vertical="center"/>
    </xf>
    <xf numFmtId="164" fontId="17" fillId="2" borderId="4" applyAlignment="1" pivotButton="0" quotePrefix="0" xfId="1">
      <alignment horizontal="left" vertical="center"/>
    </xf>
    <xf numFmtId="164" fontId="16" fillId="3" borderId="37" applyAlignment="1" pivotButton="0" quotePrefix="0" xfId="1">
      <alignment horizontal="left" vertical="center"/>
    </xf>
    <xf numFmtId="164" fontId="17" fillId="3" borderId="37" applyAlignment="1" pivotButton="0" quotePrefix="0" xfId="1">
      <alignment horizontal="left" vertical="center"/>
    </xf>
    <xf numFmtId="164" fontId="16" fillId="3" borderId="52" applyAlignment="1" pivotButton="0" quotePrefix="0" xfId="1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167" fontId="16" fillId="2" borderId="4" applyAlignment="1" pivotButton="0" quotePrefix="0" xfId="1">
      <alignment horizontal="right" vertical="center"/>
    </xf>
    <xf numFmtId="167" fontId="17" fillId="2" borderId="4" applyAlignment="1" pivotButton="0" quotePrefix="0" xfId="1">
      <alignment horizontal="right" vertical="center"/>
    </xf>
    <xf numFmtId="167" fontId="16" fillId="2" borderId="45" applyAlignment="1" pivotButton="0" quotePrefix="0" xfId="1">
      <alignment horizontal="right" vertical="center"/>
    </xf>
    <xf numFmtId="164" fontId="18" fillId="0" borderId="0" applyAlignment="1" pivotButton="0" quotePrefix="0" xfId="0">
      <alignment vertical="center"/>
    </xf>
    <xf numFmtId="165" fontId="12" fillId="2" borderId="6" applyAlignment="1" pivotButton="0" quotePrefix="0" xfId="0">
      <alignment horizontal="center" vertical="center"/>
    </xf>
    <xf numFmtId="166" fontId="12" fillId="2" borderId="6" applyAlignment="1" pivotButton="0" quotePrefix="0" xfId="0">
      <alignment horizontal="left" vertical="center"/>
    </xf>
    <xf numFmtId="167" fontId="16" fillId="4" borderId="4" applyAlignment="1" pivotButton="0" quotePrefix="0" xfId="1">
      <alignment horizontal="right" vertical="center"/>
    </xf>
    <xf numFmtId="167" fontId="17" fillId="4" borderId="4" applyAlignment="1" pivotButton="0" quotePrefix="0" xfId="1">
      <alignment horizontal="right" vertical="center"/>
    </xf>
    <xf numFmtId="167" fontId="16" fillId="4" borderId="53" applyAlignment="1" pivotButton="0" quotePrefix="0" xfId="1">
      <alignment horizontal="right" vertical="center"/>
    </xf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72107</colOff>
      <row>0</row>
      <rowOff>80687</rowOff>
    </from>
    <to>
      <col>1</col>
      <colOff>26318</colOff>
      <row>0</row>
      <rowOff>395563</rowOff>
    </to>
    <pic>
      <nvPicPr>
        <cNvPr id="2" name="그림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72107" y="80687"/>
          <a:ext cx="1049586" cy="314876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9"/>
  <sheetViews>
    <sheetView showGridLines="0" tabSelected="1" zoomScale="115" zoomScaleNormal="115" zoomScaleSheetLayoutView="85" workbookViewId="0">
      <selection activeCell="A2" sqref="A2"/>
    </sheetView>
  </sheetViews>
  <sheetFormatPr baseColWidth="8" defaultColWidth="8.6640625" defaultRowHeight="14.25"/>
  <cols>
    <col width="12.77734375" customWidth="1" style="147" min="1" max="1"/>
    <col width="8.44140625" customWidth="1" style="148" min="2" max="2"/>
    <col width="4.6640625" customWidth="1" style="149" min="3" max="3"/>
    <col width="9.109375" customWidth="1" style="148" min="4" max="4"/>
    <col width="8.21875" customWidth="1" style="148" min="5" max="5"/>
    <col width="8.21875" customWidth="1" style="150" min="6" max="6"/>
    <col width="4.88671875" customWidth="1" style="147" min="7" max="7"/>
    <col width="10.77734375" customWidth="1" style="148" min="8" max="8"/>
    <col width="12.109375" customWidth="1" style="148" min="9" max="9"/>
    <col width="11.6640625" customWidth="1" style="151" min="10" max="10"/>
    <col width="12" customWidth="1" style="148" min="11" max="11"/>
    <col width="8.6640625" customWidth="1" style="1" min="12" max="16384"/>
  </cols>
  <sheetData>
    <row r="1" ht="36" customHeight="1" s="249">
      <c r="A1" s="6" t="n"/>
      <c r="B1" s="7" t="n"/>
      <c r="C1" s="8" t="n"/>
      <c r="D1" s="7" t="n"/>
      <c r="E1" s="7" t="n"/>
      <c r="F1" s="9" t="n"/>
      <c r="G1" s="6" t="n"/>
      <c r="H1" s="7" t="n"/>
      <c r="I1" s="7" t="n"/>
      <c r="J1" s="10" t="n"/>
      <c r="K1" s="7" t="n"/>
    </row>
    <row r="2" ht="24.75" customHeight="1" s="249">
      <c r="A2" s="11" t="inlineStr">
        <is>
          <t>Summary of Estimated Agency Cost</t>
        </is>
      </c>
      <c r="B2" s="12" t="n"/>
      <c r="C2" s="13" t="n"/>
      <c r="D2" s="12" t="n"/>
      <c r="E2" s="12" t="n"/>
      <c r="F2" s="14" t="n"/>
      <c r="G2" s="15" t="n"/>
      <c r="H2" s="16" t="n"/>
      <c r="I2" s="16" t="n"/>
      <c r="J2" s="17" t="n"/>
      <c r="K2" s="18" t="n"/>
    </row>
    <row r="3" ht="14.1" customFormat="1" customHeight="1" s="37">
      <c r="A3" s="19" t="inlineStr">
        <is>
          <t xml:space="preserve">광고주 : </t>
        </is>
      </c>
      <c r="B3" s="19" t="n"/>
      <c r="C3" s="19" t="inlineStr">
        <is>
          <t xml:space="preserve">건명 : </t>
        </is>
      </c>
      <c r="D3" s="19" t="n"/>
      <c r="E3" s="19" t="n"/>
      <c r="F3" s="19" t="n"/>
      <c r="G3" s="19" t="n"/>
      <c r="H3" s="19" t="inlineStr">
        <is>
          <t xml:space="preserve"> 부문  :</t>
        </is>
      </c>
      <c r="I3" s="19" t="n"/>
      <c r="J3" s="19" t="inlineStr">
        <is>
          <t>규격:</t>
        </is>
      </c>
      <c r="K3" s="19" t="n"/>
    </row>
    <row r="4" ht="14.1" customFormat="1" customHeight="1" s="37">
      <c r="A4" s="27" t="inlineStr">
        <is>
          <t>제작번호 :</t>
        </is>
      </c>
      <c r="B4" s="27" t="n"/>
      <c r="C4" s="27" t="n"/>
      <c r="D4" s="27" t="n"/>
      <c r="E4" s="27" t="n"/>
      <c r="F4" s="27" t="n"/>
      <c r="G4" s="22" t="n"/>
      <c r="H4" s="28" t="n"/>
      <c r="I4" s="28" t="n"/>
      <c r="J4" s="27" t="n"/>
      <c r="K4" s="28" t="n"/>
    </row>
    <row r="5" ht="14.1" customFormat="1" customHeight="1" s="37">
      <c r="A5" s="24" t="inlineStr">
        <is>
          <t>제작 CD   : 신태호 CD</t>
        </is>
      </c>
      <c r="B5" s="24" t="n"/>
      <c r="C5" s="24" t="inlineStr">
        <is>
          <t>Art:</t>
        </is>
      </c>
      <c r="D5" s="24" t="n"/>
      <c r="E5" s="24" t="inlineStr">
        <is>
          <t xml:space="preserve">        CW: 이승용, 손유선</t>
        </is>
      </c>
      <c r="F5" s="24" t="n"/>
      <c r="G5" s="25" t="n"/>
      <c r="H5" s="24" t="inlineStr">
        <is>
          <t xml:space="preserve"> AE: 유인명, 권두인</t>
        </is>
      </c>
      <c r="I5" s="24" t="n"/>
      <c r="J5" s="26" t="n"/>
      <c r="K5" s="24" t="n"/>
    </row>
    <row r="6" ht="14.1" customFormat="1" customHeight="1" s="37">
      <c r="A6" s="27" t="inlineStr">
        <is>
          <t>프로덕션 :</t>
        </is>
      </c>
      <c r="B6" s="27" t="n"/>
      <c r="C6" s="27" t="inlineStr">
        <is>
          <t>감독:</t>
        </is>
      </c>
      <c r="D6" s="27" t="n"/>
      <c r="E6" s="27" t="inlineStr">
        <is>
          <t xml:space="preserve">        PD: 박종민</t>
        </is>
      </c>
      <c r="F6" s="27" t="n"/>
      <c r="G6" s="28" t="n"/>
      <c r="H6" s="27" t="inlineStr">
        <is>
          <t xml:space="preserve"> PM: 이지선</t>
        </is>
      </c>
      <c r="I6" s="27" t="n"/>
      <c r="J6" s="29" t="n"/>
      <c r="K6" s="27" t="n"/>
    </row>
    <row r="7" ht="14.1" customFormat="1" customHeight="1" s="37" thickBot="1">
      <c r="A7" s="30" t="inlineStr">
        <is>
          <t>촬영일자 : 2019. 1. 22 12:00</t>
        </is>
      </c>
      <c r="B7" s="30" t="n"/>
      <c r="C7" s="30" t="n"/>
      <c r="D7" s="31" t="n"/>
      <c r="E7" s="30" t="inlineStr">
        <is>
          <t>광고주 최종시사일 :</t>
        </is>
      </c>
      <c r="F7" s="30" t="n"/>
      <c r="G7" s="30" t="n"/>
      <c r="H7" s="30" t="n"/>
      <c r="I7" s="30" t="n"/>
      <c r="J7" s="32" t="n"/>
      <c r="K7" s="33" t="n"/>
    </row>
    <row r="8" ht="26.25" customFormat="1" customHeight="1" s="37" thickBot="1">
      <c r="A8" s="34" t="n"/>
      <c r="B8" s="34" t="n"/>
      <c r="C8" s="34" t="n"/>
      <c r="D8" s="35" t="n"/>
      <c r="E8" s="34" t="n"/>
      <c r="F8" s="34" t="n"/>
      <c r="G8" s="34" t="n"/>
      <c r="H8" s="34" t="n"/>
      <c r="I8" s="34" t="n"/>
      <c r="J8" s="36" t="n"/>
      <c r="K8" s="34" t="n"/>
    </row>
    <row r="9" ht="16.5" customFormat="1" customHeight="1" s="146" thickBot="1">
      <c r="A9" s="38" t="inlineStr">
        <is>
          <t xml:space="preserve">제 작 항 목 </t>
        </is>
      </c>
      <c r="B9" s="231" t="inlineStr">
        <is>
          <t>세부내용</t>
        </is>
      </c>
      <c r="C9" s="232" t="n"/>
      <c r="D9" s="231" t="inlineStr">
        <is>
          <t>협력회사</t>
        </is>
      </c>
      <c r="E9" s="38" t="inlineStr">
        <is>
          <t>담당자</t>
        </is>
      </c>
      <c r="F9" s="232" t="inlineStr">
        <is>
          <t>연락처</t>
        </is>
      </c>
      <c r="G9" s="38" t="inlineStr">
        <is>
          <t>수량</t>
        </is>
      </c>
      <c r="H9" s="233" t="inlineStr">
        <is>
          <t>단 가</t>
        </is>
      </c>
      <c r="I9" s="233" t="inlineStr">
        <is>
          <t>1차 견적</t>
        </is>
      </c>
      <c r="J9" s="226" t="inlineStr">
        <is>
          <t>사전견적조정</t>
        </is>
      </c>
      <c r="K9" s="225" t="inlineStr">
        <is>
          <t>최종 견적</t>
        </is>
      </c>
    </row>
    <row r="10" ht="16.5" customFormat="1" customHeight="1" s="146">
      <c r="A10" s="43" t="inlineStr">
        <is>
          <t>기 획 료</t>
        </is>
      </c>
      <c r="B10" s="167" t="inlineStr">
        <is>
          <t xml:space="preserve">  작품당</t>
        </is>
      </c>
      <c r="C10" s="45" t="n"/>
      <c r="D10" s="182" t="n"/>
      <c r="E10" s="43" t="n"/>
      <c r="F10" s="46" t="n"/>
      <c r="G10" s="47" t="n"/>
      <c r="H10" s="250" t="n"/>
      <c r="I10" s="250">
        <f>G10*H10</f>
        <v/>
      </c>
      <c r="J10" s="251" t="n"/>
      <c r="K10" s="252" t="n">
        <v>0</v>
      </c>
    </row>
    <row r="11" ht="16.5" customFormat="1" customHeight="1" s="146">
      <c r="A11" s="58" t="inlineStr">
        <is>
          <t>Copy료</t>
        </is>
      </c>
      <c r="B11" s="59" t="inlineStr">
        <is>
          <t xml:space="preserve">  작품당</t>
        </is>
      </c>
      <c r="C11" s="60" t="n"/>
      <c r="D11" s="185" t="n"/>
      <c r="E11" s="58" t="n"/>
      <c r="F11" s="61" t="n"/>
      <c r="G11" s="58" t="n"/>
      <c r="H11" s="253" t="n"/>
      <c r="I11" s="250">
        <f>G11*H11</f>
        <v/>
      </c>
      <c r="J11" s="251" t="n"/>
      <c r="K11" s="252" t="n">
        <v>0</v>
      </c>
    </row>
    <row r="12" ht="16.5" customFormat="1" customHeight="1" s="146">
      <c r="A12" s="58" t="inlineStr">
        <is>
          <t>Creative Work료</t>
        </is>
      </c>
      <c r="B12" s="59" t="inlineStr">
        <is>
          <t xml:space="preserve">  작품당</t>
        </is>
      </c>
      <c r="C12" s="60" t="n"/>
      <c r="D12" s="183" t="n"/>
      <c r="E12" s="58" t="n"/>
      <c r="F12" s="61" t="n"/>
      <c r="G12" s="58" t="n"/>
      <c r="H12" s="253" t="n"/>
      <c r="I12" s="250">
        <f>G12*H12</f>
        <v/>
      </c>
      <c r="J12" s="251" t="n"/>
      <c r="K12" s="252" t="n">
        <v>0</v>
      </c>
    </row>
    <row r="13" ht="16.5" customFormat="1" customHeight="1" s="146">
      <c r="A13" s="63" t="inlineStr">
        <is>
          <t>Direction료</t>
        </is>
      </c>
      <c r="B13" s="64" t="inlineStr">
        <is>
          <t xml:space="preserve">  작품당</t>
        </is>
      </c>
      <c r="C13" s="65" t="n"/>
      <c r="D13" s="185" t="n"/>
      <c r="E13" s="63" t="n"/>
      <c r="F13" s="66" t="n"/>
      <c r="G13" s="63" t="n"/>
      <c r="H13" s="254" t="n"/>
      <c r="I13" s="250">
        <f>G13*H13</f>
        <v/>
      </c>
      <c r="J13" s="251" t="n"/>
      <c r="K13" s="255" t="n">
        <v>0</v>
      </c>
    </row>
    <row r="14" ht="16.5" customFormat="1" customHeight="1" s="146" thickBot="1">
      <c r="A14" s="68" t="inlineStr">
        <is>
          <t>자료조사비</t>
        </is>
      </c>
      <c r="B14" s="170" t="inlineStr">
        <is>
          <t xml:space="preserve">  작품당</t>
        </is>
      </c>
      <c r="C14" s="70" t="n"/>
      <c r="D14" s="184" t="n"/>
      <c r="E14" s="72" t="n"/>
      <c r="F14" s="71" t="n"/>
      <c r="G14" s="72" t="n"/>
      <c r="H14" s="256" t="n"/>
      <c r="I14" s="257">
        <f>G14*H14</f>
        <v/>
      </c>
      <c r="J14" s="258" t="n"/>
      <c r="K14" s="259" t="n">
        <v>0</v>
      </c>
    </row>
    <row r="15" ht="16.5" customFormat="1" customHeight="1" s="146" thickBot="1">
      <c r="A15" s="38" t="inlineStr">
        <is>
          <t>정가항목계 (A)</t>
        </is>
      </c>
      <c r="B15" s="76" t="n"/>
      <c r="C15" s="77" t="n"/>
      <c r="D15" s="77" t="n"/>
      <c r="E15" s="232" t="n"/>
      <c r="F15" s="77" t="n"/>
      <c r="G15" s="232" t="n"/>
      <c r="H15" s="260" t="n"/>
      <c r="I15" s="260">
        <f>G15*H15</f>
        <v/>
      </c>
      <c r="J15" s="261" t="n"/>
      <c r="K15" s="262" t="n">
        <v>0</v>
      </c>
    </row>
    <row r="16" ht="16.5" customFormat="1" customHeight="1" s="146">
      <c r="A16" s="263" t="inlineStr">
        <is>
          <t>콘티작화 부문</t>
        </is>
      </c>
      <c r="B16" s="80" t="inlineStr">
        <is>
          <t>콘티작화</t>
        </is>
      </c>
      <c r="C16" s="81" t="n"/>
      <c r="D16" s="47" t="n"/>
      <c r="E16" s="47" t="n"/>
      <c r="F16" s="82" t="n"/>
      <c r="G16" s="47" t="n"/>
      <c r="H16" s="264" t="n"/>
      <c r="I16" s="265">
        <f>G16*H16</f>
        <v/>
      </c>
      <c r="J16" s="266" t="n"/>
      <c r="K16" s="267" t="n">
        <v>0</v>
      </c>
    </row>
    <row r="17" ht="16.5" customFormat="1" customHeight="1" s="146">
      <c r="A17" s="268" t="n"/>
      <c r="B17" s="167" t="inlineStr">
        <is>
          <t>일러스트작화</t>
        </is>
      </c>
      <c r="C17" s="86" t="n"/>
      <c r="D17" s="43" t="n"/>
      <c r="E17" s="43" t="n"/>
      <c r="F17" s="87" t="n"/>
      <c r="G17" s="43" t="n"/>
      <c r="H17" s="250" t="n"/>
      <c r="I17" s="250">
        <f>G17*H17</f>
        <v/>
      </c>
      <c r="J17" s="251" t="n"/>
      <c r="K17" s="252" t="n">
        <v>0</v>
      </c>
    </row>
    <row r="18" ht="16.5" customFormat="1" customHeight="1" s="146">
      <c r="A18" s="269" t="n"/>
      <c r="B18" s="88" t="inlineStr">
        <is>
          <t>맥콘티작업</t>
        </is>
      </c>
      <c r="C18" s="89" t="n"/>
      <c r="D18" s="90" t="n"/>
      <c r="E18" s="91" t="n"/>
      <c r="F18" s="91" t="n"/>
      <c r="G18" s="91" t="n"/>
      <c r="H18" s="270" t="n"/>
      <c r="I18" s="270">
        <f>G18*H18</f>
        <v/>
      </c>
      <c r="J18" s="271" t="n"/>
      <c r="K18" s="272" t="n">
        <v>0</v>
      </c>
    </row>
    <row r="19" ht="16.5" customFormat="1" customHeight="1" s="146">
      <c r="A19" s="237" t="inlineStr">
        <is>
          <t>프로듀서 부문</t>
        </is>
      </c>
      <c r="B19" s="186" t="inlineStr">
        <is>
          <t>Producer 료</t>
        </is>
      </c>
      <c r="C19" s="187" t="n"/>
      <c r="D19" s="158" t="n"/>
      <c r="E19" s="173" t="inlineStr">
        <is>
          <t>박종민 PD</t>
        </is>
      </c>
      <c r="F19" s="159" t="n"/>
      <c r="G19" s="206" t="n">
        <v>4</v>
      </c>
      <c r="H19" s="273" t="n">
        <v>700000</v>
      </c>
      <c r="I19" s="273" t="n">
        <v>2800000</v>
      </c>
      <c r="J19" s="274">
        <f>K19-I19</f>
        <v/>
      </c>
      <c r="K19" s="275" t="n">
        <v>1500000</v>
      </c>
    </row>
    <row r="20" ht="16.5" customFormat="1" customHeight="1" s="146">
      <c r="A20" s="276" t="inlineStr">
        <is>
          <t>CF제작 부문</t>
        </is>
      </c>
      <c r="B20" s="277" t="inlineStr">
        <is>
          <t>프로덕션 제작비</t>
        </is>
      </c>
      <c r="C20" s="278" t="n"/>
      <c r="D20" s="100" t="n"/>
      <c r="E20" s="173" t="n"/>
      <c r="F20" s="173" t="n"/>
      <c r="G20" s="101" t="n"/>
      <c r="H20" s="279" t="n"/>
      <c r="I20" s="265" t="n">
        <v>0</v>
      </c>
      <c r="J20" s="280">
        <f>K20-I20</f>
        <v/>
      </c>
      <c r="K20" s="281" t="n">
        <v>0</v>
      </c>
    </row>
    <row r="21" ht="16.5" customFormat="1" customHeight="1" s="146">
      <c r="A21" s="268" t="n"/>
      <c r="B21" s="282" t="inlineStr">
        <is>
          <t>해외제작비</t>
        </is>
      </c>
      <c r="C21" s="283" t="n"/>
      <c r="D21" s="164" t="n"/>
      <c r="E21" s="154" t="n"/>
      <c r="F21" s="154" t="n"/>
      <c r="G21" s="235" t="n"/>
      <c r="H21" s="284" t="n"/>
      <c r="I21" s="257" t="n">
        <v>0</v>
      </c>
      <c r="J21" s="258">
        <f>K21-I21</f>
        <v/>
      </c>
      <c r="K21" s="252" t="n">
        <v>0</v>
      </c>
    </row>
    <row r="22" ht="16.5" customFormat="1" customHeight="1" s="146">
      <c r="A22" s="268" t="n"/>
      <c r="B22" s="282" t="inlineStr">
        <is>
          <t>녹음료</t>
        </is>
      </c>
      <c r="C22" s="283" t="n"/>
      <c r="D22" s="180" t="n"/>
      <c r="E22" s="104" t="inlineStr">
        <is>
          <t>유투웍스</t>
        </is>
      </c>
      <c r="F22" s="105" t="n"/>
      <c r="G22" s="111" t="n">
        <v>7</v>
      </c>
      <c r="H22" s="256" t="n">
        <v>800000</v>
      </c>
      <c r="I22" s="285" t="n">
        <v>3200000</v>
      </c>
      <c r="J22" s="286">
        <f>K22-I22</f>
        <v/>
      </c>
      <c r="K22" s="287" t="n">
        <v>3300000</v>
      </c>
      <c r="L22" s="146" t="inlineStr">
        <is>
          <t>A, B, C 소재 모두 온에어에 따른 편수 증가</t>
        </is>
      </c>
    </row>
    <row r="23" ht="16.5" customFormat="1" customHeight="1" s="146">
      <c r="A23" s="268" t="n"/>
      <c r="B23" s="282" t="inlineStr">
        <is>
          <t>효과료</t>
        </is>
      </c>
      <c r="C23" s="283" t="n"/>
      <c r="D23" s="181" t="n"/>
      <c r="E23" s="104" t="n"/>
      <c r="F23" s="105" t="n"/>
      <c r="G23" s="105" t="n"/>
      <c r="H23" s="256" t="n"/>
      <c r="I23" s="285" t="n">
        <v>0</v>
      </c>
      <c r="J23" s="286">
        <f>K23-I23</f>
        <v/>
      </c>
      <c r="K23" s="287" t="n">
        <v>0</v>
      </c>
    </row>
    <row r="24" ht="16.5" customFormat="1" customHeight="1" s="146">
      <c r="A24" s="268" t="n"/>
      <c r="B24" s="282" t="inlineStr">
        <is>
          <t>선곡료</t>
        </is>
      </c>
      <c r="C24" s="283" t="n"/>
      <c r="D24" s="180" t="n"/>
      <c r="E24" s="154" t="n"/>
      <c r="F24" s="108" t="n"/>
      <c r="G24" s="58" t="n"/>
      <c r="H24" s="253" t="n"/>
      <c r="I24" s="285" t="n">
        <v>0</v>
      </c>
      <c r="J24" s="288">
        <f>K24-I24</f>
        <v/>
      </c>
      <c r="K24" s="287" t="n">
        <v>0</v>
      </c>
    </row>
    <row r="25" ht="16.5" customFormat="1" customHeight="1" s="146">
      <c r="A25" s="268" t="n"/>
      <c r="B25" s="240" t="inlineStr">
        <is>
          <t>녹음연출료</t>
        </is>
      </c>
      <c r="C25" s="110" t="n"/>
      <c r="D25" s="181" t="n"/>
      <c r="E25" s="154" t="n"/>
      <c r="F25" s="111" t="n"/>
      <c r="G25" s="68" t="n"/>
      <c r="H25" s="256" t="n"/>
      <c r="I25" s="285" t="n">
        <v>0</v>
      </c>
      <c r="J25" s="286">
        <f>K25-I25</f>
        <v/>
      </c>
      <c r="K25" s="287" t="n">
        <v>0</v>
      </c>
    </row>
    <row r="26" ht="16.5" customFormat="1" customHeight="1" s="146">
      <c r="A26" s="268" t="n"/>
      <c r="B26" s="172" t="inlineStr">
        <is>
          <t>라이브러리음악</t>
        </is>
      </c>
      <c r="C26" s="110" t="n"/>
      <c r="D26" s="180" t="n"/>
      <c r="E26" s="154" t="inlineStr">
        <is>
          <t>유투웍스</t>
        </is>
      </c>
      <c r="F26" s="111" t="n"/>
      <c r="G26" s="68" t="n">
        <v>3.5</v>
      </c>
      <c r="H26" s="256" t="n">
        <v>5500000</v>
      </c>
      <c r="I26" s="285" t="n">
        <v>5500000</v>
      </c>
      <c r="J26" s="286">
        <f>K26-I26</f>
        <v/>
      </c>
      <c r="K26" s="287" t="n">
        <v>4500000</v>
      </c>
      <c r="L26" s="146" t="inlineStr">
        <is>
          <t>A, B, C 소재 모두 온에어에 따른 편수 증가 (1년 사용 조건)</t>
        </is>
      </c>
    </row>
    <row r="27" ht="16.5" customFormat="1" customHeight="1" s="146">
      <c r="A27" s="268" t="n"/>
      <c r="B27" s="240" t="inlineStr">
        <is>
          <t>성우료 (남)</t>
        </is>
      </c>
      <c r="C27" s="241" t="n"/>
      <c r="D27" s="200" t="n"/>
      <c r="E27" s="104" t="inlineStr">
        <is>
          <t>정형석</t>
        </is>
      </c>
      <c r="F27" s="201" t="n"/>
      <c r="G27" s="201" t="n">
        <v>3</v>
      </c>
      <c r="H27" s="253" t="n">
        <v>600000</v>
      </c>
      <c r="I27" s="289" t="n">
        <v>1800000</v>
      </c>
      <c r="J27" s="288">
        <f>K27-I27</f>
        <v/>
      </c>
      <c r="K27" s="287" t="n">
        <v>1500000</v>
      </c>
      <c r="L27" s="146" t="inlineStr">
        <is>
          <t>단가 조정</t>
        </is>
      </c>
    </row>
    <row r="28" ht="16.5" customFormat="1" customHeight="1" s="146">
      <c r="A28" s="268" t="n"/>
      <c r="B28" s="240" t="inlineStr">
        <is>
          <t>성우료 (여)</t>
        </is>
      </c>
      <c r="C28" s="241" t="n"/>
      <c r="D28" s="200" t="n"/>
      <c r="E28" s="104" t="inlineStr">
        <is>
          <t>미정</t>
        </is>
      </c>
      <c r="F28" s="201" t="n"/>
      <c r="G28" s="58" t="n">
        <v>1.5</v>
      </c>
      <c r="H28" s="253" t="n">
        <v>500000</v>
      </c>
      <c r="I28" s="289" t="n">
        <v>500000</v>
      </c>
      <c r="J28" s="288">
        <f>K28-I28</f>
        <v/>
      </c>
      <c r="K28" s="287" t="n">
        <v>600000</v>
      </c>
      <c r="L28" s="146" t="inlineStr">
        <is>
          <t>A, B, C 소재 모두 온에어에 따른 편수 증가</t>
        </is>
      </c>
    </row>
    <row r="29" ht="16.5" customFormat="1" customHeight="1" s="146">
      <c r="A29" s="268" t="n"/>
      <c r="B29" s="240" t="inlineStr">
        <is>
          <t>성우료 (외국인 A)</t>
        </is>
      </c>
      <c r="C29" s="241" t="n"/>
      <c r="D29" s="200" t="n"/>
      <c r="E29" s="104" t="inlineStr">
        <is>
          <t>미정</t>
        </is>
      </c>
      <c r="F29" s="201" t="n"/>
      <c r="G29" s="58" t="n">
        <v>4</v>
      </c>
      <c r="H29" s="253" t="n">
        <v>350000</v>
      </c>
      <c r="I29" s="289" t="n">
        <v>700000</v>
      </c>
      <c r="J29" s="288">
        <f>K29-I29</f>
        <v/>
      </c>
      <c r="K29" s="287" t="n">
        <v>1400000</v>
      </c>
      <c r="L29" s="146" t="inlineStr">
        <is>
          <t>A, B, C 소재 모두 온에어에 따른 편수 증가</t>
        </is>
      </c>
    </row>
    <row r="30" ht="16.5" customFormat="1" customHeight="1" s="146">
      <c r="A30" s="269" t="n"/>
      <c r="B30" s="194" t="inlineStr">
        <is>
          <t>성우료 (외국인 B)</t>
        </is>
      </c>
      <c r="C30" s="195" t="n"/>
      <c r="D30" s="114" t="n"/>
      <c r="E30" s="244" t="inlineStr">
        <is>
          <t>미정</t>
        </is>
      </c>
      <c r="F30" s="196" t="n"/>
      <c r="G30" s="236" t="n">
        <v>6</v>
      </c>
      <c r="H30" s="290" t="n">
        <v>300000</v>
      </c>
      <c r="I30" s="291" t="n">
        <v>900000</v>
      </c>
      <c r="J30" s="292">
        <f>K30-I30</f>
        <v/>
      </c>
      <c r="K30" s="293" t="n">
        <v>1800000</v>
      </c>
      <c r="L30" s="146" t="inlineStr">
        <is>
          <t>A, B, C 소재 모두 온에어에 따른 편수 증가</t>
        </is>
      </c>
    </row>
    <row r="31" ht="16.5" customFormat="1" customHeight="1" s="146">
      <c r="A31" s="244" t="inlineStr">
        <is>
          <t>편집 및 특수작업</t>
        </is>
      </c>
      <c r="B31" s="167" t="inlineStr">
        <is>
          <t>DI</t>
        </is>
      </c>
      <c r="C31" s="86" t="n"/>
      <c r="D31" s="165" t="n"/>
      <c r="E31" s="129" t="n"/>
      <c r="F31" s="43" t="n"/>
      <c r="G31" s="162" t="n"/>
      <c r="H31" s="250" t="n"/>
      <c r="I31" s="294">
        <f>G31*H31</f>
        <v/>
      </c>
      <c r="J31" s="251" t="n"/>
      <c r="K31" s="252" t="n">
        <v>0</v>
      </c>
    </row>
    <row r="32" ht="16.5" customFormat="1" customHeight="1" s="146">
      <c r="A32" s="268" t="n"/>
      <c r="B32" s="170" t="inlineStr">
        <is>
          <t>EDIT</t>
        </is>
      </c>
      <c r="C32" s="171" t="n"/>
      <c r="D32" s="164" t="n"/>
      <c r="E32" s="58" t="n"/>
      <c r="F32" s="58" t="n"/>
      <c r="G32" s="108" t="n"/>
      <c r="H32" s="253" t="n"/>
      <c r="I32" s="253">
        <f>G32*H32</f>
        <v/>
      </c>
      <c r="J32" s="288" t="n"/>
      <c r="K32" s="287" t="n">
        <v>0</v>
      </c>
    </row>
    <row r="33" ht="16.5" customFormat="1" customHeight="1" s="146">
      <c r="A33" s="268" t="n"/>
      <c r="B33" s="59" t="inlineStr">
        <is>
          <t>2D</t>
        </is>
      </c>
      <c r="C33" s="113" t="n"/>
      <c r="D33" s="179" t="n"/>
      <c r="E33" s="104" t="n"/>
      <c r="F33" s="58" t="n"/>
      <c r="G33" s="58" t="n"/>
      <c r="H33" s="253" t="n"/>
      <c r="I33" s="253">
        <f>G33*H33</f>
        <v/>
      </c>
      <c r="J33" s="288" t="n"/>
      <c r="K33" s="287" t="n">
        <v>0</v>
      </c>
    </row>
    <row r="34" ht="16.5" customFormat="1" customHeight="1" s="146">
      <c r="A34" s="268" t="n"/>
      <c r="B34" s="59" t="inlineStr">
        <is>
          <t>3D/Art</t>
        </is>
      </c>
      <c r="C34" s="113" t="n"/>
      <c r="D34" s="180" t="n"/>
      <c r="E34" s="104" t="n"/>
      <c r="F34" s="58" t="n"/>
      <c r="G34" s="58" t="n"/>
      <c r="H34" s="253" t="n"/>
      <c r="I34" s="253">
        <f>G34*H34</f>
        <v/>
      </c>
      <c r="J34" s="288" t="n"/>
      <c r="K34" s="287" t="n">
        <v>0</v>
      </c>
    </row>
    <row r="35" ht="16.5" customFormat="1" customHeight="1" s="146">
      <c r="A35" s="269" t="n"/>
      <c r="B35" s="59" t="n"/>
      <c r="C35" s="113" t="n"/>
      <c r="D35" s="114" t="n"/>
      <c r="E35" s="244" t="n"/>
      <c r="F35" s="115" t="n"/>
      <c r="G35" s="58" t="n"/>
      <c r="H35" s="253" t="n"/>
      <c r="I35" s="253">
        <f>G35*H35</f>
        <v/>
      </c>
      <c r="J35" s="288" t="n"/>
      <c r="K35" s="287" t="n">
        <v>0</v>
      </c>
    </row>
    <row r="36" ht="16.5" customFormat="1" customHeight="1" s="146">
      <c r="A36" s="276" t="inlineStr">
        <is>
          <t>모델료 부문</t>
        </is>
      </c>
      <c r="B36" s="295" t="n"/>
      <c r="C36" s="296" t="n"/>
      <c r="D36" s="160" t="n"/>
      <c r="E36" s="152" t="n"/>
      <c r="F36" s="297" t="n"/>
      <c r="G36" s="101" t="n"/>
      <c r="H36" s="265" t="n"/>
      <c r="I36" s="265">
        <f>G36*H36</f>
        <v/>
      </c>
      <c r="J36" s="266" t="n"/>
      <c r="K36" s="267" t="n">
        <v>0</v>
      </c>
    </row>
    <row r="37" ht="16.5" customFormat="1" customHeight="1" s="146">
      <c r="A37" s="269" t="n"/>
      <c r="B37" s="169" t="n"/>
      <c r="C37" s="89" t="n"/>
      <c r="D37" s="161" t="n"/>
      <c r="E37" s="203" t="n"/>
      <c r="F37" s="156" t="n"/>
      <c r="G37" s="91" t="n"/>
      <c r="H37" s="270" t="n"/>
      <c r="I37" s="270">
        <f>G37*H37</f>
        <v/>
      </c>
      <c r="J37" s="271" t="n"/>
      <c r="K37" s="272" t="n">
        <v>0</v>
      </c>
    </row>
    <row r="38" ht="16.5" customFormat="1" customHeight="1" s="146">
      <c r="A38" s="235" t="inlineStr">
        <is>
          <t>저작권료</t>
        </is>
      </c>
      <c r="B38" s="2" t="inlineStr">
        <is>
          <t>BGM저작권료</t>
        </is>
      </c>
      <c r="C38" s="128" t="n"/>
      <c r="D38" s="118" t="n"/>
      <c r="E38" s="119" t="n"/>
      <c r="F38" s="235" t="n"/>
      <c r="G38" s="235" t="n"/>
      <c r="H38" s="298" t="n"/>
      <c r="I38" s="257">
        <f>G38*H38</f>
        <v/>
      </c>
      <c r="J38" s="258" t="n"/>
      <c r="K38" s="259" t="n">
        <v>0</v>
      </c>
    </row>
    <row r="39" ht="16.5" customFormat="1" customHeight="1" s="146">
      <c r="A39" s="276" t="inlineStr">
        <is>
          <t>진행비 부문</t>
        </is>
      </c>
      <c r="B39" s="121" t="inlineStr">
        <is>
          <t>진행비(교통비/식음료)</t>
        </is>
      </c>
      <c r="C39" s="112" t="n"/>
      <c r="D39" s="152" t="n"/>
      <c r="E39" s="101" t="n"/>
      <c r="F39" s="122" t="n"/>
      <c r="G39" s="101" t="n"/>
      <c r="H39" s="279" t="n"/>
      <c r="I39" s="299">
        <f>G39*H39</f>
        <v/>
      </c>
      <c r="J39" s="300" t="n"/>
      <c r="K39" s="267" t="n">
        <v>0</v>
      </c>
    </row>
    <row r="40" ht="16.5" customFormat="1" customHeight="1" s="146">
      <c r="A40" s="268" t="n"/>
      <c r="B40" s="240" t="inlineStr">
        <is>
          <t>항공료</t>
        </is>
      </c>
      <c r="C40" s="113" t="n"/>
      <c r="D40" s="104" t="n"/>
      <c r="E40" s="58" t="n"/>
      <c r="F40" s="124" t="n"/>
      <c r="G40" s="58" t="n"/>
      <c r="H40" s="301" t="n"/>
      <c r="I40" s="253">
        <f>G40*H40</f>
        <v/>
      </c>
      <c r="J40" s="288" t="n"/>
      <c r="K40" s="287" t="n">
        <v>0</v>
      </c>
    </row>
    <row r="41" ht="16.5" customFormat="1" customHeight="1" s="146">
      <c r="A41" s="269" t="n"/>
      <c r="B41" s="169" t="inlineStr">
        <is>
          <t>통관료</t>
        </is>
      </c>
      <c r="C41" s="89" t="n"/>
      <c r="D41" s="91" t="n"/>
      <c r="E41" s="91" t="n"/>
      <c r="F41" s="126" t="n"/>
      <c r="G41" s="91" t="n"/>
      <c r="H41" s="302" t="n"/>
      <c r="I41" s="270">
        <f>G41*H41</f>
        <v/>
      </c>
      <c r="J41" s="271" t="n"/>
      <c r="K41" s="272" t="n">
        <v>0</v>
      </c>
    </row>
    <row r="42" ht="16.5" customFormat="1" customHeight="1" s="146">
      <c r="A42" s="242" t="inlineStr">
        <is>
          <t>기타 부문</t>
        </is>
      </c>
      <c r="B42" s="303" t="n"/>
      <c r="C42" s="296" t="n"/>
      <c r="D42" s="129" t="n"/>
      <c r="E42" s="235" t="n"/>
      <c r="F42" s="235" t="n"/>
      <c r="G42" s="235" t="n"/>
      <c r="H42" s="257" t="n"/>
      <c r="I42" s="257">
        <f>G42*H42</f>
        <v/>
      </c>
      <c r="J42" s="258" t="n"/>
      <c r="K42" s="259" t="n">
        <v>0</v>
      </c>
    </row>
    <row r="43" ht="16.5" customFormat="1" customHeight="1" s="146" thickBot="1">
      <c r="A43" s="304" t="n"/>
      <c r="B43" s="130" t="n"/>
      <c r="C43" s="113" t="n"/>
      <c r="D43" s="58" t="n"/>
      <c r="E43" s="58" t="n"/>
      <c r="F43" s="58" t="n"/>
      <c r="G43" s="58" t="n"/>
      <c r="H43" s="305" t="n"/>
      <c r="I43" s="256">
        <f>G43*H43</f>
        <v/>
      </c>
      <c r="J43" s="286" t="n"/>
      <c r="K43" s="306" t="n">
        <v>0</v>
      </c>
    </row>
    <row r="44" ht="16.5" customFormat="1" customHeight="1" s="146" thickBot="1">
      <c r="A44" s="38" t="inlineStr">
        <is>
          <t>외주항목계 (B)</t>
        </is>
      </c>
      <c r="B44" s="77" t="n"/>
      <c r="C44" s="77" t="n"/>
      <c r="D44" s="307" t="n"/>
      <c r="E44" s="77" t="n"/>
      <c r="F44" s="77" t="n"/>
      <c r="G44" s="232" t="n"/>
      <c r="H44" s="308" t="n"/>
      <c r="I44" s="308">
        <f>SUM(I16:I43)</f>
        <v/>
      </c>
      <c r="J44" s="309">
        <f>SUM(J16:J43)</f>
        <v/>
      </c>
      <c r="K44" s="262">
        <f>SUM(K16:K43)</f>
        <v/>
      </c>
    </row>
    <row r="45" ht="16.5" customFormat="1" customHeight="1" s="146" thickBot="1">
      <c r="A45" s="135" t="inlineStr">
        <is>
          <t>대행수수료 (C)</t>
        </is>
      </c>
      <c r="B45" s="136" t="inlineStr">
        <is>
          <t xml:space="preserve"> (B)항목 * 17.65%</t>
        </is>
      </c>
      <c r="C45" s="136" t="n"/>
      <c r="D45" s="137" t="n"/>
      <c r="E45" s="136" t="n"/>
      <c r="F45" s="136" t="n"/>
      <c r="G45" s="138" t="n"/>
      <c r="H45" s="310" t="n"/>
      <c r="I45" s="310">
        <f>(I44-I39-I40-I41)*17.65%</f>
        <v/>
      </c>
      <c r="J45" s="311">
        <f>(J44-J39-J40-J41)*17.65%</f>
        <v/>
      </c>
      <c r="K45" s="312" t="n">
        <v>1753350</v>
      </c>
      <c r="L45" s="146" t="inlineStr">
        <is>
          <t>광고대행사 대행수수료 약 12%로 조정</t>
        </is>
      </c>
    </row>
    <row r="46" ht="16.5" customFormat="1" customHeight="1" s="146" thickBot="1">
      <c r="A46" s="190" t="inlineStr">
        <is>
          <t>합 계</t>
        </is>
      </c>
      <c r="B46" s="38" t="inlineStr">
        <is>
          <t>VAT 제외</t>
        </is>
      </c>
      <c r="C46" s="313" t="n"/>
      <c r="D46" s="313" t="n"/>
      <c r="E46" s="313" t="n"/>
      <c r="F46" s="313" t="n"/>
      <c r="G46" s="314" t="n"/>
      <c r="H46" s="315" t="n"/>
      <c r="I46" s="315">
        <f>I15+I44+I45</f>
        <v/>
      </c>
      <c r="J46" s="316">
        <f>J15+J44+J45</f>
        <v/>
      </c>
      <c r="K46" s="317">
        <f>K44+K45</f>
        <v/>
      </c>
      <c r="L46" s="318" t="n"/>
    </row>
    <row r="47" ht="16.5" customFormat="1" customHeight="1" s="146" thickBot="1">
      <c r="A47" s="190" t="inlineStr">
        <is>
          <t>부가가치세</t>
        </is>
      </c>
      <c r="B47" s="76" t="n"/>
      <c r="C47" s="141" t="n"/>
      <c r="D47" s="319" t="n"/>
      <c r="E47" s="320" t="n"/>
      <c r="F47" s="320" t="n"/>
      <c r="G47" s="232" t="n"/>
      <c r="H47" s="315" t="n"/>
      <c r="I47" s="315">
        <f>I46*0.1</f>
        <v/>
      </c>
      <c r="J47" s="316">
        <f>J46*0.1</f>
        <v/>
      </c>
      <c r="K47" s="317">
        <f>K46*0.1</f>
        <v/>
      </c>
    </row>
    <row r="48" ht="32.25" customFormat="1" customHeight="1" s="146" thickBot="1">
      <c r="A48" s="191" t="inlineStr">
        <is>
          <t>총 합</t>
        </is>
      </c>
      <c r="B48" s="226" t="inlineStr">
        <is>
          <t>VAT 포함</t>
        </is>
      </c>
      <c r="C48" s="313" t="n"/>
      <c r="D48" s="313" t="n"/>
      <c r="E48" s="313" t="n"/>
      <c r="F48" s="313" t="n"/>
      <c r="G48" s="314" t="n"/>
      <c r="H48" s="321" t="n"/>
      <c r="I48" s="321">
        <f>I46+I47</f>
        <v/>
      </c>
      <c r="J48" s="322">
        <f>J46+J47</f>
        <v/>
      </c>
      <c r="K48" s="323">
        <f>K46+K47</f>
        <v/>
      </c>
    </row>
    <row r="49">
      <c r="H49" s="3" t="n"/>
      <c r="I49" s="5" t="n"/>
    </row>
  </sheetData>
  <mergeCells count="15">
    <mergeCell ref="A39:A41"/>
    <mergeCell ref="B24:C24"/>
    <mergeCell ref="B21:C21"/>
    <mergeCell ref="B46:G46"/>
    <mergeCell ref="A16:A18"/>
    <mergeCell ref="A42:A43"/>
    <mergeCell ref="B20:C20"/>
    <mergeCell ref="A20:A30"/>
    <mergeCell ref="B42:C42"/>
    <mergeCell ref="B23:C23"/>
    <mergeCell ref="B22:C22"/>
    <mergeCell ref="B36:C36"/>
    <mergeCell ref="A36:A37"/>
    <mergeCell ref="B48:G48"/>
    <mergeCell ref="A31:A35"/>
  </mergeCells>
  <printOptions horizontalCentered="1" verticalCentered="1"/>
  <pageMargins left="0.1574803149606299" right="0.1574803149606299" top="0.3543307086614174" bottom="0.1968503937007874" header="0.1968503937007874" footer="0.2362204724409449"/>
  <pageSetup orientation="portrait" paperSize="9" scale="71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손진석</dc:creator>
  <dcterms:created xsi:type="dcterms:W3CDTF">2005-04-20T05:06:33Z</dcterms:created>
  <dcterms:modified xsi:type="dcterms:W3CDTF">2026-05-18T12:22:50Z</dcterms:modified>
  <cp:lastModifiedBy>CHEIL</cp:lastModifiedBy>
  <cp:lastPrinted>2019-01-30T06:09:43Z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NSCPROP" fmtid="{D5CDD505-2E9C-101B-9397-08002B2CF9AE}" pid="2">
    <vt:lpwstr>NSCCustomProperty</vt:lpwstr>
  </property>
</Properties>
</file>