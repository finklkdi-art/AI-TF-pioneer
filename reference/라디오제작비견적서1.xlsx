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HEIL\Desktop\AI TF - pioneer\reference\"/>
    </mc:Choice>
  </mc:AlternateContent>
  <xr:revisionPtr revIDLastSave="0" documentId="13_ncr:1_{5BE641E5-CB2C-429A-9CC1-D8122A619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CM" sheetId="6" r:id="rId1"/>
  </sheets>
  <definedNames>
    <definedName name="_xlnm.Print_Area" localSheetId="0">RCM!$A$1:$L$48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6" l="1"/>
  <c r="J21" i="6"/>
  <c r="J22" i="6"/>
  <c r="J23" i="6"/>
  <c r="J24" i="6"/>
  <c r="J25" i="6"/>
  <c r="J26" i="6"/>
  <c r="J27" i="6"/>
  <c r="J28" i="6"/>
  <c r="J29" i="6"/>
  <c r="J30" i="6"/>
  <c r="J19" i="6"/>
  <c r="J44" i="6" l="1"/>
  <c r="J45" i="6" l="1"/>
  <c r="J46" i="6" s="1"/>
  <c r="J47" i="6" l="1"/>
  <c r="J48" i="6" s="1"/>
  <c r="I31" i="6" l="1"/>
  <c r="I32" i="6"/>
  <c r="I33" i="6"/>
  <c r="I34" i="6"/>
  <c r="I35" i="6"/>
  <c r="I36" i="6"/>
  <c r="I37" i="6"/>
  <c r="I38" i="6"/>
  <c r="I39" i="6"/>
  <c r="I40" i="6"/>
  <c r="I41" i="6"/>
  <c r="I42" i="6"/>
  <c r="I43" i="6"/>
  <c r="I10" i="6"/>
  <c r="I11" i="6"/>
  <c r="I12" i="6"/>
  <c r="I13" i="6"/>
  <c r="I14" i="6"/>
  <c r="I15" i="6"/>
  <c r="I16" i="6"/>
  <c r="I17" i="6"/>
  <c r="I18" i="6"/>
  <c r="K44" i="6" l="1"/>
  <c r="K46" i="6" s="1"/>
  <c r="K47" i="6" s="1"/>
  <c r="K48" i="6" s="1"/>
  <c r="I44" i="6"/>
  <c r="I45" i="6" s="1"/>
  <c r="I46" i="6" l="1"/>
  <c r="I47" i="6" l="1"/>
  <c r="I48" i="6" s="1"/>
</calcChain>
</file>

<file path=xl/sharedStrings.xml><?xml version="1.0" encoding="utf-8"?>
<sst xmlns="http://schemas.openxmlformats.org/spreadsheetml/2006/main" count="90" uniqueCount="81">
  <si>
    <t>Summary of Estimated Agency Cost</t>
  </si>
  <si>
    <t>수량</t>
  </si>
  <si>
    <t>자료조사비</t>
  </si>
  <si>
    <t>맥콘티작업</t>
  </si>
  <si>
    <t xml:space="preserve">제 작 항 목 </t>
  </si>
  <si>
    <t>단 가</t>
  </si>
  <si>
    <t>기 획 료</t>
  </si>
  <si>
    <t>Copy료</t>
  </si>
  <si>
    <t>Creative Work료</t>
  </si>
  <si>
    <t>Direction료</t>
  </si>
  <si>
    <t>정가항목계 (A)</t>
  </si>
  <si>
    <t>콘티작화 부문</t>
  </si>
  <si>
    <t>CF제작 부문</t>
  </si>
  <si>
    <t>외주항목계 (B)</t>
  </si>
  <si>
    <t>대행수수료 (C)</t>
  </si>
  <si>
    <t xml:space="preserve"> (B)항목 * 17.65%</t>
  </si>
  <si>
    <t>Producer 료</t>
  </si>
  <si>
    <t>세부내용</t>
    <phoneticPr fontId="2" type="noConversion"/>
  </si>
  <si>
    <t>협력회사</t>
    <phoneticPr fontId="2" type="noConversion"/>
  </si>
  <si>
    <t>담당자</t>
    <phoneticPr fontId="2" type="noConversion"/>
  </si>
  <si>
    <t>연락처</t>
    <phoneticPr fontId="2" type="noConversion"/>
  </si>
  <si>
    <t xml:space="preserve">  작품당</t>
    <phoneticPr fontId="2" type="noConversion"/>
  </si>
  <si>
    <t>콘티작화</t>
    <phoneticPr fontId="2" type="noConversion"/>
  </si>
  <si>
    <t>프로듀서 부문</t>
    <phoneticPr fontId="2" type="noConversion"/>
  </si>
  <si>
    <t>프로덕션 제작비</t>
    <phoneticPr fontId="2" type="noConversion"/>
  </si>
  <si>
    <t>편집 및 특수작업</t>
    <phoneticPr fontId="2" type="noConversion"/>
  </si>
  <si>
    <t>모델료 부문</t>
    <phoneticPr fontId="2" type="noConversion"/>
  </si>
  <si>
    <t>진행비 부문</t>
    <phoneticPr fontId="2" type="noConversion"/>
  </si>
  <si>
    <t>기타 부문</t>
    <phoneticPr fontId="2" type="noConversion"/>
  </si>
  <si>
    <t>저작권료</t>
    <phoneticPr fontId="2" type="noConversion"/>
  </si>
  <si>
    <t>진행비(교통비/식음료)</t>
    <phoneticPr fontId="2" type="noConversion"/>
  </si>
  <si>
    <t>일러스트작화</t>
    <phoneticPr fontId="2" type="noConversion"/>
  </si>
  <si>
    <t>DI</t>
    <phoneticPr fontId="2" type="noConversion"/>
  </si>
  <si>
    <t>제작번호 :</t>
    <phoneticPr fontId="2" type="noConversion"/>
  </si>
  <si>
    <t>EDIT</t>
    <phoneticPr fontId="2" type="noConversion"/>
  </si>
  <si>
    <t>2D</t>
    <phoneticPr fontId="2" type="noConversion"/>
  </si>
  <si>
    <t>선곡료</t>
    <phoneticPr fontId="2" type="noConversion"/>
  </si>
  <si>
    <t>녹음연출료</t>
    <phoneticPr fontId="2" type="noConversion"/>
  </si>
  <si>
    <t>해외제작비</t>
    <phoneticPr fontId="2" type="noConversion"/>
  </si>
  <si>
    <t>3D/Art</t>
    <phoneticPr fontId="2" type="noConversion"/>
  </si>
  <si>
    <t>BGM저작권료</t>
    <phoneticPr fontId="2" type="noConversion"/>
  </si>
  <si>
    <t>라이브러리음악</t>
    <phoneticPr fontId="2" type="noConversion"/>
  </si>
  <si>
    <t>항공료</t>
    <phoneticPr fontId="2" type="noConversion"/>
  </si>
  <si>
    <t>통관료</t>
    <phoneticPr fontId="2" type="noConversion"/>
  </si>
  <si>
    <t>사전견적조정</t>
  </si>
  <si>
    <t>녹음료</t>
    <phoneticPr fontId="2" type="noConversion"/>
  </si>
  <si>
    <t>효과료</t>
    <phoneticPr fontId="2" type="noConversion"/>
  </si>
  <si>
    <t xml:space="preserve"> 부문  :</t>
    <phoneticPr fontId="2" type="noConversion"/>
  </si>
  <si>
    <t>규격:</t>
    <phoneticPr fontId="2" type="noConversion"/>
  </si>
  <si>
    <t>프로덕션 :</t>
    <phoneticPr fontId="2" type="noConversion"/>
  </si>
  <si>
    <t>감독:</t>
    <phoneticPr fontId="2" type="noConversion"/>
  </si>
  <si>
    <t>광고주 최종시사일 :</t>
    <phoneticPr fontId="2" type="noConversion"/>
  </si>
  <si>
    <t>제작 CD   : 신태호 CD</t>
    <phoneticPr fontId="2" type="noConversion"/>
  </si>
  <si>
    <t>Art:</t>
    <phoneticPr fontId="2" type="noConversion"/>
  </si>
  <si>
    <t xml:space="preserve">        CW: 이승용, 손유선</t>
    <phoneticPr fontId="2" type="noConversion"/>
  </si>
  <si>
    <t xml:space="preserve"> AE: 유인명, 권두인</t>
    <phoneticPr fontId="2" type="noConversion"/>
  </si>
  <si>
    <t xml:space="preserve">        PD: 박종민</t>
    <phoneticPr fontId="2" type="noConversion"/>
  </si>
  <si>
    <t xml:space="preserve"> PM: 이지선</t>
    <phoneticPr fontId="2" type="noConversion"/>
  </si>
  <si>
    <t>촬영일자 : 2019. 1. 22 12:00</t>
    <phoneticPr fontId="2" type="noConversion"/>
  </si>
  <si>
    <t>부가가치세</t>
    <phoneticPr fontId="27" type="noConversion"/>
  </si>
  <si>
    <t>총 합</t>
    <phoneticPr fontId="27" type="noConversion"/>
  </si>
  <si>
    <t>합 계</t>
    <phoneticPr fontId="27" type="noConversion"/>
  </si>
  <si>
    <t>박종민 PD</t>
    <phoneticPr fontId="27" type="noConversion"/>
  </si>
  <si>
    <t>유투웍스</t>
    <phoneticPr fontId="27" type="noConversion"/>
  </si>
  <si>
    <t>정형석</t>
    <phoneticPr fontId="27" type="noConversion"/>
  </si>
  <si>
    <t>성우료 (남)</t>
    <phoneticPr fontId="2" type="noConversion"/>
  </si>
  <si>
    <t>성우료 (여)</t>
    <phoneticPr fontId="2" type="noConversion"/>
  </si>
  <si>
    <t>VAT 포함</t>
    <phoneticPr fontId="27" type="noConversion"/>
  </si>
  <si>
    <t>VAT 제외</t>
    <phoneticPr fontId="27" type="noConversion"/>
  </si>
  <si>
    <t>미정</t>
    <phoneticPr fontId="27" type="noConversion"/>
  </si>
  <si>
    <t>미정</t>
    <phoneticPr fontId="27" type="noConversion"/>
  </si>
  <si>
    <t>성우료 (외국인 A)</t>
    <phoneticPr fontId="2" type="noConversion"/>
  </si>
  <si>
    <t>성우료 (외국인 B)</t>
    <phoneticPr fontId="2" type="noConversion"/>
  </si>
  <si>
    <t>1차 견적</t>
    <phoneticPr fontId="27" type="noConversion"/>
  </si>
  <si>
    <t>최종 견적</t>
    <phoneticPr fontId="27" type="noConversion"/>
  </si>
  <si>
    <t>A, B, C 소재 모두 온에어에 따른 편수 증가</t>
    <phoneticPr fontId="27" type="noConversion"/>
  </si>
  <si>
    <t>단가 조정</t>
    <phoneticPr fontId="27" type="noConversion"/>
  </si>
  <si>
    <t>제일기획 대행수수료 약 12%로 조정</t>
    <phoneticPr fontId="27" type="noConversion"/>
  </si>
  <si>
    <r>
      <t xml:space="preserve">A, B, C 소재 모두 온에어에 따른 편수 증가 </t>
    </r>
    <r>
      <rPr>
        <sz val="10"/>
        <color rgb="FFFF0000"/>
        <rFont val="돋움"/>
        <family val="3"/>
        <charset val="129"/>
      </rPr>
      <t>(1년 사용 조건)</t>
    </r>
    <phoneticPr fontId="27" type="noConversion"/>
  </si>
  <si>
    <t xml:space="preserve">광고주 : </t>
    <phoneticPr fontId="2" type="noConversion"/>
  </si>
  <si>
    <t xml:space="preserve">건명 :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</si>
</sst>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24" formatCode="\$#,##0_);[Red]\(\$#,##0\)"/>
    <numFmt numFmtId="176" formatCode="&quot;US$&quot;#,##0.00"/>
    <numFmt numFmtId="177" formatCode="&quot;₩&quot;#,##0"/>
  </numFmts>
  <fonts count="30" x14ac:knownFonts="1">
    <font>
      <sz val="11"/>
      <name val="돋움"/>
      <family val="3"/>
    </font>
    <font>
      <sz val="11"/>
      <name val="돋움"/>
      <family val="3"/>
    </font>
    <font>
      <sz val="8"/>
      <name val="돋움"/>
      <family val="3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</font>
    <font>
      <b/>
      <sz val="16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돋움"/>
      <family val="3"/>
    </font>
    <font>
      <sz val="6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name val="Tahoma"/>
      <family val="2"/>
    </font>
    <font>
      <sz val="8"/>
      <name val="Tahoma"/>
      <family val="2"/>
    </font>
    <font>
      <sz val="11"/>
      <color rgb="FFFF0000"/>
      <name val="Tahoma"/>
      <family val="2"/>
    </font>
    <font>
      <sz val="8"/>
      <name val="돋움"/>
      <family val="3"/>
      <charset val="129"/>
    </font>
    <font>
      <sz val="10"/>
      <name val="Tahoma"/>
      <family val="2"/>
    </font>
    <font>
      <sz val="10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6" fillId="0" borderId="0" xfId="0" applyFont="1">
      <alignment vertical="center"/>
    </xf>
    <xf numFmtId="0" fontId="4" fillId="0" borderId="15" xfId="0" applyFont="1" applyBorder="1" applyAlignment="1">
      <alignment horizontal="left" vertical="center"/>
    </xf>
    <xf numFmtId="0" fontId="28" fillId="0" borderId="0" xfId="0" quotePrefix="1" applyFont="1" applyAlignment="1">
      <alignment horizontal="center" vertical="center"/>
    </xf>
    <xf numFmtId="41" fontId="16" fillId="0" borderId="31" xfId="1" applyFont="1" applyBorder="1" applyAlignment="1">
      <alignment horizontal="left" vertical="center"/>
    </xf>
    <xf numFmtId="0" fontId="25" fillId="0" borderId="0" xfId="0" quotePrefix="1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Continuous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right" vertical="center"/>
    </xf>
    <xf numFmtId="0" fontId="14" fillId="0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>
      <alignment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41" fontId="16" fillId="0" borderId="13" xfId="1" applyFont="1" applyBorder="1" applyAlignment="1">
      <alignment horizontal="left" vertical="center"/>
    </xf>
    <xf numFmtId="41" fontId="17" fillId="0" borderId="13" xfId="1" applyFont="1" applyBorder="1" applyAlignment="1">
      <alignment horizontal="left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/>
    </xf>
    <xf numFmtId="41" fontId="16" fillId="0" borderId="16" xfId="1" applyFont="1" applyFill="1" applyBorder="1" applyAlignment="1">
      <alignment horizontal="left" vertical="center"/>
    </xf>
    <xf numFmtId="41" fontId="16" fillId="0" borderId="13" xfId="1" applyFont="1" applyFill="1" applyBorder="1" applyAlignment="1">
      <alignment horizontal="left" vertical="center"/>
    </xf>
    <xf numFmtId="41" fontId="17" fillId="0" borderId="13" xfId="1" applyFont="1" applyFill="1" applyBorder="1" applyAlignment="1">
      <alignment horizontal="left" vertical="center"/>
    </xf>
    <xf numFmtId="0" fontId="18" fillId="0" borderId="0" xfId="0" applyFont="1" applyFill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41" fontId="16" fillId="0" borderId="16" xfId="1" applyFont="1" applyBorder="1" applyAlignment="1">
      <alignment horizontal="left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left" vertical="center"/>
    </xf>
    <xf numFmtId="41" fontId="16" fillId="3" borderId="16" xfId="1" applyFont="1" applyFill="1" applyBorder="1" applyAlignment="1">
      <alignment horizontal="left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41" fontId="16" fillId="0" borderId="22" xfId="1" applyFont="1" applyBorder="1" applyAlignment="1">
      <alignment horizontal="left" vertical="center"/>
    </xf>
    <xf numFmtId="41" fontId="16" fillId="0" borderId="23" xfId="1" applyFont="1" applyBorder="1" applyAlignment="1">
      <alignment horizontal="left" vertical="center"/>
    </xf>
    <xf numFmtId="41" fontId="17" fillId="0" borderId="23" xfId="1" applyFont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41" fontId="16" fillId="2" borderId="7" xfId="1" applyFont="1" applyFill="1" applyBorder="1" applyAlignment="1">
      <alignment horizontal="left" vertical="center"/>
    </xf>
    <xf numFmtId="41" fontId="17" fillId="2" borderId="7" xfId="1" applyFont="1" applyFill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41" fontId="16" fillId="0" borderId="11" xfId="1" applyFont="1" applyBorder="1" applyAlignment="1">
      <alignment horizontal="left" vertical="center"/>
    </xf>
    <xf numFmtId="41" fontId="16" fillId="0" borderId="26" xfId="1" applyFont="1" applyBorder="1" applyAlignment="1">
      <alignment horizontal="left" vertical="center"/>
    </xf>
    <xf numFmtId="41" fontId="17" fillId="0" borderId="26" xfId="1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6" fillId="0" borderId="27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41" fontId="16" fillId="0" borderId="29" xfId="1" applyFont="1" applyBorder="1" applyAlignment="1">
      <alignment horizontal="left" vertical="center"/>
    </xf>
    <xf numFmtId="41" fontId="16" fillId="0" borderId="29" xfId="1" applyFont="1" applyFill="1" applyBorder="1" applyAlignment="1">
      <alignment horizontal="left" vertical="center"/>
    </xf>
    <xf numFmtId="41" fontId="17" fillId="0" borderId="29" xfId="1" applyFont="1" applyFill="1" applyBorder="1" applyAlignment="1">
      <alignment horizontal="left" vertical="center"/>
    </xf>
    <xf numFmtId="0" fontId="4" fillId="0" borderId="30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41" fontId="16" fillId="0" borderId="31" xfId="1" applyFont="1" applyFill="1" applyBorder="1" applyAlignment="1">
      <alignment horizontal="left" vertical="center"/>
    </xf>
    <xf numFmtId="41" fontId="17" fillId="0" borderId="31" xfId="1" applyFont="1" applyBorder="1" applyAlignment="1">
      <alignment horizontal="left" vertical="center"/>
    </xf>
    <xf numFmtId="41" fontId="17" fillId="0" borderId="29" xfId="1" applyFont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41" fontId="16" fillId="0" borderId="26" xfId="1" applyFont="1" applyBorder="1" applyAlignment="1">
      <alignment horizontal="left" vertical="center" shrinkToFit="1"/>
    </xf>
    <xf numFmtId="0" fontId="11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41" fontId="21" fillId="0" borderId="22" xfId="1" applyFont="1" applyBorder="1" applyAlignment="1">
      <alignment horizontal="left" vertical="center"/>
    </xf>
    <xf numFmtId="41" fontId="17" fillId="0" borderId="22" xfId="1" applyFont="1" applyBorder="1" applyAlignment="1">
      <alignment horizontal="left" vertical="center"/>
    </xf>
    <xf numFmtId="0" fontId="21" fillId="0" borderId="14" xfId="0" applyFont="1" applyBorder="1" applyAlignment="1">
      <alignment horizontal="center" vertical="center"/>
    </xf>
    <xf numFmtId="41" fontId="17" fillId="0" borderId="16" xfId="1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1" fillId="0" borderId="34" xfId="0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41" fontId="16" fillId="0" borderId="33" xfId="1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24" fontId="16" fillId="0" borderId="23" xfId="1" applyNumberFormat="1" applyFont="1" applyBorder="1" applyAlignment="1">
      <alignment horizontal="right" vertical="center"/>
    </xf>
    <xf numFmtId="0" fontId="4" fillId="0" borderId="32" xfId="0" applyFont="1" applyBorder="1" applyAlignment="1">
      <alignment horizontal="left" vertical="center"/>
    </xf>
    <xf numFmtId="0" fontId="16" fillId="0" borderId="33" xfId="0" applyFont="1" applyBorder="1" applyAlignment="1">
      <alignment horizontal="center" vertical="center" shrinkToFit="1"/>
    </xf>
    <xf numFmtId="41" fontId="17" fillId="0" borderId="33" xfId="1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 shrinkToFit="1"/>
    </xf>
    <xf numFmtId="41" fontId="16" fillId="0" borderId="16" xfId="1" applyFont="1" applyBorder="1" applyAlignment="1">
      <alignment horizontal="left" vertical="center" shrinkToFit="1"/>
    </xf>
    <xf numFmtId="0" fontId="16" fillId="0" borderId="28" xfId="0" applyFont="1" applyBorder="1" applyAlignment="1">
      <alignment horizontal="center" vertical="center" shrinkToFit="1"/>
    </xf>
    <xf numFmtId="41" fontId="16" fillId="0" borderId="29" xfId="1" applyFont="1" applyBorder="1" applyAlignment="1">
      <alignment horizontal="left" vertical="center" shrinkToFit="1"/>
    </xf>
    <xf numFmtId="0" fontId="16" fillId="0" borderId="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1" fontId="16" fillId="0" borderId="21" xfId="1" applyFont="1" applyBorder="1" applyAlignment="1">
      <alignment horizontal="left" vertical="center"/>
    </xf>
    <xf numFmtId="24" fontId="16" fillId="2" borderId="6" xfId="0" applyNumberFormat="1" applyFont="1" applyFill="1" applyBorder="1" applyAlignment="1">
      <alignment horizontal="center" vertical="center"/>
    </xf>
    <xf numFmtId="41" fontId="16" fillId="2" borderId="4" xfId="1" applyFont="1" applyFill="1" applyBorder="1" applyAlignment="1">
      <alignment horizontal="left" vertical="center"/>
    </xf>
    <xf numFmtId="41" fontId="17" fillId="2" borderId="4" xfId="1" applyFont="1" applyFill="1" applyBorder="1" applyAlignment="1">
      <alignment horizontal="left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left" vertical="center"/>
    </xf>
    <xf numFmtId="0" fontId="16" fillId="3" borderId="38" xfId="0" applyFont="1" applyFill="1" applyBorder="1" applyAlignment="1">
      <alignment horizontal="center" vertical="center"/>
    </xf>
    <xf numFmtId="10" fontId="16" fillId="3" borderId="38" xfId="0" applyNumberFormat="1" applyFont="1" applyFill="1" applyBorder="1" applyAlignment="1">
      <alignment horizontal="center" vertical="center"/>
    </xf>
    <xf numFmtId="41" fontId="16" fillId="3" borderId="37" xfId="1" applyFont="1" applyFill="1" applyBorder="1" applyAlignment="1">
      <alignment horizontal="left" vertical="center"/>
    </xf>
    <xf numFmtId="41" fontId="17" fillId="3" borderId="37" xfId="1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24" fontId="12" fillId="2" borderId="6" xfId="0" applyNumberFormat="1" applyFont="1" applyFill="1" applyBorder="1" applyAlignment="1">
      <alignment horizontal="center" vertical="center"/>
    </xf>
    <xf numFmtId="176" fontId="12" fillId="2" borderId="6" xfId="0" applyNumberFormat="1" applyFont="1" applyFill="1" applyBorder="1" applyAlignment="1">
      <alignment horizontal="left" vertical="center"/>
    </xf>
    <xf numFmtId="177" fontId="16" fillId="2" borderId="4" xfId="1" applyNumberFormat="1" applyFont="1" applyFill="1" applyBorder="1" applyAlignment="1">
      <alignment horizontal="right" vertical="center"/>
    </xf>
    <xf numFmtId="177" fontId="17" fillId="2" borderId="4" xfId="1" applyNumberFormat="1" applyFont="1" applyFill="1" applyBorder="1" applyAlignment="1">
      <alignment horizontal="right" vertical="center"/>
    </xf>
    <xf numFmtId="0" fontId="18" fillId="0" borderId="0" xfId="0" applyFont="1" applyBorder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4" fillId="0" borderId="33" xfId="0" applyFont="1" applyBorder="1" applyAlignment="1">
      <alignment horizontal="center" vertical="center"/>
    </xf>
    <xf numFmtId="41" fontId="23" fillId="0" borderId="26" xfId="1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24" fontId="16" fillId="0" borderId="22" xfId="1" applyNumberFormat="1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/>
    </xf>
    <xf numFmtId="41" fontId="4" fillId="0" borderId="26" xfId="1" applyFont="1" applyBorder="1" applyAlignment="1">
      <alignment horizontal="left" vertical="center"/>
    </xf>
    <xf numFmtId="0" fontId="11" fillId="0" borderId="30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41" fontId="21" fillId="0" borderId="13" xfId="1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2" fillId="0" borderId="37" xfId="0" applyFont="1" applyFill="1" applyBorder="1" applyAlignment="1">
      <alignment vertical="center"/>
    </xf>
    <xf numFmtId="0" fontId="12" fillId="0" borderId="36" xfId="0" applyFont="1" applyFill="1" applyBorder="1" applyAlignment="1">
      <alignment vertical="center"/>
    </xf>
    <xf numFmtId="0" fontId="12" fillId="0" borderId="39" xfId="0" applyFont="1" applyFill="1" applyBorder="1" applyAlignment="1">
      <alignment vertical="center"/>
    </xf>
    <xf numFmtId="0" fontId="12" fillId="0" borderId="14" xfId="0" applyFont="1" applyFill="1" applyBorder="1" applyAlignment="1">
      <alignment vertical="center"/>
    </xf>
    <xf numFmtId="0" fontId="16" fillId="0" borderId="35" xfId="0" applyFont="1" applyFill="1" applyBorder="1" applyAlignment="1">
      <alignment horizontal="left" vertical="center"/>
    </xf>
    <xf numFmtId="0" fontId="16" fillId="0" borderId="31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177" fontId="16" fillId="4" borderId="4" xfId="1" applyNumberFormat="1" applyFont="1" applyFill="1" applyBorder="1" applyAlignment="1">
      <alignment horizontal="right" vertical="center"/>
    </xf>
    <xf numFmtId="177" fontId="17" fillId="4" borderId="4" xfId="1" applyNumberFormat="1" applyFont="1" applyFill="1" applyBorder="1" applyAlignment="1">
      <alignment horizontal="right" vertical="center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/>
    </xf>
    <xf numFmtId="41" fontId="16" fillId="0" borderId="41" xfId="1" applyFont="1" applyBorder="1" applyAlignment="1">
      <alignment horizontal="left" vertical="center"/>
    </xf>
    <xf numFmtId="41" fontId="21" fillId="0" borderId="41" xfId="1" applyFont="1" applyBorder="1" applyAlignment="1">
      <alignment horizontal="left" vertical="center"/>
    </xf>
    <xf numFmtId="41" fontId="17" fillId="0" borderId="41" xfId="1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41" fontId="21" fillId="0" borderId="16" xfId="1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7" fillId="0" borderId="30" xfId="0" applyFont="1" applyFill="1" applyBorder="1" applyAlignment="1">
      <alignment horizontal="center" vertical="center"/>
    </xf>
    <xf numFmtId="41" fontId="16" fillId="0" borderId="43" xfId="1" applyFont="1" applyBorder="1" applyAlignment="1">
      <alignment horizontal="left" vertical="center"/>
    </xf>
    <xf numFmtId="41" fontId="16" fillId="0" borderId="43" xfId="1" applyFont="1" applyFill="1" applyBorder="1" applyAlignment="1">
      <alignment horizontal="left" vertical="center"/>
    </xf>
    <xf numFmtId="41" fontId="16" fillId="3" borderId="43" xfId="1" applyFont="1" applyFill="1" applyBorder="1" applyAlignment="1">
      <alignment horizontal="left" vertical="center"/>
    </xf>
    <xf numFmtId="41" fontId="16" fillId="0" borderId="44" xfId="1" applyFont="1" applyBorder="1" applyAlignment="1">
      <alignment horizontal="left" vertical="center"/>
    </xf>
    <xf numFmtId="41" fontId="16" fillId="2" borderId="45" xfId="1" applyFont="1" applyFill="1" applyBorder="1" applyAlignment="1">
      <alignment horizontal="left" vertical="center"/>
    </xf>
    <xf numFmtId="41" fontId="16" fillId="0" borderId="46" xfId="1" applyFont="1" applyFill="1" applyBorder="1" applyAlignment="1">
      <alignment horizontal="left" vertical="center"/>
    </xf>
    <xf numFmtId="41" fontId="16" fillId="0" borderId="47" xfId="1" applyFont="1" applyFill="1" applyBorder="1" applyAlignment="1">
      <alignment horizontal="left" vertical="center"/>
    </xf>
    <xf numFmtId="41" fontId="16" fillId="0" borderId="48" xfId="1" applyFont="1" applyBorder="1" applyAlignment="1">
      <alignment horizontal="right" vertical="center"/>
    </xf>
    <xf numFmtId="41" fontId="16" fillId="0" borderId="46" xfId="1" applyFont="1" applyBorder="1" applyAlignment="1">
      <alignment horizontal="right" vertical="center"/>
    </xf>
    <xf numFmtId="41" fontId="16" fillId="0" borderId="49" xfId="1" applyFont="1" applyBorder="1" applyAlignment="1">
      <alignment horizontal="left" vertical="center"/>
    </xf>
    <xf numFmtId="41" fontId="16" fillId="0" borderId="50" xfId="1" applyFont="1" applyBorder="1" applyAlignment="1">
      <alignment horizontal="left" vertical="center"/>
    </xf>
    <xf numFmtId="41" fontId="16" fillId="0" borderId="46" xfId="1" applyFont="1" applyBorder="1" applyAlignment="1">
      <alignment horizontal="left" vertical="center"/>
    </xf>
    <xf numFmtId="41" fontId="16" fillId="0" borderId="47" xfId="1" applyFont="1" applyBorder="1" applyAlignment="1">
      <alignment horizontal="left" vertical="center"/>
    </xf>
    <xf numFmtId="41" fontId="16" fillId="0" borderId="51" xfId="1" applyFont="1" applyBorder="1" applyAlignment="1">
      <alignment horizontal="left" vertical="center"/>
    </xf>
    <xf numFmtId="41" fontId="16" fillId="3" borderId="52" xfId="1" applyFont="1" applyFill="1" applyBorder="1" applyAlignment="1">
      <alignment horizontal="left" vertical="center"/>
    </xf>
    <xf numFmtId="177" fontId="16" fillId="2" borderId="45" xfId="1" applyNumberFormat="1" applyFont="1" applyFill="1" applyBorder="1" applyAlignment="1">
      <alignment horizontal="right" vertical="center"/>
    </xf>
    <xf numFmtId="177" fontId="16" fillId="4" borderId="53" xfId="1" applyNumberFormat="1" applyFont="1" applyFill="1" applyBorder="1" applyAlignment="1">
      <alignment horizontal="right" vertical="center"/>
    </xf>
    <xf numFmtId="41" fontId="16" fillId="0" borderId="49" xfId="1" applyFont="1" applyFill="1" applyBorder="1" applyAlignment="1">
      <alignment horizontal="left" vertical="center"/>
    </xf>
    <xf numFmtId="0" fontId="16" fillId="5" borderId="4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41" fontId="18" fillId="0" borderId="0" xfId="0" applyNumberFormat="1" applyFont="1" applyBorder="1">
      <alignment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0" fillId="0" borderId="35" xfId="0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6" fillId="0" borderId="3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0" y="209550"/>
          <a:ext cx="860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14" name="Lin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0" y="209550"/>
          <a:ext cx="860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72107</xdr:colOff>
      <xdr:row>0</xdr:row>
      <xdr:rowOff>80687</xdr:rowOff>
    </xdr:from>
    <xdr:to>
      <xdr:col>1</xdr:col>
      <xdr:colOff>26318</xdr:colOff>
      <xdr:row>0</xdr:row>
      <xdr:rowOff>395563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7" y="80687"/>
          <a:ext cx="1049586" cy="31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showGridLines="0" tabSelected="1" zoomScale="115" zoomScaleNormal="115" zoomScaleSheetLayoutView="85" workbookViewId="0">
      <selection activeCell="A2" sqref="A2"/>
    </sheetView>
  </sheetViews>
  <sheetFormatPr defaultColWidth="8.6640625" defaultRowHeight="14.25" x14ac:dyDescent="0.2"/>
  <cols>
    <col min="1" max="1" width="12.77734375" style="147" customWidth="1"/>
    <col min="2" max="2" width="8.44140625" style="148" customWidth="1"/>
    <col min="3" max="3" width="4.6640625" style="149" customWidth="1"/>
    <col min="4" max="4" width="9.109375" style="148" customWidth="1"/>
    <col min="5" max="5" width="8.21875" style="148" customWidth="1"/>
    <col min="6" max="6" width="8.21875" style="150" customWidth="1"/>
    <col min="7" max="7" width="4.88671875" style="147" customWidth="1"/>
    <col min="8" max="8" width="10.77734375" style="148" customWidth="1"/>
    <col min="9" max="9" width="12.109375" style="148" customWidth="1"/>
    <col min="10" max="10" width="11.6640625" style="151" customWidth="1"/>
    <col min="11" max="11" width="12" style="148" customWidth="1"/>
    <col min="12" max="16384" width="8.6640625" style="1"/>
  </cols>
  <sheetData>
    <row r="1" spans="1:11" ht="36" customHeight="1" x14ac:dyDescent="0.3">
      <c r="A1" s="6"/>
      <c r="B1" s="7"/>
      <c r="C1" s="8"/>
      <c r="D1" s="7"/>
      <c r="E1" s="7"/>
      <c r="F1" s="9"/>
      <c r="G1" s="6"/>
      <c r="H1" s="7"/>
      <c r="I1" s="7"/>
      <c r="J1" s="10"/>
      <c r="K1" s="7"/>
    </row>
    <row r="2" spans="1:11" ht="24.75" customHeight="1" x14ac:dyDescent="0.15">
      <c r="A2" s="11" t="s">
        <v>0</v>
      </c>
      <c r="B2" s="12"/>
      <c r="C2" s="13"/>
      <c r="D2" s="12"/>
      <c r="E2" s="12"/>
      <c r="F2" s="14"/>
      <c r="G2" s="15"/>
      <c r="H2" s="16"/>
      <c r="I2" s="16"/>
      <c r="J2" s="17"/>
      <c r="K2" s="18"/>
    </row>
    <row r="3" spans="1:11" s="20" customFormat="1" ht="14.1" customHeight="1" x14ac:dyDescent="0.15">
      <c r="A3" s="19" t="s">
        <v>79</v>
      </c>
      <c r="B3" s="19"/>
      <c r="C3" s="19" t="s">
        <v>80</v>
      </c>
      <c r="D3" s="19"/>
      <c r="E3" s="19"/>
      <c r="F3" s="19"/>
      <c r="G3" s="19"/>
      <c r="H3" s="19" t="s">
        <v>47</v>
      </c>
      <c r="I3" s="19"/>
      <c r="J3" s="19" t="s">
        <v>48</v>
      </c>
      <c r="K3" s="19"/>
    </row>
    <row r="4" spans="1:11" s="20" customFormat="1" ht="14.1" customHeight="1" x14ac:dyDescent="0.15">
      <c r="A4" s="21" t="s">
        <v>33</v>
      </c>
      <c r="B4" s="21"/>
      <c r="C4" s="21"/>
      <c r="D4" s="21"/>
      <c r="E4" s="21"/>
      <c r="F4" s="21"/>
      <c r="G4" s="22"/>
      <c r="H4" s="23"/>
      <c r="I4" s="23"/>
      <c r="J4" s="21"/>
      <c r="K4" s="23"/>
    </row>
    <row r="5" spans="1:11" s="20" customFormat="1" ht="14.1" customHeight="1" x14ac:dyDescent="0.15">
      <c r="A5" s="24" t="s">
        <v>52</v>
      </c>
      <c r="B5" s="24"/>
      <c r="C5" s="24" t="s">
        <v>53</v>
      </c>
      <c r="D5" s="24"/>
      <c r="E5" s="24" t="s">
        <v>54</v>
      </c>
      <c r="F5" s="24"/>
      <c r="G5" s="25"/>
      <c r="H5" s="24" t="s">
        <v>55</v>
      </c>
      <c r="I5" s="24"/>
      <c r="J5" s="26"/>
      <c r="K5" s="24"/>
    </row>
    <row r="6" spans="1:11" s="20" customFormat="1" ht="14.1" customHeight="1" x14ac:dyDescent="0.15">
      <c r="A6" s="27" t="s">
        <v>49</v>
      </c>
      <c r="B6" s="27"/>
      <c r="C6" s="27" t="s">
        <v>50</v>
      </c>
      <c r="D6" s="27"/>
      <c r="E6" s="27" t="s">
        <v>56</v>
      </c>
      <c r="F6" s="27"/>
      <c r="G6" s="28"/>
      <c r="H6" s="27" t="s">
        <v>57</v>
      </c>
      <c r="I6" s="27"/>
      <c r="J6" s="29"/>
      <c r="K6" s="27"/>
    </row>
    <row r="7" spans="1:11" s="20" customFormat="1" ht="14.1" customHeight="1" thickBot="1" x14ac:dyDescent="0.2">
      <c r="A7" s="30" t="s">
        <v>58</v>
      </c>
      <c r="B7" s="30"/>
      <c r="C7" s="30"/>
      <c r="D7" s="31"/>
      <c r="E7" s="30" t="s">
        <v>51</v>
      </c>
      <c r="F7" s="30"/>
      <c r="G7" s="30"/>
      <c r="H7" s="30"/>
      <c r="I7" s="30"/>
      <c r="J7" s="32"/>
      <c r="K7" s="33"/>
    </row>
    <row r="8" spans="1:11" s="37" customFormat="1" ht="26.25" customHeight="1" thickBot="1" x14ac:dyDescent="0.2">
      <c r="A8" s="34"/>
      <c r="B8" s="34"/>
      <c r="C8" s="34"/>
      <c r="D8" s="35"/>
      <c r="E8" s="34"/>
      <c r="F8" s="34"/>
      <c r="G8" s="34"/>
      <c r="H8" s="34"/>
      <c r="I8" s="34"/>
      <c r="J8" s="36"/>
      <c r="K8" s="34"/>
    </row>
    <row r="9" spans="1:11" s="42" customFormat="1" ht="16.5" customHeight="1" thickBot="1" x14ac:dyDescent="0.2">
      <c r="A9" s="38" t="s">
        <v>4</v>
      </c>
      <c r="B9" s="39" t="s">
        <v>17</v>
      </c>
      <c r="C9" s="40"/>
      <c r="D9" s="39" t="s">
        <v>18</v>
      </c>
      <c r="E9" s="38" t="s">
        <v>19</v>
      </c>
      <c r="F9" s="40" t="s">
        <v>20</v>
      </c>
      <c r="G9" s="38" t="s">
        <v>1</v>
      </c>
      <c r="H9" s="41" t="s">
        <v>5</v>
      </c>
      <c r="I9" s="41" t="s">
        <v>73</v>
      </c>
      <c r="J9" s="226" t="s">
        <v>44</v>
      </c>
      <c r="K9" s="225" t="s">
        <v>74</v>
      </c>
    </row>
    <row r="10" spans="1:11" s="42" customFormat="1" ht="16.5" customHeight="1" x14ac:dyDescent="0.15">
      <c r="A10" s="43" t="s">
        <v>6</v>
      </c>
      <c r="B10" s="44" t="s">
        <v>21</v>
      </c>
      <c r="C10" s="45"/>
      <c r="D10" s="182"/>
      <c r="E10" s="43"/>
      <c r="F10" s="46"/>
      <c r="G10" s="47"/>
      <c r="H10" s="48"/>
      <c r="I10" s="48">
        <f t="shared" ref="I10:I18" si="0">G10*H10</f>
        <v>0</v>
      </c>
      <c r="J10" s="49"/>
      <c r="K10" s="207">
        <v>0</v>
      </c>
    </row>
    <row r="11" spans="1:11" s="57" customFormat="1" ht="16.5" customHeight="1" x14ac:dyDescent="0.15">
      <c r="A11" s="50" t="s">
        <v>7</v>
      </c>
      <c r="B11" s="51" t="s">
        <v>21</v>
      </c>
      <c r="C11" s="52"/>
      <c r="D11" s="185"/>
      <c r="E11" s="50"/>
      <c r="F11" s="53"/>
      <c r="G11" s="50"/>
      <c r="H11" s="54"/>
      <c r="I11" s="55">
        <f t="shared" si="0"/>
        <v>0</v>
      </c>
      <c r="J11" s="56"/>
      <c r="K11" s="208">
        <v>0</v>
      </c>
    </row>
    <row r="12" spans="1:11" s="42" customFormat="1" ht="16.5" customHeight="1" x14ac:dyDescent="0.15">
      <c r="A12" s="58" t="s">
        <v>8</v>
      </c>
      <c r="B12" s="59" t="s">
        <v>21</v>
      </c>
      <c r="C12" s="60"/>
      <c r="D12" s="183"/>
      <c r="E12" s="58"/>
      <c r="F12" s="61"/>
      <c r="G12" s="58"/>
      <c r="H12" s="62"/>
      <c r="I12" s="55">
        <f t="shared" si="0"/>
        <v>0</v>
      </c>
      <c r="J12" s="56"/>
      <c r="K12" s="207">
        <v>0</v>
      </c>
    </row>
    <row r="13" spans="1:11" s="42" customFormat="1" ht="16.5" customHeight="1" x14ac:dyDescent="0.15">
      <c r="A13" s="63" t="s">
        <v>9</v>
      </c>
      <c r="B13" s="64" t="s">
        <v>21</v>
      </c>
      <c r="C13" s="65"/>
      <c r="D13" s="185"/>
      <c r="E13" s="63"/>
      <c r="F13" s="66"/>
      <c r="G13" s="63"/>
      <c r="H13" s="67"/>
      <c r="I13" s="55">
        <f t="shared" si="0"/>
        <v>0</v>
      </c>
      <c r="J13" s="56"/>
      <c r="K13" s="209">
        <v>0</v>
      </c>
    </row>
    <row r="14" spans="1:11" s="42" customFormat="1" ht="16.5" customHeight="1" thickBot="1" x14ac:dyDescent="0.2">
      <c r="A14" s="68" t="s">
        <v>2</v>
      </c>
      <c r="B14" s="69" t="s">
        <v>21</v>
      </c>
      <c r="C14" s="70"/>
      <c r="D14" s="184"/>
      <c r="E14" s="72"/>
      <c r="F14" s="71"/>
      <c r="G14" s="72"/>
      <c r="H14" s="73"/>
      <c r="I14" s="74">
        <f t="shared" si="0"/>
        <v>0</v>
      </c>
      <c r="J14" s="75"/>
      <c r="K14" s="210">
        <v>0</v>
      </c>
    </row>
    <row r="15" spans="1:11" s="42" customFormat="1" ht="16.5" customHeight="1" thickBot="1" x14ac:dyDescent="0.2">
      <c r="A15" s="38" t="s">
        <v>10</v>
      </c>
      <c r="B15" s="76"/>
      <c r="C15" s="77"/>
      <c r="D15" s="77"/>
      <c r="E15" s="40"/>
      <c r="F15" s="77"/>
      <c r="G15" s="40"/>
      <c r="H15" s="78"/>
      <c r="I15" s="78">
        <f t="shared" si="0"/>
        <v>0</v>
      </c>
      <c r="J15" s="79"/>
      <c r="K15" s="211">
        <v>0</v>
      </c>
    </row>
    <row r="16" spans="1:11" s="42" customFormat="1" ht="16.5" customHeight="1" x14ac:dyDescent="0.15">
      <c r="A16" s="234" t="s">
        <v>11</v>
      </c>
      <c r="B16" s="80" t="s">
        <v>22</v>
      </c>
      <c r="C16" s="81"/>
      <c r="D16" s="47"/>
      <c r="E16" s="47"/>
      <c r="F16" s="82"/>
      <c r="G16" s="47"/>
      <c r="H16" s="83"/>
      <c r="I16" s="84">
        <f t="shared" si="0"/>
        <v>0</v>
      </c>
      <c r="J16" s="85"/>
      <c r="K16" s="212">
        <v>0</v>
      </c>
    </row>
    <row r="17" spans="1:12" s="42" customFormat="1" ht="16.5" customHeight="1" x14ac:dyDescent="0.15">
      <c r="A17" s="235"/>
      <c r="B17" s="167" t="s">
        <v>31</v>
      </c>
      <c r="C17" s="86"/>
      <c r="D17" s="43"/>
      <c r="E17" s="43"/>
      <c r="F17" s="87"/>
      <c r="G17" s="43"/>
      <c r="H17" s="48"/>
      <c r="I17" s="48">
        <f t="shared" si="0"/>
        <v>0</v>
      </c>
      <c r="J17" s="49"/>
      <c r="K17" s="208">
        <v>0</v>
      </c>
    </row>
    <row r="18" spans="1:12" s="42" customFormat="1" ht="16.5" customHeight="1" x14ac:dyDescent="0.15">
      <c r="A18" s="236"/>
      <c r="B18" s="88" t="s">
        <v>3</v>
      </c>
      <c r="C18" s="89"/>
      <c r="D18" s="90"/>
      <c r="E18" s="91"/>
      <c r="F18" s="91"/>
      <c r="G18" s="91"/>
      <c r="H18" s="92"/>
      <c r="I18" s="93">
        <f t="shared" si="0"/>
        <v>0</v>
      </c>
      <c r="J18" s="94"/>
      <c r="K18" s="213">
        <v>0</v>
      </c>
    </row>
    <row r="19" spans="1:12" s="42" customFormat="1" ht="16.5" customHeight="1" x14ac:dyDescent="0.15">
      <c r="A19" s="96" t="s">
        <v>23</v>
      </c>
      <c r="B19" s="186" t="s">
        <v>16</v>
      </c>
      <c r="C19" s="187"/>
      <c r="D19" s="158"/>
      <c r="E19" s="95" t="s">
        <v>62</v>
      </c>
      <c r="F19" s="159"/>
      <c r="G19" s="206">
        <v>4</v>
      </c>
      <c r="H19" s="97">
        <v>700000</v>
      </c>
      <c r="I19" s="4">
        <v>2800000</v>
      </c>
      <c r="J19" s="98">
        <f>K19-I19</f>
        <v>-1300000</v>
      </c>
      <c r="K19" s="214">
        <v>1500000</v>
      </c>
    </row>
    <row r="20" spans="1:12" s="42" customFormat="1" ht="16.5" customHeight="1" x14ac:dyDescent="0.15">
      <c r="A20" s="237" t="s">
        <v>12</v>
      </c>
      <c r="B20" s="238" t="s">
        <v>24</v>
      </c>
      <c r="C20" s="239"/>
      <c r="D20" s="100"/>
      <c r="E20" s="173"/>
      <c r="F20" s="173"/>
      <c r="G20" s="101"/>
      <c r="H20" s="102"/>
      <c r="I20" s="84">
        <v>0</v>
      </c>
      <c r="J20" s="153">
        <f t="shared" ref="J20:J30" si="1">K20-I20</f>
        <v>0</v>
      </c>
      <c r="K20" s="215">
        <v>0</v>
      </c>
    </row>
    <row r="21" spans="1:12" s="42" customFormat="1" ht="16.5" customHeight="1" x14ac:dyDescent="0.15">
      <c r="A21" s="235"/>
      <c r="B21" s="240" t="s">
        <v>38</v>
      </c>
      <c r="C21" s="241"/>
      <c r="D21" s="164"/>
      <c r="E21" s="154"/>
      <c r="F21" s="154"/>
      <c r="G21" s="168"/>
      <c r="H21" s="155"/>
      <c r="I21" s="74">
        <v>0</v>
      </c>
      <c r="J21" s="75">
        <f t="shared" si="1"/>
        <v>0</v>
      </c>
      <c r="K21" s="207">
        <v>0</v>
      </c>
    </row>
    <row r="22" spans="1:12" s="42" customFormat="1" ht="16.5" customHeight="1" x14ac:dyDescent="0.15">
      <c r="A22" s="235"/>
      <c r="B22" s="240" t="s">
        <v>45</v>
      </c>
      <c r="C22" s="241"/>
      <c r="D22" s="180"/>
      <c r="E22" s="104" t="s">
        <v>63</v>
      </c>
      <c r="F22" s="105"/>
      <c r="G22" s="111">
        <v>7</v>
      </c>
      <c r="H22" s="73">
        <v>800000</v>
      </c>
      <c r="I22" s="106">
        <v>3200000</v>
      </c>
      <c r="J22" s="107">
        <f t="shared" si="1"/>
        <v>100000</v>
      </c>
      <c r="K22" s="216">
        <v>3300000</v>
      </c>
      <c r="L22" s="42" t="s">
        <v>75</v>
      </c>
    </row>
    <row r="23" spans="1:12" s="42" customFormat="1" ht="16.5" customHeight="1" x14ac:dyDescent="0.15">
      <c r="A23" s="235"/>
      <c r="B23" s="240" t="s">
        <v>46</v>
      </c>
      <c r="C23" s="241"/>
      <c r="D23" s="181"/>
      <c r="E23" s="104"/>
      <c r="F23" s="105"/>
      <c r="G23" s="105"/>
      <c r="H23" s="73"/>
      <c r="I23" s="106">
        <v>0</v>
      </c>
      <c r="J23" s="107">
        <f t="shared" si="1"/>
        <v>0</v>
      </c>
      <c r="K23" s="216">
        <v>0</v>
      </c>
    </row>
    <row r="24" spans="1:12" s="42" customFormat="1" ht="16.5" customHeight="1" x14ac:dyDescent="0.15">
      <c r="A24" s="235"/>
      <c r="B24" s="240" t="s">
        <v>36</v>
      </c>
      <c r="C24" s="241"/>
      <c r="D24" s="180"/>
      <c r="E24" s="154"/>
      <c r="F24" s="108"/>
      <c r="G24" s="58"/>
      <c r="H24" s="62"/>
      <c r="I24" s="106">
        <v>0</v>
      </c>
      <c r="J24" s="109">
        <f t="shared" si="1"/>
        <v>0</v>
      </c>
      <c r="K24" s="216">
        <v>0</v>
      </c>
    </row>
    <row r="25" spans="1:12" s="42" customFormat="1" ht="16.5" customHeight="1" x14ac:dyDescent="0.15">
      <c r="A25" s="235"/>
      <c r="B25" s="166" t="s">
        <v>37</v>
      </c>
      <c r="C25" s="110"/>
      <c r="D25" s="181"/>
      <c r="E25" s="154"/>
      <c r="F25" s="111"/>
      <c r="G25" s="68"/>
      <c r="H25" s="73"/>
      <c r="I25" s="106">
        <v>0</v>
      </c>
      <c r="J25" s="107">
        <f t="shared" si="1"/>
        <v>0</v>
      </c>
      <c r="K25" s="216">
        <v>0</v>
      </c>
    </row>
    <row r="26" spans="1:12" s="42" customFormat="1" ht="16.5" customHeight="1" x14ac:dyDescent="0.15">
      <c r="A26" s="235"/>
      <c r="B26" s="172" t="s">
        <v>41</v>
      </c>
      <c r="C26" s="110"/>
      <c r="D26" s="180"/>
      <c r="E26" s="154" t="s">
        <v>63</v>
      </c>
      <c r="F26" s="111"/>
      <c r="G26" s="68">
        <v>3.5</v>
      </c>
      <c r="H26" s="73">
        <v>5500000</v>
      </c>
      <c r="I26" s="106">
        <v>5500000</v>
      </c>
      <c r="J26" s="107">
        <f t="shared" si="1"/>
        <v>-1000000</v>
      </c>
      <c r="K26" s="224">
        <v>4500000</v>
      </c>
      <c r="L26" s="42" t="s">
        <v>78</v>
      </c>
    </row>
    <row r="27" spans="1:12" s="42" customFormat="1" ht="16.5" customHeight="1" x14ac:dyDescent="0.15">
      <c r="A27" s="235"/>
      <c r="B27" s="174" t="s">
        <v>65</v>
      </c>
      <c r="C27" s="175"/>
      <c r="D27" s="200"/>
      <c r="E27" s="104" t="s">
        <v>64</v>
      </c>
      <c r="F27" s="201"/>
      <c r="G27" s="201">
        <v>3</v>
      </c>
      <c r="H27" s="62">
        <v>600000</v>
      </c>
      <c r="I27" s="202">
        <v>1800000</v>
      </c>
      <c r="J27" s="109">
        <f t="shared" si="1"/>
        <v>-300000</v>
      </c>
      <c r="K27" s="216">
        <v>1500000</v>
      </c>
      <c r="L27" s="42" t="s">
        <v>76</v>
      </c>
    </row>
    <row r="28" spans="1:12" s="42" customFormat="1" ht="16.5" customHeight="1" x14ac:dyDescent="0.15">
      <c r="A28" s="235"/>
      <c r="B28" s="188" t="s">
        <v>66</v>
      </c>
      <c r="C28" s="189"/>
      <c r="D28" s="200"/>
      <c r="E28" s="104" t="s">
        <v>69</v>
      </c>
      <c r="F28" s="201"/>
      <c r="G28" s="58">
        <v>1.5</v>
      </c>
      <c r="H28" s="62">
        <v>500000</v>
      </c>
      <c r="I28" s="202">
        <v>500000</v>
      </c>
      <c r="J28" s="109">
        <f t="shared" si="1"/>
        <v>100000</v>
      </c>
      <c r="K28" s="216">
        <v>600000</v>
      </c>
      <c r="L28" s="42" t="s">
        <v>75</v>
      </c>
    </row>
    <row r="29" spans="1:12" s="42" customFormat="1" ht="16.5" customHeight="1" x14ac:dyDescent="0.15">
      <c r="A29" s="235"/>
      <c r="B29" s="204" t="s">
        <v>71</v>
      </c>
      <c r="C29" s="205"/>
      <c r="D29" s="200"/>
      <c r="E29" s="104" t="s">
        <v>70</v>
      </c>
      <c r="F29" s="201"/>
      <c r="G29" s="58">
        <v>4</v>
      </c>
      <c r="H29" s="62">
        <v>350000</v>
      </c>
      <c r="I29" s="202">
        <v>700000</v>
      </c>
      <c r="J29" s="109">
        <f t="shared" si="1"/>
        <v>700000</v>
      </c>
      <c r="K29" s="216">
        <v>1400000</v>
      </c>
      <c r="L29" s="42" t="s">
        <v>75</v>
      </c>
    </row>
    <row r="30" spans="1:12" s="42" customFormat="1" ht="16.5" customHeight="1" x14ac:dyDescent="0.15">
      <c r="A30" s="236"/>
      <c r="B30" s="194" t="s">
        <v>72</v>
      </c>
      <c r="C30" s="195"/>
      <c r="D30" s="114"/>
      <c r="E30" s="177" t="s">
        <v>70</v>
      </c>
      <c r="F30" s="196"/>
      <c r="G30" s="178">
        <v>6</v>
      </c>
      <c r="H30" s="197">
        <v>300000</v>
      </c>
      <c r="I30" s="198">
        <v>900000</v>
      </c>
      <c r="J30" s="199">
        <f t="shared" si="1"/>
        <v>900000</v>
      </c>
      <c r="K30" s="217">
        <v>1800000</v>
      </c>
      <c r="L30" s="42" t="s">
        <v>75</v>
      </c>
    </row>
    <row r="31" spans="1:12" s="42" customFormat="1" ht="16.5" customHeight="1" x14ac:dyDescent="0.15">
      <c r="A31" s="243" t="s">
        <v>25</v>
      </c>
      <c r="B31" s="167" t="s">
        <v>32</v>
      </c>
      <c r="C31" s="86"/>
      <c r="D31" s="165"/>
      <c r="E31" s="129"/>
      <c r="F31" s="43"/>
      <c r="G31" s="162"/>
      <c r="H31" s="48"/>
      <c r="I31" s="163">
        <f t="shared" ref="I31:I43" si="2">G31*H31</f>
        <v>0</v>
      </c>
      <c r="J31" s="49"/>
      <c r="K31" s="207">
        <v>0</v>
      </c>
    </row>
    <row r="32" spans="1:12" s="42" customFormat="1" ht="16.5" customHeight="1" x14ac:dyDescent="0.15">
      <c r="A32" s="243"/>
      <c r="B32" s="170" t="s">
        <v>34</v>
      </c>
      <c r="C32" s="171"/>
      <c r="D32" s="103"/>
      <c r="E32" s="58"/>
      <c r="F32" s="58"/>
      <c r="G32" s="108"/>
      <c r="H32" s="62"/>
      <c r="I32" s="62">
        <f t="shared" si="2"/>
        <v>0</v>
      </c>
      <c r="J32" s="109"/>
      <c r="K32" s="216">
        <v>0</v>
      </c>
    </row>
    <row r="33" spans="1:12" s="42" customFormat="1" ht="16.5" customHeight="1" x14ac:dyDescent="0.15">
      <c r="A33" s="243"/>
      <c r="B33" s="59" t="s">
        <v>35</v>
      </c>
      <c r="C33" s="113"/>
      <c r="D33" s="179"/>
      <c r="E33" s="104"/>
      <c r="F33" s="58"/>
      <c r="G33" s="58"/>
      <c r="H33" s="62"/>
      <c r="I33" s="62">
        <f t="shared" si="2"/>
        <v>0</v>
      </c>
      <c r="J33" s="109"/>
      <c r="K33" s="216">
        <v>0</v>
      </c>
    </row>
    <row r="34" spans="1:12" s="42" customFormat="1" ht="16.5" customHeight="1" x14ac:dyDescent="0.15">
      <c r="A34" s="243"/>
      <c r="B34" s="59" t="s">
        <v>39</v>
      </c>
      <c r="C34" s="113"/>
      <c r="D34" s="180"/>
      <c r="E34" s="104"/>
      <c r="F34" s="58"/>
      <c r="G34" s="58"/>
      <c r="H34" s="62"/>
      <c r="I34" s="62">
        <f t="shared" si="2"/>
        <v>0</v>
      </c>
      <c r="J34" s="109"/>
      <c r="K34" s="216">
        <v>0</v>
      </c>
    </row>
    <row r="35" spans="1:12" s="42" customFormat="1" ht="16.5" customHeight="1" x14ac:dyDescent="0.15">
      <c r="A35" s="244"/>
      <c r="B35" s="59"/>
      <c r="C35" s="113"/>
      <c r="D35" s="114"/>
      <c r="E35" s="177"/>
      <c r="F35" s="115"/>
      <c r="G35" s="58"/>
      <c r="H35" s="62"/>
      <c r="I35" s="62">
        <f t="shared" si="2"/>
        <v>0</v>
      </c>
      <c r="J35" s="109"/>
      <c r="K35" s="216">
        <v>0</v>
      </c>
    </row>
    <row r="36" spans="1:12" s="42" customFormat="1" ht="16.5" customHeight="1" x14ac:dyDescent="0.15">
      <c r="A36" s="237" t="s">
        <v>26</v>
      </c>
      <c r="B36" s="245"/>
      <c r="C36" s="246"/>
      <c r="D36" s="160"/>
      <c r="E36" s="152"/>
      <c r="F36" s="157"/>
      <c r="G36" s="101"/>
      <c r="H36" s="84"/>
      <c r="I36" s="84">
        <f t="shared" si="2"/>
        <v>0</v>
      </c>
      <c r="J36" s="85"/>
      <c r="K36" s="218">
        <v>0</v>
      </c>
    </row>
    <row r="37" spans="1:12" s="42" customFormat="1" ht="16.5" customHeight="1" x14ac:dyDescent="0.15">
      <c r="A37" s="236"/>
      <c r="B37" s="169"/>
      <c r="C37" s="89"/>
      <c r="D37" s="161"/>
      <c r="E37" s="203"/>
      <c r="F37" s="156"/>
      <c r="G37" s="91"/>
      <c r="H37" s="92"/>
      <c r="I37" s="92">
        <f t="shared" si="2"/>
        <v>0</v>
      </c>
      <c r="J37" s="99"/>
      <c r="K37" s="219">
        <v>0</v>
      </c>
    </row>
    <row r="38" spans="1:12" s="42" customFormat="1" ht="16.5" customHeight="1" x14ac:dyDescent="0.15">
      <c r="A38" s="117" t="s">
        <v>29</v>
      </c>
      <c r="B38" s="2" t="s">
        <v>40</v>
      </c>
      <c r="C38" s="128"/>
      <c r="D38" s="118"/>
      <c r="E38" s="119"/>
      <c r="F38" s="117"/>
      <c r="G38" s="117"/>
      <c r="H38" s="120"/>
      <c r="I38" s="74">
        <f t="shared" si="2"/>
        <v>0</v>
      </c>
      <c r="J38" s="75"/>
      <c r="K38" s="210">
        <v>0</v>
      </c>
    </row>
    <row r="39" spans="1:12" s="42" customFormat="1" ht="16.5" customHeight="1" x14ac:dyDescent="0.15">
      <c r="A39" s="237" t="s">
        <v>27</v>
      </c>
      <c r="B39" s="121" t="s">
        <v>30</v>
      </c>
      <c r="C39" s="112"/>
      <c r="D39" s="152"/>
      <c r="E39" s="101"/>
      <c r="F39" s="122"/>
      <c r="G39" s="101"/>
      <c r="H39" s="102"/>
      <c r="I39" s="116">
        <f t="shared" si="2"/>
        <v>0</v>
      </c>
      <c r="J39" s="123"/>
      <c r="K39" s="218">
        <v>0</v>
      </c>
    </row>
    <row r="40" spans="1:12" s="42" customFormat="1" ht="16.5" customHeight="1" x14ac:dyDescent="0.15">
      <c r="A40" s="235"/>
      <c r="B40" s="166" t="s">
        <v>42</v>
      </c>
      <c r="C40" s="113"/>
      <c r="D40" s="104"/>
      <c r="E40" s="58"/>
      <c r="F40" s="124"/>
      <c r="G40" s="58"/>
      <c r="H40" s="125"/>
      <c r="I40" s="62">
        <f t="shared" si="2"/>
        <v>0</v>
      </c>
      <c r="J40" s="109"/>
      <c r="K40" s="216">
        <v>0</v>
      </c>
    </row>
    <row r="41" spans="1:12" s="42" customFormat="1" ht="16.5" customHeight="1" x14ac:dyDescent="0.15">
      <c r="A41" s="236"/>
      <c r="B41" s="169" t="s">
        <v>43</v>
      </c>
      <c r="C41" s="89"/>
      <c r="D41" s="91"/>
      <c r="E41" s="91"/>
      <c r="F41" s="126"/>
      <c r="G41" s="91"/>
      <c r="H41" s="127"/>
      <c r="I41" s="92">
        <f t="shared" si="2"/>
        <v>0</v>
      </c>
      <c r="J41" s="99"/>
      <c r="K41" s="219">
        <v>0</v>
      </c>
    </row>
    <row r="42" spans="1:12" s="42" customFormat="1" ht="16.5" customHeight="1" x14ac:dyDescent="0.15">
      <c r="A42" s="235" t="s">
        <v>28</v>
      </c>
      <c r="B42" s="247"/>
      <c r="C42" s="248"/>
      <c r="D42" s="129"/>
      <c r="E42" s="176"/>
      <c r="F42" s="117"/>
      <c r="G42" s="117"/>
      <c r="H42" s="74"/>
      <c r="I42" s="74">
        <f t="shared" si="2"/>
        <v>0</v>
      </c>
      <c r="J42" s="75"/>
      <c r="K42" s="210">
        <v>0</v>
      </c>
    </row>
    <row r="43" spans="1:12" s="42" customFormat="1" ht="16.5" customHeight="1" thickBot="1" x14ac:dyDescent="0.2">
      <c r="A43" s="242"/>
      <c r="B43" s="130"/>
      <c r="C43" s="113"/>
      <c r="D43" s="58"/>
      <c r="E43" s="58"/>
      <c r="F43" s="58"/>
      <c r="G43" s="58"/>
      <c r="H43" s="131"/>
      <c r="I43" s="73">
        <f t="shared" si="2"/>
        <v>0</v>
      </c>
      <c r="J43" s="107"/>
      <c r="K43" s="220">
        <v>0</v>
      </c>
    </row>
    <row r="44" spans="1:12" s="42" customFormat="1" ht="16.5" customHeight="1" thickBot="1" x14ac:dyDescent="0.2">
      <c r="A44" s="38" t="s">
        <v>13</v>
      </c>
      <c r="B44" s="77"/>
      <c r="C44" s="77"/>
      <c r="D44" s="132"/>
      <c r="E44" s="77"/>
      <c r="F44" s="77"/>
      <c r="G44" s="40"/>
      <c r="H44" s="133"/>
      <c r="I44" s="133">
        <f>SUM(I16:I43)</f>
        <v>15400000</v>
      </c>
      <c r="J44" s="134">
        <f>SUM(J16:J43)</f>
        <v>-800000</v>
      </c>
      <c r="K44" s="211">
        <f>SUM(K16:K43)</f>
        <v>14600000</v>
      </c>
    </row>
    <row r="45" spans="1:12" s="42" customFormat="1" ht="16.5" customHeight="1" thickBot="1" x14ac:dyDescent="0.2">
      <c r="A45" s="135" t="s">
        <v>14</v>
      </c>
      <c r="B45" s="136" t="s">
        <v>15</v>
      </c>
      <c r="C45" s="136"/>
      <c r="D45" s="137"/>
      <c r="E45" s="136"/>
      <c r="F45" s="136"/>
      <c r="G45" s="138"/>
      <c r="H45" s="139"/>
      <c r="I45" s="139">
        <f>(I44-I39-I40-I41)*17.65%</f>
        <v>2718100</v>
      </c>
      <c r="J45" s="140">
        <f>(J44-J39-J40-J41)*17.65%</f>
        <v>-141200</v>
      </c>
      <c r="K45" s="221">
        <v>1753350</v>
      </c>
      <c r="L45" s="42" t="s">
        <v>77</v>
      </c>
    </row>
    <row r="46" spans="1:12" s="146" customFormat="1" ht="16.5" customHeight="1" thickBot="1" x14ac:dyDescent="0.2">
      <c r="A46" s="190" t="s">
        <v>61</v>
      </c>
      <c r="B46" s="231" t="s">
        <v>68</v>
      </c>
      <c r="C46" s="232"/>
      <c r="D46" s="232"/>
      <c r="E46" s="232"/>
      <c r="F46" s="232"/>
      <c r="G46" s="233"/>
      <c r="H46" s="144"/>
      <c r="I46" s="144">
        <f>I15+I44+I45</f>
        <v>18118100</v>
      </c>
      <c r="J46" s="145">
        <f>J15+J44+J45</f>
        <v>-941200</v>
      </c>
      <c r="K46" s="222">
        <f>K44+K45</f>
        <v>16353350</v>
      </c>
      <c r="L46" s="227"/>
    </row>
    <row r="47" spans="1:12" s="146" customFormat="1" ht="16.5" customHeight="1" thickBot="1" x14ac:dyDescent="0.2">
      <c r="A47" s="190" t="s">
        <v>59</v>
      </c>
      <c r="B47" s="76"/>
      <c r="C47" s="141"/>
      <c r="D47" s="142"/>
      <c r="E47" s="143"/>
      <c r="F47" s="143"/>
      <c r="G47" s="40"/>
      <c r="H47" s="144"/>
      <c r="I47" s="144">
        <f>I46*0.1</f>
        <v>1811810</v>
      </c>
      <c r="J47" s="145">
        <f>J46*0.1</f>
        <v>-94120</v>
      </c>
      <c r="K47" s="222">
        <f t="shared" ref="K47" si="3">K46*0.1</f>
        <v>1635335</v>
      </c>
    </row>
    <row r="48" spans="1:12" s="146" customFormat="1" ht="32.25" customHeight="1" thickBot="1" x14ac:dyDescent="0.2">
      <c r="A48" s="191" t="s">
        <v>60</v>
      </c>
      <c r="B48" s="228" t="s">
        <v>67</v>
      </c>
      <c r="C48" s="229"/>
      <c r="D48" s="229"/>
      <c r="E48" s="229"/>
      <c r="F48" s="229"/>
      <c r="G48" s="230"/>
      <c r="H48" s="192"/>
      <c r="I48" s="192">
        <f>I46+I47</f>
        <v>19929910</v>
      </c>
      <c r="J48" s="193">
        <f>J46+J47</f>
        <v>-1035320</v>
      </c>
      <c r="K48" s="223">
        <f t="shared" ref="K48" si="4">K46+K47</f>
        <v>17988685</v>
      </c>
    </row>
    <row r="49" spans="8:9" x14ac:dyDescent="0.2">
      <c r="H49" s="3"/>
      <c r="I49" s="5"/>
    </row>
  </sheetData>
  <mergeCells count="15">
    <mergeCell ref="B48:G48"/>
    <mergeCell ref="B46:G46"/>
    <mergeCell ref="A16:A18"/>
    <mergeCell ref="A20:A30"/>
    <mergeCell ref="B20:C20"/>
    <mergeCell ref="B21:C21"/>
    <mergeCell ref="B22:C22"/>
    <mergeCell ref="B23:C23"/>
    <mergeCell ref="B24:C24"/>
    <mergeCell ref="A39:A41"/>
    <mergeCell ref="A42:A43"/>
    <mergeCell ref="A31:A35"/>
    <mergeCell ref="A36:A37"/>
    <mergeCell ref="B36:C36"/>
    <mergeCell ref="B42:C42"/>
  </mergeCells>
  <phoneticPr fontId="27" type="noConversion"/>
  <printOptions horizontalCentered="1" verticalCentered="1"/>
  <pageMargins left="0.15748031496062992" right="0.15748031496062992" top="0.35433070866141736" bottom="0.19685039370078741" header="0.19685039370078741" footer="0.23622047244094491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RCM</vt:lpstr>
      <vt:lpstr>RCM!Print_Area</vt:lpstr>
    </vt:vector>
  </TitlesOfParts>
  <Company>CHEIL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손진석</dc:creator>
  <cp:lastModifiedBy>CHEIL</cp:lastModifiedBy>
  <cp:lastPrinted>2019-01-30T06:09:43Z</cp:lastPrinted>
  <dcterms:created xsi:type="dcterms:W3CDTF">2005-04-20T05:06:33Z</dcterms:created>
  <dcterms:modified xsi:type="dcterms:W3CDTF">2026-05-18T05:06:13Z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