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IL\Desktop\AI TF - pioneer\reference\"/>
    </mc:Choice>
  </mc:AlternateContent>
  <xr:revisionPtr revIDLastSave="0" documentId="13_ncr:1_{D65D15FB-0035-4F7E-9960-D3CB3B26DD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8 CBP" sheetId="2" r:id="rId1"/>
  </sheets>
  <definedNames>
    <definedName name="_xlnm.Print_Titles" localSheetId="0">'2018 CBP'!$11:$11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333" i="2" l="1"/>
  <c r="AH307" i="2" l="1"/>
  <c r="AC307" i="2"/>
  <c r="X307" i="2"/>
  <c r="S307" i="2"/>
  <c r="N307" i="2"/>
  <c r="J307" i="2"/>
  <c r="AH306" i="2"/>
  <c r="AC306" i="2"/>
  <c r="X306" i="2"/>
  <c r="S306" i="2"/>
  <c r="N306" i="2"/>
  <c r="J306" i="2"/>
  <c r="AI307" i="2" l="1"/>
  <c r="AI306" i="2"/>
  <c r="AD307" i="2"/>
  <c r="AD306" i="2"/>
  <c r="Y307" i="2"/>
  <c r="Y306" i="2"/>
  <c r="T307" i="2"/>
  <c r="T306" i="2"/>
  <c r="O307" i="2"/>
  <c r="O306" i="2"/>
  <c r="AH324" i="2" l="1"/>
  <c r="AH327" i="2" l="1"/>
  <c r="AH358" i="2"/>
  <c r="AH321" i="2" l="1"/>
  <c r="AC326" i="2"/>
  <c r="AH323" i="2"/>
  <c r="AH322" i="2"/>
  <c r="AG328" i="2"/>
  <c r="AH168" i="2" l="1"/>
  <c r="AC168" i="2"/>
  <c r="X168" i="2"/>
  <c r="S168" i="2"/>
  <c r="N168" i="2"/>
  <c r="J168" i="2"/>
  <c r="AH167" i="2"/>
  <c r="AC167" i="2"/>
  <c r="X167" i="2"/>
  <c r="S167" i="2"/>
  <c r="N167" i="2"/>
  <c r="J167" i="2"/>
  <c r="AH166" i="2"/>
  <c r="AC166" i="2"/>
  <c r="X166" i="2"/>
  <c r="S166" i="2"/>
  <c r="N166" i="2"/>
  <c r="J166" i="2"/>
  <c r="AH165" i="2"/>
  <c r="AC165" i="2"/>
  <c r="X165" i="2"/>
  <c r="S165" i="2"/>
  <c r="N165" i="2"/>
  <c r="J165" i="2"/>
  <c r="AH164" i="2"/>
  <c r="AC164" i="2"/>
  <c r="X164" i="2"/>
  <c r="S164" i="2"/>
  <c r="N164" i="2"/>
  <c r="J164" i="2"/>
  <c r="AH320" i="2"/>
  <c r="AH319" i="2"/>
  <c r="AH318" i="2"/>
  <c r="AH317" i="2"/>
  <c r="AH326" i="2"/>
  <c r="AH331" i="2"/>
  <c r="AH330" i="2"/>
  <c r="AH329" i="2"/>
  <c r="AH328" i="2"/>
  <c r="AI333" i="2"/>
  <c r="AH332" i="2"/>
  <c r="AI332" i="2" s="1"/>
  <c r="Y164" i="2" l="1"/>
  <c r="AI326" i="2"/>
  <c r="O165" i="2"/>
  <c r="O166" i="2"/>
  <c r="AI166" i="2"/>
  <c r="Y167" i="2"/>
  <c r="O167" i="2"/>
  <c r="AD165" i="2"/>
  <c r="T168" i="2"/>
  <c r="AI167" i="2"/>
  <c r="T165" i="2"/>
  <c r="AD166" i="2"/>
  <c r="T167" i="2"/>
  <c r="AD164" i="2"/>
  <c r="T166" i="2"/>
  <c r="Y168" i="2"/>
  <c r="O164" i="2"/>
  <c r="AI164" i="2"/>
  <c r="AI165" i="2"/>
  <c r="Y166" i="2"/>
  <c r="AD168" i="2"/>
  <c r="T164" i="2"/>
  <c r="Y165" i="2"/>
  <c r="AD167" i="2"/>
  <c r="O168" i="2"/>
  <c r="AI168" i="2"/>
  <c r="AH359" i="2"/>
  <c r="AH357" i="2"/>
  <c r="AH360" i="2" s="1"/>
  <c r="AH355" i="2"/>
  <c r="AH354" i="2"/>
  <c r="AH353" i="2"/>
  <c r="AH352" i="2"/>
  <c r="AH351" i="2"/>
  <c r="AH350" i="2"/>
  <c r="AH349" i="2"/>
  <c r="AH348" i="2"/>
  <c r="AH347" i="2"/>
  <c r="AH346" i="2"/>
  <c r="AH345" i="2"/>
  <c r="AH343" i="2"/>
  <c r="AH342" i="2"/>
  <c r="AH341" i="2"/>
  <c r="AH340" i="2"/>
  <c r="AH339" i="2"/>
  <c r="AG336" i="2"/>
  <c r="AH336" i="2" s="1"/>
  <c r="AH335" i="2"/>
  <c r="AH334" i="2"/>
  <c r="AH315" i="2"/>
  <c r="AH314" i="2"/>
  <c r="AH312" i="2"/>
  <c r="AH311" i="2"/>
  <c r="AH310" i="2"/>
  <c r="AH308" i="2"/>
  <c r="AH305" i="2"/>
  <c r="AH304" i="2"/>
  <c r="AH301" i="2"/>
  <c r="AH300" i="2"/>
  <c r="AH299" i="2"/>
  <c r="AH298" i="2"/>
  <c r="AH297" i="2"/>
  <c r="AH296" i="2"/>
  <c r="AH295" i="2"/>
  <c r="AH294" i="2"/>
  <c r="AH292" i="2"/>
  <c r="AH291" i="2"/>
  <c r="AH290" i="2"/>
  <c r="AH289" i="2"/>
  <c r="AH288" i="2"/>
  <c r="AH287" i="2"/>
  <c r="AH286" i="2"/>
  <c r="AH285" i="2"/>
  <c r="AH284" i="2"/>
  <c r="AH283" i="2"/>
  <c r="AH282" i="2"/>
  <c r="AH281" i="2"/>
  <c r="AH278" i="2"/>
  <c r="AH277" i="2"/>
  <c r="AH275" i="2"/>
  <c r="AH274" i="2"/>
  <c r="AH273" i="2"/>
  <c r="AH272" i="2"/>
  <c r="AI271" i="2"/>
  <c r="AI270" i="2"/>
  <c r="AH268" i="2"/>
  <c r="AH267" i="2"/>
  <c r="AH266" i="2"/>
  <c r="AH265" i="2"/>
  <c r="AH264" i="2"/>
  <c r="AH263" i="2"/>
  <c r="AH262" i="2"/>
  <c r="AH261" i="2"/>
  <c r="AH260" i="2"/>
  <c r="AH259" i="2"/>
  <c r="AH258" i="2"/>
  <c r="AH257" i="2"/>
  <c r="AH256" i="2"/>
  <c r="AI254" i="2"/>
  <c r="AH253" i="2"/>
  <c r="AH252" i="2"/>
  <c r="AH251" i="2"/>
  <c r="AH250" i="2"/>
  <c r="AH249" i="2"/>
  <c r="AH247" i="2"/>
  <c r="AH246" i="2"/>
  <c r="AH245" i="2"/>
  <c r="AH243" i="2"/>
  <c r="AH242" i="2"/>
  <c r="AH241" i="2"/>
  <c r="AH239" i="2"/>
  <c r="AH238" i="2"/>
  <c r="AH237" i="2"/>
  <c r="AH236" i="2"/>
  <c r="AH235" i="2"/>
  <c r="AH233" i="2"/>
  <c r="AH232" i="2"/>
  <c r="AH231" i="2"/>
  <c r="AH230" i="2"/>
  <c r="AH229" i="2"/>
  <c r="AH228" i="2"/>
  <c r="AH226" i="2"/>
  <c r="AH225" i="2"/>
  <c r="AH224" i="2"/>
  <c r="AH223" i="2"/>
  <c r="AH222" i="2"/>
  <c r="AH221" i="2"/>
  <c r="AH219" i="2"/>
  <c r="AH218" i="2"/>
  <c r="AH217" i="2"/>
  <c r="AH216" i="2"/>
  <c r="AH215" i="2"/>
  <c r="AH214" i="2"/>
  <c r="AH212" i="2"/>
  <c r="AI211" i="2"/>
  <c r="AH210" i="2"/>
  <c r="AH209" i="2"/>
  <c r="AH208" i="2"/>
  <c r="AH207" i="2"/>
  <c r="AH206" i="2"/>
  <c r="AH205" i="2"/>
  <c r="AH204" i="2"/>
  <c r="AH202" i="2"/>
  <c r="AH201" i="2"/>
  <c r="AH200" i="2"/>
  <c r="AH198" i="2"/>
  <c r="AH197" i="2"/>
  <c r="AI196" i="2"/>
  <c r="AH195" i="2"/>
  <c r="AH194" i="2"/>
  <c r="AH193" i="2"/>
  <c r="AH191" i="2"/>
  <c r="AI190" i="2"/>
  <c r="AI189" i="2"/>
  <c r="AH188" i="2"/>
  <c r="AH187" i="2"/>
  <c r="AH186" i="2"/>
  <c r="AH184" i="2"/>
  <c r="AH181" i="2"/>
  <c r="AH180" i="2"/>
  <c r="AH179" i="2"/>
  <c r="AH178" i="2"/>
  <c r="AH177" i="2"/>
  <c r="AH176" i="2"/>
  <c r="AH175" i="2"/>
  <c r="AH174" i="2"/>
  <c r="AH173" i="2"/>
  <c r="AH172" i="2"/>
  <c r="AH171" i="2"/>
  <c r="AH170" i="2"/>
  <c r="AH169" i="2"/>
  <c r="AH163" i="2"/>
  <c r="AH162" i="2"/>
  <c r="AH159" i="2"/>
  <c r="AH158" i="2"/>
  <c r="AH157" i="2"/>
  <c r="AH156" i="2"/>
  <c r="AH155" i="2"/>
  <c r="AH154" i="2"/>
  <c r="AH153" i="2"/>
  <c r="AH152" i="2"/>
  <c r="AH151" i="2"/>
  <c r="AH149" i="2"/>
  <c r="AH147" i="2"/>
  <c r="AH146" i="2"/>
  <c r="AH145" i="2"/>
  <c r="AH144" i="2"/>
  <c r="AH141" i="2"/>
  <c r="AH140" i="2"/>
  <c r="AH139" i="2"/>
  <c r="AH138" i="2"/>
  <c r="AH137" i="2"/>
  <c r="AH135" i="2"/>
  <c r="AH133" i="2"/>
  <c r="AH130" i="2"/>
  <c r="AH129" i="2"/>
  <c r="AH128" i="2"/>
  <c r="AH127" i="2"/>
  <c r="AH126" i="2"/>
  <c r="AI124" i="2"/>
  <c r="AI123" i="2"/>
  <c r="AG123" i="2"/>
  <c r="AI122" i="2"/>
  <c r="AH121" i="2"/>
  <c r="AH120" i="2"/>
  <c r="AH119" i="2"/>
  <c r="AH118" i="2"/>
  <c r="AH117" i="2"/>
  <c r="AH116" i="2"/>
  <c r="AH115" i="2"/>
  <c r="AI114" i="2"/>
  <c r="AH113" i="2"/>
  <c r="AH112" i="2"/>
  <c r="AH111" i="2"/>
  <c r="AH109" i="2"/>
  <c r="AH108" i="2"/>
  <c r="AH107" i="2"/>
  <c r="AH106" i="2"/>
  <c r="AH105" i="2"/>
  <c r="AH104" i="2"/>
  <c r="AH103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5" i="2"/>
  <c r="AH84" i="2"/>
  <c r="AH83" i="2"/>
  <c r="AH82" i="2"/>
  <c r="AH81" i="2"/>
  <c r="AI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19" i="2"/>
  <c r="AH18" i="2"/>
  <c r="AH17" i="2"/>
  <c r="AH16" i="2"/>
  <c r="AH15" i="2"/>
  <c r="AH14" i="2"/>
  <c r="AH13" i="2"/>
  <c r="AH12" i="2"/>
  <c r="AH309" i="2" l="1"/>
  <c r="AH279" i="2"/>
  <c r="AH199" i="2"/>
  <c r="AH125" i="2"/>
  <c r="AH255" i="2"/>
  <c r="AH344" i="2"/>
  <c r="AH192" i="2"/>
  <c r="AH337" i="2"/>
  <c r="AH227" i="2"/>
  <c r="AH240" i="2"/>
  <c r="AH276" i="2"/>
  <c r="AH110" i="2"/>
  <c r="AH131" i="2"/>
  <c r="AH248" i="2"/>
  <c r="AH313" i="2"/>
  <c r="AH269" i="2"/>
  <c r="AH182" i="2"/>
  <c r="AH213" i="2"/>
  <c r="AH148" i="2"/>
  <c r="AH185" i="2"/>
  <c r="AH86" i="2"/>
  <c r="AH234" i="2"/>
  <c r="AH244" i="2"/>
  <c r="AH293" i="2"/>
  <c r="AH356" i="2"/>
  <c r="AH136" i="2"/>
  <c r="AH142" i="2"/>
  <c r="AH203" i="2"/>
  <c r="AH220" i="2"/>
  <c r="AH20" i="2"/>
  <c r="AH302" i="2"/>
  <c r="AH361" i="2" l="1"/>
  <c r="AH338" i="2"/>
  <c r="AH143" i="2"/>
  <c r="AH183" i="2"/>
  <c r="AH132" i="2"/>
  <c r="AH303" i="2"/>
  <c r="AH280" i="2"/>
  <c r="AH363" i="2" l="1"/>
  <c r="AH364" i="2" s="1"/>
  <c r="AH365" i="2" l="1"/>
  <c r="AH366" i="2" s="1"/>
  <c r="AH370" i="2" l="1"/>
  <c r="AH367" i="2"/>
  <c r="AB336" i="2"/>
  <c r="AC336" i="2" s="1"/>
  <c r="AC359" i="2"/>
  <c r="AC357" i="2"/>
  <c r="AC360" i="2" s="1"/>
  <c r="AC355" i="2"/>
  <c r="AI355" i="2" s="1"/>
  <c r="AC354" i="2"/>
  <c r="AC353" i="2"/>
  <c r="AC352" i="2"/>
  <c r="AC351" i="2"/>
  <c r="AI351" i="2" s="1"/>
  <c r="AC350" i="2"/>
  <c r="AC349" i="2"/>
  <c r="AC348" i="2"/>
  <c r="AC347" i="2"/>
  <c r="AI347" i="2" s="1"/>
  <c r="AC346" i="2"/>
  <c r="AC345" i="2"/>
  <c r="AI345" i="2" s="1"/>
  <c r="AC343" i="2"/>
  <c r="AI343" i="2" s="1"/>
  <c r="AC342" i="2"/>
  <c r="AC341" i="2"/>
  <c r="AC340" i="2"/>
  <c r="AC339" i="2"/>
  <c r="AC335" i="2"/>
  <c r="AI335" i="2" s="1"/>
  <c r="AC334" i="2"/>
  <c r="AC316" i="2"/>
  <c r="AI317" i="2" s="1"/>
  <c r="AC315" i="2"/>
  <c r="AC314" i="2"/>
  <c r="AI314" i="2" s="1"/>
  <c r="AC312" i="2"/>
  <c r="AI312" i="2" s="1"/>
  <c r="AC311" i="2"/>
  <c r="AC310" i="2"/>
  <c r="AI310" i="2" s="1"/>
  <c r="AC308" i="2"/>
  <c r="AI308" i="2" s="1"/>
  <c r="AC305" i="2"/>
  <c r="AC304" i="2"/>
  <c r="AI304" i="2" s="1"/>
  <c r="AC301" i="2"/>
  <c r="AI301" i="2" s="1"/>
  <c r="AC300" i="2"/>
  <c r="AI300" i="2" s="1"/>
  <c r="AC299" i="2"/>
  <c r="AI299" i="2" s="1"/>
  <c r="AC298" i="2"/>
  <c r="AI298" i="2" s="1"/>
  <c r="AC297" i="2"/>
  <c r="AI297" i="2" s="1"/>
  <c r="AC296" i="2"/>
  <c r="AI296" i="2" s="1"/>
  <c r="AC295" i="2"/>
  <c r="AC294" i="2"/>
  <c r="AI294" i="2" s="1"/>
  <c r="AC292" i="2"/>
  <c r="AI292" i="2" s="1"/>
  <c r="AC291" i="2"/>
  <c r="AI291" i="2" s="1"/>
  <c r="AC290" i="2"/>
  <c r="AI290" i="2" s="1"/>
  <c r="AC289" i="2"/>
  <c r="AI289" i="2" s="1"/>
  <c r="AC288" i="2"/>
  <c r="AI288" i="2" s="1"/>
  <c r="AC287" i="2"/>
  <c r="AI287" i="2" s="1"/>
  <c r="AC286" i="2"/>
  <c r="AI286" i="2" s="1"/>
  <c r="AC285" i="2"/>
  <c r="AI285" i="2" s="1"/>
  <c r="AC284" i="2"/>
  <c r="AI284" i="2" s="1"/>
  <c r="AC283" i="2"/>
  <c r="AI283" i="2" s="1"/>
  <c r="AC282" i="2"/>
  <c r="AI282" i="2" s="1"/>
  <c r="AC281" i="2"/>
  <c r="AC278" i="2"/>
  <c r="AI278" i="2" s="1"/>
  <c r="AC277" i="2"/>
  <c r="AC275" i="2"/>
  <c r="AI275" i="2" s="1"/>
  <c r="AC274" i="2"/>
  <c r="AI274" i="2" s="1"/>
  <c r="AC273" i="2"/>
  <c r="AC272" i="2"/>
  <c r="AI272" i="2" s="1"/>
  <c r="AD271" i="2"/>
  <c r="AD270" i="2"/>
  <c r="AC268" i="2"/>
  <c r="AC267" i="2"/>
  <c r="AI267" i="2" s="1"/>
  <c r="AC266" i="2"/>
  <c r="AC265" i="2"/>
  <c r="AI265" i="2" s="1"/>
  <c r="AC264" i="2"/>
  <c r="AC263" i="2"/>
  <c r="AI263" i="2" s="1"/>
  <c r="AC262" i="2"/>
  <c r="AC261" i="2"/>
  <c r="AI261" i="2" s="1"/>
  <c r="AC260" i="2"/>
  <c r="AC259" i="2"/>
  <c r="AI259" i="2" s="1"/>
  <c r="AC258" i="2"/>
  <c r="AC257" i="2"/>
  <c r="AI257" i="2" s="1"/>
  <c r="AC256" i="2"/>
  <c r="AI256" i="2" s="1"/>
  <c r="AD254" i="2"/>
  <c r="AC253" i="2"/>
  <c r="AC252" i="2"/>
  <c r="AC251" i="2"/>
  <c r="AI251" i="2" s="1"/>
  <c r="AC250" i="2"/>
  <c r="AC249" i="2"/>
  <c r="AI249" i="2" s="1"/>
  <c r="AC247" i="2"/>
  <c r="AI247" i="2" s="1"/>
  <c r="AC246" i="2"/>
  <c r="AC245" i="2"/>
  <c r="AI245" i="2" s="1"/>
  <c r="AC243" i="2"/>
  <c r="AC242" i="2"/>
  <c r="AC241" i="2"/>
  <c r="AI241" i="2" s="1"/>
  <c r="AC239" i="2"/>
  <c r="AC238" i="2"/>
  <c r="AC237" i="2"/>
  <c r="AI237" i="2" s="1"/>
  <c r="AC236" i="2"/>
  <c r="AC235" i="2"/>
  <c r="AC233" i="2"/>
  <c r="AI233" i="2" s="1"/>
  <c r="AC232" i="2"/>
  <c r="AC231" i="2"/>
  <c r="AC230" i="2"/>
  <c r="AC229" i="2"/>
  <c r="AI229" i="2" s="1"/>
  <c r="AC228" i="2"/>
  <c r="AI228" i="2" s="1"/>
  <c r="AC226" i="2"/>
  <c r="AC225" i="2"/>
  <c r="AI225" i="2" s="1"/>
  <c r="AC224" i="2"/>
  <c r="AC223" i="2"/>
  <c r="AC222" i="2"/>
  <c r="AC221" i="2"/>
  <c r="AI221" i="2" s="1"/>
  <c r="AC219" i="2"/>
  <c r="AC218" i="2"/>
  <c r="AC217" i="2"/>
  <c r="AI217" i="2" s="1"/>
  <c r="AC216" i="2"/>
  <c r="AC215" i="2"/>
  <c r="AC214" i="2"/>
  <c r="AC212" i="2"/>
  <c r="AD211" i="2"/>
  <c r="AC210" i="2"/>
  <c r="AI210" i="2" s="1"/>
  <c r="AC209" i="2"/>
  <c r="AI209" i="2" s="1"/>
  <c r="AC208" i="2"/>
  <c r="AI208" i="2" s="1"/>
  <c r="AC207" i="2"/>
  <c r="AI207" i="2" s="1"/>
  <c r="AC206" i="2"/>
  <c r="AI206" i="2" s="1"/>
  <c r="AC205" i="2"/>
  <c r="AC204" i="2"/>
  <c r="AI204" i="2" s="1"/>
  <c r="AC202" i="2"/>
  <c r="AI202" i="2" s="1"/>
  <c r="AC201" i="2"/>
  <c r="AC200" i="2"/>
  <c r="AI200" i="2" s="1"/>
  <c r="AC198" i="2"/>
  <c r="AI198" i="2" s="1"/>
  <c r="AC197" i="2"/>
  <c r="AI197" i="2" s="1"/>
  <c r="AD196" i="2"/>
  <c r="AC195" i="2"/>
  <c r="AC194" i="2"/>
  <c r="AI194" i="2" s="1"/>
  <c r="AC193" i="2"/>
  <c r="AI193" i="2" s="1"/>
  <c r="AC191" i="2"/>
  <c r="AD190" i="2"/>
  <c r="AD189" i="2"/>
  <c r="AC188" i="2"/>
  <c r="AC187" i="2"/>
  <c r="AC186" i="2"/>
  <c r="AC184" i="2"/>
  <c r="AI184" i="2" s="1"/>
  <c r="AI185" i="2" s="1"/>
  <c r="AC181" i="2"/>
  <c r="AI181" i="2" s="1"/>
  <c r="AC180" i="2"/>
  <c r="AC179" i="2"/>
  <c r="AC178" i="2"/>
  <c r="AC177" i="2"/>
  <c r="AI177" i="2" s="1"/>
  <c r="AC176" i="2"/>
  <c r="AC175" i="2"/>
  <c r="AC174" i="2"/>
  <c r="AC173" i="2"/>
  <c r="AI173" i="2" s="1"/>
  <c r="AC172" i="2"/>
  <c r="AC171" i="2"/>
  <c r="AC170" i="2"/>
  <c r="AC169" i="2"/>
  <c r="AI169" i="2" s="1"/>
  <c r="AC163" i="2"/>
  <c r="AC162" i="2"/>
  <c r="AC159" i="2"/>
  <c r="AC158" i="2"/>
  <c r="AC157" i="2"/>
  <c r="AC156" i="2"/>
  <c r="AI156" i="2" s="1"/>
  <c r="AC155" i="2"/>
  <c r="AC154" i="2"/>
  <c r="AC153" i="2"/>
  <c r="AC152" i="2"/>
  <c r="AI152" i="2" s="1"/>
  <c r="AC151" i="2"/>
  <c r="AC149" i="2"/>
  <c r="AI149" i="2" s="1"/>
  <c r="AC147" i="2"/>
  <c r="AI147" i="2" s="1"/>
  <c r="AC146" i="2"/>
  <c r="AC145" i="2"/>
  <c r="AI145" i="2" s="1"/>
  <c r="AC144" i="2"/>
  <c r="AC141" i="2"/>
  <c r="AC140" i="2"/>
  <c r="AC139" i="2"/>
  <c r="AC138" i="2"/>
  <c r="AC137" i="2"/>
  <c r="AC135" i="2"/>
  <c r="AI135" i="2" s="1"/>
  <c r="AC133" i="2"/>
  <c r="AI133" i="2" s="1"/>
  <c r="AC130" i="2"/>
  <c r="AI130" i="2" s="1"/>
  <c r="AC129" i="2"/>
  <c r="AC128" i="2"/>
  <c r="AC127" i="2"/>
  <c r="AC126" i="2"/>
  <c r="AD124" i="2"/>
  <c r="AD123" i="2"/>
  <c r="AB123" i="2"/>
  <c r="AD122" i="2"/>
  <c r="AC121" i="2"/>
  <c r="AC120" i="2"/>
  <c r="AC119" i="2"/>
  <c r="AI119" i="2" s="1"/>
  <c r="AC118" i="2"/>
  <c r="AC117" i="2"/>
  <c r="AC116" i="2"/>
  <c r="AC115" i="2"/>
  <c r="AD114" i="2"/>
  <c r="AC113" i="2"/>
  <c r="AC112" i="2"/>
  <c r="AC111" i="2"/>
  <c r="AC109" i="2"/>
  <c r="AC108" i="2"/>
  <c r="AC107" i="2"/>
  <c r="AC106" i="2"/>
  <c r="AI106" i="2" s="1"/>
  <c r="AC105" i="2"/>
  <c r="AC104" i="2"/>
  <c r="AC103" i="2"/>
  <c r="AC102" i="2"/>
  <c r="AI102" i="2" s="1"/>
  <c r="AC101" i="2"/>
  <c r="AC100" i="2"/>
  <c r="AC99" i="2"/>
  <c r="AC98" i="2"/>
  <c r="AI98" i="2" s="1"/>
  <c r="AC97" i="2"/>
  <c r="AI97" i="2" s="1"/>
  <c r="AC96" i="2"/>
  <c r="AI96" i="2" s="1"/>
  <c r="AC95" i="2"/>
  <c r="AI95" i="2" s="1"/>
  <c r="AC94" i="2"/>
  <c r="AI94" i="2" s="1"/>
  <c r="AC93" i="2"/>
  <c r="AI93" i="2" s="1"/>
  <c r="AC92" i="2"/>
  <c r="AI92" i="2" s="1"/>
  <c r="AC91" i="2"/>
  <c r="AI91" i="2" s="1"/>
  <c r="AC90" i="2"/>
  <c r="AI90" i="2" s="1"/>
  <c r="AC89" i="2"/>
  <c r="AI89" i="2" s="1"/>
  <c r="AC88" i="2"/>
  <c r="AI88" i="2" s="1"/>
  <c r="AC87" i="2"/>
  <c r="AI87" i="2" s="1"/>
  <c r="AC85" i="2"/>
  <c r="AI85" i="2" s="1"/>
  <c r="AC84" i="2"/>
  <c r="AI84" i="2" s="1"/>
  <c r="AC83" i="2"/>
  <c r="AI83" i="2" s="1"/>
  <c r="AC82" i="2"/>
  <c r="AI82" i="2" s="1"/>
  <c r="AC81" i="2"/>
  <c r="AI81" i="2" s="1"/>
  <c r="AD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I21" i="2" s="1"/>
  <c r="AC19" i="2"/>
  <c r="AC18" i="2"/>
  <c r="AC17" i="2"/>
  <c r="AC16" i="2"/>
  <c r="AC15" i="2"/>
  <c r="AC14" i="2"/>
  <c r="AC13" i="2"/>
  <c r="AC12" i="2"/>
  <c r="X115" i="2"/>
  <c r="D6" i="2" l="1"/>
  <c r="AC313" i="2"/>
  <c r="AI12" i="2"/>
  <c r="AI25" i="2"/>
  <c r="AI33" i="2"/>
  <c r="AI41" i="2"/>
  <c r="AI53" i="2"/>
  <c r="AI69" i="2"/>
  <c r="AI101" i="2"/>
  <c r="AI112" i="2"/>
  <c r="AI170" i="2"/>
  <c r="AI226" i="2"/>
  <c r="AI353" i="2"/>
  <c r="AI13" i="2"/>
  <c r="AI26" i="2"/>
  <c r="AI38" i="2"/>
  <c r="AI46" i="2"/>
  <c r="AI54" i="2"/>
  <c r="AI62" i="2"/>
  <c r="AI66" i="2"/>
  <c r="AI70" i="2"/>
  <c r="AI74" i="2"/>
  <c r="AI78" i="2"/>
  <c r="AI105" i="2"/>
  <c r="AI108" i="2"/>
  <c r="AI113" i="2"/>
  <c r="AI117" i="2"/>
  <c r="AI120" i="2"/>
  <c r="AI127" i="2"/>
  <c r="AI140" i="2"/>
  <c r="AI146" i="2"/>
  <c r="AI151" i="2"/>
  <c r="AI154" i="2"/>
  <c r="AI157" i="2"/>
  <c r="AI171" i="2"/>
  <c r="AI174" i="2"/>
  <c r="AI187" i="2"/>
  <c r="AI191" i="2"/>
  <c r="AI195" i="2"/>
  <c r="AI199" i="2" s="1"/>
  <c r="AC203" i="2"/>
  <c r="AI201" i="2"/>
  <c r="AI203" i="2" s="1"/>
  <c r="AI224" i="2"/>
  <c r="AI231" i="2"/>
  <c r="AI235" i="2"/>
  <c r="AI238" i="2"/>
  <c r="AI242" i="2"/>
  <c r="AC248" i="2"/>
  <c r="AI246" i="2"/>
  <c r="AI248" i="2" s="1"/>
  <c r="AI252" i="2"/>
  <c r="AI262" i="2"/>
  <c r="AC293" i="2"/>
  <c r="AI281" i="2"/>
  <c r="AI293" i="2" s="1"/>
  <c r="AI311" i="2"/>
  <c r="AI313" i="2" s="1"/>
  <c r="AI340" i="2"/>
  <c r="AI354" i="2"/>
  <c r="AI359" i="2"/>
  <c r="AI37" i="2"/>
  <c r="AI49" i="2"/>
  <c r="AI61" i="2"/>
  <c r="AI73" i="2"/>
  <c r="AI104" i="2"/>
  <c r="AI116" i="2"/>
  <c r="AI153" i="2"/>
  <c r="AI223" i="2"/>
  <c r="AI264" i="2"/>
  <c r="AI357" i="2"/>
  <c r="AI17" i="2"/>
  <c r="AI22" i="2"/>
  <c r="AI30" i="2"/>
  <c r="AI34" i="2"/>
  <c r="AI42" i="2"/>
  <c r="AI50" i="2"/>
  <c r="AI58" i="2"/>
  <c r="AI14" i="2"/>
  <c r="AI18" i="2"/>
  <c r="AI23" i="2"/>
  <c r="AI27" i="2"/>
  <c r="AI31" i="2"/>
  <c r="AI35" i="2"/>
  <c r="AI39" i="2"/>
  <c r="AI43" i="2"/>
  <c r="AI47" i="2"/>
  <c r="AI51" i="2"/>
  <c r="AI55" i="2"/>
  <c r="AI59" i="2"/>
  <c r="AI63" i="2"/>
  <c r="AI67" i="2"/>
  <c r="AI71" i="2"/>
  <c r="AI75" i="2"/>
  <c r="AI79" i="2"/>
  <c r="AI99" i="2"/>
  <c r="AI109" i="2"/>
  <c r="AI118" i="2"/>
  <c r="AI121" i="2"/>
  <c r="AI128" i="2"/>
  <c r="AI136" i="2"/>
  <c r="AI141" i="2"/>
  <c r="AI155" i="2"/>
  <c r="AI158" i="2"/>
  <c r="AI162" i="2"/>
  <c r="AI172" i="2"/>
  <c r="AI175" i="2"/>
  <c r="AI178" i="2"/>
  <c r="AI188" i="2"/>
  <c r="AI214" i="2"/>
  <c r="AI232" i="2"/>
  <c r="AI236" i="2"/>
  <c r="AI239" i="2"/>
  <c r="AI243" i="2"/>
  <c r="AI250" i="2"/>
  <c r="AI253" i="2"/>
  <c r="AI260" i="2"/>
  <c r="AI268" i="2"/>
  <c r="AI277" i="2"/>
  <c r="AI279" i="2" s="1"/>
  <c r="AC309" i="2"/>
  <c r="AI309" i="2" s="1"/>
  <c r="AI341" i="2"/>
  <c r="AI348" i="2"/>
  <c r="AI16" i="2"/>
  <c r="AI29" i="2"/>
  <c r="AI45" i="2"/>
  <c r="AI57" i="2"/>
  <c r="AI65" i="2"/>
  <c r="AI77" i="2"/>
  <c r="AI107" i="2"/>
  <c r="AI212" i="2"/>
  <c r="AI219" i="2"/>
  <c r="AI230" i="2"/>
  <c r="AI350" i="2"/>
  <c r="AI15" i="2"/>
  <c r="AI19" i="2"/>
  <c r="AI24" i="2"/>
  <c r="AI28" i="2"/>
  <c r="AI32" i="2"/>
  <c r="AI36" i="2"/>
  <c r="AI40" i="2"/>
  <c r="AI44" i="2"/>
  <c r="AI48" i="2"/>
  <c r="AI52" i="2"/>
  <c r="AI56" i="2"/>
  <c r="AI60" i="2"/>
  <c r="AI64" i="2"/>
  <c r="AI68" i="2"/>
  <c r="AI72" i="2"/>
  <c r="AI76" i="2"/>
  <c r="AI100" i="2"/>
  <c r="AI103" i="2"/>
  <c r="AI111" i="2"/>
  <c r="AC131" i="2"/>
  <c r="AI126" i="2"/>
  <c r="AI129" i="2"/>
  <c r="AI159" i="2"/>
  <c r="AI163" i="2"/>
  <c r="AI176" i="2"/>
  <c r="AI179" i="2"/>
  <c r="AC213" i="2"/>
  <c r="AI205" i="2"/>
  <c r="AI215" i="2"/>
  <c r="AI218" i="2"/>
  <c r="AI222" i="2"/>
  <c r="AI258" i="2"/>
  <c r="AI266" i="2"/>
  <c r="AC276" i="2"/>
  <c r="AI273" i="2"/>
  <c r="AI305" i="2"/>
  <c r="AC344" i="2"/>
  <c r="AI344" i="2" s="1"/>
  <c r="AI339" i="2"/>
  <c r="AI342" i="2"/>
  <c r="AI346" i="2"/>
  <c r="AI349" i="2"/>
  <c r="AI352" i="2"/>
  <c r="AI315" i="2"/>
  <c r="AI336" i="2"/>
  <c r="AI334" i="2"/>
  <c r="AC136" i="2"/>
  <c r="AC148" i="2"/>
  <c r="AC182" i="2"/>
  <c r="AC185" i="2"/>
  <c r="AC192" i="2"/>
  <c r="AC234" i="2"/>
  <c r="AC337" i="2"/>
  <c r="AC356" i="2"/>
  <c r="AC20" i="2"/>
  <c r="AC110" i="2"/>
  <c r="AC142" i="2"/>
  <c r="AC199" i="2"/>
  <c r="AC269" i="2"/>
  <c r="AC86" i="2"/>
  <c r="AC220" i="2"/>
  <c r="AC240" i="2"/>
  <c r="AC255" i="2"/>
  <c r="AC125" i="2"/>
  <c r="AC227" i="2"/>
  <c r="AC244" i="2"/>
  <c r="AC279" i="2"/>
  <c r="AC302" i="2"/>
  <c r="AI302" i="2" s="1"/>
  <c r="W336" i="2"/>
  <c r="X336" i="2" s="1"/>
  <c r="X207" i="2"/>
  <c r="S207" i="2"/>
  <c r="Y196" i="2"/>
  <c r="Y190" i="2"/>
  <c r="Y189" i="2"/>
  <c r="J336" i="2"/>
  <c r="J335" i="2"/>
  <c r="N254" i="2"/>
  <c r="J254" i="2"/>
  <c r="R336" i="2"/>
  <c r="S336" i="2" s="1"/>
  <c r="T161" i="2"/>
  <c r="Y161" i="2" s="1"/>
  <c r="AD161" i="2" s="1"/>
  <c r="AI161" i="2" s="1"/>
  <c r="T160" i="2"/>
  <c r="Y160" i="2" s="1"/>
  <c r="AD160" i="2" s="1"/>
  <c r="AI160" i="2" s="1"/>
  <c r="N141" i="2"/>
  <c r="J115" i="2"/>
  <c r="J114" i="2"/>
  <c r="N115" i="2"/>
  <c r="N114" i="2"/>
  <c r="S316" i="2"/>
  <c r="X359" i="2"/>
  <c r="X357" i="2"/>
  <c r="X355" i="2"/>
  <c r="X354" i="2"/>
  <c r="X353" i="2"/>
  <c r="X352" i="2"/>
  <c r="AD352" i="2" s="1"/>
  <c r="X351" i="2"/>
  <c r="X350" i="2"/>
  <c r="X349" i="2"/>
  <c r="X348" i="2"/>
  <c r="AD348" i="2" s="1"/>
  <c r="X347" i="2"/>
  <c r="X346" i="2"/>
  <c r="X345" i="2"/>
  <c r="X343" i="2"/>
  <c r="X342" i="2"/>
  <c r="X341" i="2"/>
  <c r="AD341" i="2" s="1"/>
  <c r="X340" i="2"/>
  <c r="AD340" i="2" s="1"/>
  <c r="X339" i="2"/>
  <c r="X335" i="2"/>
  <c r="AD335" i="2" s="1"/>
  <c r="X334" i="2"/>
  <c r="X316" i="2"/>
  <c r="X315" i="2"/>
  <c r="AD315" i="2" s="1"/>
  <c r="X314" i="2"/>
  <c r="AD314" i="2" s="1"/>
  <c r="X312" i="2"/>
  <c r="X311" i="2"/>
  <c r="X310" i="2"/>
  <c r="X308" i="2"/>
  <c r="X305" i="2"/>
  <c r="X304" i="2"/>
  <c r="X301" i="2"/>
  <c r="X300" i="2"/>
  <c r="X299" i="2"/>
  <c r="AD299" i="2" s="1"/>
  <c r="X298" i="2"/>
  <c r="X297" i="2"/>
  <c r="X296" i="2"/>
  <c r="X295" i="2"/>
  <c r="X294" i="2"/>
  <c r="AD294" i="2" s="1"/>
  <c r="X292" i="2"/>
  <c r="X291" i="2"/>
  <c r="X290" i="2"/>
  <c r="X289" i="2"/>
  <c r="AD289" i="2" s="1"/>
  <c r="X288" i="2"/>
  <c r="X287" i="2"/>
  <c r="X286" i="2"/>
  <c r="X285" i="2"/>
  <c r="AD285" i="2" s="1"/>
  <c r="X284" i="2"/>
  <c r="X283" i="2"/>
  <c r="X282" i="2"/>
  <c r="X281" i="2"/>
  <c r="X278" i="2"/>
  <c r="X277" i="2"/>
  <c r="X275" i="2"/>
  <c r="X274" i="2"/>
  <c r="X273" i="2"/>
  <c r="X272" i="2"/>
  <c r="X268" i="2"/>
  <c r="X267" i="2"/>
  <c r="AD267" i="2" s="1"/>
  <c r="X266" i="2"/>
  <c r="AD266" i="2" s="1"/>
  <c r="X265" i="2"/>
  <c r="X264" i="2"/>
  <c r="X263" i="2"/>
  <c r="AD263" i="2" s="1"/>
  <c r="X262" i="2"/>
  <c r="X261" i="2"/>
  <c r="AD261" i="2" s="1"/>
  <c r="X260" i="2"/>
  <c r="X259" i="2"/>
  <c r="X258" i="2"/>
  <c r="X257" i="2"/>
  <c r="AD257" i="2" s="1"/>
  <c r="X256" i="2"/>
  <c r="X253" i="2"/>
  <c r="X252" i="2"/>
  <c r="AD252" i="2" s="1"/>
  <c r="X251" i="2"/>
  <c r="AD251" i="2" s="1"/>
  <c r="X250" i="2"/>
  <c r="X249" i="2"/>
  <c r="AD249" i="2" s="1"/>
  <c r="X247" i="2"/>
  <c r="X246" i="2"/>
  <c r="AD246" i="2" s="1"/>
  <c r="X245" i="2"/>
  <c r="AD245" i="2" s="1"/>
  <c r="X243" i="2"/>
  <c r="AD243" i="2" s="1"/>
  <c r="X242" i="2"/>
  <c r="AD242" i="2" s="1"/>
  <c r="X241" i="2"/>
  <c r="X239" i="2"/>
  <c r="X238" i="2"/>
  <c r="X237" i="2"/>
  <c r="AD237" i="2" s="1"/>
  <c r="X236" i="2"/>
  <c r="AD236" i="2" s="1"/>
  <c r="X235" i="2"/>
  <c r="X233" i="2"/>
  <c r="AD233" i="2" s="1"/>
  <c r="X232" i="2"/>
  <c r="X231" i="2"/>
  <c r="AD231" i="2" s="1"/>
  <c r="X230" i="2"/>
  <c r="X229" i="2"/>
  <c r="AD229" i="2" s="1"/>
  <c r="X228" i="2"/>
  <c r="X226" i="2"/>
  <c r="AD226" i="2" s="1"/>
  <c r="X225" i="2"/>
  <c r="X224" i="2"/>
  <c r="X223" i="2"/>
  <c r="AD223" i="2" s="1"/>
  <c r="X222" i="2"/>
  <c r="AD222" i="2" s="1"/>
  <c r="X221" i="2"/>
  <c r="X219" i="2"/>
  <c r="X218" i="2"/>
  <c r="AD218" i="2" s="1"/>
  <c r="X217" i="2"/>
  <c r="AD217" i="2" s="1"/>
  <c r="X216" i="2"/>
  <c r="X215" i="2"/>
  <c r="AD215" i="2" s="1"/>
  <c r="X214" i="2"/>
  <c r="X212" i="2"/>
  <c r="X210" i="2"/>
  <c r="X209" i="2"/>
  <c r="AD209" i="2" s="1"/>
  <c r="X208" i="2"/>
  <c r="X206" i="2"/>
  <c r="AD206" i="2" s="1"/>
  <c r="X205" i="2"/>
  <c r="X204" i="2"/>
  <c r="AD204" i="2" s="1"/>
  <c r="X202" i="2"/>
  <c r="X201" i="2"/>
  <c r="AD201" i="2" s="1"/>
  <c r="X200" i="2"/>
  <c r="X198" i="2"/>
  <c r="AD198" i="2" s="1"/>
  <c r="X197" i="2"/>
  <c r="X195" i="2"/>
  <c r="AD195" i="2" s="1"/>
  <c r="X194" i="2"/>
  <c r="X193" i="2"/>
  <c r="X191" i="2"/>
  <c r="AD191" i="2" s="1"/>
  <c r="X188" i="2"/>
  <c r="AD188" i="2" s="1"/>
  <c r="X187" i="2"/>
  <c r="X186" i="2"/>
  <c r="X184" i="2"/>
  <c r="AD184" i="2" s="1"/>
  <c r="AD185" i="2" s="1"/>
  <c r="X181" i="2"/>
  <c r="X180" i="2"/>
  <c r="X179" i="2"/>
  <c r="AD179" i="2" s="1"/>
  <c r="X178" i="2"/>
  <c r="AD178" i="2" s="1"/>
  <c r="X177" i="2"/>
  <c r="X176" i="2"/>
  <c r="AD176" i="2" s="1"/>
  <c r="X175" i="2"/>
  <c r="AD175" i="2" s="1"/>
  <c r="X174" i="2"/>
  <c r="AD174" i="2" s="1"/>
  <c r="X173" i="2"/>
  <c r="X172" i="2"/>
  <c r="AD172" i="2" s="1"/>
  <c r="X171" i="2"/>
  <c r="X170" i="2"/>
  <c r="AD170" i="2" s="1"/>
  <c r="X169" i="2"/>
  <c r="X163" i="2"/>
  <c r="AD163" i="2" s="1"/>
  <c r="X162" i="2"/>
  <c r="AD162" i="2" s="1"/>
  <c r="X159" i="2"/>
  <c r="AD159" i="2" s="1"/>
  <c r="X158" i="2"/>
  <c r="AD158" i="2" s="1"/>
  <c r="X157" i="2"/>
  <c r="X156" i="2"/>
  <c r="AD156" i="2" s="1"/>
  <c r="X155" i="2"/>
  <c r="AD155" i="2" s="1"/>
  <c r="X154" i="2"/>
  <c r="AD154" i="2" s="1"/>
  <c r="X153" i="2"/>
  <c r="X152" i="2"/>
  <c r="AD152" i="2" s="1"/>
  <c r="X151" i="2"/>
  <c r="AD151" i="2" s="1"/>
  <c r="X149" i="2"/>
  <c r="AD149" i="2" s="1"/>
  <c r="X147" i="2"/>
  <c r="X146" i="2"/>
  <c r="AD146" i="2" s="1"/>
  <c r="X145" i="2"/>
  <c r="AD145" i="2" s="1"/>
  <c r="X144" i="2"/>
  <c r="X141" i="2"/>
  <c r="X140" i="2"/>
  <c r="X139" i="2"/>
  <c r="X138" i="2"/>
  <c r="X137" i="2"/>
  <c r="X135" i="2"/>
  <c r="AD135" i="2" s="1"/>
  <c r="X133" i="2"/>
  <c r="X130" i="2"/>
  <c r="X129" i="2"/>
  <c r="X128" i="2"/>
  <c r="AD128" i="2" s="1"/>
  <c r="X127" i="2"/>
  <c r="X126" i="2"/>
  <c r="AD126" i="2" s="1"/>
  <c r="W123" i="2"/>
  <c r="X121" i="2"/>
  <c r="X120" i="2"/>
  <c r="X119" i="2"/>
  <c r="X118" i="2"/>
  <c r="X117" i="2"/>
  <c r="X116" i="2"/>
  <c r="X113" i="2"/>
  <c r="X112" i="2"/>
  <c r="AD112" i="2" s="1"/>
  <c r="X111" i="2"/>
  <c r="X109" i="2"/>
  <c r="AD109" i="2" s="1"/>
  <c r="X108" i="2"/>
  <c r="AD108" i="2" s="1"/>
  <c r="X107" i="2"/>
  <c r="X106" i="2"/>
  <c r="AD106" i="2" s="1"/>
  <c r="X105" i="2"/>
  <c r="X104" i="2"/>
  <c r="AD104" i="2" s="1"/>
  <c r="X103" i="2"/>
  <c r="X102" i="2"/>
  <c r="X101" i="2"/>
  <c r="X100" i="2"/>
  <c r="AD100" i="2" s="1"/>
  <c r="X99" i="2"/>
  <c r="X98" i="2"/>
  <c r="AD98" i="2" s="1"/>
  <c r="X97" i="2"/>
  <c r="X96" i="2"/>
  <c r="AD96" i="2" s="1"/>
  <c r="X95" i="2"/>
  <c r="X94" i="2"/>
  <c r="X93" i="2"/>
  <c r="X92" i="2"/>
  <c r="AD92" i="2" s="1"/>
  <c r="X91" i="2"/>
  <c r="X90" i="2"/>
  <c r="AD90" i="2" s="1"/>
  <c r="X89" i="2"/>
  <c r="X88" i="2"/>
  <c r="AD88" i="2" s="1"/>
  <c r="X87" i="2"/>
  <c r="AD87" i="2" s="1"/>
  <c r="X85" i="2"/>
  <c r="X84" i="2"/>
  <c r="AD84" i="2" s="1"/>
  <c r="X83" i="2"/>
  <c r="X82" i="2"/>
  <c r="X81" i="2"/>
  <c r="Y80" i="2"/>
  <c r="X79" i="2"/>
  <c r="X78" i="2"/>
  <c r="X77" i="2"/>
  <c r="X76" i="2"/>
  <c r="AD76" i="2" s="1"/>
  <c r="X75" i="2"/>
  <c r="X74" i="2"/>
  <c r="X73" i="2"/>
  <c r="X72" i="2"/>
  <c r="X71" i="2"/>
  <c r="X70" i="2"/>
  <c r="X69" i="2"/>
  <c r="X68" i="2"/>
  <c r="X67" i="2"/>
  <c r="X66" i="2"/>
  <c r="AD66" i="2" s="1"/>
  <c r="X65" i="2"/>
  <c r="X64" i="2"/>
  <c r="X63" i="2"/>
  <c r="X62" i="2"/>
  <c r="X61" i="2"/>
  <c r="X60" i="2"/>
  <c r="AD60" i="2" s="1"/>
  <c r="X59" i="2"/>
  <c r="X58" i="2"/>
  <c r="X57" i="2"/>
  <c r="X56" i="2"/>
  <c r="X55" i="2"/>
  <c r="X54" i="2"/>
  <c r="X53" i="2"/>
  <c r="X52" i="2"/>
  <c r="AD52" i="2" s="1"/>
  <c r="X51" i="2"/>
  <c r="X50" i="2"/>
  <c r="AD50" i="2" s="1"/>
  <c r="X49" i="2"/>
  <c r="X48" i="2"/>
  <c r="X47" i="2"/>
  <c r="X46" i="2"/>
  <c r="X45" i="2"/>
  <c r="X44" i="2"/>
  <c r="AD44" i="2" s="1"/>
  <c r="X43" i="2"/>
  <c r="X42" i="2"/>
  <c r="X41" i="2"/>
  <c r="X40" i="2"/>
  <c r="X39" i="2"/>
  <c r="X38" i="2"/>
  <c r="X37" i="2"/>
  <c r="X36" i="2"/>
  <c r="AD36" i="2" s="1"/>
  <c r="X35" i="2"/>
  <c r="X34" i="2"/>
  <c r="AD34" i="2" s="1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AD21" i="2" s="1"/>
  <c r="X19" i="2"/>
  <c r="X18" i="2"/>
  <c r="X17" i="2"/>
  <c r="X16" i="2"/>
  <c r="X15" i="2"/>
  <c r="X14" i="2"/>
  <c r="X13" i="2"/>
  <c r="X12" i="2"/>
  <c r="AD12" i="2" s="1"/>
  <c r="S335" i="2"/>
  <c r="S271" i="2"/>
  <c r="Y271" i="2" s="1"/>
  <c r="S270" i="2"/>
  <c r="S254" i="2"/>
  <c r="Y254" i="2" s="1"/>
  <c r="S253" i="2"/>
  <c r="S252" i="2"/>
  <c r="S251" i="2"/>
  <c r="S250" i="2"/>
  <c r="S249" i="2"/>
  <c r="S141" i="2"/>
  <c r="S124" i="2"/>
  <c r="Y124" i="2" s="1"/>
  <c r="S122" i="2"/>
  <c r="Y122" i="2" s="1"/>
  <c r="S114" i="2"/>
  <c r="Y114" i="2" s="1"/>
  <c r="N80" i="2"/>
  <c r="T80" i="2" s="1"/>
  <c r="X360" i="2" l="1"/>
  <c r="AI234" i="2"/>
  <c r="Y249" i="2"/>
  <c r="AI213" i="2"/>
  <c r="T141" i="2"/>
  <c r="X136" i="2"/>
  <c r="Y336" i="2"/>
  <c r="AI244" i="2"/>
  <c r="AC143" i="2"/>
  <c r="AD133" i="2"/>
  <c r="AD136" i="2" s="1"/>
  <c r="AC183" i="2"/>
  <c r="AI255" i="2"/>
  <c r="AI240" i="2"/>
  <c r="AD120" i="2"/>
  <c r="AD173" i="2"/>
  <c r="AD181" i="2"/>
  <c r="AD31" i="2"/>
  <c r="AD61" i="2"/>
  <c r="AD65" i="2"/>
  <c r="AD99" i="2"/>
  <c r="X125" i="2"/>
  <c r="AD125" i="2" s="1"/>
  <c r="AD111" i="2"/>
  <c r="AD127" i="2"/>
  <c r="AD141" i="2"/>
  <c r="Y141" i="2"/>
  <c r="AD147" i="2"/>
  <c r="AD153" i="2"/>
  <c r="AD157" i="2"/>
  <c r="AD310" i="2"/>
  <c r="AD342" i="2"/>
  <c r="AD347" i="2"/>
  <c r="AD351" i="2"/>
  <c r="AD355" i="2"/>
  <c r="X248" i="2"/>
  <c r="AD37" i="2"/>
  <c r="AD48" i="2"/>
  <c r="AD68" i="2"/>
  <c r="AD116" i="2"/>
  <c r="AD169" i="2"/>
  <c r="AD177" i="2"/>
  <c r="AD19" i="2"/>
  <c r="AD24" i="2"/>
  <c r="AD28" i="2"/>
  <c r="AD54" i="2"/>
  <c r="AD58" i="2"/>
  <c r="AD78" i="2"/>
  <c r="AD82" i="2"/>
  <c r="AD107" i="2"/>
  <c r="AD298" i="2"/>
  <c r="AD304" i="2"/>
  <c r="X309" i="2"/>
  <c r="AD41" i="2"/>
  <c r="AD91" i="2"/>
  <c r="AD102" i="2"/>
  <c r="AD130" i="2"/>
  <c r="Y270" i="2"/>
  <c r="AD16" i="2"/>
  <c r="AD51" i="2"/>
  <c r="AD71" i="2"/>
  <c r="AD75" i="2"/>
  <c r="AD94" i="2"/>
  <c r="AD187" i="2"/>
  <c r="AD194" i="2"/>
  <c r="AD200" i="2"/>
  <c r="AD205" i="2"/>
  <c r="AD210" i="2"/>
  <c r="X227" i="2"/>
  <c r="AD221" i="2"/>
  <c r="AD225" i="2"/>
  <c r="AD230" i="2"/>
  <c r="AD235" i="2"/>
  <c r="AD239" i="2"/>
  <c r="AD250" i="2"/>
  <c r="Y250" i="2"/>
  <c r="AD256" i="2"/>
  <c r="AD260" i="2"/>
  <c r="AD264" i="2"/>
  <c r="AD268" i="2"/>
  <c r="AD275" i="2"/>
  <c r="AD282" i="2"/>
  <c r="AD286" i="2"/>
  <c r="AD290" i="2"/>
  <c r="AD227" i="2"/>
  <c r="AI227" i="2"/>
  <c r="AD13" i="2"/>
  <c r="AD25" i="2"/>
  <c r="AD32" i="2"/>
  <c r="AD35" i="2"/>
  <c r="AD38" i="2"/>
  <c r="AD42" i="2"/>
  <c r="AD45" i="2"/>
  <c r="AD49" i="2"/>
  <c r="AD55" i="2"/>
  <c r="AD59" i="2"/>
  <c r="AD62" i="2"/>
  <c r="AD72" i="2"/>
  <c r="AD79" i="2"/>
  <c r="AD85" i="2"/>
  <c r="AD89" i="2"/>
  <c r="AD97" i="2"/>
  <c r="AD105" i="2"/>
  <c r="AD121" i="2"/>
  <c r="AD212" i="2"/>
  <c r="AD241" i="2"/>
  <c r="AD244" i="2" s="1"/>
  <c r="AD265" i="2"/>
  <c r="AD277" i="2"/>
  <c r="AD283" i="2"/>
  <c r="AD287" i="2"/>
  <c r="AD291" i="2"/>
  <c r="AD305" i="2"/>
  <c r="AD311" i="2"/>
  <c r="Y316" i="2"/>
  <c r="AD339" i="2"/>
  <c r="AD343" i="2"/>
  <c r="T114" i="2"/>
  <c r="T254" i="2"/>
  <c r="AD207" i="2"/>
  <c r="Y207" i="2"/>
  <c r="AD357" i="2"/>
  <c r="AI110" i="2"/>
  <c r="AD281" i="2"/>
  <c r="AD208" i="2"/>
  <c r="AD171" i="2"/>
  <c r="AD14" i="2"/>
  <c r="AD17" i="2"/>
  <c r="AD22" i="2"/>
  <c r="AD26" i="2"/>
  <c r="AD29" i="2"/>
  <c r="AD33" i="2"/>
  <c r="AD39" i="2"/>
  <c r="AD43" i="2"/>
  <c r="AD46" i="2"/>
  <c r="AD56" i="2"/>
  <c r="AD63" i="2"/>
  <c r="AD69" i="2"/>
  <c r="AD73" i="2"/>
  <c r="AD83" i="2"/>
  <c r="AD95" i="2"/>
  <c r="AD103" i="2"/>
  <c r="AD118" i="2"/>
  <c r="X185" i="2"/>
  <c r="AD197" i="2"/>
  <c r="AD202" i="2"/>
  <c r="AD214" i="2"/>
  <c r="AD228" i="2"/>
  <c r="AD232" i="2"/>
  <c r="AD247" i="2"/>
  <c r="AD248" i="2" s="1"/>
  <c r="Y252" i="2"/>
  <c r="AD258" i="2"/>
  <c r="AD262" i="2"/>
  <c r="AD273" i="2"/>
  <c r="AD278" i="2"/>
  <c r="AD284" i="2"/>
  <c r="AD288" i="2"/>
  <c r="AD292" i="2"/>
  <c r="AD296" i="2"/>
  <c r="AD300" i="2"/>
  <c r="AD312" i="2"/>
  <c r="AD345" i="2"/>
  <c r="AD353" i="2"/>
  <c r="AD359" i="2"/>
  <c r="O115" i="2"/>
  <c r="T115" i="2"/>
  <c r="Y251" i="2"/>
  <c r="AD349" i="2"/>
  <c r="AD140" i="2"/>
  <c r="AI86" i="2"/>
  <c r="AD15" i="2"/>
  <c r="AD18" i="2"/>
  <c r="AD23" i="2"/>
  <c r="AD27" i="2"/>
  <c r="AD30" i="2"/>
  <c r="AD40" i="2"/>
  <c r="AD47" i="2"/>
  <c r="AD53" i="2"/>
  <c r="AD57" i="2"/>
  <c r="AD64" i="2"/>
  <c r="AD67" i="2"/>
  <c r="AD70" i="2"/>
  <c r="AD74" i="2"/>
  <c r="AD77" i="2"/>
  <c r="AD81" i="2"/>
  <c r="AD93" i="2"/>
  <c r="AD101" i="2"/>
  <c r="AD113" i="2"/>
  <c r="AD119" i="2"/>
  <c r="AD129" i="2"/>
  <c r="X142" i="2"/>
  <c r="AD193" i="2"/>
  <c r="AD219" i="2"/>
  <c r="AD224" i="2"/>
  <c r="AD238" i="2"/>
  <c r="Y253" i="2"/>
  <c r="AD259" i="2"/>
  <c r="AD274" i="2"/>
  <c r="AD297" i="2"/>
  <c r="AD301" i="2"/>
  <c r="AD346" i="2"/>
  <c r="AD350" i="2"/>
  <c r="AD354" i="2"/>
  <c r="AD272" i="2"/>
  <c r="AD253" i="2"/>
  <c r="AD308" i="2"/>
  <c r="AD117" i="2"/>
  <c r="AI131" i="2"/>
  <c r="AI303" i="2"/>
  <c r="AI125" i="2"/>
  <c r="AI20" i="2"/>
  <c r="AI269" i="2"/>
  <c r="AI356" i="2"/>
  <c r="AI276" i="2"/>
  <c r="AI360" i="2"/>
  <c r="AD334" i="2"/>
  <c r="Y335" i="2"/>
  <c r="AD336" i="2"/>
  <c r="AI337" i="2"/>
  <c r="AC338" i="2"/>
  <c r="AI338" i="2" s="1"/>
  <c r="AC303" i="2"/>
  <c r="AC132" i="2"/>
  <c r="AC361" i="2"/>
  <c r="AC280" i="2"/>
  <c r="T336" i="2"/>
  <c r="O114" i="2"/>
  <c r="X337" i="2"/>
  <c r="AD337" i="2" s="1"/>
  <c r="X213" i="2"/>
  <c r="X234" i="2"/>
  <c r="X255" i="2"/>
  <c r="X20" i="2"/>
  <c r="X86" i="2"/>
  <c r="X110" i="2"/>
  <c r="X131" i="2"/>
  <c r="AD131" i="2" s="1"/>
  <c r="X192" i="2"/>
  <c r="X276" i="2"/>
  <c r="X279" i="2"/>
  <c r="X302" i="2"/>
  <c r="AD360" i="2"/>
  <c r="X344" i="2"/>
  <c r="X148" i="2"/>
  <c r="X182" i="2"/>
  <c r="X199" i="2"/>
  <c r="X203" i="2"/>
  <c r="X240" i="2"/>
  <c r="X293" i="2"/>
  <c r="X220" i="2"/>
  <c r="X244" i="2"/>
  <c r="X269" i="2"/>
  <c r="X356" i="2"/>
  <c r="AD356" i="2" s="1"/>
  <c r="X313" i="2"/>
  <c r="X143" i="2" l="1"/>
  <c r="AD199" i="2"/>
  <c r="AD213" i="2"/>
  <c r="Y255" i="2"/>
  <c r="AD255" i="2"/>
  <c r="AD20" i="2"/>
  <c r="AD86" i="2"/>
  <c r="AD234" i="2"/>
  <c r="AD110" i="2"/>
  <c r="AD344" i="2"/>
  <c r="AI361" i="2"/>
  <c r="AD203" i="2"/>
  <c r="AI132" i="2"/>
  <c r="AD276" i="2"/>
  <c r="AD313" i="2"/>
  <c r="AD269" i="2"/>
  <c r="AD279" i="2"/>
  <c r="AD309" i="2"/>
  <c r="X303" i="2"/>
  <c r="AI280" i="2"/>
  <c r="AD302" i="2"/>
  <c r="AD293" i="2"/>
  <c r="AD240" i="2"/>
  <c r="AC363" i="2"/>
  <c r="AI363" i="2" s="1"/>
  <c r="X338" i="2"/>
  <c r="X280" i="2"/>
  <c r="AD280" i="2" s="1"/>
  <c r="X183" i="2"/>
  <c r="X361" i="2"/>
  <c r="X132" i="2"/>
  <c r="AD132" i="2" s="1"/>
  <c r="AD303" i="2" l="1"/>
  <c r="AD361" i="2"/>
  <c r="AD338" i="2"/>
  <c r="AC364" i="2"/>
  <c r="X363" i="2"/>
  <c r="AD363" i="2" s="1"/>
  <c r="AI364" i="2" l="1"/>
  <c r="AC365" i="2"/>
  <c r="AI365" i="2" s="1"/>
  <c r="X364" i="2"/>
  <c r="AD364" i="2" s="1"/>
  <c r="AC366" i="2" l="1"/>
  <c r="X365" i="2"/>
  <c r="AD365" i="2" s="1"/>
  <c r="X366" i="2" l="1"/>
  <c r="S247" i="2" l="1"/>
  <c r="S246" i="2"/>
  <c r="S245" i="2"/>
  <c r="S288" i="2"/>
  <c r="S231" i="2"/>
  <c r="S217" i="2"/>
  <c r="S255" i="2"/>
  <c r="S359" i="2"/>
  <c r="S357" i="2"/>
  <c r="S355" i="2"/>
  <c r="S354" i="2"/>
  <c r="S353" i="2"/>
  <c r="S352" i="2"/>
  <c r="S351" i="2"/>
  <c r="S350" i="2"/>
  <c r="S349" i="2"/>
  <c r="S348" i="2"/>
  <c r="S347" i="2"/>
  <c r="S346" i="2"/>
  <c r="S345" i="2"/>
  <c r="S343" i="2"/>
  <c r="S342" i="2"/>
  <c r="S341" i="2"/>
  <c r="S340" i="2"/>
  <c r="S339" i="2"/>
  <c r="S334" i="2"/>
  <c r="S315" i="2"/>
  <c r="S314" i="2"/>
  <c r="S312" i="2"/>
  <c r="S311" i="2"/>
  <c r="S310" i="2"/>
  <c r="S308" i="2"/>
  <c r="S305" i="2"/>
  <c r="S304" i="2"/>
  <c r="S301" i="2"/>
  <c r="S300" i="2"/>
  <c r="S299" i="2"/>
  <c r="S298" i="2"/>
  <c r="S297" i="2"/>
  <c r="S296" i="2"/>
  <c r="S295" i="2"/>
  <c r="S294" i="2"/>
  <c r="S292" i="2"/>
  <c r="S291" i="2"/>
  <c r="S290" i="2"/>
  <c r="S289" i="2"/>
  <c r="S287" i="2"/>
  <c r="S286" i="2"/>
  <c r="S285" i="2"/>
  <c r="S284" i="2"/>
  <c r="S283" i="2"/>
  <c r="S282" i="2"/>
  <c r="S281" i="2"/>
  <c r="S278" i="2"/>
  <c r="S277" i="2"/>
  <c r="S275" i="2"/>
  <c r="S274" i="2"/>
  <c r="S273" i="2"/>
  <c r="S272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43" i="2"/>
  <c r="S242" i="2"/>
  <c r="S241" i="2"/>
  <c r="S239" i="2"/>
  <c r="S238" i="2"/>
  <c r="S237" i="2"/>
  <c r="S236" i="2"/>
  <c r="S235" i="2"/>
  <c r="S233" i="2"/>
  <c r="S232" i="2"/>
  <c r="S230" i="2"/>
  <c r="S229" i="2"/>
  <c r="S228" i="2"/>
  <c r="S226" i="2"/>
  <c r="S225" i="2"/>
  <c r="S224" i="2"/>
  <c r="S223" i="2"/>
  <c r="S222" i="2"/>
  <c r="S221" i="2"/>
  <c r="S219" i="2"/>
  <c r="S218" i="2"/>
  <c r="S216" i="2"/>
  <c r="S215" i="2"/>
  <c r="S214" i="2"/>
  <c r="S212" i="2"/>
  <c r="S211" i="2"/>
  <c r="S210" i="2"/>
  <c r="S209" i="2"/>
  <c r="S208" i="2"/>
  <c r="S206" i="2"/>
  <c r="S205" i="2"/>
  <c r="S204" i="2"/>
  <c r="S202" i="2"/>
  <c r="S201" i="2"/>
  <c r="S200" i="2"/>
  <c r="S198" i="2"/>
  <c r="S197" i="2"/>
  <c r="S195" i="2"/>
  <c r="S194" i="2"/>
  <c r="S193" i="2"/>
  <c r="S191" i="2"/>
  <c r="S188" i="2"/>
  <c r="S187" i="2"/>
  <c r="S186" i="2"/>
  <c r="S184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3" i="2"/>
  <c r="S162" i="2"/>
  <c r="S159" i="2"/>
  <c r="S158" i="2"/>
  <c r="S157" i="2"/>
  <c r="S156" i="2"/>
  <c r="S155" i="2"/>
  <c r="S154" i="2"/>
  <c r="S153" i="2"/>
  <c r="S152" i="2"/>
  <c r="Y152" i="2" s="1"/>
  <c r="S151" i="2"/>
  <c r="S149" i="2"/>
  <c r="Y149" i="2" s="1"/>
  <c r="S147" i="2"/>
  <c r="S146" i="2"/>
  <c r="S145" i="2"/>
  <c r="S144" i="2"/>
  <c r="S140" i="2"/>
  <c r="S139" i="2"/>
  <c r="S138" i="2"/>
  <c r="S137" i="2"/>
  <c r="S135" i="2"/>
  <c r="S133" i="2"/>
  <c r="Y133" i="2" s="1"/>
  <c r="S130" i="2"/>
  <c r="S129" i="2"/>
  <c r="S128" i="2"/>
  <c r="S127" i="2"/>
  <c r="S126" i="2"/>
  <c r="R123" i="2"/>
  <c r="S123" i="2" s="1"/>
  <c r="S121" i="2"/>
  <c r="S120" i="2"/>
  <c r="S119" i="2"/>
  <c r="S118" i="2"/>
  <c r="S117" i="2"/>
  <c r="S116" i="2"/>
  <c r="S113" i="2"/>
  <c r="S112" i="2"/>
  <c r="S111" i="2"/>
  <c r="S109" i="2"/>
  <c r="Y109" i="2" s="1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5" i="2"/>
  <c r="S84" i="2"/>
  <c r="S83" i="2"/>
  <c r="S82" i="2"/>
  <c r="S81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19" i="2"/>
  <c r="S18" i="2"/>
  <c r="S17" i="2"/>
  <c r="S16" i="2"/>
  <c r="S15" i="2"/>
  <c r="S14" i="2"/>
  <c r="S13" i="2"/>
  <c r="S12" i="2"/>
  <c r="N345" i="2"/>
  <c r="N346" i="2"/>
  <c r="N347" i="2"/>
  <c r="N348" i="2"/>
  <c r="N349" i="2"/>
  <c r="N350" i="2"/>
  <c r="N351" i="2"/>
  <c r="N352" i="2"/>
  <c r="N353" i="2"/>
  <c r="N354" i="2"/>
  <c r="N355" i="2"/>
  <c r="S360" i="2" l="1"/>
  <c r="Y24" i="2"/>
  <c r="Y36" i="2"/>
  <c r="Y48" i="2"/>
  <c r="Y64" i="2"/>
  <c r="Y76" i="2"/>
  <c r="Y90" i="2"/>
  <c r="Y98" i="2"/>
  <c r="Y106" i="2"/>
  <c r="Y121" i="2"/>
  <c r="Y140" i="2"/>
  <c r="Y157" i="2"/>
  <c r="Y173" i="2"/>
  <c r="Y195" i="2"/>
  <c r="Y206" i="2"/>
  <c r="Y222" i="2"/>
  <c r="Y226" i="2"/>
  <c r="Y242" i="2"/>
  <c r="Y258" i="2"/>
  <c r="Y262" i="2"/>
  <c r="Y266" i="2"/>
  <c r="Y273" i="2"/>
  <c r="Y278" i="2"/>
  <c r="Y284" i="2"/>
  <c r="Y289" i="2"/>
  <c r="Y294" i="2"/>
  <c r="Y298" i="2"/>
  <c r="Y304" i="2"/>
  <c r="Y311" i="2"/>
  <c r="Y342" i="2"/>
  <c r="T347" i="2"/>
  <c r="Y347" i="2"/>
  <c r="T351" i="2"/>
  <c r="Y351" i="2"/>
  <c r="T355" i="2"/>
  <c r="Y355" i="2"/>
  <c r="Y25" i="2"/>
  <c r="Y33" i="2"/>
  <c r="Y41" i="2"/>
  <c r="Y45" i="2"/>
  <c r="Y49" i="2"/>
  <c r="Y53" i="2"/>
  <c r="Y57" i="2"/>
  <c r="Y61" i="2"/>
  <c r="Y65" i="2"/>
  <c r="Y69" i="2"/>
  <c r="Y73" i="2"/>
  <c r="Y77" i="2"/>
  <c r="Y82" i="2"/>
  <c r="Y87" i="2"/>
  <c r="Y91" i="2"/>
  <c r="Y95" i="2"/>
  <c r="Y99" i="2"/>
  <c r="Y103" i="2"/>
  <c r="Y107" i="2"/>
  <c r="Y112" i="2"/>
  <c r="Y118" i="2"/>
  <c r="Y123" i="2"/>
  <c r="Y129" i="2"/>
  <c r="S142" i="2"/>
  <c r="Y154" i="2"/>
  <c r="Y158" i="2"/>
  <c r="Y170" i="2"/>
  <c r="Y174" i="2"/>
  <c r="Y178" i="2"/>
  <c r="S185" i="2"/>
  <c r="Y184" i="2"/>
  <c r="Y185" i="2" s="1"/>
  <c r="Y191" i="2"/>
  <c r="Y197" i="2"/>
  <c r="Y202" i="2"/>
  <c r="Y208" i="2"/>
  <c r="Y212" i="2"/>
  <c r="Y218" i="2"/>
  <c r="Y223" i="2"/>
  <c r="Y228" i="2"/>
  <c r="Y233" i="2"/>
  <c r="Y238" i="2"/>
  <c r="Y243" i="2"/>
  <c r="Y259" i="2"/>
  <c r="Y263" i="2"/>
  <c r="Y267" i="2"/>
  <c r="Y274" i="2"/>
  <c r="Y281" i="2"/>
  <c r="Y285" i="2"/>
  <c r="Y290" i="2"/>
  <c r="Y299" i="2"/>
  <c r="Y305" i="2"/>
  <c r="Y312" i="2"/>
  <c r="Y339" i="2"/>
  <c r="Y343" i="2"/>
  <c r="T348" i="2"/>
  <c r="Y348" i="2"/>
  <c r="T352" i="2"/>
  <c r="Y352" i="2"/>
  <c r="Y357" i="2"/>
  <c r="Y245" i="2"/>
  <c r="Y15" i="2"/>
  <c r="Y28" i="2"/>
  <c r="Y40" i="2"/>
  <c r="Y52" i="2"/>
  <c r="Y60" i="2"/>
  <c r="Y72" i="2"/>
  <c r="Y81" i="2"/>
  <c r="Y94" i="2"/>
  <c r="Y111" i="2"/>
  <c r="Y135" i="2"/>
  <c r="Y136" i="2" s="1"/>
  <c r="Y153" i="2"/>
  <c r="Y169" i="2"/>
  <c r="Y188" i="2"/>
  <c r="Y237" i="2"/>
  <c r="Y288" i="2"/>
  <c r="Y16" i="2"/>
  <c r="Y29" i="2"/>
  <c r="Y13" i="2"/>
  <c r="Y26" i="2"/>
  <c r="Y34" i="2"/>
  <c r="Y38" i="2"/>
  <c r="Y42" i="2"/>
  <c r="Y46" i="2"/>
  <c r="Y50" i="2"/>
  <c r="Y54" i="2"/>
  <c r="Y58" i="2"/>
  <c r="Y62" i="2"/>
  <c r="Y66" i="2"/>
  <c r="Y70" i="2"/>
  <c r="Y74" i="2"/>
  <c r="Y78" i="2"/>
  <c r="Y83" i="2"/>
  <c r="Y88" i="2"/>
  <c r="Y92" i="2"/>
  <c r="Y96" i="2"/>
  <c r="Y100" i="2"/>
  <c r="Y104" i="2"/>
  <c r="Y108" i="2"/>
  <c r="Y113" i="2"/>
  <c r="Y119" i="2"/>
  <c r="Y126" i="2"/>
  <c r="Y130" i="2"/>
  <c r="Y145" i="2"/>
  <c r="Y151" i="2"/>
  <c r="Y155" i="2"/>
  <c r="Y159" i="2"/>
  <c r="Y171" i="2"/>
  <c r="Y175" i="2"/>
  <c r="Y179" i="2"/>
  <c r="Y193" i="2"/>
  <c r="Y198" i="2"/>
  <c r="Y204" i="2"/>
  <c r="Y209" i="2"/>
  <c r="Y214" i="2"/>
  <c r="Y219" i="2"/>
  <c r="Y224" i="2"/>
  <c r="Y229" i="2"/>
  <c r="Y235" i="2"/>
  <c r="Y239" i="2"/>
  <c r="Y256" i="2"/>
  <c r="Y260" i="2"/>
  <c r="Y264" i="2"/>
  <c r="Y268" i="2"/>
  <c r="Y275" i="2"/>
  <c r="Y282" i="2"/>
  <c r="Y286" i="2"/>
  <c r="Y291" i="2"/>
  <c r="Y296" i="2"/>
  <c r="Y300" i="2"/>
  <c r="Y308" i="2"/>
  <c r="Y340" i="2"/>
  <c r="T345" i="2"/>
  <c r="Y345" i="2"/>
  <c r="T349" i="2"/>
  <c r="Y349" i="2"/>
  <c r="T353" i="2"/>
  <c r="Y353" i="2"/>
  <c r="Y359" i="2"/>
  <c r="Y217" i="2"/>
  <c r="Y246" i="2"/>
  <c r="Y19" i="2"/>
  <c r="Y32" i="2"/>
  <c r="Y44" i="2"/>
  <c r="Y56" i="2"/>
  <c r="Y68" i="2"/>
  <c r="Y85" i="2"/>
  <c r="Y102" i="2"/>
  <c r="Y117" i="2"/>
  <c r="Y128" i="2"/>
  <c r="Y147" i="2"/>
  <c r="Y163" i="2"/>
  <c r="Y177" i="2"/>
  <c r="Y181" i="2"/>
  <c r="Y201" i="2"/>
  <c r="Y211" i="2"/>
  <c r="Y232" i="2"/>
  <c r="Y12" i="2"/>
  <c r="Y21" i="2"/>
  <c r="Y37" i="2"/>
  <c r="Y17" i="2"/>
  <c r="Y22" i="2"/>
  <c r="Y30" i="2"/>
  <c r="Y14" i="2"/>
  <c r="Y18" i="2"/>
  <c r="Y23" i="2"/>
  <c r="Y27" i="2"/>
  <c r="Y31" i="2"/>
  <c r="Y35" i="2"/>
  <c r="Y39" i="2"/>
  <c r="Y43" i="2"/>
  <c r="Y47" i="2"/>
  <c r="Y51" i="2"/>
  <c r="Y55" i="2"/>
  <c r="Y59" i="2"/>
  <c r="Y63" i="2"/>
  <c r="Y67" i="2"/>
  <c r="Y71" i="2"/>
  <c r="Y75" i="2"/>
  <c r="Y79" i="2"/>
  <c r="Y84" i="2"/>
  <c r="Y89" i="2"/>
  <c r="Y93" i="2"/>
  <c r="Y97" i="2"/>
  <c r="Y101" i="2"/>
  <c r="Y105" i="2"/>
  <c r="Y116" i="2"/>
  <c r="Y120" i="2"/>
  <c r="Y127" i="2"/>
  <c r="Y146" i="2"/>
  <c r="Y156" i="2"/>
  <c r="Y162" i="2"/>
  <c r="Y172" i="2"/>
  <c r="Y176" i="2"/>
  <c r="Y187" i="2"/>
  <c r="Y194" i="2"/>
  <c r="Y200" i="2"/>
  <c r="Y205" i="2"/>
  <c r="Y210" i="2"/>
  <c r="Y215" i="2"/>
  <c r="Y221" i="2"/>
  <c r="Y225" i="2"/>
  <c r="Y230" i="2"/>
  <c r="Y236" i="2"/>
  <c r="Y241" i="2"/>
  <c r="Y257" i="2"/>
  <c r="Y261" i="2"/>
  <c r="Y265" i="2"/>
  <c r="Y272" i="2"/>
  <c r="Y277" i="2"/>
  <c r="Y283" i="2"/>
  <c r="Y287" i="2"/>
  <c r="Y292" i="2"/>
  <c r="Y297" i="2"/>
  <c r="Y301" i="2"/>
  <c r="Y310" i="2"/>
  <c r="Y341" i="2"/>
  <c r="T346" i="2"/>
  <c r="Y346" i="2"/>
  <c r="T350" i="2"/>
  <c r="Y350" i="2"/>
  <c r="T354" i="2"/>
  <c r="Y354" i="2"/>
  <c r="Y231" i="2"/>
  <c r="Y247" i="2"/>
  <c r="Y334" i="2"/>
  <c r="Y314" i="2"/>
  <c r="S337" i="2"/>
  <c r="Y337" i="2" s="1"/>
  <c r="Y315" i="2"/>
  <c r="S276" i="2"/>
  <c r="S248" i="2"/>
  <c r="S203" i="2"/>
  <c r="S279" i="2"/>
  <c r="S313" i="2"/>
  <c r="S356" i="2"/>
  <c r="S220" i="2"/>
  <c r="S240" i="2"/>
  <c r="S269" i="2"/>
  <c r="S293" i="2"/>
  <c r="S227" i="2"/>
  <c r="S234" i="2"/>
  <c r="S244" i="2"/>
  <c r="S344" i="2"/>
  <c r="S361" i="2" s="1"/>
  <c r="S148" i="2"/>
  <c r="S309" i="2"/>
  <c r="S213" i="2"/>
  <c r="S125" i="2"/>
  <c r="Y125" i="2" s="1"/>
  <c r="S192" i="2"/>
  <c r="S302" i="2"/>
  <c r="S131" i="2"/>
  <c r="S199" i="2"/>
  <c r="S182" i="2"/>
  <c r="S110" i="2"/>
  <c r="S20" i="2"/>
  <c r="S86" i="2"/>
  <c r="S136" i="2"/>
  <c r="Y244" i="2" l="1"/>
  <c r="S143" i="2"/>
  <c r="Y203" i="2"/>
  <c r="Y269" i="2"/>
  <c r="S303" i="2"/>
  <c r="Y302" i="2"/>
  <c r="Y309" i="2"/>
  <c r="Y86" i="2"/>
  <c r="Y240" i="2"/>
  <c r="Y213" i="2"/>
  <c r="Y199" i="2"/>
  <c r="Y20" i="2"/>
  <c r="Y227" i="2"/>
  <c r="Y313" i="2"/>
  <c r="Y279" i="2"/>
  <c r="Y276" i="2"/>
  <c r="Y361" i="2"/>
  <c r="Y344" i="2"/>
  <c r="Y356" i="2"/>
  <c r="Y248" i="2"/>
  <c r="Y360" i="2"/>
  <c r="Y293" i="2"/>
  <c r="Y234" i="2"/>
  <c r="Y131" i="2"/>
  <c r="S183" i="2"/>
  <c r="S338" i="2"/>
  <c r="S132" i="2"/>
  <c r="S280" i="2"/>
  <c r="Y303" i="2" l="1"/>
  <c r="Y280" i="2"/>
  <c r="Y338" i="2"/>
  <c r="Y132" i="2"/>
  <c r="S363" i="2"/>
  <c r="Y363" i="2" s="1"/>
  <c r="S364" i="2" l="1"/>
  <c r="Y364" i="2" l="1"/>
  <c r="S365" i="2"/>
  <c r="S366" i="2" l="1"/>
  <c r="Y365" i="2"/>
  <c r="N266" i="2" l="1"/>
  <c r="N274" i="2"/>
  <c r="N335" i="2"/>
  <c r="N300" i="2"/>
  <c r="N278" i="2"/>
  <c r="N271" i="2"/>
  <c r="N270" i="2"/>
  <c r="J270" i="2"/>
  <c r="J272" i="2" s="1"/>
  <c r="N232" i="2"/>
  <c r="N216" i="2"/>
  <c r="T216" i="2" s="1"/>
  <c r="Y216" i="2" s="1"/>
  <c r="J216" i="2"/>
  <c r="N207" i="2"/>
  <c r="N206" i="2"/>
  <c r="N191" i="2"/>
  <c r="T191" i="2" s="1"/>
  <c r="J191" i="2"/>
  <c r="N190" i="2"/>
  <c r="N189" i="2"/>
  <c r="N181" i="2"/>
  <c r="T181" i="2" s="1"/>
  <c r="J181" i="2"/>
  <c r="N180" i="2"/>
  <c r="T180" i="2" s="1"/>
  <c r="Y180" i="2" s="1"/>
  <c r="J180" i="2"/>
  <c r="N179" i="2"/>
  <c r="T179" i="2" s="1"/>
  <c r="J179" i="2"/>
  <c r="N178" i="2"/>
  <c r="T178" i="2" s="1"/>
  <c r="J178" i="2"/>
  <c r="N177" i="2"/>
  <c r="T177" i="2" s="1"/>
  <c r="J177" i="2"/>
  <c r="N176" i="2"/>
  <c r="T176" i="2" s="1"/>
  <c r="J176" i="2"/>
  <c r="N175" i="2"/>
  <c r="T175" i="2" s="1"/>
  <c r="J175" i="2"/>
  <c r="N146" i="2"/>
  <c r="M123" i="2"/>
  <c r="N123" i="2" s="1"/>
  <c r="O146" i="2" l="1"/>
  <c r="T146" i="2"/>
  <c r="O207" i="2"/>
  <c r="T207" i="2"/>
  <c r="N272" i="2"/>
  <c r="T272" i="2" s="1"/>
  <c r="T270" i="2"/>
  <c r="O335" i="2"/>
  <c r="T335" i="2"/>
  <c r="AD180" i="2"/>
  <c r="Y182" i="2"/>
  <c r="O190" i="2"/>
  <c r="T190" i="2"/>
  <c r="O300" i="2"/>
  <c r="T300" i="2"/>
  <c r="AD216" i="2"/>
  <c r="Y220" i="2"/>
  <c r="O271" i="2"/>
  <c r="T271" i="2"/>
  <c r="O274" i="2"/>
  <c r="T274" i="2"/>
  <c r="O123" i="2"/>
  <c r="T123" i="2"/>
  <c r="O189" i="2"/>
  <c r="T189" i="2"/>
  <c r="O206" i="2"/>
  <c r="T206" i="2"/>
  <c r="O232" i="2"/>
  <c r="T232" i="2"/>
  <c r="O278" i="2"/>
  <c r="T278" i="2"/>
  <c r="O266" i="2"/>
  <c r="T266" i="2"/>
  <c r="O191" i="2"/>
  <c r="O270" i="2"/>
  <c r="O216" i="2"/>
  <c r="O177" i="2"/>
  <c r="O179" i="2"/>
  <c r="O176" i="2"/>
  <c r="O178" i="2"/>
  <c r="O180" i="2"/>
  <c r="O175" i="2"/>
  <c r="O181" i="2"/>
  <c r="N301" i="2"/>
  <c r="T301" i="2" s="1"/>
  <c r="N251" i="2"/>
  <c r="N201" i="2"/>
  <c r="N195" i="2"/>
  <c r="N188" i="2"/>
  <c r="J160" i="2"/>
  <c r="O160" i="2" s="1"/>
  <c r="J161" i="2"/>
  <c r="O161" i="2" s="1"/>
  <c r="N144" i="2"/>
  <c r="J144" i="2"/>
  <c r="N145" i="2"/>
  <c r="T145" i="2" s="1"/>
  <c r="N147" i="2"/>
  <c r="T147" i="2" s="1"/>
  <c r="N153" i="2"/>
  <c r="T153" i="2" s="1"/>
  <c r="N154" i="2"/>
  <c r="T154" i="2" s="1"/>
  <c r="N155" i="2"/>
  <c r="T155" i="2" s="1"/>
  <c r="N156" i="2"/>
  <c r="T156" i="2" s="1"/>
  <c r="N157" i="2"/>
  <c r="T157" i="2" s="1"/>
  <c r="N158" i="2"/>
  <c r="T158" i="2" s="1"/>
  <c r="N159" i="2"/>
  <c r="T159" i="2" s="1"/>
  <c r="N162" i="2"/>
  <c r="T162" i="2" s="1"/>
  <c r="N163" i="2"/>
  <c r="T163" i="2" s="1"/>
  <c r="N169" i="2"/>
  <c r="T169" i="2" s="1"/>
  <c r="N170" i="2"/>
  <c r="T170" i="2" s="1"/>
  <c r="N171" i="2"/>
  <c r="T171" i="2" s="1"/>
  <c r="N172" i="2"/>
  <c r="T172" i="2" s="1"/>
  <c r="N173" i="2"/>
  <c r="T173" i="2" s="1"/>
  <c r="N174" i="2"/>
  <c r="T174" i="2" s="1"/>
  <c r="N149" i="2"/>
  <c r="N151" i="2"/>
  <c r="T151" i="2" s="1"/>
  <c r="N152" i="2"/>
  <c r="N186" i="2"/>
  <c r="T186" i="2" s="1"/>
  <c r="Y186" i="2" s="1"/>
  <c r="N187" i="2"/>
  <c r="T187" i="2" s="1"/>
  <c r="N193" i="2"/>
  <c r="T193" i="2" s="1"/>
  <c r="N194" i="2"/>
  <c r="T194" i="2" s="1"/>
  <c r="N196" i="2"/>
  <c r="T196" i="2" s="1"/>
  <c r="N197" i="2"/>
  <c r="N198" i="2"/>
  <c r="T198" i="2" s="1"/>
  <c r="N200" i="2"/>
  <c r="T200" i="2" s="1"/>
  <c r="N202" i="2"/>
  <c r="T202" i="2" s="1"/>
  <c r="N249" i="2"/>
  <c r="T249" i="2" s="1"/>
  <c r="N250" i="2"/>
  <c r="N252" i="2"/>
  <c r="T252" i="2" s="1"/>
  <c r="N253" i="2"/>
  <c r="T253" i="2" s="1"/>
  <c r="N184" i="2"/>
  <c r="N204" i="2"/>
  <c r="T204" i="2" s="1"/>
  <c r="N205" i="2"/>
  <c r="T205" i="2" s="1"/>
  <c r="N208" i="2"/>
  <c r="N209" i="2"/>
  <c r="T209" i="2" s="1"/>
  <c r="N210" i="2"/>
  <c r="T210" i="2" s="1"/>
  <c r="N211" i="2"/>
  <c r="T211" i="2" s="1"/>
  <c r="N212" i="2"/>
  <c r="N214" i="2"/>
  <c r="T214" i="2" s="1"/>
  <c r="N215" i="2"/>
  <c r="T215" i="2" s="1"/>
  <c r="N217" i="2"/>
  <c r="T217" i="2" s="1"/>
  <c r="N218" i="2"/>
  <c r="N219" i="2"/>
  <c r="N221" i="2"/>
  <c r="T221" i="2" s="1"/>
  <c r="N222" i="2"/>
  <c r="T222" i="2" s="1"/>
  <c r="N223" i="2"/>
  <c r="T223" i="2" s="1"/>
  <c r="N224" i="2"/>
  <c r="T224" i="2" s="1"/>
  <c r="N225" i="2"/>
  <c r="T225" i="2" s="1"/>
  <c r="N226" i="2"/>
  <c r="T226" i="2" s="1"/>
  <c r="N228" i="2"/>
  <c r="T228" i="2" s="1"/>
  <c r="N229" i="2"/>
  <c r="T229" i="2" s="1"/>
  <c r="N230" i="2"/>
  <c r="T230" i="2" s="1"/>
  <c r="N231" i="2"/>
  <c r="T231" i="2" s="1"/>
  <c r="N233" i="2"/>
  <c r="T233" i="2" s="1"/>
  <c r="N235" i="2"/>
  <c r="T235" i="2" s="1"/>
  <c r="N236" i="2"/>
  <c r="T236" i="2" s="1"/>
  <c r="N237" i="2"/>
  <c r="N238" i="2"/>
  <c r="T238" i="2" s="1"/>
  <c r="N239" i="2"/>
  <c r="T239" i="2" s="1"/>
  <c r="N241" i="2"/>
  <c r="T241" i="2" s="1"/>
  <c r="N242" i="2"/>
  <c r="T242" i="2" s="1"/>
  <c r="N243" i="2"/>
  <c r="N245" i="2"/>
  <c r="T245" i="2" s="1"/>
  <c r="N246" i="2"/>
  <c r="T246" i="2" s="1"/>
  <c r="N247" i="2"/>
  <c r="T247" i="2" s="1"/>
  <c r="N256" i="2"/>
  <c r="T256" i="2" s="1"/>
  <c r="N257" i="2"/>
  <c r="T257" i="2" s="1"/>
  <c r="N258" i="2"/>
  <c r="T258" i="2" s="1"/>
  <c r="N259" i="2"/>
  <c r="N260" i="2"/>
  <c r="T260" i="2" s="1"/>
  <c r="N261" i="2"/>
  <c r="T261" i="2" s="1"/>
  <c r="N262" i="2"/>
  <c r="T262" i="2" s="1"/>
  <c r="N263" i="2"/>
  <c r="T263" i="2" s="1"/>
  <c r="N264" i="2"/>
  <c r="T264" i="2" s="1"/>
  <c r="N265" i="2"/>
  <c r="T265" i="2" s="1"/>
  <c r="N267" i="2"/>
  <c r="T267" i="2" s="1"/>
  <c r="N268" i="2"/>
  <c r="T268" i="2" s="1"/>
  <c r="N273" i="2"/>
  <c r="T273" i="2" s="1"/>
  <c r="N275" i="2"/>
  <c r="T275" i="2" s="1"/>
  <c r="N277" i="2"/>
  <c r="N127" i="2"/>
  <c r="T127" i="2" s="1"/>
  <c r="N128" i="2"/>
  <c r="T128" i="2" s="1"/>
  <c r="N129" i="2"/>
  <c r="T129" i="2" s="1"/>
  <c r="N130" i="2"/>
  <c r="T130" i="2" s="1"/>
  <c r="N126" i="2"/>
  <c r="T126" i="2" s="1"/>
  <c r="N112" i="2"/>
  <c r="T112" i="2" s="1"/>
  <c r="N113" i="2"/>
  <c r="T113" i="2" s="1"/>
  <c r="N116" i="2"/>
  <c r="T116" i="2" s="1"/>
  <c r="N117" i="2"/>
  <c r="T117" i="2" s="1"/>
  <c r="N118" i="2"/>
  <c r="T118" i="2" s="1"/>
  <c r="N119" i="2"/>
  <c r="T119" i="2" s="1"/>
  <c r="N120" i="2"/>
  <c r="T120" i="2" s="1"/>
  <c r="N121" i="2"/>
  <c r="T121" i="2" s="1"/>
  <c r="N122" i="2"/>
  <c r="N124" i="2"/>
  <c r="N111" i="2"/>
  <c r="T111" i="2" s="1"/>
  <c r="N88" i="2"/>
  <c r="T88" i="2" s="1"/>
  <c r="N89" i="2"/>
  <c r="T89" i="2" s="1"/>
  <c r="N90" i="2"/>
  <c r="T90" i="2" s="1"/>
  <c r="N91" i="2"/>
  <c r="T91" i="2" s="1"/>
  <c r="N92" i="2"/>
  <c r="T92" i="2" s="1"/>
  <c r="N93" i="2"/>
  <c r="T93" i="2" s="1"/>
  <c r="N94" i="2"/>
  <c r="T94" i="2" s="1"/>
  <c r="N95" i="2"/>
  <c r="T95" i="2" s="1"/>
  <c r="N96" i="2"/>
  <c r="T96" i="2" s="1"/>
  <c r="N97" i="2"/>
  <c r="T97" i="2" s="1"/>
  <c r="N98" i="2"/>
  <c r="T98" i="2" s="1"/>
  <c r="N99" i="2"/>
  <c r="T99" i="2" s="1"/>
  <c r="N100" i="2"/>
  <c r="T100" i="2" s="1"/>
  <c r="N101" i="2"/>
  <c r="T101" i="2" s="1"/>
  <c r="N102" i="2"/>
  <c r="T102" i="2" s="1"/>
  <c r="N103" i="2"/>
  <c r="T103" i="2" s="1"/>
  <c r="N104" i="2"/>
  <c r="T104" i="2" s="1"/>
  <c r="N105" i="2"/>
  <c r="T105" i="2" s="1"/>
  <c r="N106" i="2"/>
  <c r="T106" i="2" s="1"/>
  <c r="N107" i="2"/>
  <c r="T107" i="2" s="1"/>
  <c r="N108" i="2"/>
  <c r="T108" i="2" s="1"/>
  <c r="N109" i="2"/>
  <c r="O109" i="2" s="1"/>
  <c r="T109" i="2" s="1"/>
  <c r="Y110" i="2" s="1"/>
  <c r="N87" i="2"/>
  <c r="T87" i="2" s="1"/>
  <c r="N22" i="2"/>
  <c r="T22" i="2" s="1"/>
  <c r="N23" i="2"/>
  <c r="T23" i="2" s="1"/>
  <c r="N24" i="2"/>
  <c r="T24" i="2" s="1"/>
  <c r="N25" i="2"/>
  <c r="T25" i="2" s="1"/>
  <c r="N26" i="2"/>
  <c r="T26" i="2" s="1"/>
  <c r="N27" i="2"/>
  <c r="T27" i="2" s="1"/>
  <c r="N28" i="2"/>
  <c r="T28" i="2" s="1"/>
  <c r="N29" i="2"/>
  <c r="T29" i="2" s="1"/>
  <c r="N30" i="2"/>
  <c r="T30" i="2" s="1"/>
  <c r="N31" i="2"/>
  <c r="T31" i="2" s="1"/>
  <c r="N32" i="2"/>
  <c r="T32" i="2" s="1"/>
  <c r="N33" i="2"/>
  <c r="T33" i="2" s="1"/>
  <c r="N34" i="2"/>
  <c r="T34" i="2" s="1"/>
  <c r="N35" i="2"/>
  <c r="T35" i="2" s="1"/>
  <c r="N36" i="2"/>
  <c r="T36" i="2" s="1"/>
  <c r="N37" i="2"/>
  <c r="T37" i="2" s="1"/>
  <c r="N38" i="2"/>
  <c r="T38" i="2" s="1"/>
  <c r="N39" i="2"/>
  <c r="T39" i="2" s="1"/>
  <c r="N40" i="2"/>
  <c r="T40" i="2" s="1"/>
  <c r="N41" i="2"/>
  <c r="T41" i="2" s="1"/>
  <c r="N42" i="2"/>
  <c r="T42" i="2" s="1"/>
  <c r="N43" i="2"/>
  <c r="T43" i="2" s="1"/>
  <c r="N44" i="2"/>
  <c r="T44" i="2" s="1"/>
  <c r="N45" i="2"/>
  <c r="T45" i="2" s="1"/>
  <c r="N46" i="2"/>
  <c r="T46" i="2" s="1"/>
  <c r="N47" i="2"/>
  <c r="T47" i="2" s="1"/>
  <c r="N48" i="2"/>
  <c r="T48" i="2" s="1"/>
  <c r="N49" i="2"/>
  <c r="T49" i="2" s="1"/>
  <c r="N50" i="2"/>
  <c r="T50" i="2" s="1"/>
  <c r="N51" i="2"/>
  <c r="T51" i="2" s="1"/>
  <c r="N52" i="2"/>
  <c r="T52" i="2" s="1"/>
  <c r="N53" i="2"/>
  <c r="T53" i="2" s="1"/>
  <c r="N54" i="2"/>
  <c r="T54" i="2" s="1"/>
  <c r="N55" i="2"/>
  <c r="T55" i="2" s="1"/>
  <c r="N56" i="2"/>
  <c r="T56" i="2" s="1"/>
  <c r="N57" i="2"/>
  <c r="T57" i="2" s="1"/>
  <c r="N58" i="2"/>
  <c r="T58" i="2" s="1"/>
  <c r="N59" i="2"/>
  <c r="T59" i="2" s="1"/>
  <c r="N60" i="2"/>
  <c r="T60" i="2" s="1"/>
  <c r="N61" i="2"/>
  <c r="T61" i="2" s="1"/>
  <c r="N62" i="2"/>
  <c r="T62" i="2" s="1"/>
  <c r="N63" i="2"/>
  <c r="T63" i="2" s="1"/>
  <c r="N64" i="2"/>
  <c r="T64" i="2" s="1"/>
  <c r="N65" i="2"/>
  <c r="T65" i="2" s="1"/>
  <c r="N66" i="2"/>
  <c r="T66" i="2" s="1"/>
  <c r="N67" i="2"/>
  <c r="T67" i="2" s="1"/>
  <c r="N68" i="2"/>
  <c r="T68" i="2" s="1"/>
  <c r="N69" i="2"/>
  <c r="T69" i="2" s="1"/>
  <c r="N70" i="2"/>
  <c r="T70" i="2" s="1"/>
  <c r="N71" i="2"/>
  <c r="T71" i="2" s="1"/>
  <c r="N72" i="2"/>
  <c r="T72" i="2" s="1"/>
  <c r="N73" i="2"/>
  <c r="T73" i="2" s="1"/>
  <c r="N74" i="2"/>
  <c r="T74" i="2" s="1"/>
  <c r="N75" i="2"/>
  <c r="T75" i="2" s="1"/>
  <c r="N76" i="2"/>
  <c r="T76" i="2" s="1"/>
  <c r="N77" i="2"/>
  <c r="T77" i="2" s="1"/>
  <c r="N78" i="2"/>
  <c r="T78" i="2" s="1"/>
  <c r="N79" i="2"/>
  <c r="T79" i="2" s="1"/>
  <c r="N81" i="2"/>
  <c r="T81" i="2" s="1"/>
  <c r="N82" i="2"/>
  <c r="T82" i="2" s="1"/>
  <c r="N83" i="2"/>
  <c r="T83" i="2" s="1"/>
  <c r="N84" i="2"/>
  <c r="T84" i="2" s="1"/>
  <c r="N85" i="2"/>
  <c r="T85" i="2" s="1"/>
  <c r="N21" i="2"/>
  <c r="T21" i="2" s="1"/>
  <c r="N294" i="2"/>
  <c r="T294" i="2" s="1"/>
  <c r="N295" i="2"/>
  <c r="T295" i="2" s="1"/>
  <c r="Y295" i="2" s="1"/>
  <c r="AD295" i="2" s="1"/>
  <c r="AI295" i="2" s="1"/>
  <c r="N296" i="2"/>
  <c r="T296" i="2" s="1"/>
  <c r="N297" i="2"/>
  <c r="T297" i="2" s="1"/>
  <c r="N298" i="2"/>
  <c r="T298" i="2" s="1"/>
  <c r="N299" i="2"/>
  <c r="T299" i="2" s="1"/>
  <c r="N281" i="2"/>
  <c r="T281" i="2" s="1"/>
  <c r="N282" i="2"/>
  <c r="T282" i="2" s="1"/>
  <c r="N283" i="2"/>
  <c r="T283" i="2" s="1"/>
  <c r="N284" i="2"/>
  <c r="T284" i="2" s="1"/>
  <c r="N285" i="2"/>
  <c r="T285" i="2" s="1"/>
  <c r="N286" i="2"/>
  <c r="T286" i="2" s="1"/>
  <c r="N287" i="2"/>
  <c r="T287" i="2" s="1"/>
  <c r="N288" i="2"/>
  <c r="N289" i="2"/>
  <c r="N290" i="2"/>
  <c r="T290" i="2" s="1"/>
  <c r="N291" i="2"/>
  <c r="T291" i="2" s="1"/>
  <c r="N292" i="2"/>
  <c r="T292" i="2" s="1"/>
  <c r="N304" i="2"/>
  <c r="T304" i="2" s="1"/>
  <c r="N305" i="2"/>
  <c r="T305" i="2" s="1"/>
  <c r="N310" i="2"/>
  <c r="T310" i="2" s="1"/>
  <c r="N311" i="2"/>
  <c r="T311" i="2" s="1"/>
  <c r="N312" i="2"/>
  <c r="T312" i="2" s="1"/>
  <c r="N314" i="2"/>
  <c r="T314" i="2" s="1"/>
  <c r="N315" i="2"/>
  <c r="T315" i="2" s="1"/>
  <c r="N316" i="2"/>
  <c r="T316" i="2" s="1"/>
  <c r="N334" i="2"/>
  <c r="T334" i="2" s="1"/>
  <c r="N137" i="2"/>
  <c r="T137" i="2" s="1"/>
  <c r="Y137" i="2" s="1"/>
  <c r="AD137" i="2" s="1"/>
  <c r="N138" i="2"/>
  <c r="T138" i="2" s="1"/>
  <c r="Y138" i="2" s="1"/>
  <c r="AD138" i="2" s="1"/>
  <c r="AI138" i="2" s="1"/>
  <c r="N139" i="2"/>
  <c r="T139" i="2" s="1"/>
  <c r="Y139" i="2" s="1"/>
  <c r="AD139" i="2" s="1"/>
  <c r="AI139" i="2" s="1"/>
  <c r="N140" i="2"/>
  <c r="T140" i="2" s="1"/>
  <c r="N133" i="2"/>
  <c r="N135" i="2"/>
  <c r="N339" i="2"/>
  <c r="T339" i="2" s="1"/>
  <c r="N340" i="2"/>
  <c r="N341" i="2"/>
  <c r="T341" i="2" s="1"/>
  <c r="N342" i="2"/>
  <c r="T342" i="2" s="1"/>
  <c r="N343" i="2"/>
  <c r="N357" i="2"/>
  <c r="N13" i="2"/>
  <c r="T13" i="2" s="1"/>
  <c r="N14" i="2"/>
  <c r="T14" i="2" s="1"/>
  <c r="N15" i="2"/>
  <c r="T15" i="2" s="1"/>
  <c r="N16" i="2"/>
  <c r="T16" i="2" s="1"/>
  <c r="N17" i="2"/>
  <c r="T17" i="2" s="1"/>
  <c r="N18" i="2"/>
  <c r="T18" i="2" s="1"/>
  <c r="N19" i="2"/>
  <c r="T19" i="2" s="1"/>
  <c r="N12" i="2"/>
  <c r="T12" i="2" s="1"/>
  <c r="N308" i="2"/>
  <c r="T308" i="2" s="1"/>
  <c r="N359" i="2"/>
  <c r="J80" i="2"/>
  <c r="O80" i="2" s="1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1" i="2"/>
  <c r="J82" i="2"/>
  <c r="J83" i="2"/>
  <c r="J84" i="2"/>
  <c r="J85" i="2"/>
  <c r="J127" i="2"/>
  <c r="J128" i="2"/>
  <c r="J129" i="2"/>
  <c r="J130" i="2"/>
  <c r="J126" i="2"/>
  <c r="J113" i="2"/>
  <c r="J116" i="2"/>
  <c r="J118" i="2"/>
  <c r="J119" i="2"/>
  <c r="J120" i="2"/>
  <c r="J121" i="2"/>
  <c r="J111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304" i="2"/>
  <c r="J305" i="2"/>
  <c r="J310" i="2"/>
  <c r="J311" i="2"/>
  <c r="J312" i="2"/>
  <c r="J314" i="2"/>
  <c r="J315" i="2"/>
  <c r="J316" i="2"/>
  <c r="J334" i="2"/>
  <c r="J281" i="2"/>
  <c r="J282" i="2"/>
  <c r="J283" i="2"/>
  <c r="J284" i="2"/>
  <c r="J285" i="2"/>
  <c r="J286" i="2"/>
  <c r="J287" i="2"/>
  <c r="J289" i="2"/>
  <c r="J290" i="2"/>
  <c r="J291" i="2"/>
  <c r="J292" i="2"/>
  <c r="J294" i="2"/>
  <c r="J295" i="2"/>
  <c r="J296" i="2"/>
  <c r="J297" i="2"/>
  <c r="J298" i="2"/>
  <c r="J299" i="2"/>
  <c r="J184" i="2"/>
  <c r="J185" i="2" s="1"/>
  <c r="J186" i="2"/>
  <c r="J187" i="2"/>
  <c r="J193" i="2"/>
  <c r="J194" i="2"/>
  <c r="J196" i="2"/>
  <c r="J197" i="2"/>
  <c r="J198" i="2"/>
  <c r="J200" i="2"/>
  <c r="J202" i="2"/>
  <c r="J204" i="2"/>
  <c r="J208" i="2"/>
  <c r="J209" i="2"/>
  <c r="J210" i="2"/>
  <c r="J211" i="2"/>
  <c r="J214" i="2"/>
  <c r="J215" i="2"/>
  <c r="J217" i="2"/>
  <c r="J221" i="2"/>
  <c r="J222" i="2"/>
  <c r="J223" i="2"/>
  <c r="J224" i="2"/>
  <c r="J225" i="2"/>
  <c r="J226" i="2"/>
  <c r="J228" i="2"/>
  <c r="J229" i="2"/>
  <c r="J230" i="2"/>
  <c r="J231" i="2"/>
  <c r="J233" i="2"/>
  <c r="J235" i="2"/>
  <c r="J236" i="2"/>
  <c r="J237" i="2"/>
  <c r="J238" i="2"/>
  <c r="J239" i="2"/>
  <c r="O239" i="2" s="1"/>
  <c r="J241" i="2"/>
  <c r="J242" i="2"/>
  <c r="J243" i="2"/>
  <c r="J245" i="2"/>
  <c r="J246" i="2"/>
  <c r="J247" i="2"/>
  <c r="J249" i="2"/>
  <c r="J252" i="2"/>
  <c r="J253" i="2"/>
  <c r="J256" i="2"/>
  <c r="J257" i="2"/>
  <c r="J258" i="2"/>
  <c r="J259" i="2"/>
  <c r="J260" i="2"/>
  <c r="J261" i="2"/>
  <c r="J262" i="2"/>
  <c r="J264" i="2"/>
  <c r="O264" i="2" s="1"/>
  <c r="J265" i="2"/>
  <c r="J267" i="2"/>
  <c r="J268" i="2"/>
  <c r="J273" i="2"/>
  <c r="J275" i="2"/>
  <c r="J277" i="2"/>
  <c r="J145" i="2"/>
  <c r="J147" i="2"/>
  <c r="J149" i="2"/>
  <c r="J151" i="2"/>
  <c r="J152" i="2"/>
  <c r="J153" i="2"/>
  <c r="J154" i="2"/>
  <c r="J155" i="2"/>
  <c r="J156" i="2"/>
  <c r="J157" i="2"/>
  <c r="J158" i="2"/>
  <c r="J159" i="2"/>
  <c r="J162" i="2"/>
  <c r="J163" i="2"/>
  <c r="J169" i="2"/>
  <c r="J170" i="2"/>
  <c r="J171" i="2"/>
  <c r="J172" i="2"/>
  <c r="J173" i="2"/>
  <c r="J174" i="2"/>
  <c r="J137" i="2"/>
  <c r="J138" i="2"/>
  <c r="J139" i="2"/>
  <c r="J140" i="2"/>
  <c r="O141" i="2"/>
  <c r="J133" i="2"/>
  <c r="J134" i="2"/>
  <c r="J339" i="2"/>
  <c r="J340" i="2"/>
  <c r="J345" i="2"/>
  <c r="O345" i="2" s="1"/>
  <c r="J346" i="2"/>
  <c r="O346" i="2" s="1"/>
  <c r="J347" i="2"/>
  <c r="J357" i="2"/>
  <c r="J360" i="2" s="1"/>
  <c r="J355" i="2"/>
  <c r="J354" i="2"/>
  <c r="O354" i="2" s="1"/>
  <c r="J353" i="2"/>
  <c r="O353" i="2" s="1"/>
  <c r="J352" i="2"/>
  <c r="O352" i="2" s="1"/>
  <c r="J351" i="2"/>
  <c r="J350" i="2"/>
  <c r="O350" i="2" s="1"/>
  <c r="J349" i="2"/>
  <c r="O349" i="2" s="1"/>
  <c r="J348" i="2"/>
  <c r="O348" i="2" s="1"/>
  <c r="J343" i="2"/>
  <c r="J342" i="2"/>
  <c r="J341" i="2"/>
  <c r="O341" i="2" s="1"/>
  <c r="J14" i="2"/>
  <c r="J15" i="2"/>
  <c r="J16" i="2"/>
  <c r="J17" i="2"/>
  <c r="J18" i="2"/>
  <c r="J12" i="2"/>
  <c r="J13" i="2"/>
  <c r="J19" i="2"/>
  <c r="O235" i="2" l="1"/>
  <c r="O257" i="2"/>
  <c r="O253" i="2"/>
  <c r="O184" i="2"/>
  <c r="O308" i="2"/>
  <c r="N360" i="2"/>
  <c r="O238" i="2"/>
  <c r="O301" i="2"/>
  <c r="O242" i="2"/>
  <c r="O231" i="2"/>
  <c r="O226" i="2"/>
  <c r="O222" i="2"/>
  <c r="O316" i="2"/>
  <c r="O311" i="2"/>
  <c r="O205" i="2"/>
  <c r="O139" i="2"/>
  <c r="O263" i="2"/>
  <c r="O268" i="2"/>
  <c r="J344" i="2"/>
  <c r="O314" i="2"/>
  <c r="O275" i="2"/>
  <c r="O229" i="2"/>
  <c r="O137" i="2"/>
  <c r="N279" i="2"/>
  <c r="T279" i="2" s="1"/>
  <c r="T277" i="2"/>
  <c r="O250" i="2"/>
  <c r="T250" i="2"/>
  <c r="O188" i="2"/>
  <c r="T188" i="2"/>
  <c r="O277" i="2"/>
  <c r="O279" i="2" s="1"/>
  <c r="O198" i="2"/>
  <c r="O193" i="2"/>
  <c r="O310" i="2"/>
  <c r="AI137" i="2"/>
  <c r="AI142" i="2" s="1"/>
  <c r="AI143" i="2" s="1"/>
  <c r="AD142" i="2"/>
  <c r="AD143" i="2" s="1"/>
  <c r="O124" i="2"/>
  <c r="T124" i="2"/>
  <c r="O219" i="2"/>
  <c r="T219" i="2"/>
  <c r="N185" i="2"/>
  <c r="T185" i="2" s="1"/>
  <c r="T184" i="2"/>
  <c r="O197" i="2"/>
  <c r="T197" i="2"/>
  <c r="O144" i="2"/>
  <c r="T144" i="2"/>
  <c r="Y144" i="2" s="1"/>
  <c r="O195" i="2"/>
  <c r="T195" i="2"/>
  <c r="AI216" i="2"/>
  <c r="AI220" i="2" s="1"/>
  <c r="AD220" i="2"/>
  <c r="O339" i="2"/>
  <c r="O210" i="2"/>
  <c r="T360" i="2"/>
  <c r="T357" i="2"/>
  <c r="O340" i="2"/>
  <c r="T340" i="2"/>
  <c r="O289" i="2"/>
  <c r="T289" i="2"/>
  <c r="O122" i="2"/>
  <c r="T122" i="2"/>
  <c r="O243" i="2"/>
  <c r="T243" i="2"/>
  <c r="O218" i="2"/>
  <c r="T218" i="2"/>
  <c r="O212" i="2"/>
  <c r="T212" i="2"/>
  <c r="O208" i="2"/>
  <c r="T208" i="2"/>
  <c r="Y192" i="2"/>
  <c r="AD186" i="2"/>
  <c r="O201" i="2"/>
  <c r="T201" i="2"/>
  <c r="J240" i="2"/>
  <c r="O135" i="2"/>
  <c r="T135" i="2"/>
  <c r="O315" i="2"/>
  <c r="Y142" i="2"/>
  <c r="Y143" i="2" s="1"/>
  <c r="J309" i="2"/>
  <c r="O359" i="2"/>
  <c r="T359" i="2"/>
  <c r="O343" i="2"/>
  <c r="T343" i="2"/>
  <c r="O288" i="2"/>
  <c r="T288" i="2"/>
  <c r="O259" i="2"/>
  <c r="T259" i="2"/>
  <c r="O237" i="2"/>
  <c r="T237" i="2"/>
  <c r="O251" i="2"/>
  <c r="T251" i="2"/>
  <c r="AI180" i="2"/>
  <c r="AI182" i="2" s="1"/>
  <c r="AD182" i="2"/>
  <c r="O149" i="2"/>
  <c r="O202" i="2"/>
  <c r="O126" i="2"/>
  <c r="N313" i="2"/>
  <c r="T313" i="2" s="1"/>
  <c r="O267" i="2"/>
  <c r="N244" i="2"/>
  <c r="T244" i="2" s="1"/>
  <c r="O236" i="2"/>
  <c r="N203" i="2"/>
  <c r="T203" i="2" s="1"/>
  <c r="O155" i="2"/>
  <c r="J142" i="2"/>
  <c r="O153" i="2"/>
  <c r="O147" i="2"/>
  <c r="O247" i="2"/>
  <c r="O233" i="2"/>
  <c r="O211" i="2"/>
  <c r="O196" i="2"/>
  <c r="O312" i="2"/>
  <c r="O261" i="2"/>
  <c r="O151" i="2"/>
  <c r="J227" i="2"/>
  <c r="O185" i="2"/>
  <c r="N302" i="2"/>
  <c r="T302" i="2" s="1"/>
  <c r="O272" i="2"/>
  <c r="O304" i="2"/>
  <c r="J248" i="2"/>
  <c r="O262" i="2"/>
  <c r="O258" i="2"/>
  <c r="O252" i="2"/>
  <c r="O246" i="2"/>
  <c r="O225" i="2"/>
  <c r="O291" i="2"/>
  <c r="O287" i="2"/>
  <c r="O283" i="2"/>
  <c r="N337" i="2"/>
  <c r="T337" i="2" s="1"/>
  <c r="N248" i="2"/>
  <c r="T248" i="2" s="1"/>
  <c r="N227" i="2"/>
  <c r="T227" i="2" s="1"/>
  <c r="J279" i="2"/>
  <c r="O342" i="2"/>
  <c r="O152" i="2"/>
  <c r="T152" i="2" s="1"/>
  <c r="J276" i="2"/>
  <c r="O245" i="2"/>
  <c r="O224" i="2"/>
  <c r="O221" i="2"/>
  <c r="O290" i="2"/>
  <c r="O286" i="2"/>
  <c r="O282" i="2"/>
  <c r="J313" i="2"/>
  <c r="O87" i="2"/>
  <c r="N309" i="2"/>
  <c r="T309" i="2" s="1"/>
  <c r="O32" i="2"/>
  <c r="N276" i="2"/>
  <c r="T276" i="2" s="1"/>
  <c r="N269" i="2"/>
  <c r="T269" i="2" s="1"/>
  <c r="J136" i="2"/>
  <c r="O138" i="2"/>
  <c r="J148" i="2"/>
  <c r="O273" i="2"/>
  <c r="O265" i="2"/>
  <c r="O260" i="2"/>
  <c r="O256" i="2"/>
  <c r="O249" i="2"/>
  <c r="O241" i="2"/>
  <c r="O228" i="2"/>
  <c r="O200" i="2"/>
  <c r="O298" i="2"/>
  <c r="O294" i="2"/>
  <c r="O285" i="2"/>
  <c r="O281" i="2"/>
  <c r="O111" i="2"/>
  <c r="N344" i="2"/>
  <c r="T344" i="2" s="1"/>
  <c r="O299" i="2"/>
  <c r="O295" i="2"/>
  <c r="N131" i="2"/>
  <c r="T131" i="2" s="1"/>
  <c r="N240" i="2"/>
  <c r="T240" i="2" s="1"/>
  <c r="N148" i="2"/>
  <c r="O112" i="2"/>
  <c r="N125" i="2"/>
  <c r="T125" i="2" s="1"/>
  <c r="O187" i="2"/>
  <c r="O106" i="2"/>
  <c r="O102" i="2"/>
  <c r="O98" i="2"/>
  <c r="O94" i="2"/>
  <c r="O90" i="2"/>
  <c r="O119" i="2"/>
  <c r="O159" i="2"/>
  <c r="O113" i="2"/>
  <c r="O74" i="2"/>
  <c r="O70" i="2"/>
  <c r="O66" i="2"/>
  <c r="O62" i="2"/>
  <c r="O58" i="2"/>
  <c r="O54" i="2"/>
  <c r="O50" i="2"/>
  <c r="O46" i="2"/>
  <c r="O42" i="2"/>
  <c r="O38" i="2"/>
  <c r="O34" i="2"/>
  <c r="O30" i="2"/>
  <c r="O26" i="2"/>
  <c r="O22" i="2"/>
  <c r="O217" i="2"/>
  <c r="O174" i="2"/>
  <c r="O215" i="2"/>
  <c r="O173" i="2"/>
  <c r="O156" i="2"/>
  <c r="O127" i="2"/>
  <c r="J220" i="2"/>
  <c r="O130" i="2"/>
  <c r="O13" i="2"/>
  <c r="O76" i="2"/>
  <c r="O97" i="2"/>
  <c r="O105" i="2"/>
  <c r="O101" i="2"/>
  <c r="O14" i="2"/>
  <c r="O85" i="2"/>
  <c r="O81" i="2"/>
  <c r="O172" i="2"/>
  <c r="O18" i="2"/>
  <c r="O171" i="2"/>
  <c r="O163" i="2"/>
  <c r="O158" i="2"/>
  <c r="O116" i="2"/>
  <c r="O17" i="2"/>
  <c r="O157" i="2"/>
  <c r="O120" i="2"/>
  <c r="O83" i="2"/>
  <c r="O78" i="2"/>
  <c r="O44" i="2"/>
  <c r="O169" i="2"/>
  <c r="O89" i="2"/>
  <c r="O68" i="2"/>
  <c r="O60" i="2"/>
  <c r="O52" i="2"/>
  <c r="O67" i="2"/>
  <c r="O40" i="2"/>
  <c r="O36" i="2"/>
  <c r="O19" i="2"/>
  <c r="O170" i="2"/>
  <c r="O93" i="2"/>
  <c r="O72" i="2"/>
  <c r="O64" i="2"/>
  <c r="O56" i="2"/>
  <c r="O48" i="2"/>
  <c r="O15" i="2"/>
  <c r="O162" i="2"/>
  <c r="O28" i="2"/>
  <c r="O24" i="2"/>
  <c r="N20" i="2"/>
  <c r="O154" i="2"/>
  <c r="O284" i="2"/>
  <c r="N110" i="2"/>
  <c r="N234" i="2"/>
  <c r="T234" i="2" s="1"/>
  <c r="N213" i="2"/>
  <c r="T213" i="2" s="1"/>
  <c r="O194" i="2"/>
  <c r="O145" i="2"/>
  <c r="J199" i="2"/>
  <c r="O51" i="2"/>
  <c r="O23" i="2"/>
  <c r="O140" i="2"/>
  <c r="O334" i="2"/>
  <c r="O223" i="2"/>
  <c r="N199" i="2"/>
  <c r="T199" i="2" s="1"/>
  <c r="J255" i="2"/>
  <c r="O355" i="2"/>
  <c r="O351" i="2"/>
  <c r="N356" i="2"/>
  <c r="O305" i="2"/>
  <c r="O297" i="2"/>
  <c r="J213" i="2"/>
  <c r="J293" i="2"/>
  <c r="J356" i="2"/>
  <c r="J337" i="2"/>
  <c r="O84" i="2"/>
  <c r="N182" i="2"/>
  <c r="O79" i="2"/>
  <c r="O63" i="2"/>
  <c r="O47" i="2"/>
  <c r="O35" i="2"/>
  <c r="O75" i="2"/>
  <c r="O59" i="2"/>
  <c r="O43" i="2"/>
  <c r="O31" i="2"/>
  <c r="O128" i="2"/>
  <c r="O71" i="2"/>
  <c r="O55" i="2"/>
  <c r="O39" i="2"/>
  <c r="O27" i="2"/>
  <c r="O121" i="2"/>
  <c r="J86" i="2"/>
  <c r="O82" i="2"/>
  <c r="O73" i="2"/>
  <c r="O65" i="2"/>
  <c r="O57" i="2"/>
  <c r="O49" i="2"/>
  <c r="O41" i="2"/>
  <c r="O33" i="2"/>
  <c r="O25" i="2"/>
  <c r="O107" i="2"/>
  <c r="O103" i="2"/>
  <c r="O99" i="2"/>
  <c r="O95" i="2"/>
  <c r="O91" i="2"/>
  <c r="J20" i="2"/>
  <c r="J110" i="2"/>
  <c r="O16" i="2"/>
  <c r="O118" i="2"/>
  <c r="O77" i="2"/>
  <c r="O45" i="2"/>
  <c r="J234" i="2"/>
  <c r="J182" i="2"/>
  <c r="J269" i="2"/>
  <c r="O117" i="2"/>
  <c r="J131" i="2"/>
  <c r="O347" i="2"/>
  <c r="O204" i="2"/>
  <c r="O296" i="2"/>
  <c r="N136" i="2"/>
  <c r="O133" i="2"/>
  <c r="O230" i="2"/>
  <c r="O209" i="2"/>
  <c r="N255" i="2"/>
  <c r="T255" i="2" s="1"/>
  <c r="O292" i="2"/>
  <c r="N86" i="2"/>
  <c r="O21" i="2"/>
  <c r="O69" i="2"/>
  <c r="O61" i="2"/>
  <c r="O53" i="2"/>
  <c r="O37" i="2"/>
  <c r="O29" i="2"/>
  <c r="O12" i="2"/>
  <c r="J203" i="2"/>
  <c r="J125" i="2"/>
  <c r="O357" i="2"/>
  <c r="N142" i="2"/>
  <c r="O214" i="2"/>
  <c r="N220" i="2"/>
  <c r="T220" i="2" s="1"/>
  <c r="N192" i="2"/>
  <c r="T192" i="2" s="1"/>
  <c r="O186" i="2"/>
  <c r="J302" i="2"/>
  <c r="J192" i="2"/>
  <c r="J244" i="2"/>
  <c r="N293" i="2"/>
  <c r="T293" i="2" s="1"/>
  <c r="O108" i="2"/>
  <c r="O104" i="2"/>
  <c r="O100" i="2"/>
  <c r="O96" i="2"/>
  <c r="O92" i="2"/>
  <c r="O88" i="2"/>
  <c r="O129" i="2"/>
  <c r="J143" i="2" l="1"/>
  <c r="O313" i="2"/>
  <c r="J361" i="2"/>
  <c r="O344" i="2"/>
  <c r="O248" i="2"/>
  <c r="O244" i="2"/>
  <c r="O142" i="2"/>
  <c r="O360" i="2"/>
  <c r="N183" i="2"/>
  <c r="T183" i="2" s="1"/>
  <c r="T182" i="2"/>
  <c r="J338" i="2"/>
  <c r="N361" i="2"/>
  <c r="T361" i="2" s="1"/>
  <c r="T356" i="2"/>
  <c r="AD192" i="2"/>
  <c r="AI186" i="2"/>
  <c r="AI192" i="2" s="1"/>
  <c r="AD144" i="2"/>
  <c r="Y148" i="2"/>
  <c r="Y183" i="2" s="1"/>
  <c r="N143" i="2"/>
  <c r="T143" i="2" s="1"/>
  <c r="T142" i="2"/>
  <c r="J183" i="2"/>
  <c r="O199" i="2"/>
  <c r="O240" i="2"/>
  <c r="O192" i="2"/>
  <c r="O255" i="2"/>
  <c r="N280" i="2"/>
  <c r="T280" i="2" s="1"/>
  <c r="O293" i="2"/>
  <c r="O234" i="2"/>
  <c r="O148" i="2"/>
  <c r="T148" i="2"/>
  <c r="O136" i="2"/>
  <c r="T136" i="2"/>
  <c r="O276" i="2"/>
  <c r="O203" i="2"/>
  <c r="O309" i="2"/>
  <c r="O337" i="2"/>
  <c r="N303" i="2"/>
  <c r="T303" i="2" s="1"/>
  <c r="J303" i="2"/>
  <c r="O356" i="2"/>
  <c r="O269" i="2"/>
  <c r="O227" i="2"/>
  <c r="O302" i="2"/>
  <c r="T110" i="2"/>
  <c r="T86" i="2"/>
  <c r="T20" i="2"/>
  <c r="O220" i="2"/>
  <c r="J280" i="2"/>
  <c r="O182" i="2"/>
  <c r="N132" i="2"/>
  <c r="T132" i="2" s="1"/>
  <c r="O131" i="2"/>
  <c r="N338" i="2"/>
  <c r="O125" i="2"/>
  <c r="O20" i="2"/>
  <c r="J132" i="2"/>
  <c r="O86" i="2"/>
  <c r="O110" i="2"/>
  <c r="O213" i="2"/>
  <c r="O143" i="2" l="1"/>
  <c r="O361" i="2"/>
  <c r="O280" i="2"/>
  <c r="AI144" i="2"/>
  <c r="AI148" i="2" s="1"/>
  <c r="AI183" i="2" s="1"/>
  <c r="AD148" i="2"/>
  <c r="AD183" i="2" s="1"/>
  <c r="O338" i="2"/>
  <c r="T338" i="2"/>
  <c r="O303" i="2"/>
  <c r="O183" i="2"/>
  <c r="J363" i="2"/>
  <c r="J364" i="2" s="1"/>
  <c r="J365" i="2" s="1"/>
  <c r="N363" i="2"/>
  <c r="O132" i="2"/>
  <c r="N364" i="2" l="1"/>
  <c r="T363" i="2"/>
  <c r="O363" i="2"/>
  <c r="O364" i="2" s="1"/>
  <c r="O365" i="2" s="1"/>
  <c r="N365" i="2" l="1"/>
  <c r="T364" i="2"/>
  <c r="N366" i="2" l="1"/>
  <c r="T365" i="2"/>
  <c r="T366" i="2" l="1"/>
</calcChain>
</file>

<file path=xl/sharedStrings.xml><?xml version="1.0" encoding="utf-8"?>
<sst xmlns="http://schemas.openxmlformats.org/spreadsheetml/2006/main" count="2407" uniqueCount="786">
  <si>
    <t>구분</t>
  </si>
  <si>
    <t>소항목</t>
  </si>
  <si>
    <t>세부내역</t>
  </si>
  <si>
    <t>수량</t>
  </si>
  <si>
    <t>단위</t>
  </si>
  <si>
    <t>단가</t>
  </si>
  <si>
    <t>비 고</t>
  </si>
  <si>
    <t>일</t>
    <phoneticPr fontId="44" type="noConversion"/>
  </si>
  <si>
    <t>공급받는자</t>
  </si>
  <si>
    <t xml:space="preserve">CLIENT </t>
  </si>
  <si>
    <t>회사명</t>
  </si>
  <si>
    <t>사업자등록번호</t>
  </si>
  <si>
    <t>견적금액</t>
  </si>
  <si>
    <t>(VAT별도)</t>
  </si>
  <si>
    <t>담당자/연락처</t>
  </si>
  <si>
    <t>대항목</t>
    <phoneticPr fontId="44" type="noConversion"/>
  </si>
  <si>
    <t>중항목</t>
    <phoneticPr fontId="44" type="noConversion"/>
  </si>
  <si>
    <t>공급자</t>
    <phoneticPr fontId="44" type="noConversion"/>
  </si>
  <si>
    <t>구매처
(2차협력사)</t>
    <phoneticPr fontId="44" type="noConversion"/>
  </si>
  <si>
    <t>1. 용역 서비스</t>
    <phoneticPr fontId="44" type="noConversion"/>
  </si>
  <si>
    <t>*견적서 단위는 원화 또는 원화+외화 병기 (외화 only 불가)</t>
    <phoneticPr fontId="44" type="noConversion"/>
  </si>
  <si>
    <t>표준노임단가</t>
    <phoneticPr fontId="44" type="noConversion"/>
  </si>
  <si>
    <t>명</t>
    <phoneticPr fontId="44" type="noConversion"/>
  </si>
  <si>
    <t>JOB No.</t>
    <phoneticPr fontId="44" type="noConversion"/>
  </si>
  <si>
    <t>대표자</t>
    <phoneticPr fontId="44" type="noConversion"/>
  </si>
  <si>
    <t xml:space="preserve">아래와 같이 견적합니다. </t>
    <phoneticPr fontId="44" type="noConversion"/>
  </si>
  <si>
    <t>PROJECT 명</t>
    <phoneticPr fontId="44" type="noConversion"/>
  </si>
  <si>
    <t>사업장 주소, 대표전화번호</t>
    <phoneticPr fontId="44" type="noConversion"/>
  </si>
  <si>
    <t>담당자 명</t>
    <phoneticPr fontId="44" type="noConversion"/>
  </si>
  <si>
    <t>제작비 합계</t>
    <phoneticPr fontId="44" type="noConversion"/>
  </si>
  <si>
    <t>기업이윤</t>
    <phoneticPr fontId="44" type="noConversion"/>
  </si>
  <si>
    <t>견 적 서</t>
    <phoneticPr fontId="44" type="noConversion"/>
  </si>
  <si>
    <t>A보드</t>
    <phoneticPr fontId="44" type="noConversion"/>
  </si>
  <si>
    <t>개</t>
    <phoneticPr fontId="44" type="noConversion"/>
  </si>
  <si>
    <t>식</t>
    <phoneticPr fontId="168" type="noConversion"/>
  </si>
  <si>
    <t>ea</t>
  </si>
  <si>
    <t>메인스테이지</t>
    <phoneticPr fontId="44" type="noConversion"/>
  </si>
  <si>
    <t>국내</t>
    <phoneticPr fontId="44" type="noConversion"/>
  </si>
  <si>
    <t>set</t>
    <phoneticPr fontId="44" type="noConversion"/>
  </si>
  <si>
    <t>블루스테이지</t>
    <phoneticPr fontId="44" type="noConversion"/>
  </si>
  <si>
    <t>행사 기획 및 디자인</t>
    <phoneticPr fontId="44" type="noConversion"/>
  </si>
  <si>
    <t xml:space="preserve"> 현장 소모품 구매, 스탭 간음료, 통신비, 교통비, 공과잡비 및 현장 경비</t>
  </si>
  <si>
    <t>김효은 팀장</t>
    <phoneticPr fontId="44" type="noConversion"/>
  </si>
  <si>
    <t>국내팀</t>
    <phoneticPr fontId="44" type="noConversion"/>
  </si>
  <si>
    <t>김지은 팀장</t>
    <phoneticPr fontId="44" type="noConversion"/>
  </si>
  <si>
    <t>남소라 과장</t>
    <phoneticPr fontId="44" type="noConversion"/>
  </si>
  <si>
    <t>유준열 사원</t>
    <phoneticPr fontId="44" type="noConversion"/>
  </si>
  <si>
    <t>임혜선 과장</t>
    <phoneticPr fontId="44" type="noConversion"/>
  </si>
  <si>
    <t>오세희 대리</t>
    <phoneticPr fontId="44" type="noConversion"/>
  </si>
  <si>
    <t>유윤상 실장</t>
    <phoneticPr fontId="44" type="noConversion"/>
  </si>
  <si>
    <t>민경언 실장</t>
    <phoneticPr fontId="44" type="noConversion"/>
  </si>
  <si>
    <t>연구원 기준</t>
    <phoneticPr fontId="47" type="noConversion"/>
  </si>
  <si>
    <t>연구보조원 기준</t>
    <phoneticPr fontId="47" type="noConversion"/>
  </si>
  <si>
    <t>책임연구원 기준</t>
    <phoneticPr fontId="47" type="noConversion"/>
  </si>
  <si>
    <t>보조원 기준</t>
    <phoneticPr fontId="47" type="noConversion"/>
  </si>
  <si>
    <t>소계</t>
    <phoneticPr fontId="44" type="noConversion"/>
  </si>
  <si>
    <t>2 프로덕션 소계</t>
    <phoneticPr fontId="44" type="noConversion"/>
  </si>
  <si>
    <t>1 용역서비스 소계</t>
    <phoneticPr fontId="44" type="noConversion"/>
  </si>
  <si>
    <t>3. 아티스트</t>
    <phoneticPr fontId="44" type="noConversion"/>
  </si>
  <si>
    <t>아티스트 섭외비</t>
    <phoneticPr fontId="44" type="noConversion"/>
  </si>
  <si>
    <t>3 아티스트 소계</t>
    <phoneticPr fontId="44" type="noConversion"/>
  </si>
  <si>
    <t>4. 브랜딩</t>
    <phoneticPr fontId="44" type="noConversion"/>
  </si>
  <si>
    <t>하드 브랜딩</t>
    <phoneticPr fontId="44" type="noConversion"/>
  </si>
  <si>
    <t>소프트 브랜딩</t>
    <phoneticPr fontId="44" type="noConversion"/>
  </si>
  <si>
    <t>4. 브랜딩 소계</t>
    <phoneticPr fontId="44" type="noConversion"/>
  </si>
  <si>
    <t>5. 프로그램 소계</t>
    <phoneticPr fontId="44" type="noConversion"/>
  </si>
  <si>
    <t>6 운영</t>
    <phoneticPr fontId="44" type="noConversion"/>
  </si>
  <si>
    <t>운영 인건비</t>
    <phoneticPr fontId="44" type="noConversion"/>
  </si>
  <si>
    <t>제반 및 렌탈</t>
    <phoneticPr fontId="44" type="noConversion"/>
  </si>
  <si>
    <t>6 운영 소계</t>
    <phoneticPr fontId="44" type="noConversion"/>
  </si>
  <si>
    <t>7 기타</t>
    <phoneticPr fontId="44" type="noConversion"/>
  </si>
  <si>
    <t>7 기타 소계</t>
    <phoneticPr fontId="44" type="noConversion"/>
  </si>
  <si>
    <t>하스피탈리티</t>
    <phoneticPr fontId="44" type="noConversion"/>
  </si>
  <si>
    <t>백스테이지</t>
    <phoneticPr fontId="44" type="noConversion"/>
  </si>
  <si>
    <t>백스테이지 케이터링 비용</t>
    <phoneticPr fontId="44" type="noConversion"/>
  </si>
  <si>
    <t>백스테이지 관리 인력</t>
    <phoneticPr fontId="44" type="noConversion"/>
  </si>
  <si>
    <t>인</t>
    <phoneticPr fontId="44" type="noConversion"/>
  </si>
  <si>
    <t>set</t>
    <phoneticPr fontId="44" type="noConversion"/>
  </si>
  <si>
    <t>18만원/day x 2일x 6인 기준</t>
    <phoneticPr fontId="44" type="noConversion"/>
  </si>
  <si>
    <t>i</t>
    <phoneticPr fontId="44" type="noConversion"/>
  </si>
  <si>
    <t>사전 제작물</t>
    <phoneticPr fontId="44" type="noConversion"/>
  </si>
  <si>
    <t>티켓 제작</t>
    <phoneticPr fontId="44" type="noConversion"/>
  </si>
  <si>
    <t>개</t>
    <phoneticPr fontId="44" type="noConversion"/>
  </si>
  <si>
    <t>VIP 티켓 제작</t>
    <phoneticPr fontId="44" type="noConversion"/>
  </si>
  <si>
    <t>티켓 배송 비용</t>
    <phoneticPr fontId="44" type="noConversion"/>
  </si>
  <si>
    <t>스탭티</t>
    <phoneticPr fontId="44" type="noConversion"/>
  </si>
  <si>
    <t>스탭티 제작</t>
    <phoneticPr fontId="44" type="noConversion"/>
  </si>
  <si>
    <t>비표 제작</t>
    <phoneticPr fontId="44" type="noConversion"/>
  </si>
  <si>
    <t>목걸이 비표</t>
    <phoneticPr fontId="44" type="noConversion"/>
  </si>
  <si>
    <t>인터뷰룸</t>
    <phoneticPr fontId="44" type="noConversion"/>
  </si>
  <si>
    <t>포토월 출력</t>
    <phoneticPr fontId="44" type="noConversion"/>
  </si>
  <si>
    <t>현장 출력물</t>
    <phoneticPr fontId="44" type="noConversion"/>
  </si>
  <si>
    <t>호돌이광장 트러스타워 현수막</t>
    <phoneticPr fontId="44" type="noConversion"/>
  </si>
  <si>
    <t>2950*4950</t>
    <phoneticPr fontId="44" type="noConversion"/>
  </si>
  <si>
    <t>대형락업로고 현수막</t>
    <phoneticPr fontId="44" type="noConversion"/>
  </si>
  <si>
    <t>29,000*8,000</t>
    <phoneticPr fontId="44" type="noConversion"/>
  </si>
  <si>
    <t>㎡</t>
    <phoneticPr fontId="44" type="noConversion"/>
  </si>
  <si>
    <t>입장게이트 현수막 앞</t>
    <phoneticPr fontId="44" type="noConversion"/>
  </si>
  <si>
    <t>8950*960</t>
    <phoneticPr fontId="44" type="noConversion"/>
  </si>
  <si>
    <t>㎡</t>
  </si>
  <si>
    <t>입장게이트 현수막 뒤</t>
    <phoneticPr fontId="44" type="noConversion"/>
  </si>
  <si>
    <t>자이언트배너 현수막</t>
    <phoneticPr fontId="44" type="noConversion"/>
  </si>
  <si>
    <t>1100*3300 [자이언트배너 기둥은 렌탈]</t>
    <phoneticPr fontId="44" type="noConversion"/>
  </si>
  <si>
    <t>개</t>
  </si>
  <si>
    <t>경량펜스,바리케이트 현수막</t>
    <phoneticPr fontId="44" type="noConversion"/>
  </si>
  <si>
    <t>1500*1500</t>
    <phoneticPr fontId="44" type="noConversion"/>
  </si>
  <si>
    <t>남직문 좌 상단데크 가림막</t>
    <phoneticPr fontId="44" type="noConversion"/>
  </si>
  <si>
    <t>52200*2300</t>
    <phoneticPr fontId="44" type="noConversion"/>
  </si>
  <si>
    <t>남직문 입구 KV 현수막</t>
    <phoneticPr fontId="44" type="noConversion"/>
  </si>
  <si>
    <t>7500*8500</t>
    <phoneticPr fontId="44" type="noConversion"/>
  </si>
  <si>
    <t>MQ텐트 삼각 현수막</t>
    <phoneticPr fontId="44" type="noConversion"/>
  </si>
  <si>
    <t>4600*2600</t>
    <phoneticPr fontId="44" type="noConversion"/>
  </si>
  <si>
    <t>MQ텐트 옆면 가림 현수막</t>
    <phoneticPr fontId="44" type="noConversion"/>
  </si>
  <si>
    <t>4800*2300</t>
    <phoneticPr fontId="44" type="noConversion"/>
  </si>
  <si>
    <t>보조경기장 입구상단 현수막</t>
    <phoneticPr fontId="44" type="noConversion"/>
  </si>
  <si>
    <t>22000*23002</t>
    <phoneticPr fontId="44" type="noConversion"/>
  </si>
  <si>
    <t>중앙통로 상단 현수막</t>
    <phoneticPr fontId="44" type="noConversion"/>
  </si>
  <si>
    <t>8000*800</t>
    <phoneticPr fontId="44" type="noConversion"/>
  </si>
  <si>
    <t>900*1800 [A보드 기본 목공은 렌탈]</t>
    <phoneticPr fontId="44" type="noConversion"/>
  </si>
  <si>
    <t>MQ 기타운영텐트</t>
    <phoneticPr fontId="44" type="noConversion"/>
  </si>
  <si>
    <t>의료,운영,경호,짐보관소,F&amp;B</t>
    <phoneticPr fontId="44" type="noConversion"/>
  </si>
  <si>
    <t>목공</t>
  </si>
  <si>
    <t>인/일</t>
    <phoneticPr fontId="44" type="noConversion"/>
  </si>
  <si>
    <t>크레인</t>
    <phoneticPr fontId="44" type="noConversion"/>
  </si>
  <si>
    <t>브랜딩</t>
    <phoneticPr fontId="44" type="noConversion"/>
  </si>
  <si>
    <t>브랜딩 설치 철수</t>
    <phoneticPr fontId="44" type="noConversion"/>
  </si>
  <si>
    <t>운송비</t>
    <phoneticPr fontId="44" type="noConversion"/>
  </si>
  <si>
    <t>대/일</t>
    <phoneticPr fontId="44" type="noConversion"/>
  </si>
  <si>
    <t>set</t>
    <phoneticPr fontId="44" type="noConversion"/>
  </si>
  <si>
    <t>출력물 폐기물 처리 비용</t>
    <phoneticPr fontId="44" type="noConversion"/>
  </si>
  <si>
    <t>사전 운영</t>
    <phoneticPr fontId="44" type="noConversion"/>
  </si>
  <si>
    <t>제작물 작업</t>
    <phoneticPr fontId="44" type="noConversion"/>
  </si>
  <si>
    <t>티켓 패킹 인건비</t>
    <phoneticPr fontId="44" type="noConversion"/>
  </si>
  <si>
    <t>인</t>
    <phoneticPr fontId="44" type="noConversion"/>
  </si>
  <si>
    <t>티켓 발송 인건비</t>
    <phoneticPr fontId="44" type="noConversion"/>
  </si>
  <si>
    <t>현장 운영</t>
    <phoneticPr fontId="44" type="noConversion"/>
  </si>
  <si>
    <t xml:space="preserve">그라운드 운영 </t>
    <phoneticPr fontId="44" type="noConversion"/>
  </si>
  <si>
    <t>경호</t>
    <phoneticPr fontId="44" type="noConversion"/>
  </si>
  <si>
    <t>청소</t>
    <phoneticPr fontId="44" type="noConversion"/>
  </si>
  <si>
    <t>스테이지 크루</t>
    <phoneticPr fontId="44" type="noConversion"/>
  </si>
  <si>
    <t xml:space="preserve">세팅/진행/철수 운영 인력 </t>
    <phoneticPr fontId="44" type="noConversion"/>
  </si>
  <si>
    <t xml:space="preserve">세팅/진행/철수 경호 인력 </t>
    <phoneticPr fontId="44" type="noConversion"/>
  </si>
  <si>
    <t>전문 청소 팀</t>
    <phoneticPr fontId="44" type="noConversion"/>
  </si>
  <si>
    <t>미디어</t>
    <phoneticPr fontId="44" type="noConversion"/>
  </si>
  <si>
    <t>포토그래퍼</t>
    <phoneticPr fontId="44" type="noConversion"/>
  </si>
  <si>
    <t>에프터무비 영상 팀</t>
    <phoneticPr fontId="44" type="noConversion"/>
  </si>
  <si>
    <t>연출 1 무대감독 4  프러덕션 매니져 2 토크백 연출용 무선인터컴 렌탈</t>
    <phoneticPr fontId="168" type="noConversion"/>
  </si>
  <si>
    <t>식</t>
  </si>
  <si>
    <t>Team</t>
    <phoneticPr fontId="168" type="noConversion"/>
  </si>
  <si>
    <t>특수효과 운영 오퍼레이터 /설치 운송인력 / 하론소화기 및 방재인력</t>
    <phoneticPr fontId="168" type="noConversion"/>
  </si>
  <si>
    <t>중계 프로듀서 , 카메라 감독, 스위쳐, 운영인력 [리허설포함 2일]</t>
    <phoneticPr fontId="168" type="noConversion"/>
  </si>
  <si>
    <t>영상 운영 오퍼레이터</t>
    <phoneticPr fontId="44" type="noConversion"/>
  </si>
  <si>
    <t>음향 인건비(오퍼레이팅, 무대 인력)</t>
    <phoneticPr fontId="44" type="noConversion"/>
  </si>
  <si>
    <t>제반</t>
    <phoneticPr fontId="44" type="noConversion"/>
  </si>
  <si>
    <t>간선</t>
    <phoneticPr fontId="44" type="noConversion"/>
  </si>
  <si>
    <t>행사장 전반적인 간선 작업</t>
    <phoneticPr fontId="44" type="noConversion"/>
  </si>
  <si>
    <t>set</t>
    <phoneticPr fontId="44" type="noConversion"/>
  </si>
  <si>
    <t>포스 및 인터넷</t>
    <phoneticPr fontId="44" type="noConversion"/>
  </si>
  <si>
    <t>발전차</t>
    <phoneticPr fontId="44" type="noConversion"/>
  </si>
  <si>
    <t>셋팅 / 리허설 / 본공연 /  철수 / 유류비 포함  300kw</t>
    <phoneticPr fontId="168" type="noConversion"/>
  </si>
  <si>
    <t>ea</t>
    <phoneticPr fontId="168" type="noConversion"/>
  </si>
  <si>
    <t>렌탈</t>
    <phoneticPr fontId="44" type="noConversion"/>
  </si>
  <si>
    <t>현장 운영 렌탈</t>
    <phoneticPr fontId="44" type="noConversion"/>
  </si>
  <si>
    <t>테이블, 가드봉, MQ텐트, 모바일 화장실 등 현장 렌탈품</t>
    <phoneticPr fontId="44" type="noConversion"/>
  </si>
  <si>
    <t>영업배상책임보험</t>
    <phoneticPr fontId="44" type="noConversion"/>
  </si>
  <si>
    <t>KB손해보험</t>
    <phoneticPr fontId="44" type="noConversion"/>
  </si>
  <si>
    <t>건</t>
    <phoneticPr fontId="44" type="noConversion"/>
  </si>
  <si>
    <t>외국인 보험</t>
    <phoneticPr fontId="44" type="noConversion"/>
  </si>
  <si>
    <t>보험</t>
    <phoneticPr fontId="44" type="noConversion"/>
  </si>
  <si>
    <t>행사 진행 보험</t>
    <phoneticPr fontId="44" type="noConversion"/>
  </si>
  <si>
    <t>저작권</t>
    <phoneticPr fontId="44" type="noConversion"/>
  </si>
  <si>
    <t>한국 저작권 협회 지급</t>
    <phoneticPr fontId="44" type="noConversion"/>
  </si>
  <si>
    <t>음악 저작권료</t>
    <phoneticPr fontId="44" type="noConversion"/>
  </si>
  <si>
    <t>저작권료</t>
    <phoneticPr fontId="44" type="noConversion"/>
  </si>
  <si>
    <t>진행경비</t>
    <phoneticPr fontId="44" type="noConversion"/>
  </si>
  <si>
    <t>식대</t>
    <phoneticPr fontId="44" type="noConversion"/>
  </si>
  <si>
    <t>공과잡비</t>
    <phoneticPr fontId="44" type="noConversion"/>
  </si>
  <si>
    <t>식사 및 간식 비용</t>
    <phoneticPr fontId="44" type="noConversion"/>
  </si>
  <si>
    <t>사전 및 현장 스태프 식사 및 간식대</t>
    <phoneticPr fontId="44" type="noConversion"/>
  </si>
  <si>
    <t>공과잡비</t>
    <phoneticPr fontId="44" type="noConversion"/>
  </si>
  <si>
    <t>식수</t>
    <phoneticPr fontId="44" type="noConversion"/>
  </si>
  <si>
    <t>물 및 얼음</t>
    <phoneticPr fontId="44" type="noConversion"/>
  </si>
  <si>
    <t>사전 및 현장 스태프용 식수 및 얼음</t>
    <phoneticPr fontId="44" type="noConversion"/>
  </si>
  <si>
    <t>입장팔찌 + 스태프 팔찌 제작</t>
    <phoneticPr fontId="44" type="noConversion"/>
  </si>
  <si>
    <t>cs 운영</t>
    <phoneticPr fontId="44" type="noConversion"/>
  </si>
  <si>
    <t>티켓 구매 관련 사전 cs 운영</t>
    <phoneticPr fontId="44" type="noConversion"/>
  </si>
  <si>
    <t>약 3주 운영 기준</t>
    <phoneticPr fontId="44" type="noConversion"/>
  </si>
  <si>
    <t>set</t>
    <phoneticPr fontId="44" type="noConversion"/>
  </si>
  <si>
    <t>소계</t>
    <phoneticPr fontId="44" type="noConversion"/>
  </si>
  <si>
    <t>컨셉츄얼 게이트</t>
    <phoneticPr fontId="44" type="noConversion"/>
  </si>
  <si>
    <t>공간구현</t>
    <phoneticPr fontId="44" type="noConversion"/>
  </si>
  <si>
    <t>공간구현</t>
    <phoneticPr fontId="44" type="noConversion"/>
  </si>
  <si>
    <t>set</t>
    <phoneticPr fontId="44" type="noConversion"/>
  </si>
  <si>
    <t>운영인력</t>
    <phoneticPr fontId="44" type="noConversion"/>
  </si>
  <si>
    <t>인</t>
    <phoneticPr fontId="44" type="noConversion"/>
  </si>
  <si>
    <t>소계</t>
    <phoneticPr fontId="44" type="noConversion"/>
  </si>
  <si>
    <t>프로모터</t>
    <phoneticPr fontId="44" type="noConversion"/>
  </si>
  <si>
    <t>인</t>
    <phoneticPr fontId="44" type="noConversion"/>
  </si>
  <si>
    <t>NAME FLAG KIOSK</t>
    <phoneticPr fontId="44" type="noConversion"/>
  </si>
  <si>
    <t>키오스크</t>
    <phoneticPr fontId="44" type="noConversion"/>
  </si>
  <si>
    <t>프로그램 개발</t>
    <phoneticPr fontId="44" type="noConversion"/>
  </si>
  <si>
    <t>네임플래그 출력 프로그램 개발</t>
    <phoneticPr fontId="44" type="noConversion"/>
  </si>
  <si>
    <t>기기 렌탈</t>
    <phoneticPr fontId="44" type="noConversion"/>
  </si>
  <si>
    <t>설치&amp;철수 포함 약 2.5일 렌탈 기준</t>
    <phoneticPr fontId="44" type="noConversion"/>
  </si>
  <si>
    <t>EA</t>
    <phoneticPr fontId="44" type="noConversion"/>
  </si>
  <si>
    <t>운영인력</t>
    <phoneticPr fontId="44" type="noConversion"/>
  </si>
  <si>
    <t>프로모터</t>
    <phoneticPr fontId="44" type="noConversion"/>
  </si>
  <si>
    <t>프로그램 안내 및 참여 유도</t>
    <phoneticPr fontId="44" type="noConversion"/>
  </si>
  <si>
    <t>소계</t>
    <phoneticPr fontId="44" type="noConversion"/>
  </si>
  <si>
    <t>공간구현</t>
    <phoneticPr fontId="44" type="noConversion"/>
  </si>
  <si>
    <t>현장 운영</t>
    <phoneticPr fontId="44" type="noConversion"/>
  </si>
  <si>
    <t>전문인력</t>
    <phoneticPr fontId="44" type="noConversion"/>
  </si>
  <si>
    <t>메이크업 아티스트 / 헤어 아티스트 등</t>
    <phoneticPr fontId="44" type="noConversion"/>
  </si>
  <si>
    <t>인</t>
    <phoneticPr fontId="44" type="noConversion"/>
  </si>
  <si>
    <t>2. 프로덕션</t>
    <phoneticPr fontId="44" type="noConversion"/>
  </si>
  <si>
    <t>메인 스테이지</t>
    <phoneticPr fontId="44" type="noConversion"/>
  </si>
  <si>
    <t>시스템 구조물 및 트러스</t>
  </si>
  <si>
    <t>시스템 구조물 62.5m x 19m x  7.2m(W x H x D)</t>
  </si>
  <si>
    <t>-</t>
    <phoneticPr fontId="44" type="noConversion"/>
  </si>
  <si>
    <t>시스템 구조물 29m x 15.5m x  5.4m(W x H x D)</t>
  </si>
  <si>
    <t>투명 루프</t>
  </si>
  <si>
    <t>1ton  콘크리트 웨이트</t>
  </si>
  <si>
    <t>-</t>
    <phoneticPr fontId="44" type="noConversion"/>
  </si>
  <si>
    <t>인건비  및 운송비</t>
  </si>
  <si>
    <t>무대</t>
  </si>
  <si>
    <t>메인무대 122m x 8.2m(H:1500/1800/2700) /  계단 / 데코타일 / 파인텍스</t>
  </si>
  <si>
    <t>돌출무대  지름 10m x 23.5m / 데코타일 / 브랜딩</t>
  </si>
  <si>
    <t>방염서류 및 흑막</t>
  </si>
  <si>
    <t>상부 v 브랜딩  목공+시트마감</t>
  </si>
  <si>
    <t>CASS 대형 LED 채널 간판 1ea 소형 2ea / 크레인</t>
  </si>
  <si>
    <t>음향</t>
  </si>
  <si>
    <t>Main Adamson E15</t>
  </si>
  <si>
    <t>ea</t>
    <phoneticPr fontId="3" type="noConversion"/>
  </si>
  <si>
    <t>Main Adamson E218</t>
  </si>
  <si>
    <t>ea</t>
    <phoneticPr fontId="3" type="noConversion"/>
  </si>
  <si>
    <t xml:space="preserve">Main EV X2 </t>
  </si>
  <si>
    <t>Main EV X128</t>
  </si>
  <si>
    <t>-</t>
    <phoneticPr fontId="44" type="noConversion"/>
  </si>
  <si>
    <t>Main Power Amp. Set</t>
  </si>
  <si>
    <t>DIGICO SD10 /  FOH Rack / Stage Rack</t>
  </si>
  <si>
    <t>set</t>
  </si>
  <si>
    <t>-</t>
    <phoneticPr fontId="44" type="noConversion"/>
  </si>
  <si>
    <t xml:space="preserve">Instrument wired Mic </t>
  </si>
  <si>
    <t>Wireless Mic</t>
  </si>
  <si>
    <t>IEM(in-Ear monitor)</t>
  </si>
  <si>
    <t>Monitor Speaker / AMP</t>
  </si>
  <si>
    <t>SET</t>
    <phoneticPr fontId="3" type="noConversion"/>
  </si>
  <si>
    <t xml:space="preserve">Audio Management System </t>
  </si>
  <si>
    <t>설치/철거 및 운영, 운송비</t>
  </si>
  <si>
    <t>Team</t>
    <phoneticPr fontId="3" type="noConversion"/>
  </si>
  <si>
    <t>조명</t>
  </si>
  <si>
    <t>Mytos</t>
  </si>
  <si>
    <t>ea</t>
    <phoneticPr fontId="3" type="noConversion"/>
  </si>
  <si>
    <t>Scenius</t>
  </si>
  <si>
    <t>JARAG</t>
  </si>
  <si>
    <t>MMX</t>
  </si>
  <si>
    <t>Sirius</t>
  </si>
  <si>
    <t>Aura 5w</t>
  </si>
  <si>
    <t>LED BAR</t>
  </si>
  <si>
    <t>LED Zoom Par</t>
  </si>
  <si>
    <t>LED Strobe / Atomic 3000</t>
  </si>
  <si>
    <t>4 Blinder 650*4</t>
  </si>
  <si>
    <t>1 Blinder 650</t>
  </si>
  <si>
    <t>Par 64</t>
  </si>
  <si>
    <t>Dimmer</t>
  </si>
  <si>
    <t>RD Box</t>
  </si>
  <si>
    <t>Console</t>
  </si>
  <si>
    <t>Fog</t>
  </si>
  <si>
    <t>식</t>
    <phoneticPr fontId="3" type="noConversion"/>
  </si>
  <si>
    <t>영상</t>
  </si>
  <si>
    <t>LED 4.85mm / 500 x 1000</t>
  </si>
  <si>
    <t xml:space="preserve">Barco Encore2 system </t>
  </si>
  <si>
    <t>LED Controller</t>
  </si>
  <si>
    <t>중계</t>
  </si>
  <si>
    <t>55배율 HD 카메라 [리허설포함 2일]</t>
    <phoneticPr fontId="3" type="noConversion"/>
  </si>
  <si>
    <t>12배율 HD 카메라 [리허설포함 2일]</t>
    <phoneticPr fontId="3" type="noConversion"/>
  </si>
  <si>
    <t>지미집 12배욜 HD 카메라 [리허설포함 2일]</t>
    <phoneticPr fontId="3" type="noConversion"/>
  </si>
  <si>
    <t>HD 리모트 카메라 [리허설포함 2일]</t>
    <phoneticPr fontId="3" type="noConversion"/>
  </si>
  <si>
    <t>특수효과</t>
  </si>
  <si>
    <t>LOW FIRE</t>
    <phoneticPr fontId="3" type="noConversion"/>
  </si>
  <si>
    <t>HIGH FIRE</t>
    <phoneticPr fontId="3" type="noConversion"/>
  </si>
  <si>
    <t>BIG FIRE</t>
    <phoneticPr fontId="3" type="noConversion"/>
  </si>
  <si>
    <t>CO2 JET</t>
    <phoneticPr fontId="3" type="noConversion"/>
  </si>
  <si>
    <t>BIG blaster</t>
    <phoneticPr fontId="3" type="noConversion"/>
  </si>
  <si>
    <t>AIR SHOT</t>
    <phoneticPr fontId="3" type="noConversion"/>
  </si>
  <si>
    <t>WATER CANNON 4inch</t>
    <phoneticPr fontId="3" type="noConversion"/>
  </si>
  <si>
    <t>water tank [drum]</t>
    <phoneticPr fontId="3" type="noConversion"/>
  </si>
  <si>
    <t>CONSOLE [TIGER TURCH]</t>
    <phoneticPr fontId="3" type="noConversion"/>
  </si>
  <si>
    <t>무대화약 20line[ 마인 분수 후레싱 코메트 외]</t>
    <phoneticPr fontId="3" type="noConversion"/>
  </si>
  <si>
    <t>식</t>
    <phoneticPr fontId="3" type="noConversion"/>
  </si>
  <si>
    <t>회약기사 선임 및  허가서류</t>
    <phoneticPr fontId="3" type="noConversion"/>
  </si>
  <si>
    <t>풀컬러 레이져 19w  - phaenon X PRO 11500외</t>
    <phoneticPr fontId="3" type="noConversion"/>
  </si>
  <si>
    <t>DJ 장비</t>
  </si>
  <si>
    <t>DJ장비</t>
  </si>
  <si>
    <t xml:space="preserve">발전차 </t>
  </si>
  <si>
    <t>셋팅 / 리허설 / 본공연 /  철수 / 유류비 포함  300kw</t>
    <phoneticPr fontId="3" type="noConversion"/>
  </si>
  <si>
    <t>소계</t>
    <phoneticPr fontId="44" type="noConversion"/>
  </si>
  <si>
    <t>서브 스테이지</t>
    <phoneticPr fontId="44" type="noConversion"/>
  </si>
  <si>
    <t>Digital Console</t>
  </si>
  <si>
    <t>Robin 600</t>
  </si>
  <si>
    <t>5.4m x 3.6m x 0.9m/파인텍스, DJ 테이블</t>
  </si>
  <si>
    <t>Analog Way Smart Edge</t>
  </si>
  <si>
    <t>CO2 JET</t>
    <phoneticPr fontId="3" type="noConversion"/>
  </si>
  <si>
    <t>AIR SHOT</t>
    <phoneticPr fontId="3" type="noConversion"/>
  </si>
  <si>
    <t>CONSOLE</t>
  </si>
  <si>
    <t>셋팅 / 리허설 / 본공연 /  철수 / 유류비 포함  200kw</t>
  </si>
  <si>
    <t>소계</t>
    <phoneticPr fontId="44" type="noConversion"/>
  </si>
  <si>
    <t>VIP 기본형</t>
    <phoneticPr fontId="44" type="noConversion"/>
  </si>
  <si>
    <t>트러스</t>
  </si>
  <si>
    <t>루프</t>
  </si>
  <si>
    <t>집기</t>
  </si>
  <si>
    <t>소파 및 테이블</t>
  </si>
  <si>
    <t>BAR</t>
  </si>
  <si>
    <t>목공 BAR</t>
  </si>
  <si>
    <t>소계</t>
    <phoneticPr fontId="44" type="noConversion"/>
  </si>
  <si>
    <t>FOH</t>
    <phoneticPr fontId="44" type="noConversion"/>
  </si>
  <si>
    <t>11.8m x 8.2m / 안전난간</t>
  </si>
  <si>
    <t>헤비트러스  12m x 9m</t>
  </si>
  <si>
    <t>트러스 구조물</t>
  </si>
  <si>
    <t>10m x 4m</t>
  </si>
  <si>
    <t>인포타워</t>
    <phoneticPr fontId="44" type="noConversion"/>
  </si>
  <si>
    <t>3m x 3m x 5m(내경기준) , 콘크리트 웨이트</t>
  </si>
  <si>
    <t>1.5Ton 트럭(왕복, 기사 포함)</t>
    <phoneticPr fontId="44" type="noConversion"/>
  </si>
  <si>
    <t>사전/현장 영상 제작비</t>
    <phoneticPr fontId="44" type="noConversion"/>
  </si>
  <si>
    <t>사전안내영상 제작비 / 영상 제작비 인트로영상 및 사전 관객 영상안내 제작물외</t>
    <phoneticPr fontId="3" type="noConversion"/>
  </si>
  <si>
    <t>5.컨텐츠 프로그램</t>
    <phoneticPr fontId="44" type="noConversion"/>
  </si>
  <si>
    <t>구조물 및 무대검토</t>
    <phoneticPr fontId="44" type="noConversion"/>
  </si>
  <si>
    <t>폐기물 처리비</t>
    <phoneticPr fontId="44" type="noConversion"/>
  </si>
  <si>
    <t>기타</t>
    <phoneticPr fontId="44" type="noConversion"/>
  </si>
  <si>
    <t>구조검토</t>
    <phoneticPr fontId="44" type="noConversion"/>
  </si>
  <si>
    <t>폐기물</t>
    <phoneticPr fontId="44" type="noConversion"/>
  </si>
  <si>
    <t>서류</t>
    <phoneticPr fontId="44" type="noConversion"/>
  </si>
  <si>
    <t>헤비트러스  44m  / 악세사리 트러스 230m /  
체인모터 8ea</t>
    <phoneticPr fontId="44" type="noConversion"/>
  </si>
  <si>
    <t>헤비트러스  9m x 21m</t>
    <phoneticPr fontId="44" type="noConversion"/>
  </si>
  <si>
    <t>9m x 21m x 1.8m / 계단, 안전난간, 파인텍스</t>
    <phoneticPr fontId="44" type="noConversion"/>
  </si>
  <si>
    <t>set</t>
    <phoneticPr fontId="44" type="noConversion"/>
  </si>
  <si>
    <t>식</t>
    <phoneticPr fontId="44" type="noConversion"/>
  </si>
  <si>
    <t>루프</t>
    <phoneticPr fontId="44" type="noConversion"/>
  </si>
  <si>
    <t>국내</t>
    <phoneticPr fontId="44" type="noConversion"/>
  </si>
  <si>
    <t>아티스트 하스피탈리티</t>
    <phoneticPr fontId="44" type="noConversion"/>
  </si>
  <si>
    <t>메가 게이트</t>
    <phoneticPr fontId="44" type="noConversion"/>
  </si>
  <si>
    <t>목구조 세트</t>
    <phoneticPr fontId="44" type="noConversion"/>
  </si>
  <si>
    <t>전년도 규모 기준</t>
    <phoneticPr fontId="44" type="noConversion"/>
  </si>
  <si>
    <t>추가 항목</t>
    <phoneticPr fontId="44" type="noConversion"/>
  </si>
  <si>
    <t>(옵션) 이모지 프레임 적용</t>
    <phoneticPr fontId="44" type="noConversion"/>
  </si>
  <si>
    <t>트러스 + 지지 구조물 추가</t>
    <phoneticPr fontId="44" type="noConversion"/>
  </si>
  <si>
    <t>추가 항목</t>
    <phoneticPr fontId="44" type="noConversion"/>
  </si>
  <si>
    <t>ID 게이트</t>
    <phoneticPr fontId="44" type="noConversion"/>
  </si>
  <si>
    <t>상세 제작 시안에 따라 변동이 있을 수 있음</t>
    <phoneticPr fontId="44" type="noConversion"/>
  </si>
  <si>
    <t>빔프로젝트 포토월</t>
    <phoneticPr fontId="44" type="noConversion"/>
  </si>
  <si>
    <t>빔프로젝트 + 백월</t>
    <phoneticPr fontId="44" type="noConversion"/>
  </si>
  <si>
    <t>VJ</t>
    <phoneticPr fontId="44" type="noConversion"/>
  </si>
  <si>
    <t>현장 영상 관리 VJ  / 사전 소스 제작</t>
    <phoneticPr fontId="44" type="noConversion"/>
  </si>
  <si>
    <t>빔프로젝트 포토월</t>
    <phoneticPr fontId="44" type="noConversion"/>
  </si>
  <si>
    <t>블루모지 마스크 
포토월</t>
    <phoneticPr fontId="44" type="noConversion"/>
  </si>
  <si>
    <t>포토월 구성</t>
    <phoneticPr fontId="44" type="noConversion"/>
  </si>
  <si>
    <t xml:space="preserve">백월 / 블루모지 8종 (2D) </t>
    <phoneticPr fontId="44" type="noConversion"/>
  </si>
  <si>
    <t>운영인력</t>
    <phoneticPr fontId="44" type="noConversion"/>
  </si>
  <si>
    <t>인스타월</t>
    <phoneticPr fontId="44" type="noConversion"/>
  </si>
  <si>
    <t>로고 스카시</t>
    <phoneticPr fontId="44" type="noConversion"/>
  </si>
  <si>
    <t>로고 스카시 / 단 포함</t>
    <phoneticPr fontId="44" type="noConversion"/>
  </si>
  <si>
    <t>중앙 LED</t>
    <phoneticPr fontId="44" type="noConversion"/>
  </si>
  <si>
    <t>6mm LED</t>
    <phoneticPr fontId="44" type="noConversion"/>
  </si>
  <si>
    <t>set</t>
    <phoneticPr fontId="44" type="noConversion"/>
  </si>
  <si>
    <t>사이드 LED</t>
    <phoneticPr fontId="44" type="noConversion"/>
  </si>
  <si>
    <t>구조물+트러스</t>
    <phoneticPr fontId="44" type="noConversion"/>
  </si>
  <si>
    <t>LED 거치용 트러스</t>
    <phoneticPr fontId="44" type="noConversion"/>
  </si>
  <si>
    <t>소프트웨어 개발</t>
    <phoneticPr fontId="44" type="noConversion"/>
  </si>
  <si>
    <t>프로그램 개발 및 현장 모니터링 운영인력</t>
    <phoneticPr fontId="44" type="noConversion"/>
  </si>
  <si>
    <t>스타일링 라운지</t>
    <phoneticPr fontId="44" type="noConversion"/>
  </si>
  <si>
    <t>백월 / 거울 화장대 포함 제작물 / 렌탈 포함</t>
    <phoneticPr fontId="44" type="noConversion"/>
  </si>
  <si>
    <t>공간 구현</t>
    <phoneticPr fontId="44" type="noConversion"/>
  </si>
  <si>
    <t>대규모 하우징 및 구조물</t>
    <phoneticPr fontId="44" type="noConversion"/>
  </si>
  <si>
    <t>하우징 및 야외 배치로 인한 구조물 추가</t>
    <phoneticPr fontId="44" type="noConversion"/>
  </si>
  <si>
    <t>워터림보</t>
    <phoneticPr fontId="44" type="noConversion"/>
  </si>
  <si>
    <t>공간구현</t>
    <phoneticPr fontId="44" type="noConversion"/>
  </si>
  <si>
    <t>풀장 제작 및 브랜딩</t>
    <phoneticPr fontId="44" type="noConversion"/>
  </si>
  <si>
    <t>현장 운영</t>
    <phoneticPr fontId="44" type="noConversion"/>
  </si>
  <si>
    <t>전문 인력</t>
    <phoneticPr fontId="44" type="noConversion"/>
  </si>
  <si>
    <t>행사 MC</t>
    <phoneticPr fontId="44" type="noConversion"/>
  </si>
  <si>
    <t>6*6 풀장 제작 및 브랜딩 /급수 포함</t>
    <phoneticPr fontId="44" type="noConversion"/>
  </si>
  <si>
    <t>프로모터</t>
    <phoneticPr fontId="44" type="noConversion"/>
  </si>
  <si>
    <t>프로그램 안내 및 참여 유도</t>
    <phoneticPr fontId="44" type="noConversion"/>
  </si>
  <si>
    <t>슬링샷</t>
    <phoneticPr fontId="44" type="noConversion"/>
  </si>
  <si>
    <t>공간구현</t>
    <phoneticPr fontId="44" type="noConversion"/>
  </si>
  <si>
    <t>브랜딩</t>
    <phoneticPr fontId="44" type="noConversion"/>
  </si>
  <si>
    <t>기존 제품 브랜딩</t>
    <phoneticPr fontId="44" type="noConversion"/>
  </si>
  <si>
    <t>set</t>
    <phoneticPr fontId="44" type="noConversion"/>
  </si>
  <si>
    <t>전문 인력</t>
    <phoneticPr fontId="44" type="noConversion"/>
  </si>
  <si>
    <t>인</t>
    <phoneticPr fontId="44" type="noConversion"/>
  </si>
  <si>
    <t>프로모터</t>
    <phoneticPr fontId="44" type="noConversion"/>
  </si>
  <si>
    <t>워터드롭 포토존</t>
    <phoneticPr fontId="44" type="noConversion"/>
  </si>
  <si>
    <t>공간 구현</t>
    <phoneticPr fontId="44" type="noConversion"/>
  </si>
  <si>
    <t>구조물 제작</t>
    <phoneticPr fontId="44" type="noConversion"/>
  </si>
  <si>
    <t>트러스 + 워터드롭 제작물 + 현수막 브랜딩</t>
    <phoneticPr fontId="44" type="noConversion"/>
  </si>
  <si>
    <t>현장 운영</t>
    <phoneticPr fontId="44" type="noConversion"/>
  </si>
  <si>
    <t>타임 슬라이스</t>
    <phoneticPr fontId="44" type="noConversion"/>
  </si>
  <si>
    <t>기기 렌탈 및 현장 운영 (120도 기준)</t>
    <phoneticPr fontId="44" type="noConversion"/>
  </si>
  <si>
    <t>프로그램 안내 및 참여 유도</t>
    <phoneticPr fontId="44" type="noConversion"/>
  </si>
  <si>
    <t>기념품</t>
    <phoneticPr fontId="44" type="noConversion"/>
  </si>
  <si>
    <t>컵 바닥면 스티커</t>
    <phoneticPr fontId="44" type="noConversion"/>
  </si>
  <si>
    <t>투명 데드롱 스티커</t>
    <phoneticPr fontId="44" type="noConversion"/>
  </si>
  <si>
    <t>MD 부스</t>
    <phoneticPr fontId="44" type="noConversion"/>
  </si>
  <si>
    <t>제작물 일제</t>
    <phoneticPr fontId="44" type="noConversion"/>
  </si>
  <si>
    <t>구조 / 브랜딩 / 디스플레이 소품 일체</t>
    <phoneticPr fontId="44" type="noConversion"/>
  </si>
  <si>
    <t>5*10기준</t>
    <phoneticPr fontId="44" type="noConversion"/>
  </si>
  <si>
    <t>현장 운영</t>
    <phoneticPr fontId="44" type="noConversion"/>
  </si>
  <si>
    <t>프로모터</t>
    <phoneticPr fontId="44" type="noConversion"/>
  </si>
  <si>
    <t>프로그램 안내 및 참여 유도</t>
    <phoneticPr fontId="44" type="noConversion"/>
  </si>
  <si>
    <t>기타</t>
    <phoneticPr fontId="44" type="noConversion"/>
  </si>
  <si>
    <t>기념품</t>
    <phoneticPr fontId="44" type="noConversion"/>
  </si>
  <si>
    <t>리워드 및 배포용 아이템</t>
    <phoneticPr fontId="44" type="noConversion"/>
  </si>
  <si>
    <t>블루모지 부채 및 문구 스티커</t>
    <phoneticPr fontId="44" type="noConversion"/>
  </si>
  <si>
    <t>입장팔찌 제작</t>
    <phoneticPr fontId="44" type="noConversion"/>
  </si>
  <si>
    <t>PVC 카드용 랜야드</t>
    <phoneticPr fontId="44" type="noConversion"/>
  </si>
  <si>
    <t>주차공간</t>
    <phoneticPr fontId="44" type="noConversion"/>
  </si>
  <si>
    <t>서문주차장</t>
    <phoneticPr fontId="44" type="noConversion"/>
  </si>
  <si>
    <t>서문주차장 주차공간 확보 및 안내 인력 운영</t>
    <phoneticPr fontId="44" type="noConversion"/>
  </si>
  <si>
    <t>포스 및 인터넷</t>
    <phoneticPr fontId="44" type="noConversion"/>
  </si>
  <si>
    <t>간선 추가</t>
    <phoneticPr fontId="44" type="noConversion"/>
  </si>
  <si>
    <t>컨텐츠 추가에 따른 추가 간선</t>
    <phoneticPr fontId="44" type="noConversion"/>
  </si>
  <si>
    <t>발전차 추가</t>
    <phoneticPr fontId="44" type="noConversion"/>
  </si>
  <si>
    <t>컨텐츠 추가에 따른 발전차 추가</t>
    <phoneticPr fontId="44" type="noConversion"/>
  </si>
  <si>
    <t>추가 브랜딩</t>
    <phoneticPr fontId="44" type="noConversion"/>
  </si>
  <si>
    <t>VIP 천장부 브랜딩 / 9m x 21m</t>
    <phoneticPr fontId="44" type="noConversion"/>
  </si>
  <si>
    <t>Vip 천장부 브랜딩 / 11m x 21m</t>
    <phoneticPr fontId="44" type="noConversion"/>
  </si>
  <si>
    <t>set</t>
    <phoneticPr fontId="44" type="noConversion"/>
  </si>
  <si>
    <t>비딩금액 
(원화)</t>
    <phoneticPr fontId="44" type="noConversion"/>
  </si>
  <si>
    <t>현재금액
(원화)</t>
    <phoneticPr fontId="44" type="noConversion"/>
  </si>
  <si>
    <t>변동금액
(현재금액-비딩금액)</t>
    <phoneticPr fontId="44" type="noConversion"/>
  </si>
  <si>
    <t>헤비트러스 11m x 21m / 규모확장에 대한 추가</t>
    <phoneticPr fontId="44" type="noConversion"/>
  </si>
  <si>
    <t>헤드라이너</t>
    <phoneticPr fontId="44" type="noConversion"/>
  </si>
  <si>
    <t>해외 및 국내 헤드라이너</t>
    <phoneticPr fontId="44" type="noConversion"/>
  </si>
  <si>
    <t>로컬 아티스트</t>
    <phoneticPr fontId="44" type="noConversion"/>
  </si>
  <si>
    <t>set</t>
    <phoneticPr fontId="44" type="noConversion"/>
  </si>
  <si>
    <t>변경 단가</t>
    <phoneticPr fontId="44" type="noConversion"/>
  </si>
  <si>
    <t>비딩견적</t>
    <phoneticPr fontId="44" type="noConversion"/>
  </si>
  <si>
    <t>수량</t>
    <phoneticPr fontId="44" type="noConversion"/>
  </si>
  <si>
    <t>단위</t>
    <phoneticPr fontId="44" type="noConversion"/>
  </si>
  <si>
    <t>11m x 21m x 2.1m / 단추가/ 규모확장</t>
    <phoneticPr fontId="44" type="noConversion"/>
  </si>
  <si>
    <t>규모변경</t>
    <phoneticPr fontId="44" type="noConversion"/>
  </si>
  <si>
    <t>추가항목</t>
    <phoneticPr fontId="44" type="noConversion"/>
  </si>
  <si>
    <t>추가항목</t>
    <phoneticPr fontId="44" type="noConversion"/>
  </si>
  <si>
    <t>set</t>
    <phoneticPr fontId="44" type="noConversion"/>
  </si>
  <si>
    <t>set</t>
    <phoneticPr fontId="44" type="noConversion"/>
  </si>
  <si>
    <t>해외 아티스트</t>
    <phoneticPr fontId="44" type="noConversion"/>
  </si>
  <si>
    <t>하스피탈리티</t>
    <phoneticPr fontId="44" type="noConversion"/>
  </si>
  <si>
    <t>아티스트 호텔</t>
    <phoneticPr fontId="44" type="noConversion"/>
  </si>
  <si>
    <t>set</t>
    <phoneticPr fontId="44" type="noConversion"/>
  </si>
  <si>
    <t>아티스트 의전 차량</t>
    <phoneticPr fontId="44" type="noConversion"/>
  </si>
  <si>
    <t>team</t>
    <phoneticPr fontId="44" type="noConversion"/>
  </si>
  <si>
    <t>아티스트 케어 인력</t>
    <phoneticPr fontId="44" type="noConversion"/>
  </si>
  <si>
    <t>해외 아티스트 미섭외로 생략</t>
    <phoneticPr fontId="44" type="noConversion"/>
  </si>
  <si>
    <t>메인바</t>
    <phoneticPr fontId="44" type="noConversion"/>
  </si>
  <si>
    <t>컨테이너바</t>
    <phoneticPr fontId="44" type="noConversion"/>
  </si>
  <si>
    <t>6m X 3m 컨테이너</t>
    <phoneticPr fontId="44" type="noConversion"/>
  </si>
  <si>
    <t>set</t>
    <phoneticPr fontId="44" type="noConversion"/>
  </si>
  <si>
    <t>상부 LED</t>
    <phoneticPr fontId="44" type="noConversion"/>
  </si>
  <si>
    <t>블루모지바(탭바)</t>
    <phoneticPr fontId="44" type="noConversion"/>
  </si>
  <si>
    <t>DKS 구조물</t>
    <phoneticPr fontId="44" type="noConversion"/>
  </si>
  <si>
    <t>트러스 (천장 포함)</t>
    <phoneticPr fontId="44" type="noConversion"/>
  </si>
  <si>
    <t>목공+ 시트</t>
    <phoneticPr fontId="44" type="noConversion"/>
  </si>
  <si>
    <t>스카시 로고</t>
    <phoneticPr fontId="44" type="noConversion"/>
  </si>
  <si>
    <t>상부 블루모지 (목공/시트/LED/구조보강)</t>
    <phoneticPr fontId="44" type="noConversion"/>
  </si>
  <si>
    <t>중앙통로바</t>
    <phoneticPr fontId="44" type="noConversion"/>
  </si>
  <si>
    <t>목구조세트</t>
    <phoneticPr fontId="44" type="noConversion"/>
  </si>
  <si>
    <t>바테이블 (15m 기준)</t>
    <phoneticPr fontId="44" type="noConversion"/>
  </si>
  <si>
    <t>백월 (구조물 + 조명 + 목공 + 현수막 브랜딩)</t>
    <phoneticPr fontId="44" type="noConversion"/>
  </si>
  <si>
    <t>MQ바</t>
    <phoneticPr fontId="44" type="noConversion"/>
  </si>
  <si>
    <t>목구조</t>
    <phoneticPr fontId="44" type="noConversion"/>
  </si>
  <si>
    <t>목공 + 현수막 브랜딩</t>
    <phoneticPr fontId="44" type="noConversion"/>
  </si>
  <si>
    <t>MQ텐트 렌탈 비용 별도 항복 (렌탈할목)</t>
    <phoneticPr fontId="44" type="noConversion"/>
  </si>
  <si>
    <t>set</t>
    <phoneticPr fontId="44" type="noConversion"/>
  </si>
  <si>
    <t>일반 티켓 제작_종이티켓</t>
    <phoneticPr fontId="44" type="noConversion"/>
  </si>
  <si>
    <t>일반 티켓 제작_카드티켓</t>
    <phoneticPr fontId="44" type="noConversion"/>
  </si>
  <si>
    <t>개</t>
    <phoneticPr fontId="44" type="noConversion"/>
  </si>
  <si>
    <t>개</t>
    <phoneticPr fontId="44" type="noConversion"/>
  </si>
  <si>
    <t>개</t>
    <phoneticPr fontId="44" type="noConversion"/>
  </si>
  <si>
    <t>제작수량 변경</t>
    <phoneticPr fontId="44" type="noConversion"/>
  </si>
  <si>
    <t>제작수량 변경
**카드티켓 제작 추가 → 종이티켓 제작 방식 변경을 통한 단가 조정으로 총 금액 맞춤</t>
    <phoneticPr fontId="44" type="noConversion"/>
  </si>
  <si>
    <t>제작물 추가 / 제작 수량 및 스펙 변경
**비딩 당시 미포함 항목 / 이후 18000개*800원 제안
**최종 발주 21000개*1150원 으로 확정</t>
    <phoneticPr fontId="44" type="noConversion"/>
  </si>
  <si>
    <t>수량 변경 (16000개→10000개)</t>
    <phoneticPr fontId="44" type="noConversion"/>
  </si>
  <si>
    <t>비딩견적</t>
    <phoneticPr fontId="44" type="noConversion"/>
  </si>
  <si>
    <t>(수정) 별도 제작 (트러스 + 바코드 인식 구조물)</t>
    <phoneticPr fontId="44" type="noConversion"/>
  </si>
  <si>
    <t>(비딩) 별도 제작 (트러스 + 바코드 인식 구조물)</t>
    <phoneticPr fontId="44" type="noConversion"/>
  </si>
  <si>
    <t>set</t>
    <phoneticPr fontId="44" type="noConversion"/>
  </si>
  <si>
    <t>인</t>
    <phoneticPr fontId="44" type="noConversion"/>
  </si>
  <si>
    <t>고보조명 포토월</t>
    <phoneticPr fontId="44" type="noConversion"/>
  </si>
  <si>
    <t>고보 조명 + 백월</t>
    <phoneticPr fontId="44" type="noConversion"/>
  </si>
  <si>
    <t>운영방식 변경</t>
    <phoneticPr fontId="44" type="noConversion"/>
  </si>
  <si>
    <t>운영 소품</t>
    <phoneticPr fontId="44" type="noConversion"/>
  </si>
  <si>
    <t>폴라로이드 촬영 제공</t>
    <phoneticPr fontId="44" type="noConversion"/>
  </si>
  <si>
    <t>폴라로이드 카메라 / 폴라로이드 필름(2000장기준)</t>
    <phoneticPr fontId="44" type="noConversion"/>
  </si>
  <si>
    <t>사전 운영</t>
    <phoneticPr fontId="44" type="noConversion"/>
  </si>
  <si>
    <t>프로그램 안내 및 참여 유도</t>
    <phoneticPr fontId="44" type="noConversion"/>
  </si>
  <si>
    <t>프로모터</t>
    <phoneticPr fontId="44" type="noConversion"/>
  </si>
  <si>
    <t>인</t>
    <phoneticPr fontId="44" type="noConversion"/>
  </si>
  <si>
    <t>라벨지 사전제작 비용 포함</t>
    <phoneticPr fontId="44" type="noConversion"/>
  </si>
  <si>
    <t>스타일링 아이템</t>
    <phoneticPr fontId="44" type="noConversion"/>
  </si>
  <si>
    <t>관객 제공용 아이템</t>
    <phoneticPr fontId="44" type="noConversion"/>
  </si>
  <si>
    <t>무상 제공용 아이템</t>
    <phoneticPr fontId="44" type="noConversion"/>
  </si>
  <si>
    <t>판매용 아이텐</t>
    <phoneticPr fontId="44" type="noConversion"/>
  </si>
  <si>
    <t>set</t>
    <phoneticPr fontId="44" type="noConversion"/>
  </si>
  <si>
    <t>공간 구성 변경에 따른 비용 변동</t>
    <phoneticPr fontId="44" type="noConversion"/>
  </si>
  <si>
    <t>운영방식 변동으로 생략</t>
    <phoneticPr fontId="44" type="noConversion"/>
  </si>
  <si>
    <t>준프로 아티스트로 변경및 일괄섭외를 통한 
단가조정 (SBS 뷰티 아카데미)</t>
    <phoneticPr fontId="44" type="noConversion"/>
  </si>
  <si>
    <t>오피셜 마켓</t>
    <phoneticPr fontId="44" type="noConversion"/>
  </si>
  <si>
    <t>블루에너지
보틀</t>
    <phoneticPr fontId="44" type="noConversion"/>
  </si>
  <si>
    <t>샐러드 인 보틀</t>
    <phoneticPr fontId="44" type="noConversion"/>
  </si>
  <si>
    <t>샐러드 및 포장용기 포함</t>
    <phoneticPr fontId="44" type="noConversion"/>
  </si>
  <si>
    <t>EA</t>
    <phoneticPr fontId="44" type="noConversion"/>
  </si>
  <si>
    <t>브랜딩 스티커 제작</t>
    <phoneticPr fontId="44" type="noConversion"/>
  </si>
  <si>
    <t>운영집기</t>
    <phoneticPr fontId="44" type="noConversion"/>
  </si>
  <si>
    <t>쇼케이스 냉장고 포함</t>
    <phoneticPr fontId="44" type="noConversion"/>
  </si>
  <si>
    <t>set</t>
    <phoneticPr fontId="44" type="noConversion"/>
  </si>
  <si>
    <t>블루에너지 캔디</t>
    <phoneticPr fontId="44" type="noConversion"/>
  </si>
  <si>
    <t>브랜딩 캔디 제작</t>
    <phoneticPr fontId="44" type="noConversion"/>
  </si>
  <si>
    <t>브랜딩 포장재 포함 (1PACK당 20g)</t>
    <phoneticPr fontId="44" type="noConversion"/>
  </si>
  <si>
    <t>set</t>
    <phoneticPr fontId="44" type="noConversion"/>
  </si>
  <si>
    <t>공간구현 제작물</t>
    <phoneticPr fontId="44" type="noConversion"/>
  </si>
  <si>
    <t>판매대 및 디스플레이 제작물</t>
    <phoneticPr fontId="44" type="noConversion"/>
  </si>
  <si>
    <t>운영인력</t>
    <phoneticPr fontId="44" type="noConversion"/>
  </si>
  <si>
    <t>메뉴 판매 및 메뉴 안내 프로모터</t>
    <phoneticPr fontId="44" type="noConversion"/>
  </si>
  <si>
    <t>인</t>
    <phoneticPr fontId="44" type="noConversion"/>
  </si>
  <si>
    <t>소계</t>
    <phoneticPr fontId="44" type="noConversion"/>
  </si>
  <si>
    <t>삭제 항목</t>
    <phoneticPr fontId="44" type="noConversion"/>
  </si>
  <si>
    <t>LIGHTING POOL</t>
    <phoneticPr fontId="44" type="noConversion"/>
  </si>
  <si>
    <t>렌탈</t>
    <phoneticPr fontId="44" type="noConversion"/>
  </si>
  <si>
    <t>모바일 수영장 렌탈</t>
    <phoneticPr fontId="44" type="noConversion"/>
  </si>
  <si>
    <t>20m*10m / 프레임풀장</t>
    <phoneticPr fontId="44" type="noConversion"/>
  </si>
  <si>
    <t>탁구공 맵핑</t>
    <phoneticPr fontId="44" type="noConversion"/>
  </si>
  <si>
    <t>탁구공 + 조명</t>
    <phoneticPr fontId="44" type="noConversion"/>
  </si>
  <si>
    <t>급수</t>
    <phoneticPr fontId="44" type="noConversion"/>
  </si>
  <si>
    <t>수영장 급수</t>
    <phoneticPr fontId="44" type="noConversion"/>
  </si>
  <si>
    <t>set</t>
    <phoneticPr fontId="44" type="noConversion"/>
  </si>
  <si>
    <t>운영인력</t>
    <phoneticPr fontId="44" type="noConversion"/>
  </si>
  <si>
    <t>프로모터</t>
    <phoneticPr fontId="44" type="noConversion"/>
  </si>
  <si>
    <t>스팟당 4인 운영 * 총 2개스팟</t>
    <phoneticPr fontId="44" type="noConversion"/>
  </si>
  <si>
    <t>인</t>
    <phoneticPr fontId="44" type="noConversion"/>
  </si>
  <si>
    <t>안전요원</t>
    <phoneticPr fontId="44" type="noConversion"/>
  </si>
  <si>
    <t>수상 전문 안전요원(스팟당 2인 운영*총 2개스팟)</t>
    <phoneticPr fontId="44" type="noConversion"/>
  </si>
  <si>
    <t>소계</t>
    <phoneticPr fontId="44" type="noConversion"/>
  </si>
  <si>
    <t>삭제 항목</t>
    <phoneticPr fontId="44" type="noConversion"/>
  </si>
  <si>
    <t>추가항목</t>
    <phoneticPr fontId="44" type="noConversion"/>
  </si>
  <si>
    <t>바
**바텐더 미포함</t>
    <phoneticPr fontId="44" type="noConversion"/>
  </si>
  <si>
    <t>추가항목
전년도 규모와 동일 / 블루모지 적용</t>
    <phoneticPr fontId="44" type="noConversion"/>
  </si>
  <si>
    <t>수정사항 적용 (포인트 라이팅/배경 등)</t>
    <phoneticPr fontId="44" type="noConversion"/>
  </si>
  <si>
    <t>set</t>
    <phoneticPr fontId="44" type="noConversion"/>
  </si>
  <si>
    <t>정면 상부 간판 추가 (스카시)</t>
    <phoneticPr fontId="44" type="noConversion"/>
  </si>
  <si>
    <t>정면 측면부 MD B 브랜딩 추가 (스카시)</t>
    <phoneticPr fontId="44" type="noConversion"/>
  </si>
  <si>
    <t>MD B 브랜딩 추가 (스카시)</t>
    <phoneticPr fontId="44" type="noConversion"/>
  </si>
  <si>
    <t>set</t>
    <phoneticPr fontId="44" type="noConversion"/>
  </si>
  <si>
    <t>상부 이모지 확대에 따른 추가비용 (구조보강 포함)</t>
    <phoneticPr fontId="44" type="noConversion"/>
  </si>
  <si>
    <t>㈜ 제일기획</t>
    <phoneticPr fontId="44" type="noConversion"/>
  </si>
  <si>
    <t>유정근</t>
    <phoneticPr fontId="44" type="noConversion"/>
  </si>
  <si>
    <t>202-81-45960</t>
    <phoneticPr fontId="44" type="noConversion"/>
  </si>
  <si>
    <t>서울시 용산구 이태원로 222</t>
    <phoneticPr fontId="44" type="noConversion"/>
  </si>
  <si>
    <t>set</t>
    <phoneticPr fontId="44" type="noConversion"/>
  </si>
  <si>
    <t>8. MD</t>
    <phoneticPr fontId="44" type="noConversion"/>
  </si>
  <si>
    <t>디자인 개발</t>
    <phoneticPr fontId="44" type="noConversion"/>
  </si>
  <si>
    <t>일러스트 3종 개발</t>
    <phoneticPr fontId="44" type="noConversion"/>
  </si>
  <si>
    <t>블루모지 일러스트안 3종 개발</t>
    <phoneticPr fontId="44" type="noConversion"/>
  </si>
  <si>
    <t>각 시안당 어플리케이션 5종 개발</t>
    <phoneticPr fontId="44" type="noConversion"/>
  </si>
  <si>
    <t>캐릭터 개발</t>
    <phoneticPr fontId="44" type="noConversion"/>
  </si>
  <si>
    <t>추가 디벨롭</t>
    <phoneticPr fontId="44" type="noConversion"/>
  </si>
  <si>
    <t>티셔츠 에코백 맥주컵 스케이트보드 등 총 10종 어플리케이션</t>
    <phoneticPr fontId="44" type="noConversion"/>
  </si>
  <si>
    <t>추가 표정 패턴 및 로고와의 락업, 빼꼼 동작 1종 개발</t>
    <phoneticPr fontId="44" type="noConversion"/>
  </si>
  <si>
    <t xml:space="preserve">블루이모지 캐릭터 개발 (몸통 및 동작 개발 포함) </t>
    <phoneticPr fontId="44" type="noConversion"/>
  </si>
  <si>
    <t>건</t>
    <phoneticPr fontId="44" type="noConversion"/>
  </si>
  <si>
    <t>건</t>
    <phoneticPr fontId="44" type="noConversion"/>
  </si>
  <si>
    <t>건</t>
    <phoneticPr fontId="44" type="noConversion"/>
  </si>
  <si>
    <t>MD 제작</t>
    <phoneticPr fontId="44" type="noConversion"/>
  </si>
  <si>
    <t>티셔츠</t>
    <phoneticPr fontId="44" type="noConversion"/>
  </si>
  <si>
    <t>에코백</t>
    <phoneticPr fontId="44" type="noConversion"/>
  </si>
  <si>
    <t>에코백</t>
    <phoneticPr fontId="44" type="noConversion"/>
  </si>
  <si>
    <t>스케이트 보드</t>
    <phoneticPr fontId="44" type="noConversion"/>
  </si>
  <si>
    <t>맥주컵</t>
    <phoneticPr fontId="44" type="noConversion"/>
  </si>
  <si>
    <t>코스터</t>
    <phoneticPr fontId="44" type="noConversion"/>
  </si>
  <si>
    <t>포토프레임</t>
    <phoneticPr fontId="44" type="noConversion"/>
  </si>
  <si>
    <t>보조배터리</t>
    <phoneticPr fontId="44" type="noConversion"/>
  </si>
  <si>
    <t>종이백</t>
    <phoneticPr fontId="44" type="noConversion"/>
  </si>
  <si>
    <t>에코백 제작 디자인 A</t>
    <phoneticPr fontId="44" type="noConversion"/>
  </si>
  <si>
    <t>에코백 제작 디자인 B</t>
    <phoneticPr fontId="44" type="noConversion"/>
  </si>
  <si>
    <t>티셔츠 제작 디자인 A</t>
    <phoneticPr fontId="44" type="noConversion"/>
  </si>
  <si>
    <t>티셔츠 제작 디자인 B</t>
    <phoneticPr fontId="44" type="noConversion"/>
  </si>
  <si>
    <t>디자인 4종</t>
    <phoneticPr fontId="44" type="noConversion"/>
  </si>
  <si>
    <t>맥주컵 디자인 A&amp;B</t>
    <phoneticPr fontId="44" type="noConversion"/>
  </si>
  <si>
    <t>버튼뱃지 디자인 8종</t>
    <phoneticPr fontId="44" type="noConversion"/>
  </si>
  <si>
    <t>디자인 2종</t>
    <phoneticPr fontId="44" type="noConversion"/>
  </si>
  <si>
    <t>디자인 3종</t>
    <phoneticPr fontId="44" type="noConversion"/>
  </si>
  <si>
    <t>디자인 3종</t>
    <phoneticPr fontId="44" type="noConversion"/>
  </si>
  <si>
    <t>진행</t>
    <phoneticPr fontId="44" type="noConversion"/>
  </si>
  <si>
    <t>운송비</t>
    <phoneticPr fontId="44" type="noConversion"/>
  </si>
  <si>
    <t xml:space="preserve">제작 물품 운송비 </t>
    <phoneticPr fontId="44" type="noConversion"/>
  </si>
  <si>
    <t>개</t>
    <phoneticPr fontId="44" type="noConversion"/>
  </si>
  <si>
    <t>회</t>
    <phoneticPr fontId="44" type="noConversion"/>
  </si>
  <si>
    <t>유니섹스 사이즈 5종 기준, 양면 그래픽 인쇄, 직조 라벨</t>
    <phoneticPr fontId="44" type="noConversion"/>
  </si>
  <si>
    <t>오프화이트 컬러 캔버스 재질, 양면 그래픽 인쇄, 태그 라벨</t>
    <phoneticPr fontId="44" type="noConversion"/>
  </si>
  <si>
    <t>그레이 컬러 캔버스 재질, 양면 그래픽 인쇄, 태그 라벨</t>
    <phoneticPr fontId="44" type="noConversion"/>
  </si>
  <si>
    <t>폭 8.25인치, 길이 32인치, 그래픽 래핑</t>
    <phoneticPr fontId="44" type="noConversion"/>
  </si>
  <si>
    <t>손잡이형 컵, 높이 141mm, 윗지름 72mm, 용량 355ml, 
디자인 2종, 3~4도 그래픽 인쇄</t>
    <phoneticPr fontId="44" type="noConversion"/>
  </si>
  <si>
    <t>지름 55mm, 기본형 핀 마감, 개별 OPP 
디자인 8종, 풀컬러 그래픽 인쇄</t>
    <phoneticPr fontId="44" type="noConversion"/>
  </si>
  <si>
    <t>디자인 2종, 펄프 원단, 3~4도 그래픽 인쇄, 개별 포장 불가</t>
    <phoneticPr fontId="44" type="noConversion"/>
  </si>
  <si>
    <t>디자인 2종, 로얄 아이보리지, 폴라로이드 프레임 사이즈 기준</t>
    <phoneticPr fontId="44" type="noConversion"/>
  </si>
  <si>
    <t>그래픽 양면 인쇄, 개별 제품 박스 포장</t>
    <phoneticPr fontId="44" type="noConversion"/>
  </si>
  <si>
    <t>디자인 3종, 블랙 공단 2cm 끈, 아트지 180g, 대중소 3개 사이즈</t>
    <phoneticPr fontId="44" type="noConversion"/>
  </si>
  <si>
    <t>1톤 탑차 서울 배송</t>
    <phoneticPr fontId="44" type="noConversion"/>
  </si>
  <si>
    <t>FIREWORK 3min</t>
    <phoneticPr fontId="3" type="noConversion"/>
  </si>
  <si>
    <t>블루 모지 디제이 타임 중반부 및 엔딩. 9시 30분 이전 진행</t>
    <phoneticPr fontId="44" type="noConversion"/>
  </si>
  <si>
    <t>포장비</t>
    <phoneticPr fontId="44" type="noConversion"/>
  </si>
  <si>
    <t>맥주컵, 배터리 무지포장 및 스티커 부작</t>
    <phoneticPr fontId="44" type="noConversion"/>
  </si>
  <si>
    <t>산재고용보험료</t>
    <phoneticPr fontId="44" type="noConversion"/>
  </si>
  <si>
    <t>산재고용보험료</t>
    <phoneticPr fontId="44" type="noConversion"/>
  </si>
  <si>
    <t>포장비 추가</t>
    <phoneticPr fontId="44" type="noConversion"/>
  </si>
  <si>
    <t>게이트</t>
    <phoneticPr fontId="44" type="noConversion"/>
  </si>
  <si>
    <t>(수정) 위치변경에 따른 규모 확장/구조변경 상승비용</t>
    <phoneticPr fontId="44" type="noConversion"/>
  </si>
  <si>
    <t>set</t>
    <phoneticPr fontId="44" type="noConversion"/>
  </si>
  <si>
    <t>근접프로그램과 균형을 위해 구조 시스템 변경
빔프로젝터 거치용 구조물 제작</t>
    <phoneticPr fontId="44" type="noConversion"/>
  </si>
  <si>
    <t>안전이슈로 소재변경(포맥스→EVA)/ 옆면 월 추가</t>
    <phoneticPr fontId="44" type="noConversion"/>
  </si>
  <si>
    <t>폭염대비 그늘 운영공간 조성(카메라 컨트롱 등)</t>
    <phoneticPr fontId="44" type="noConversion"/>
  </si>
  <si>
    <t>폭염대비</t>
    <phoneticPr fontId="44" type="noConversion"/>
  </si>
  <si>
    <t>미스트쿨러</t>
    <phoneticPr fontId="44" type="noConversion"/>
  </si>
  <si>
    <t>미스트 에어쿨러 렌탈 (보조경기장 입구 / VIP라운지)</t>
    <phoneticPr fontId="44" type="noConversion"/>
  </si>
  <si>
    <t>EA</t>
    <phoneticPr fontId="44" type="noConversion"/>
  </si>
  <si>
    <t>추가제안</t>
    <phoneticPr fontId="44" type="noConversion"/>
  </si>
  <si>
    <t>총합계1 =용역서비스비+제작비+기업이윤</t>
    <phoneticPr fontId="44" type="noConversion"/>
  </si>
  <si>
    <t>9m x 21m x 1.8m → 11m x 21m x 2.1m (2SET)</t>
    <phoneticPr fontId="44" type="noConversion"/>
  </si>
  <si>
    <t>9m x 21m x 1.8m → 11m x 21m x 2.1m (2SET)</t>
    <phoneticPr fontId="44" type="noConversion"/>
  </si>
  <si>
    <t>VIP 천장부 브랜딩 규모 확장에 따른 추가 비용</t>
    <phoneticPr fontId="44" type="noConversion"/>
  </si>
  <si>
    <t>9m x 21m x 1.8m → 11m x 21m x 2.1m</t>
    <phoneticPr fontId="44" type="noConversion"/>
  </si>
  <si>
    <t>set</t>
    <phoneticPr fontId="44" type="noConversion"/>
  </si>
  <si>
    <t>소방출동 공간 확보를 위한 규모 확장 및 구조보강</t>
    <phoneticPr fontId="44" type="noConversion"/>
  </si>
  <si>
    <t>고급인력 (6인/5일)</t>
    <phoneticPr fontId="44" type="noConversion"/>
  </si>
  <si>
    <t>목공</t>
    <phoneticPr fontId="44" type="noConversion"/>
  </si>
  <si>
    <t>보조인력 (15인/5일)</t>
    <phoneticPr fontId="44" type="noConversion"/>
  </si>
  <si>
    <t>인/일</t>
    <phoneticPr fontId="44" type="noConversion"/>
  </si>
  <si>
    <t>3.5톤 크레인</t>
    <phoneticPr fontId="44" type="noConversion"/>
  </si>
  <si>
    <t>운송비</t>
    <phoneticPr fontId="44" type="noConversion"/>
  </si>
  <si>
    <t>2.5Ton 트럭(왕복, 기사 포함)</t>
    <phoneticPr fontId="44" type="noConversion"/>
  </si>
  <si>
    <t>폐기물처리비용</t>
    <phoneticPr fontId="44" type="noConversion"/>
  </si>
  <si>
    <t>전체 제작물 증가에 따른 추가</t>
    <phoneticPr fontId="44" type="noConversion"/>
  </si>
  <si>
    <t>바코드 스캐너 추가 (바코드 스캐너 + 목구조 + 브랜딩)</t>
    <phoneticPr fontId="44" type="noConversion"/>
  </si>
  <si>
    <t>set</t>
    <phoneticPr fontId="44" type="noConversion"/>
  </si>
  <si>
    <t>BGM (블루모지송) 사전 믹싱</t>
    <phoneticPr fontId="44" type="noConversion"/>
  </si>
  <si>
    <t>프로모터</t>
    <phoneticPr fontId="44" type="noConversion"/>
  </si>
  <si>
    <t>인</t>
    <phoneticPr fontId="44" type="noConversion"/>
  </si>
  <si>
    <t>운영방식 변경에 따라 프로모터 재운영/인원수 조정</t>
    <phoneticPr fontId="44" type="noConversion"/>
  </si>
  <si>
    <t>블루모지 마스크 제작</t>
    <phoneticPr fontId="44" type="noConversion"/>
  </si>
  <si>
    <t>블루모지 마스크 제작</t>
    <phoneticPr fontId="44" type="noConversion"/>
  </si>
  <si>
    <t>블루모지 마네킹 구매 및 착석용 단상 제작 
(마네킹 도색포함)</t>
    <phoneticPr fontId="44" type="noConversion"/>
  </si>
  <si>
    <t>프로그램 안내 및 참여 유도</t>
    <phoneticPr fontId="44" type="noConversion"/>
  </si>
  <si>
    <t>인</t>
    <phoneticPr fontId="44" type="noConversion"/>
  </si>
  <si>
    <t>프로모터 인원 변경</t>
    <phoneticPr fontId="44" type="noConversion"/>
  </si>
  <si>
    <t>재료비</t>
    <phoneticPr fontId="44" type="noConversion"/>
  </si>
  <si>
    <t>스타일링 재료비 (파츠/글리터/헤어피스/타투스티커 등)</t>
    <phoneticPr fontId="44" type="noConversion"/>
  </si>
  <si>
    <t>VIP 라운지 운영</t>
    <phoneticPr fontId="44" type="noConversion"/>
  </si>
  <si>
    <t>추가항목</t>
    <phoneticPr fontId="44" type="noConversion"/>
  </si>
  <si>
    <t>케이터링</t>
    <phoneticPr fontId="44" type="noConversion"/>
  </si>
  <si>
    <t>핫도그 추가</t>
    <phoneticPr fontId="44" type="noConversion"/>
  </si>
  <si>
    <t>200개 기준</t>
    <phoneticPr fontId="44" type="noConversion"/>
  </si>
  <si>
    <t>소품 추가</t>
    <phoneticPr fontId="44" type="noConversion"/>
  </si>
  <si>
    <t>휴대용 선풍기(테이블 부착용)</t>
    <phoneticPr fontId="44" type="noConversion"/>
  </si>
  <si>
    <t>판매용 테이블 25개기준 (테이블당 3개)</t>
    <phoneticPr fontId="44" type="noConversion"/>
  </si>
  <si>
    <t>소품제작</t>
    <phoneticPr fontId="44" type="noConversion"/>
  </si>
  <si>
    <t>블루모지 마스크 제작</t>
    <phoneticPr fontId="44" type="noConversion"/>
  </si>
  <si>
    <t>게릴라 이벤트(프로모터 착용용) 제작</t>
    <phoneticPr fontId="44" type="noConversion"/>
  </si>
  <si>
    <t>컨텐츠 추가에 따른 렌탈물품 추가</t>
    <phoneticPr fontId="44" type="noConversion"/>
  </si>
  <si>
    <t>set</t>
    <phoneticPr fontId="44" type="noConversion"/>
  </si>
  <si>
    <t>급행비용</t>
    <phoneticPr fontId="44" type="noConversion"/>
  </si>
  <si>
    <t>디자인시안 급행</t>
    <phoneticPr fontId="44" type="noConversion"/>
  </si>
  <si>
    <t>2D/3D 디자인 시안 급행비</t>
    <phoneticPr fontId="44" type="noConversion"/>
  </si>
  <si>
    <t>8/3 누락항목 (메뉴 개발에 따른 재료비 *메뉴 확정에 따라 변동이 있을 수 있음)</t>
    <phoneticPr fontId="44" type="noConversion"/>
  </si>
  <si>
    <t>8/3 견적내 누락항목 / 전체 제작물 증가 및 사전제작기간 감소에 따른 추가 인건비(5인*5일→6인*5일)</t>
    <phoneticPr fontId="44" type="noConversion"/>
  </si>
  <si>
    <t>8/3 견적내 누락항목 / 전체 제작물 증가 및 사전제작기간 감소에 따른 추가 인건비(10인*4일→15인*5일)</t>
    <phoneticPr fontId="44" type="noConversion"/>
  </si>
  <si>
    <t>8/3 견적내 누락항목 / 전체 제작물 증가에 따른 추가 (2대→3대)</t>
    <phoneticPr fontId="44" type="noConversion"/>
  </si>
  <si>
    <t>8/3 견적내 누락항목 / 전체 브랜딩 물량 증가및 제작 기간 감소에 따른 인력 증가 (12인/일→30인/일)</t>
    <phoneticPr fontId="44" type="noConversion"/>
  </si>
  <si>
    <t>8/3 견적내 누락항목  / 전체 제작물 증가에 따른 추가 (2대→4대)</t>
    <phoneticPr fontId="44" type="noConversion"/>
  </si>
  <si>
    <t>전사출력으로 변경/ 인쇄 범위 확대 /운영인력 증가에 따른 수량 변동</t>
    <phoneticPr fontId="44" type="noConversion"/>
  </si>
  <si>
    <t>규모변경</t>
    <phoneticPr fontId="44" type="noConversion"/>
  </si>
  <si>
    <t>케그적재 창고 2SET 추가 (목공 + 현수막 브랜딩)</t>
    <phoneticPr fontId="44" type="noConversion"/>
  </si>
  <si>
    <t>set</t>
    <phoneticPr fontId="44" type="noConversion"/>
  </si>
  <si>
    <t xml:space="preserve">8/3 견적 내 누락항목 반영 / 컨텐츠 증가에 따라 운영공간 구축 규모 증가 </t>
    <phoneticPr fontId="44" type="noConversion"/>
  </si>
  <si>
    <t>총합계 2 =종합계 1+ 제일기획 대행료 10%</t>
    <phoneticPr fontId="44" type="noConversion"/>
  </si>
  <si>
    <t>소계</t>
    <phoneticPr fontId="44" type="noConversion"/>
  </si>
  <si>
    <t>포토월  안내 및 폴라로이드 촬영</t>
    <phoneticPr fontId="44" type="noConversion"/>
  </si>
  <si>
    <t>계약금</t>
    <phoneticPr fontId="44" type="noConversion"/>
  </si>
  <si>
    <t xml:space="preserve">대체 게임기 </t>
    <phoneticPr fontId="44" type="noConversion"/>
  </si>
  <si>
    <t>내일발주</t>
    <phoneticPr fontId="44" type="noConversion"/>
  </si>
  <si>
    <t>트러스, 게임기 렌탈, 래핑 비용 8000000  인건비 60만원</t>
    <phoneticPr fontId="44" type="noConversion"/>
  </si>
  <si>
    <t>주류원가</t>
    <phoneticPr fontId="44" type="noConversion"/>
  </si>
  <si>
    <t>변동금액
(8/9-8/6)</t>
    <phoneticPr fontId="44" type="noConversion"/>
  </si>
  <si>
    <t>시스템</t>
    <phoneticPr fontId="44" type="noConversion"/>
  </si>
  <si>
    <t>상단 LED  3면</t>
    <phoneticPr fontId="44" type="noConversion"/>
  </si>
  <si>
    <t>상단 LED  1면</t>
    <phoneticPr fontId="44" type="noConversion"/>
  </si>
  <si>
    <t xml:space="preserve">해머 이벤트 3대 </t>
    <phoneticPr fontId="44" type="noConversion"/>
  </si>
  <si>
    <t xml:space="preserve">바코드 스캐너구입에 따른 비용 발생 </t>
    <phoneticPr fontId="44" type="noConversion"/>
  </si>
  <si>
    <t>폴라로이드 인원 포함 프로모터 인원수 변경</t>
    <phoneticPr fontId="44" type="noConversion"/>
  </si>
  <si>
    <t>현재금액
(원화)</t>
    <phoneticPr fontId="44" type="noConversion"/>
  </si>
  <si>
    <t>변동금액
(8/9-8/9)</t>
    <phoneticPr fontId="44" type="noConversion"/>
  </si>
  <si>
    <t>테이블 추가로 인한 vip 세일즈 주류, 음료,  안주 사입원가 증가 / 대행료 제외</t>
    <phoneticPr fontId="44" type="noConversion"/>
  </si>
  <si>
    <t>주류사입금액</t>
    <phoneticPr fontId="44" type="noConversion"/>
  </si>
  <si>
    <t xml:space="preserve">VIP 라운지 주류, 안주 </t>
    <phoneticPr fontId="44" type="noConversion"/>
  </si>
  <si>
    <t>변동금액
(8/15-8/9)</t>
    <phoneticPr fontId="44" type="noConversion"/>
  </si>
  <si>
    <t>변동금액
(8/24-8/15)</t>
    <phoneticPr fontId="44" type="noConversion"/>
  </si>
  <si>
    <t xml:space="preserve">더위로 인해 보관중 래핑이 녹아 추가제작   </t>
    <phoneticPr fontId="44" type="noConversion"/>
  </si>
  <si>
    <t>에비비</t>
    <phoneticPr fontId="44" type="noConversion"/>
  </si>
  <si>
    <t>예비비사용내역(1천만원)</t>
    <phoneticPr fontId="44" type="noConversion"/>
  </si>
  <si>
    <t>주경기장측 청소</t>
    <phoneticPr fontId="44" type="noConversion"/>
  </si>
  <si>
    <t>주경기장측 사후 청소 비용</t>
    <phoneticPr fontId="44" type="noConversion"/>
  </si>
  <si>
    <t>주경기장측 사전/당일/사후 청소 비용</t>
    <phoneticPr fontId="44" type="noConversion"/>
  </si>
  <si>
    <t>추가 항목</t>
    <phoneticPr fontId="44" type="noConversion"/>
  </si>
  <si>
    <t>추가 항목</t>
    <phoneticPr fontId="44" type="noConversion"/>
  </si>
  <si>
    <t>트랙보호재</t>
    <phoneticPr fontId="44" type="noConversion"/>
  </si>
  <si>
    <t>set</t>
    <phoneticPr fontId="44" type="noConversion"/>
  </si>
  <si>
    <t>set</t>
    <phoneticPr fontId="44" type="noConversion"/>
  </si>
  <si>
    <t>set</t>
    <phoneticPr fontId="44" type="noConversion"/>
  </si>
  <si>
    <t>- (상세) 교통비 : 주차비/택시비/주유비/퀵비 등</t>
    <phoneticPr fontId="44" type="noConversion"/>
  </si>
  <si>
    <t>- (상세) 블루아이디 사인업 운영인력</t>
    <phoneticPr fontId="44" type="noConversion"/>
  </si>
  <si>
    <t>인</t>
    <phoneticPr fontId="44" type="noConversion"/>
  </si>
  <si>
    <t>- (상세) 카스 인증샷(뒤집어버려 CD증정) 운영인력</t>
    <phoneticPr fontId="44" type="noConversion"/>
  </si>
  <si>
    <t>- (상세) 중앙통로 음향 시스템 추가 (급행 운송비 포함)</t>
    <phoneticPr fontId="44" type="noConversion"/>
  </si>
  <si>
    <t>- (상세) 중앙통로 기둥 브랜딩 (1220*3660*4)</t>
    <phoneticPr fontId="44" type="noConversion"/>
  </si>
  <si>
    <t>개</t>
    <phoneticPr fontId="44" type="noConversion"/>
  </si>
  <si>
    <t>개</t>
    <phoneticPr fontId="44" type="noConversion"/>
  </si>
  <si>
    <t>- (상세) 중앙통로 기둥 브랜딩 (2000*3660*2, 1220*3660*2)</t>
    <phoneticPr fontId="44" type="noConversion"/>
  </si>
  <si>
    <t>- (상세) 경량펜스 브랜딩 추가항목 1500*1500</t>
    <phoneticPr fontId="44" type="noConversion"/>
  </si>
  <si>
    <t>- 경호 및 안전요원 / 응급 부스 추가 금액</t>
    <phoneticPr fontId="44" type="noConversion"/>
  </si>
  <si>
    <t>set</t>
    <phoneticPr fontId="44" type="noConversion"/>
  </si>
  <si>
    <t xml:space="preserve">- (상세) 스케이트보드 8개 추가 구매 및 래핑 비용 </t>
    <phoneticPr fontId="44" type="noConversion"/>
  </si>
  <si>
    <t>추가항목</t>
    <phoneticPr fontId="44" type="noConversion"/>
  </si>
  <si>
    <t>set</t>
    <phoneticPr fontId="44" type="noConversion"/>
  </si>
  <si>
    <t>- (상세) 현장 소모품 구매 : 테이프/쓰레기봉투/청소도구/필기구/수납함 등</t>
    <phoneticPr fontId="44" type="noConversion"/>
  </si>
  <si>
    <t>set</t>
    <phoneticPr fontId="44" type="noConversion"/>
  </si>
  <si>
    <t>- (상세) 공과잡비 및 현장 경비 (스탭 간음료 포함)</t>
    <phoneticPr fontId="44" type="noConversion"/>
  </si>
  <si>
    <t>추가 항목</t>
    <phoneticPr fontId="44" type="noConversion"/>
  </si>
  <si>
    <t>진행비 / 예비비 (약 1천만원) 상세 내역 항목 참조</t>
    <phoneticPr fontId="44" type="noConversion"/>
  </si>
  <si>
    <t>실제 운영 물량 1,450EA (450EA 추가) | 미청구 (약 2,000만원)</t>
    <phoneticPr fontId="44" type="noConversion"/>
  </si>
  <si>
    <t>실제 운영 물량 2EA (1EA 추가) | 미청구 (약 150만원)</t>
    <phoneticPr fontId="44" type="noConversion"/>
  </si>
  <si>
    <t>실제 운영 물량 16EA (2EA 추가) | 미청구 (약 40만원)</t>
    <phoneticPr fontId="44" type="noConversion"/>
  </si>
  <si>
    <t>실제 운영 물량 7EA (1EA 추가) | 미청구 (약 30만원)</t>
    <phoneticPr fontId="44" type="noConversion"/>
  </si>
  <si>
    <t>실제 운영 물량 24EA (10EA 추가) | 미청구 (약 120만원) ,CO2가스 추가48개ㅣ 미청구 144만원</t>
    <phoneticPr fontId="44" type="noConversion"/>
  </si>
  <si>
    <t>실제 운영 물량 16EA (6EA 추가) | 미청구 60만원 ㅣ 충전재추가 릴160SET (약160만원 )</t>
    <phoneticPr fontId="44" type="noConversion"/>
  </si>
  <si>
    <t>동선 변경에 따라 생략 / 펜스 브랜딩 추가항목으로 대체</t>
    <phoneticPr fontId="44" type="noConversion"/>
  </si>
  <si>
    <t>동선 변경에 따라 생략 / 중앙통로 기둥브랜딩 추가항목으로 대체</t>
    <phoneticPr fontId="44" type="noConversion"/>
  </si>
  <si>
    <t>티켓부스 상단 현수막</t>
    <phoneticPr fontId="44" type="noConversion"/>
  </si>
  <si>
    <t>4800*500</t>
    <phoneticPr fontId="44" type="noConversion"/>
  </si>
  <si>
    <t>개</t>
    <phoneticPr fontId="44" type="noConversion"/>
  </si>
  <si>
    <t>4880*910</t>
    <phoneticPr fontId="44" type="noConversion"/>
  </si>
  <si>
    <t>운영 부스 증가에 따른 수량 변동 / 남직문 브랜딩 비용으로 대체</t>
    <phoneticPr fontId="44" type="noConversion"/>
  </si>
  <si>
    <t>MQ 하단 목공</t>
    <phoneticPr fontId="44" type="noConversion"/>
  </si>
  <si>
    <t>4880*910 / 일반목공</t>
    <phoneticPr fontId="44" type="noConversion"/>
  </si>
  <si>
    <t>MQ 하단 현수막</t>
    <phoneticPr fontId="44" type="noConversion"/>
  </si>
  <si>
    <t>- (상세) 스탭티 추가 제작</t>
    <phoneticPr fontId="44" type="noConversion"/>
  </si>
  <si>
    <t>운영 및 안전 대비 물량 증대 / 모바일 화장실, 펜스 및 MQ 추가 | 미청구 / 약 5,000만원 가량</t>
    <phoneticPr fontId="44" type="noConversion"/>
  </si>
  <si>
    <t>- (상세) 프로그램 GWP : 스낵 (1800개 * 450원)</t>
    <phoneticPr fontId="44" type="noConversion"/>
  </si>
  <si>
    <t>운영인력 및 증가로 인한 추가제작</t>
    <phoneticPr fontId="44" type="noConversion"/>
  </si>
  <si>
    <t>브랜딩 구역 확장에 따른 추가 발주</t>
    <phoneticPr fontId="44" type="noConversion"/>
  </si>
  <si>
    <t>안전대책 강화에 따른 추가</t>
    <phoneticPr fontId="44" type="noConversion"/>
  </si>
  <si>
    <t>촬영</t>
    <phoneticPr fontId="44" type="noConversion"/>
  </si>
  <si>
    <t>MD 촬영</t>
    <phoneticPr fontId="44" type="noConversion"/>
  </si>
  <si>
    <t>set</t>
    <phoneticPr fontId="44" type="noConversion"/>
  </si>
  <si>
    <t>추가항목</t>
    <phoneticPr fontId="44" type="noConversion"/>
  </si>
  <si>
    <t>- (상세) 프로그램 리워드 : MD 물품
(보조배터리 210개 + 버튼뱃지 100개)</t>
    <phoneticPr fontId="44" type="noConversion"/>
  </si>
  <si>
    <t>버튼뱃지</t>
    <phoneticPr fontId="44" type="noConversion"/>
  </si>
  <si>
    <t>- (상세) 제일기획 업무 진행비 (교통비, 회의비 등)</t>
    <phoneticPr fontId="44" type="noConversion"/>
  </si>
  <si>
    <t>set</t>
    <phoneticPr fontId="44" type="noConversion"/>
  </si>
  <si>
    <t>추가항목 (9월 최종 정산시 실비 반영 예정)</t>
    <phoneticPr fontId="44" type="noConversion"/>
  </si>
  <si>
    <t xml:space="preserve">비용 및 수익에서 모두 삭제 </t>
    <phoneticPr fontId="44" type="noConversion"/>
  </si>
  <si>
    <t>최종</t>
    <phoneticPr fontId="44" type="noConversion"/>
  </si>
  <si>
    <t>스태프보험</t>
    <phoneticPr fontId="44" type="noConversion"/>
  </si>
  <si>
    <t>국내여행보험</t>
    <phoneticPr fontId="44" type="noConversion"/>
  </si>
  <si>
    <t>무대구조물 견적을 기준으로 산정.</t>
    <phoneticPr fontId="44" type="noConversion"/>
  </si>
  <si>
    <t>삭제</t>
    <phoneticPr fontId="44" type="noConversion"/>
  </si>
  <si>
    <t>추가</t>
    <phoneticPr fontId="44" type="noConversion"/>
  </si>
  <si>
    <t>금액 확정</t>
    <phoneticPr fontId="44" type="noConversion"/>
  </si>
  <si>
    <t>8 MD 소계</t>
    <phoneticPr fontId="44" type="noConversion"/>
  </si>
  <si>
    <t>VAT 별도 (대관료, 아티스트추가금액 별도)</t>
    <phoneticPr fontId="44" type="noConversion"/>
  </si>
  <si>
    <t>800만원에서 400만원으로 하향조정</t>
    <phoneticPr fontId="44" type="noConversion"/>
  </si>
  <si>
    <t>행사 외주사(BEPC탄젠트) 기업이윤, MD 기업이윤은 단가에 포함되어 있어 제외. 진행비 및 제일기획납부 산재보험료 기업이윤 제외</t>
    <phoneticPr fontId="44" type="noConversion"/>
  </si>
  <si>
    <t>8월 청구 금액</t>
    <phoneticPr fontId="44" type="noConversion"/>
  </si>
  <si>
    <t>9월 청구 예정 금액</t>
    <phoneticPr fontId="44" type="noConversion"/>
  </si>
  <si>
    <t>제일기획 수수료</t>
    <phoneticPr fontId="44" type="noConversion"/>
  </si>
  <si>
    <t>1차 견적</t>
    <phoneticPr fontId="44" type="noConversion"/>
  </si>
  <si>
    <t>2차 견적</t>
    <phoneticPr fontId="44" type="noConversion"/>
  </si>
  <si>
    <t>3차 견적</t>
    <phoneticPr fontId="44" type="noConversion"/>
  </si>
  <si>
    <t>4차 견적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</si>
</sst>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0.0"/>
    <numFmt numFmtId="180" formatCode="#,##0.000"/>
    <numFmt numFmtId="181" formatCode="#."/>
    <numFmt numFmtId="182" formatCode="_-* #,##0.0_-;&quot;₩&quot;\!\-* #,##0.0_-;_-* &quot;-&quot;_-;_-@_-"/>
    <numFmt numFmtId="183" formatCode="0.000"/>
    <numFmt numFmtId="184" formatCode="#,##0;[Red]&quot;-&quot;#,##0"/>
    <numFmt numFmtId="185" formatCode="_ * #,##0.00_ ;_ * &quot;₩&quot;&quot;₩&quot;&quot;₩&quot;&quot;₩&quot;&quot;₩&quot;&quot;₩&quot;&quot;₩&quot;\-#,##0.00_ ;_ * &quot;-&quot;??_ ;_ @_ "/>
    <numFmt numFmtId="186" formatCode="&quot;₩&quot;#,##0;[Red]&quot;₩&quot;&quot;₩&quot;&quot;₩&quot;&quot;₩&quot;&quot;₩&quot;&quot;₩&quot;&quot;₩&quot;&quot;₩&quot;\-#,##0"/>
    <numFmt numFmtId="187" formatCode="&quot;₩&quot;#,##0;&quot;₩&quot;&quot;₩&quot;&quot;₩&quot;&quot;₩&quot;&quot;₩&quot;\-#,##0"/>
    <numFmt numFmtId="188" formatCode="_ * #,##0_ ;_ * &quot;₩&quot;&quot;₩&quot;&quot;₩&quot;&quot;₩&quot;&quot;₩&quot;&quot;₩&quot;&quot;₩&quot;&quot;₩&quot;&quot;₩&quot;&quot;₩&quot;&quot;₩&quot;\-#,##0_ ;_ * &quot;-&quot;_ ;_ @_ "/>
    <numFmt numFmtId="189" formatCode="0.00000000"/>
    <numFmt numFmtId="190" formatCode="0.0000"/>
    <numFmt numFmtId="191" formatCode="0.0%"/>
    <numFmt numFmtId="192" formatCode="#,##0_ "/>
    <numFmt numFmtId="193" formatCode="&quot;(&quot;###.00&quot;)&quot;"/>
    <numFmt numFmtId="194" formatCode="##\/##\/##"/>
    <numFmt numFmtId="195" formatCode="[Red]\+#;[Red]\-#;[Red]0"/>
    <numFmt numFmtId="196" formatCode="#,##0;[Red]&quot;△&quot;#,##0"/>
    <numFmt numFmtId="197" formatCode="#,##0_ ;[Red]&quot;△&quot;#,##0\ "/>
    <numFmt numFmtId="198" formatCode="_(&quot;$&quot;* #,##0_);_(&quot;$&quot;* \(#,##0\);_(&quot;$&quot;* &quot;-&quot;_);_(@_)"/>
    <numFmt numFmtId="199" formatCode="#,##0,"/>
    <numFmt numFmtId="200" formatCode="_ * #,##0.00_ ;_ * \-#,##0.00_ ;_ * &quot;-&quot;??_ ;_ @_ "/>
    <numFmt numFmtId="201" formatCode="&quot;SFr.&quot;#,##0.00;[Red]&quot;SFr.&quot;\-#,##0.00"/>
    <numFmt numFmtId="202" formatCode="#,##0.0;[Red]&quot;-&quot;#,##0.0"/>
    <numFmt numFmtId="203" formatCode="&quot;₩&quot;#,##0;&quot;₩&quot;&quot;₩&quot;&quot;₩&quot;&quot;₩&quot;&quot;₩&quot;&quot;₩&quot;&quot;₩&quot;&quot;₩&quot;&quot;₩&quot;&quot;₩&quot;\-&quot;₩&quot;#,##0"/>
    <numFmt numFmtId="204" formatCode="#,##0;\(#,##0\)"/>
    <numFmt numFmtId="205" formatCode="yy\.mm\.dd"/>
    <numFmt numFmtId="206" formatCode="&quot;$&quot;#,##0_);[Red]\(&quot;$&quot;#,##0\)"/>
    <numFmt numFmtId="207" formatCode="\$#.00"/>
    <numFmt numFmtId="208" formatCode="\$#,##0.00"/>
    <numFmt numFmtId="209" formatCode="#,##0.00\ &quot;Pts&quot;;\-#,##0.00\ &quot;Pts&quot;"/>
    <numFmt numFmtId="210" formatCode="&quot;RM&quot;#,##0.00_);\(&quot;RM&quot;#,##0.00\)"/>
    <numFmt numFmtId="211" formatCode="m\o\n\th\ d\,\ yyyy"/>
    <numFmt numFmtId="212" formatCode="_-* #,##0\ _k_r_-;\-* #,##0\ _k_r_-;_-* &quot;-&quot;\ _k_r_-;_-@_-"/>
    <numFmt numFmtId="213" formatCode="#,##0.0000000;[Red]\-#,##0.0000000"/>
    <numFmt numFmtId="214" formatCode="_-[$€-2]* #,##0.00_-;&quot;₩&quot;\!\-[$€-2]* #,##0.00_-;_-[$€-2]* &quot;-&quot;??_-"/>
    <numFmt numFmtId="215" formatCode="_-[$€-2]* #,##0.00_-;\-[$€-2]* #,##0.00_-;_-[$€-2]* &quot;-&quot;??_-"/>
    <numFmt numFmtId="216" formatCode="#.00"/>
    <numFmt numFmtId="217" formatCode="00.00"/>
    <numFmt numFmtId="218" formatCode="#,##0.0_);\(#,##0.0\)"/>
    <numFmt numFmtId="219" formatCode="_-* #,##0.00\ &quot;Kc&quot;_-;\-* #,##0.00\ &quot;Kc&quot;_-;_-* &quot;-&quot;??\ &quot;Kc&quot;_-;_-@_-"/>
    <numFmt numFmtId="220" formatCode="General_)"/>
    <numFmt numFmtId="221" formatCode="_ * #,##0_ ;_ * &quot;₩&quot;\-#,##0_ ;_ * &quot;-&quot;_ ;_ @_ "/>
    <numFmt numFmtId="222" formatCode="#,##0.000_);&quot;₩&quot;&quot;₩&quot;&quot;₩&quot;&quot;₩&quot;&quot;₩&quot;&quot;₩&quot;&quot;₩&quot;&quot;₩&quot;&quot;₩&quot;&quot;₩&quot;&quot;₩&quot;&quot;₩&quot;&quot;₩&quot;\(#,##0.000&quot;₩&quot;&quot;₩&quot;&quot;₩&quot;&quot;₩&quot;&quot;₩&quot;&quot;₩&quot;&quot;₩&quot;&quot;₩&quot;&quot;₩&quot;&quot;₩&quot;&quot;₩&quot;&quot;₩&quot;&quot;₩&quot;\)"/>
    <numFmt numFmtId="223" formatCode="_(&quot;$&quot;* #,##0_);_(&quot;$&quot;* \(#,##0\);_(&quot;$&quot;* &quot;-&quot;??_);_(@_)"/>
    <numFmt numFmtId="224" formatCode="%#.00"/>
    <numFmt numFmtId="225" formatCode="&quot;$&quot;#,##0;\-&quot;$&quot;#,##0"/>
    <numFmt numFmtId="226" formatCode="\ &quot;~~ &quot;@"/>
    <numFmt numFmtId="227" formatCode="0.0_)"/>
    <numFmt numFmtId="228" formatCode="&quot;₩&quot;#,##0;&quot;₩&quot;&quot;₩&quot;&quot;₩&quot;&quot;₩&quot;\-#,##0"/>
    <numFmt numFmtId="229" formatCode="0.0%;[Red]&quot;△&quot;0.0%"/>
    <numFmt numFmtId="230" formatCode="0.00%;[Red]&quot;△&quot;0.00%"/>
    <numFmt numFmtId="231" formatCode="#,##0_ ;[Red]\-#,##0\ "/>
    <numFmt numFmtId="232" formatCode="[Red]#,##0"/>
    <numFmt numFmtId="233" formatCode="&quot;₩&quot;#,##0;&quot;₩&quot;&quot;₩&quot;&quot;₩&quot;&quot;₩&quot;\-&quot;₩&quot;#,##0"/>
    <numFmt numFmtId="234" formatCode="&quot;₩&quot;#,##0;[Red]&quot;₩&quot;&quot;₩&quot;&quot;₩&quot;&quot;₩&quot;\-#,##0"/>
    <numFmt numFmtId="235" formatCode="_ * #,##0_ ;_ * &quot;₩&quot;\!\-#,##0_ ;_ * &quot;-&quot;_ ;_ @_ "/>
    <numFmt numFmtId="236" formatCode="#,##0.0#####\ ;[Red]\-#,##0.0#####\ "/>
    <numFmt numFmtId="237" formatCode="_-* #,##0_-;&quot;₩&quot;\!\-* #,##0_-;_-* &quot;-&quot;_-;_-@_-"/>
    <numFmt numFmtId="238" formatCode="#,##0.00_ "/>
    <numFmt numFmtId="239" formatCode="0&quot;만원&quot;"/>
    <numFmt numFmtId="240" formatCode="_-* #,##0.00_-;&quot;₩&quot;&quot;₩&quot;\-* #,##0.00_-;_-* &quot;-&quot;??_-;_-@_-"/>
    <numFmt numFmtId="241" formatCode="_-* #\!\,##0\!.00&quot;₩&quot;\!\ _D_M_-;&quot;₩&quot;\!\-* #\!\,##0\!.00&quot;₩&quot;\!\ _D_M_-;_-* &quot;-&quot;??&quot;₩&quot;\!\ _D_M_-;_-@_-"/>
    <numFmt numFmtId="242" formatCode="&quot;₩&quot;#,##0.00\ ;\(&quot;₩&quot;#,##0.00\)"/>
    <numFmt numFmtId="243" formatCode="_-&quot;₩&quot;* #,##0.00_-;&quot;₩&quot;&quot;₩&quot;\-&quot;₩&quot;* #,##0.00_-;_-&quot;₩&quot;* &quot;-&quot;??_-;_-@_-"/>
    <numFmt numFmtId="244" formatCode="_-* #\!\,##0\!.00&quot;₩&quot;\!\ &quot;DM&quot;_-;&quot;₩&quot;\!\-* #\!\,##0\!.00&quot;₩&quot;\!\ &quot;DM&quot;_-;_-* &quot;-&quot;??&quot;₩&quot;\!\ &quot;DM&quot;_-;_-@_-"/>
    <numFmt numFmtId="245" formatCode="&quot;₩&quot;#,##0;&quot;₩&quot;\-#,##0"/>
    <numFmt numFmtId="246" formatCode="&quot;₩&quot;#,##0.00;&quot;₩&quot;&quot;₩&quot;&quot;₩&quot;&quot;₩&quot;\-#,##0.00"/>
    <numFmt numFmtId="247" formatCode="General&quot;·&quot;"/>
    <numFmt numFmtId="248" formatCode="#,##0.00;&quot;-&quot;#,##0.00"/>
    <numFmt numFmtId="249" formatCode="[$€-2]\ #,##0.00;[Red][$€-2]\ #,##0.00"/>
    <numFmt numFmtId="250" formatCode="_-[$₩-412]* #,##0_-;\-[$₩-412]* #,##0_-;_-[$₩-412]* &quot;-&quot;??_-;_-@_-"/>
    <numFmt numFmtId="251" formatCode="0_);[Red]\(0\)"/>
    <numFmt numFmtId="252" formatCode="_-[$₩-412]* #,##0.00_-;\-[$₩-412]* #,##0.00_-;_-[$₩-412]* &quot;-&quot;??_-;_-@_-"/>
    <numFmt numFmtId="253" formatCode="_-&quot;₩&quot;* #,##0_-;\-&quot;₩&quot;* #,##0_-;_-&quot;₩&quot;* &quot;-&quot;??_-;_-@_-"/>
  </numFmts>
  <fonts count="17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0"/>
      <name val="명조"/>
      <family val="3"/>
      <charset val="129"/>
    </font>
    <font>
      <sz val="12"/>
      <name val="¹UAAA¼"/>
      <family val="1"/>
      <charset val="129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0"/>
      <name val="바탕체"/>
      <family val="1"/>
      <charset val="129"/>
    </font>
    <font>
      <i/>
      <sz val="12"/>
      <name val="굴림체"/>
      <family val="3"/>
      <charset val="129"/>
    </font>
    <font>
      <sz val="10"/>
      <name val="Helv"/>
      <family val="2"/>
    </font>
    <font>
      <sz val="10"/>
      <name val="Book Antiqua"/>
      <family val="1"/>
    </font>
    <font>
      <sz val="11"/>
      <name val="굴림"/>
      <family val="3"/>
      <charset val="129"/>
    </font>
    <font>
      <sz val="1"/>
      <color indexed="16"/>
      <name val="Courier"/>
      <family val="3"/>
    </font>
    <font>
      <sz val="13"/>
      <name val="돋움체"/>
      <family val="3"/>
      <charset val="129"/>
    </font>
    <font>
      <b/>
      <sz val="12"/>
      <color indexed="16"/>
      <name val="±¼¸²A¼"/>
      <family val="3"/>
      <charset val="129"/>
    </font>
    <font>
      <sz val="10"/>
      <name val="옛체"/>
      <family val="1"/>
      <charset val="129"/>
    </font>
    <font>
      <sz val="14"/>
      <name val="AngsanaUPC"/>
      <family val="1"/>
    </font>
    <font>
      <sz val="10"/>
      <color indexed="19"/>
      <name val="돋움체"/>
      <family val="3"/>
      <charset val="129"/>
    </font>
    <font>
      <sz val="14"/>
      <name val="뼥??"/>
      <family val="3"/>
      <charset val="129"/>
    </font>
    <font>
      <sz val="11"/>
      <name val="?¸¿?"/>
      <family val="3"/>
      <charset val="129"/>
    </font>
    <font>
      <sz val="10"/>
      <name val="±¼¸²?¼"/>
      <family val="3"/>
      <charset val="129"/>
    </font>
    <font>
      <sz val="12"/>
      <name val="???"/>
      <family val="1"/>
    </font>
    <font>
      <sz val="12"/>
      <name val="COUR"/>
      <family val="3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0"/>
      <color rgb="FF000000"/>
      <name val="바탕체"/>
      <family val="1"/>
      <charset val="129"/>
    </font>
    <font>
      <sz val="10"/>
      <color rgb="FF000000"/>
      <name val="한컴바탕"/>
      <family val="1"/>
      <charset val="129"/>
    </font>
    <font>
      <sz val="10"/>
      <color rgb="FF000000"/>
      <name val="Arial"/>
      <family val="2"/>
    </font>
    <font>
      <sz val="13"/>
      <color rgb="FF000000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22"/>
      <name val="바탕체"/>
      <family val="1"/>
      <charset val="129"/>
    </font>
    <font>
      <sz val="10"/>
      <name val="돋움체"/>
      <family val="3"/>
      <charset val="129"/>
    </font>
    <font>
      <sz val="12"/>
      <name val="System"/>
      <family val="2"/>
      <charset val="129"/>
    </font>
    <font>
      <sz val="10"/>
      <name val="Times New Roman"/>
      <family val="1"/>
    </font>
    <font>
      <sz val="12"/>
      <name val="·s²Ó©úÅé"/>
      <family val="1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￥i￠￢￠?o"/>
      <family val="3"/>
      <charset val="129"/>
    </font>
    <font>
      <sz val="11"/>
      <name val="¡¾¨u￠￢ⓒ÷A¨u"/>
      <family val="3"/>
      <charset val="129"/>
    </font>
    <font>
      <sz val="12"/>
      <name val="¡¾¨ù¢¬©÷A¨ù"/>
      <family val="3"/>
      <charset val="129"/>
    </font>
    <font>
      <sz val="12"/>
      <name val="¡§IoUAAA￠R¡×u"/>
      <family val="3"/>
      <charset val="129"/>
    </font>
    <font>
      <sz val="12"/>
      <name val="¸iA¶"/>
      <family val="3"/>
      <charset val="129"/>
    </font>
    <font>
      <sz val="12"/>
      <name val="¹ÙÅÁÃ¼"/>
      <family val="1"/>
    </font>
    <font>
      <sz val="12"/>
      <name val="¹UAAA¼"/>
      <family val="3"/>
      <charset val="129"/>
    </font>
    <font>
      <sz val="8"/>
      <name val="Times New Roman"/>
      <family val="1"/>
    </font>
    <font>
      <sz val="8"/>
      <name val="©öUAAA¨ù"/>
      <family val="1"/>
      <charset val="129"/>
    </font>
    <font>
      <sz val="12"/>
      <name val="¥ì¢¬¢¯oA¨ù"/>
      <family val="3"/>
      <charset val="129"/>
    </font>
    <font>
      <sz val="10"/>
      <name val="¡¾¨ù¢¬©÷A¨ù"/>
      <family val="3"/>
      <charset val="129"/>
    </font>
    <font>
      <sz val="10"/>
      <name val="©öUAAA¨ù"/>
      <family val="1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9"/>
      <name val="Arial"/>
      <family val="2"/>
    </font>
    <font>
      <sz val="10"/>
      <color indexed="16"/>
      <name val="MS Serif"/>
      <family val="1"/>
    </font>
    <font>
      <b/>
      <sz val="1"/>
      <color indexed="16"/>
      <name val="Courier"/>
      <family val="3"/>
    </font>
    <font>
      <i/>
      <sz val="1"/>
      <color indexed="8"/>
      <name val="Courier"/>
      <family val="3"/>
    </font>
    <font>
      <b/>
      <sz val="1"/>
      <color indexed="18"/>
      <name val="Courier"/>
      <family val="3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맑은 고딕"/>
      <family val="3"/>
      <charset val="129"/>
    </font>
    <font>
      <b/>
      <sz val="18"/>
      <color indexed="24"/>
      <name val="Arial"/>
      <family val="2"/>
    </font>
    <font>
      <b/>
      <sz val="13"/>
      <color indexed="62"/>
      <name val="맑은 고딕"/>
      <family val="3"/>
      <charset val="129"/>
    </font>
    <font>
      <b/>
      <sz val="12"/>
      <color indexed="24"/>
      <name val="Arial"/>
      <family val="2"/>
    </font>
    <font>
      <u/>
      <sz val="10"/>
      <color indexed="12"/>
      <name val="MS Sans Serif"/>
      <family val="2"/>
    </font>
    <font>
      <sz val="11"/>
      <color indexed="62"/>
      <name val="맑은 고딕"/>
      <family val="3"/>
      <charset val="129"/>
    </font>
    <font>
      <sz val="12"/>
      <name val="Helv"/>
      <family val="2"/>
    </font>
    <font>
      <sz val="12"/>
      <color indexed="9"/>
      <name val="Helv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sz val="12"/>
      <name val="宋?"/>
      <family val="3"/>
      <charset val="129"/>
    </font>
    <font>
      <b/>
      <sz val="12"/>
      <name val="돋움체"/>
      <family val="3"/>
      <charset val="129"/>
    </font>
    <font>
      <sz val="7"/>
      <name val="Small Fonts"/>
      <family val="2"/>
    </font>
    <font>
      <b/>
      <sz val="12"/>
      <name val="Book Antiqua"/>
      <family val="1"/>
    </font>
    <font>
      <sz val="10"/>
      <name val="Tms Rmn"/>
      <family val="1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b/>
      <sz val="8"/>
      <name val="Times New Roman"/>
      <family val="1"/>
    </font>
    <font>
      <b/>
      <i/>
      <sz val="14"/>
      <name val="Arial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18"/>
      <color indexed="12"/>
      <name val="MS Sans Serif"/>
      <family val="2"/>
    </font>
    <font>
      <b/>
      <sz val="14"/>
      <name val="Arial"/>
      <family val="2"/>
    </font>
    <font>
      <sz val="8"/>
      <name val="바탕체"/>
      <family val="1"/>
      <charset val="129"/>
    </font>
    <font>
      <u/>
      <sz val="9"/>
      <color indexed="12"/>
      <name val="Helv"/>
      <family val="2"/>
    </font>
    <font>
      <i/>
      <outline/>
      <shadow/>
      <u/>
      <sz val="1"/>
      <color indexed="24"/>
      <name val="Courier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sz val="12"/>
      <name val="궁서체"/>
      <family val="1"/>
      <charset val="129"/>
    </font>
    <font>
      <b/>
      <sz val="11"/>
      <name val="바탕"/>
      <family val="1"/>
      <charset val="129"/>
    </font>
    <font>
      <i/>
      <sz val="10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1"/>
      <name val="돋움체"/>
      <family val="3"/>
      <charset val="129"/>
    </font>
    <font>
      <sz val="9"/>
      <name val="MS Sans Serif"/>
      <family val="2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name val="바탕체"/>
      <family val="1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1"/>
      <name val="돋움"/>
      <family val="3"/>
    </font>
    <font>
      <sz val="10"/>
      <name val="돋움"/>
      <family val="3"/>
      <charset val="129"/>
    </font>
    <font>
      <u/>
      <sz val="9"/>
      <color indexed="36"/>
      <name val="Helv"/>
      <family val="2"/>
    </font>
    <font>
      <sz val="12"/>
      <color indexed="8"/>
      <name val="Verdana"/>
      <family val="2"/>
    </font>
    <font>
      <sz val="11"/>
      <color indexed="8"/>
      <name val="돋움체"/>
      <family val="3"/>
      <charset val="129"/>
    </font>
    <font>
      <b/>
      <sz val="8"/>
      <name val="HY중고딕"/>
      <family val="1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indexed="8"/>
      <name val="Helvetica Neue"/>
      <family val="2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6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sz val="14"/>
      <color theme="0" tint="-0.34998626667073579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rgb="FF00FF00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6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</fills>
  <borders count="1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indexed="49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/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medium">
        <color rgb="FFFF0000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theme="0"/>
      </right>
      <top style="medium">
        <color rgb="FFFF0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FF0000"/>
      </top>
      <bottom style="medium">
        <color theme="0"/>
      </bottom>
      <diagonal/>
    </border>
    <border>
      <left style="medium">
        <color theme="0"/>
      </left>
      <right style="medium">
        <color rgb="FFFF0000"/>
      </right>
      <top style="medium">
        <color rgb="FFFF0000"/>
      </top>
      <bottom style="medium">
        <color theme="0"/>
      </bottom>
      <diagonal/>
    </border>
    <border>
      <left style="medium">
        <color rgb="FFFF000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rgb="FFFF0000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</borders>
  <cellStyleXfs count="1700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8" fillId="0" borderId="0">
      <protection locked="0"/>
    </xf>
    <xf numFmtId="0" fontId="39" fillId="0" borderId="0"/>
    <xf numFmtId="0" fontId="19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4" fillId="0" borderId="0"/>
    <xf numFmtId="0" fontId="7" fillId="0" borderId="2">
      <alignment horizont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8" fillId="0" borderId="0">
      <alignment vertical="center"/>
    </xf>
    <xf numFmtId="3" fontId="8" fillId="0" borderId="0">
      <alignment vertical="center"/>
    </xf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179" fontId="8" fillId="0" borderId="0">
      <alignment vertical="center"/>
    </xf>
    <xf numFmtId="179" fontId="8" fillId="0" borderId="0">
      <alignment vertical="center"/>
    </xf>
    <xf numFmtId="4" fontId="8" fillId="0" borderId="0">
      <alignment vertical="center"/>
    </xf>
    <xf numFmtId="4" fontId="8" fillId="0" borderId="0">
      <alignment vertical="center"/>
    </xf>
    <xf numFmtId="180" fontId="8" fillId="0" borderId="0">
      <alignment vertical="center"/>
    </xf>
    <xf numFmtId="180" fontId="8" fillId="0" borderId="0">
      <alignment vertical="center"/>
    </xf>
    <xf numFmtId="3" fontId="5" fillId="0" borderId="4"/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19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0" fontId="23" fillId="0" borderId="3">
      <alignment horizontal="centerContinuous" vertical="center"/>
    </xf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8" fillId="0" borderId="5">
      <alignment horizontal="right"/>
    </xf>
    <xf numFmtId="38" fontId="8" fillId="0" borderId="5">
      <alignment horizontal="right"/>
    </xf>
    <xf numFmtId="38" fontId="8" fillId="0" borderId="5">
      <alignment horizontal="right"/>
    </xf>
    <xf numFmtId="38" fontId="8" fillId="0" borderId="5">
      <alignment horizontal="right"/>
    </xf>
    <xf numFmtId="38" fontId="8" fillId="0" borderId="5">
      <alignment horizontal="right"/>
    </xf>
    <xf numFmtId="38" fontId="8" fillId="0" borderId="5">
      <alignment horizontal="right"/>
    </xf>
    <xf numFmtId="189" fontId="29" fillId="0" borderId="0" applyNumberFormat="0">
      <alignment horizontal="center" vertical="center"/>
      <protection locked="0" hidden="1"/>
    </xf>
    <xf numFmtId="0" fontId="3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0" fillId="0" borderId="0"/>
    <xf numFmtId="0" fontId="1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1" fillId="0" borderId="0" applyFont="0" applyFill="0" applyBorder="0" applyAlignment="0" applyProtection="0"/>
    <xf numFmtId="0" fontId="32" fillId="0" borderId="0"/>
    <xf numFmtId="0" fontId="33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" fillId="0" borderId="0"/>
    <xf numFmtId="0" fontId="41" fillId="0" borderId="0"/>
    <xf numFmtId="0" fontId="4" fillId="0" borderId="0" applyNumberFormat="0" applyFill="0" applyBorder="0" applyAlignment="0" applyProtection="0"/>
    <xf numFmtId="0" fontId="34" fillId="7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1" fontId="24" fillId="0" borderId="0">
      <protection locked="0"/>
    </xf>
    <xf numFmtId="181" fontId="24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/>
    <xf numFmtId="0" fontId="11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21" fillId="0" borderId="0"/>
    <xf numFmtId="0" fontId="4" fillId="0" borderId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1" fillId="0" borderId="0"/>
    <xf numFmtId="0" fontId="21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11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1" fillId="0" borderId="0"/>
    <xf numFmtId="0" fontId="7" fillId="0" borderId="0"/>
    <xf numFmtId="0" fontId="7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/>
    <xf numFmtId="0" fontId="11" fillId="0" borderId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/>
    <xf numFmtId="0" fontId="11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1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" fillId="0" borderId="0"/>
    <xf numFmtId="0" fontId="8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8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8" fillId="0" borderId="0"/>
    <xf numFmtId="0" fontId="8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" fillId="0" borderId="0"/>
    <xf numFmtId="0" fontId="4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8" fillId="0" borderId="0"/>
    <xf numFmtId="0" fontId="8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14" fillId="0" borderId="0">
      <protection locked="0"/>
    </xf>
    <xf numFmtId="0" fontId="14" fillId="0" borderId="0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" fillId="0" borderId="0" applyFont="0" applyFill="0" applyBorder="0" applyProtection="0">
      <alignment vertical="center"/>
    </xf>
    <xf numFmtId="0" fontId="2" fillId="0" borderId="0">
      <alignment vertical="center"/>
    </xf>
    <xf numFmtId="0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1" fontId="24" fillId="0" borderId="0">
      <protection locked="0"/>
    </xf>
    <xf numFmtId="187" fontId="16" fillId="0" borderId="0">
      <protection locked="0"/>
    </xf>
    <xf numFmtId="187" fontId="16" fillId="0" borderId="0">
      <protection locked="0"/>
    </xf>
    <xf numFmtId="181" fontId="2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81" fontId="14" fillId="0" borderId="0">
      <protection locked="0"/>
    </xf>
    <xf numFmtId="178" fontId="42" fillId="0" borderId="0"/>
    <xf numFmtId="178" fontId="25" fillId="0" borderId="0" applyFont="0" applyFill="0" applyBorder="0" applyAlignment="0" applyProtection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/>
    <xf numFmtId="0" fontId="7" fillId="0" borderId="0"/>
    <xf numFmtId="9" fontId="19" fillId="0" borderId="0">
      <alignment vertical="center"/>
    </xf>
    <xf numFmtId="9" fontId="19" fillId="0" borderId="0">
      <alignment vertical="center"/>
    </xf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0" fontId="19" fillId="0" borderId="0">
      <alignment vertical="center"/>
    </xf>
    <xf numFmtId="0" fontId="19" fillId="0" borderId="0">
      <alignment vertical="center"/>
    </xf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3" fontId="5" fillId="0" borderId="4"/>
    <xf numFmtId="10" fontId="19" fillId="0" borderId="0">
      <alignment vertical="center"/>
    </xf>
    <xf numFmtId="10" fontId="19" fillId="0" borderId="0">
      <alignment vertical="center"/>
    </xf>
    <xf numFmtId="3" fontId="5" fillId="0" borderId="4"/>
    <xf numFmtId="0" fontId="19" fillId="0" borderId="0">
      <alignment vertical="center"/>
    </xf>
    <xf numFmtId="0" fontId="19" fillId="0" borderId="0">
      <alignment vertical="center"/>
    </xf>
    <xf numFmtId="182" fontId="2" fillId="0" borderId="0">
      <alignment vertical="center"/>
    </xf>
    <xf numFmtId="182" fontId="2" fillId="0" borderId="0">
      <alignment vertical="center"/>
    </xf>
    <xf numFmtId="188" fontId="19" fillId="0" borderId="0">
      <alignment vertical="center"/>
    </xf>
    <xf numFmtId="188" fontId="19" fillId="0" borderId="0">
      <alignment vertical="center"/>
    </xf>
    <xf numFmtId="182" fontId="2" fillId="0" borderId="0">
      <alignment vertical="center"/>
    </xf>
    <xf numFmtId="188" fontId="19" fillId="0" borderId="0">
      <alignment vertical="center"/>
    </xf>
    <xf numFmtId="188" fontId="19" fillId="0" borderId="0">
      <alignment vertical="center"/>
    </xf>
    <xf numFmtId="188" fontId="19" fillId="0" borderId="0">
      <alignment vertical="center"/>
    </xf>
    <xf numFmtId="188" fontId="19" fillId="0" borderId="0">
      <alignment vertical="center"/>
    </xf>
    <xf numFmtId="182" fontId="2" fillId="0" borderId="0">
      <alignment vertical="center"/>
    </xf>
    <xf numFmtId="184" fontId="26" fillId="0" borderId="0">
      <alignment vertical="center"/>
    </xf>
    <xf numFmtId="184" fontId="26" fillId="0" borderId="0">
      <alignment vertical="center"/>
    </xf>
    <xf numFmtId="0" fontId="6" fillId="0" borderId="0"/>
    <xf numFmtId="0" fontId="6" fillId="0" borderId="0"/>
    <xf numFmtId="0" fontId="10" fillId="0" borderId="0">
      <alignment horizontal="center" vertical="center"/>
    </xf>
    <xf numFmtId="10" fontId="4" fillId="0" borderId="0" applyFont="0" applyFill="0" applyBorder="0" applyAlignment="0" applyProtection="0"/>
    <xf numFmtId="0" fontId="6" fillId="0" borderId="0"/>
    <xf numFmtId="0" fontId="6" fillId="0" borderId="0"/>
    <xf numFmtId="3" fontId="37" fillId="0" borderId="6">
      <alignment horizontal="right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90" fontId="8" fillId="0" borderId="0">
      <alignment horizontal="center" vertical="center"/>
    </xf>
    <xf numFmtId="176" fontId="8" fillId="0" borderId="0">
      <alignment horizontal="center" vertical="center"/>
    </xf>
    <xf numFmtId="190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83" fontId="38" fillId="0" borderId="0">
      <alignment horizontal="center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3" fontId="37" fillId="0" borderId="6">
      <alignment horizontal="right" vertical="center"/>
    </xf>
    <xf numFmtId="0" fontId="6" fillId="0" borderId="0"/>
    <xf numFmtId="0" fontId="6" fillId="0" borderId="0"/>
    <xf numFmtId="0" fontId="27" fillId="0" borderId="0"/>
    <xf numFmtId="0" fontId="27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0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7">
      <alignment horizontal="center"/>
    </xf>
    <xf numFmtId="0" fontId="8" fillId="0" borderId="7">
      <alignment horizontal="center"/>
    </xf>
    <xf numFmtId="2" fontId="37" fillId="0" borderId="6">
      <alignment horizontal="right" vertical="center"/>
    </xf>
    <xf numFmtId="0" fontId="4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0" borderId="0">
      <protection locked="0"/>
    </xf>
    <xf numFmtId="0" fontId="14" fillId="0" borderId="0"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45" fillId="0" borderId="0"/>
    <xf numFmtId="0" fontId="45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0" borderId="0"/>
    <xf numFmtId="177" fontId="45" fillId="0" borderId="0"/>
    <xf numFmtId="41" fontId="2" fillId="0" borderId="0" applyFont="0" applyFill="0" applyBorder="0" applyAlignment="0" applyProtection="0"/>
    <xf numFmtId="0" fontId="43" fillId="0" borderId="0">
      <alignment vertical="center"/>
    </xf>
    <xf numFmtId="0" fontId="45" fillId="0" borderId="0"/>
    <xf numFmtId="0" fontId="43" fillId="0" borderId="0">
      <alignment vertical="center"/>
    </xf>
    <xf numFmtId="0" fontId="6" fillId="0" borderId="0"/>
    <xf numFmtId="178" fontId="6" fillId="0" borderId="0" applyFont="0" applyFill="0" applyBorder="0" applyAlignment="0" applyProtection="0"/>
    <xf numFmtId="0" fontId="12" fillId="0" borderId="0"/>
    <xf numFmtId="0" fontId="4" fillId="0" borderId="0"/>
    <xf numFmtId="0" fontId="12" fillId="0" borderId="0"/>
    <xf numFmtId="0" fontId="3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7" borderId="29" applyNumberFormat="0" applyAlignment="0" applyProtection="0">
      <alignment vertical="center"/>
    </xf>
    <xf numFmtId="0" fontId="51" fillId="23" borderId="30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32" applyNumberFormat="0" applyFill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2" fillId="14" borderId="33" applyNumberFormat="0" applyFont="0" applyAlignment="0" applyProtection="0">
      <alignment vertical="center"/>
    </xf>
    <xf numFmtId="0" fontId="57" fillId="17" borderId="34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193" fontId="62" fillId="0" borderId="0" applyFont="0" applyFill="0" applyBorder="0" applyAlignment="0" applyProtection="0">
      <alignment vertical="center"/>
    </xf>
    <xf numFmtId="0" fontId="102" fillId="11" borderId="29" applyNumberFormat="0" applyAlignment="0" applyProtection="0">
      <alignment vertical="center"/>
    </xf>
    <xf numFmtId="0" fontId="4" fillId="0" borderId="0"/>
    <xf numFmtId="0" fontId="21" fillId="0" borderId="0"/>
    <xf numFmtId="0" fontId="2" fillId="0" borderId="0"/>
    <xf numFmtId="0" fontId="21" fillId="0" borderId="0"/>
    <xf numFmtId="0" fontId="1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1" fillId="0" borderId="0"/>
    <xf numFmtId="0" fontId="11" fillId="0" borderId="0" applyFont="0" applyFill="0" applyBorder="0" applyAlignment="0" applyProtection="0"/>
    <xf numFmtId="0" fontId="21" fillId="0" borderId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2" fillId="0" borderId="0"/>
    <xf numFmtId="0" fontId="21" fillId="0" borderId="0"/>
    <xf numFmtId="38" fontId="7" fillId="0" borderId="0" applyFont="0" applyFill="0" applyBorder="0" applyAlignment="0" applyProtection="0"/>
    <xf numFmtId="0" fontId="64" fillId="0" borderId="0"/>
    <xf numFmtId="0" fontId="7" fillId="0" borderId="0"/>
    <xf numFmtId="0" fontId="7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" fillId="0" borderId="0"/>
    <xf numFmtId="0" fontId="21" fillId="0" borderId="0"/>
    <xf numFmtId="0" fontId="21" fillId="0" borderId="0"/>
    <xf numFmtId="0" fontId="4" fillId="0" borderId="0"/>
    <xf numFmtId="217" fontId="2" fillId="0" borderId="0">
      <protection locked="0"/>
    </xf>
    <xf numFmtId="0" fontId="11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4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21" fillId="0" borderId="0"/>
    <xf numFmtId="0" fontId="11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21" fillId="0" borderId="0"/>
    <xf numFmtId="0" fontId="21" fillId="0" borderId="0"/>
    <xf numFmtId="38" fontId="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11" fillId="0" borderId="0" applyFont="0" applyFill="0" applyBorder="0" applyAlignment="0" applyProtection="0"/>
    <xf numFmtId="0" fontId="21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4" fontId="2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7" fontId="2" fillId="0" borderId="0">
      <protection locked="0"/>
    </xf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96" fillId="0" borderId="13">
      <alignment horizontal="left" vertical="center"/>
    </xf>
    <xf numFmtId="0" fontId="65" fillId="0" borderId="0">
      <alignment vertical="top"/>
    </xf>
    <xf numFmtId="43" fontId="65" fillId="0" borderId="0" applyFont="0" applyFill="0" applyBorder="0" applyProtection="0">
      <alignment vertical="top"/>
    </xf>
    <xf numFmtId="195" fontId="62" fillId="0" borderId="0" applyFont="0" applyFill="0" applyBorder="0" applyProtection="0">
      <alignment vertical="center"/>
    </xf>
    <xf numFmtId="196" fontId="62" fillId="0" borderId="0">
      <alignment vertical="center"/>
    </xf>
    <xf numFmtId="197" fontId="62" fillId="0" borderId="0" applyFont="0" applyFill="0" applyBorder="0" applyAlignment="0" applyProtection="0">
      <alignment vertical="center"/>
    </xf>
    <xf numFmtId="198" fontId="4" fillId="0" borderId="0" applyFont="0" applyFill="0" applyBorder="0" applyAlignment="0" applyProtection="0"/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3" fontId="37" fillId="0" borderId="6">
      <alignment horizontal="right" vertical="center"/>
    </xf>
    <xf numFmtId="199" fontId="2" fillId="0" borderId="0">
      <alignment horizontal="center" vertical="center"/>
    </xf>
    <xf numFmtId="199" fontId="2" fillId="0" borderId="0">
      <alignment horizontal="center" vertical="center"/>
    </xf>
    <xf numFmtId="199" fontId="2" fillId="0" borderId="0">
      <alignment horizontal="center" vertical="center"/>
    </xf>
    <xf numFmtId="199" fontId="2" fillId="0" borderId="0">
      <alignment horizontal="center" vertical="center"/>
    </xf>
    <xf numFmtId="199" fontId="2" fillId="0" borderId="0">
      <alignment horizontal="center" vertical="center"/>
    </xf>
    <xf numFmtId="199" fontId="2" fillId="0" borderId="0">
      <alignment horizontal="center" vertical="center"/>
    </xf>
    <xf numFmtId="199" fontId="2" fillId="0" borderId="0">
      <alignment horizontal="center" vertical="center"/>
    </xf>
    <xf numFmtId="199" fontId="2" fillId="0" borderId="0">
      <alignment horizontal="center" vertical="center"/>
    </xf>
    <xf numFmtId="199" fontId="2" fillId="0" borderId="0">
      <alignment horizontal="center" vertical="center"/>
    </xf>
    <xf numFmtId="3" fontId="37" fillId="0" borderId="6">
      <alignment horizontal="right" vertical="center"/>
    </xf>
    <xf numFmtId="40" fontId="8" fillId="0" borderId="0">
      <protection locked="0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2" fontId="37" fillId="0" borderId="6">
      <alignment horizontal="right" vertical="center"/>
    </xf>
    <xf numFmtId="0" fontId="3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8" fillId="0" borderId="0">
      <protection locked="0"/>
    </xf>
    <xf numFmtId="205" fontId="2" fillId="0" borderId="0">
      <protection locked="0"/>
    </xf>
    <xf numFmtId="0" fontId="48" fillId="29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66" fillId="0" borderId="0"/>
    <xf numFmtId="0" fontId="67" fillId="0" borderId="40">
      <alignment horizontal="center" vertical="center"/>
    </xf>
    <xf numFmtId="40" fontId="8" fillId="0" borderId="0"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9" fillId="0" borderId="0" applyFont="0" applyFill="0" applyBorder="0" applyAlignment="0" applyProtection="0"/>
    <xf numFmtId="41" fontId="71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9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10" fillId="0" borderId="41">
      <alignment horizontal="center" vertical="center"/>
    </xf>
    <xf numFmtId="40" fontId="8" fillId="0" borderId="0">
      <protection locked="0"/>
    </xf>
    <xf numFmtId="4" fontId="14" fillId="0" borderId="0">
      <protection locked="0"/>
    </xf>
    <xf numFmtId="40" fontId="8" fillId="0" borderId="0">
      <protection locked="0"/>
    </xf>
    <xf numFmtId="0" fontId="14" fillId="0" borderId="0">
      <protection locked="0"/>
    </xf>
    <xf numFmtId="40" fontId="8" fillId="0" borderId="0">
      <protection locked="0"/>
    </xf>
    <xf numFmtId="0" fontId="74" fillId="0" borderId="0" applyFont="0" applyFill="0" applyBorder="0" applyAlignment="0" applyProtection="0"/>
    <xf numFmtId="40" fontId="8" fillId="0" borderId="0">
      <protection locked="0"/>
    </xf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" fillId="0" borderId="0"/>
    <xf numFmtId="0" fontId="77" fillId="0" borderId="0">
      <alignment horizontal="center" wrapText="1"/>
      <protection locked="0"/>
    </xf>
    <xf numFmtId="40" fontId="8" fillId="0" borderId="0">
      <protection locked="0"/>
    </xf>
    <xf numFmtId="0" fontId="2" fillId="0" borderId="0" applyFont="0" applyFill="0" applyBorder="0" applyAlignment="0" applyProtection="0"/>
    <xf numFmtId="40" fontId="8" fillId="0" borderId="0">
      <protection locked="0"/>
    </xf>
    <xf numFmtId="0" fontId="63" fillId="0" borderId="0"/>
    <xf numFmtId="0" fontId="78" fillId="0" borderId="0"/>
    <xf numFmtId="0" fontId="68" fillId="0" borderId="0"/>
    <xf numFmtId="0" fontId="79" fillId="0" borderId="0"/>
    <xf numFmtId="0" fontId="68" fillId="0" borderId="0"/>
    <xf numFmtId="0" fontId="68" fillId="0" borderId="0"/>
    <xf numFmtId="0" fontId="69" fillId="0" borderId="0"/>
    <xf numFmtId="0" fontId="2" fillId="0" borderId="0"/>
    <xf numFmtId="0" fontId="80" fillId="0" borderId="0"/>
    <xf numFmtId="0" fontId="70" fillId="0" borderId="0"/>
    <xf numFmtId="0" fontId="69" fillId="0" borderId="0"/>
    <xf numFmtId="0" fontId="68" fillId="0" borderId="0"/>
    <xf numFmtId="0" fontId="81" fillId="0" borderId="0"/>
    <xf numFmtId="0" fontId="2" fillId="0" borderId="0"/>
    <xf numFmtId="0" fontId="82" fillId="0" borderId="0"/>
    <xf numFmtId="37" fontId="76" fillId="0" borderId="0"/>
    <xf numFmtId="37" fontId="75" fillId="0" borderId="0"/>
    <xf numFmtId="0" fontId="75" fillId="0" borderId="0"/>
    <xf numFmtId="0" fontId="76" fillId="0" borderId="0"/>
    <xf numFmtId="0" fontId="75" fillId="0" borderId="0"/>
    <xf numFmtId="0" fontId="2" fillId="0" borderId="0" applyFill="0" applyBorder="0" applyAlignment="0"/>
    <xf numFmtId="201" fontId="19" fillId="0" borderId="0" applyFill="0" applyBorder="0" applyAlignment="0"/>
    <xf numFmtId="202" fontId="2" fillId="0" borderId="0" applyFill="0" applyBorder="0" applyAlignment="0"/>
    <xf numFmtId="0" fontId="83" fillId="0" borderId="0"/>
    <xf numFmtId="0" fontId="17" fillId="0" borderId="0" applyNumberFormat="0" applyFill="0" applyBorder="0" applyAlignment="0" applyProtection="0">
      <alignment vertical="top"/>
      <protection locked="0"/>
    </xf>
    <xf numFmtId="203" fontId="8" fillId="0" borderId="0" applyFont="0" applyFill="0" applyBorder="0" applyAlignment="0" applyProtection="0"/>
    <xf numFmtId="40" fontId="8" fillId="0" borderId="0">
      <protection locked="0"/>
    </xf>
    <xf numFmtId="4" fontId="14" fillId="0" borderId="0">
      <protection locked="0"/>
    </xf>
    <xf numFmtId="38" fontId="4" fillId="0" borderId="0" applyFont="0" applyFill="0" applyBorder="0" applyAlignment="0" applyProtection="0"/>
    <xf numFmtId="204" fontId="2" fillId="0" borderId="0"/>
    <xf numFmtId="204" fontId="64" fillId="0" borderId="0"/>
    <xf numFmtId="3" fontId="84" fillId="0" borderId="0" applyFont="0" applyFill="0" applyBorder="0" applyAlignment="0" applyProtection="0"/>
    <xf numFmtId="0" fontId="85" fillId="0" borderId="0" applyNumberFormat="0" applyAlignment="0">
      <alignment horizontal="left"/>
    </xf>
    <xf numFmtId="0" fontId="86" fillId="0" borderId="0" applyNumberFormat="0" applyAlignment="0"/>
    <xf numFmtId="0" fontId="11" fillId="0" borderId="0" applyFont="0" applyFill="0" applyBorder="0" applyAlignment="0" applyProtection="0"/>
    <xf numFmtId="205" fontId="2" fillId="0" borderId="0">
      <protection locked="0"/>
    </xf>
    <xf numFmtId="206" fontId="4" fillId="0" borderId="0" applyFont="0" applyFill="0" applyBorder="0" applyAlignment="0" applyProtection="0"/>
    <xf numFmtId="207" fontId="14" fillId="0" borderId="0">
      <protection locked="0"/>
    </xf>
    <xf numFmtId="207" fontId="14" fillId="0" borderId="0">
      <protection locked="0"/>
    </xf>
    <xf numFmtId="207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208" fontId="87" fillId="0" borderId="4" applyFill="0" applyBorder="0" applyAlignment="0"/>
    <xf numFmtId="209" fontId="2" fillId="0" borderId="0" applyFont="0" applyFill="0" applyBorder="0" applyAlignment="0" applyProtection="0"/>
    <xf numFmtId="0" fontId="4" fillId="0" borderId="0"/>
    <xf numFmtId="210" fontId="5" fillId="0" borderId="0"/>
    <xf numFmtId="210" fontId="5" fillId="0" borderId="0"/>
    <xf numFmtId="210" fontId="5" fillId="0" borderId="0"/>
    <xf numFmtId="0" fontId="8" fillId="0" borderId="0"/>
    <xf numFmtId="0" fontId="84" fillId="0" borderId="0" applyFont="0" applyFill="0" applyBorder="0" applyAlignment="0" applyProtection="0"/>
    <xf numFmtId="211" fontId="14" fillId="0" borderId="0">
      <protection locked="0"/>
    </xf>
    <xf numFmtId="0" fontId="88" fillId="0" borderId="0">
      <alignment vertical="top" wrapText="1"/>
    </xf>
    <xf numFmtId="212" fontId="2" fillId="0" borderId="0"/>
    <xf numFmtId="213" fontId="4" fillId="0" borderId="0"/>
    <xf numFmtId="0" fontId="89" fillId="0" borderId="0" applyNumberFormat="0" applyAlignment="0">
      <alignment horizontal="left"/>
    </xf>
    <xf numFmtId="214" fontId="10" fillId="0" borderId="0" applyFont="0" applyFill="0" applyBorder="0" applyAlignment="0" applyProtection="0"/>
    <xf numFmtId="215" fontId="2" fillId="0" borderId="0" applyFont="0" applyFill="0" applyBorder="0" applyAlignment="0" applyProtection="0"/>
    <xf numFmtId="0" fontId="14" fillId="0" borderId="0">
      <protection locked="0"/>
    </xf>
    <xf numFmtId="0" fontId="90" fillId="0" borderId="0">
      <protection locked="0"/>
    </xf>
    <xf numFmtId="0" fontId="14" fillId="0" borderId="0">
      <protection locked="0"/>
    </xf>
    <xf numFmtId="0" fontId="91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91" fillId="0" borderId="0">
      <protection locked="0"/>
    </xf>
    <xf numFmtId="0" fontId="92" fillId="0" borderId="0">
      <protection locked="0"/>
    </xf>
    <xf numFmtId="2" fontId="84" fillId="0" borderId="0" applyFont="0" applyFill="0" applyBorder="0" applyAlignment="0" applyProtection="0"/>
    <xf numFmtId="216" fontId="14" fillId="0" borderId="0">
      <protection locked="0"/>
    </xf>
    <xf numFmtId="0" fontId="93" fillId="0" borderId="0" applyNumberFormat="0" applyFill="0" applyBorder="0" applyAlignment="0" applyProtection="0"/>
    <xf numFmtId="38" fontId="94" fillId="32" borderId="0" applyNumberFormat="0" applyBorder="0" applyAlignment="0" applyProtection="0"/>
    <xf numFmtId="38" fontId="94" fillId="33" borderId="0" applyNumberFormat="0" applyBorder="0" applyAlignment="0" applyProtection="0"/>
    <xf numFmtId="38" fontId="94" fillId="33" borderId="0" applyNumberFormat="0" applyBorder="0" applyAlignment="0" applyProtection="0"/>
    <xf numFmtId="38" fontId="94" fillId="33" borderId="0" applyNumberFormat="0" applyBorder="0" applyAlignment="0" applyProtection="0"/>
    <xf numFmtId="3" fontId="19" fillId="0" borderId="42">
      <alignment horizontal="right" vertical="center"/>
    </xf>
    <xf numFmtId="4" fontId="19" fillId="0" borderId="42">
      <alignment horizontal="right" vertical="center"/>
    </xf>
    <xf numFmtId="0" fontId="95" fillId="0" borderId="0">
      <alignment horizontal="left"/>
    </xf>
    <xf numFmtId="0" fontId="96" fillId="0" borderId="39" applyNumberFormat="0" applyAlignment="0" applyProtection="0">
      <alignment horizontal="left" vertical="center"/>
    </xf>
    <xf numFmtId="0" fontId="96" fillId="0" borderId="13">
      <alignment horizontal="left" vertical="center"/>
    </xf>
    <xf numFmtId="0" fontId="97" fillId="0" borderId="43" applyNumberFormat="0" applyFill="0" applyAlignment="0" applyProtection="0">
      <alignment vertical="center"/>
    </xf>
    <xf numFmtId="0" fontId="98" fillId="0" borderId="0" applyNumberFormat="0" applyFill="0" applyBorder="0" applyAlignment="0" applyProtection="0"/>
    <xf numFmtId="0" fontId="99" fillId="0" borderId="43" applyNumberFormat="0" applyFill="0" applyAlignment="0" applyProtection="0">
      <alignment vertical="center"/>
    </xf>
    <xf numFmtId="0" fontId="100" fillId="0" borderId="0" applyNumberFormat="0" applyFill="0" applyBorder="0" applyAlignment="0" applyProtection="0"/>
    <xf numFmtId="217" fontId="2" fillId="0" borderId="0">
      <protection locked="0"/>
    </xf>
    <xf numFmtId="181" fontId="13" fillId="0" borderId="0">
      <protection locked="0"/>
    </xf>
    <xf numFmtId="217" fontId="2" fillId="0" borderId="0">
      <protection locked="0"/>
    </xf>
    <xf numFmtId="181" fontId="13" fillId="0" borderId="0">
      <protection locked="0"/>
    </xf>
    <xf numFmtId="0" fontId="101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02" fillId="11" borderId="29" applyNumberFormat="0" applyAlignment="0" applyProtection="0">
      <alignment vertical="center"/>
    </xf>
    <xf numFmtId="10" fontId="94" fillId="32" borderId="4" applyNumberFormat="0" applyBorder="0" applyAlignment="0" applyProtection="0"/>
    <xf numFmtId="10" fontId="94" fillId="34" borderId="4" applyNumberFormat="0" applyBorder="0" applyAlignment="0" applyProtection="0"/>
    <xf numFmtId="10" fontId="94" fillId="34" borderId="4" applyNumberFormat="0" applyBorder="0" applyAlignment="0" applyProtection="0"/>
    <xf numFmtId="10" fontId="94" fillId="34" borderId="4" applyNumberFormat="0" applyBorder="0" applyAlignment="0" applyProtection="0"/>
    <xf numFmtId="218" fontId="103" fillId="35" borderId="0"/>
    <xf numFmtId="0" fontId="2" fillId="0" borderId="12">
      <protection locked="0"/>
    </xf>
    <xf numFmtId="218" fontId="104" fillId="36" borderId="0"/>
    <xf numFmtId="0" fontId="21" fillId="0" borderId="0" applyNumberFormat="0" applyFill="0" applyBorder="0" applyProtection="0">
      <alignment vertical="top"/>
    </xf>
    <xf numFmtId="0" fontId="21" fillId="0" borderId="0" applyNumberFormat="0" applyFont="0" applyFill="0" applyBorder="0" applyProtection="0">
      <alignment horizontal="left" indent="2"/>
    </xf>
    <xf numFmtId="219" fontId="4" fillId="0" borderId="0" applyFont="0" applyFill="0" applyBorder="0" applyAlignment="0" applyProtection="0"/>
    <xf numFmtId="220" fontId="105" fillId="0" borderId="0">
      <alignment horizontal="left"/>
    </xf>
    <xf numFmtId="0" fontId="4" fillId="0" borderId="0" applyFont="0" applyFill="0" applyBorder="0" applyAlignment="0" applyProtection="0"/>
    <xf numFmtId="0" fontId="106" fillId="0" borderId="12"/>
    <xf numFmtId="0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33" borderId="0" applyNumberFormat="0" applyFont="0" applyFill="0" applyBorder="0" applyAlignment="0">
      <alignment vertical="center"/>
    </xf>
    <xf numFmtId="49" fontId="88" fillId="0" borderId="0">
      <alignment horizontal="center" vertical="top"/>
    </xf>
    <xf numFmtId="37" fontId="109" fillId="0" borderId="0"/>
    <xf numFmtId="221" fontId="2" fillId="0" borderId="0"/>
    <xf numFmtId="222" fontId="8" fillId="0" borderId="0"/>
    <xf numFmtId="0" fontId="8" fillId="0" borderId="0"/>
    <xf numFmtId="0" fontId="8" fillId="0" borderId="0"/>
    <xf numFmtId="0" fontId="8" fillId="0" borderId="0"/>
    <xf numFmtId="223" fontId="8" fillId="0" borderId="0"/>
    <xf numFmtId="0" fontId="8" fillId="0" borderId="0"/>
    <xf numFmtId="0" fontId="4" fillId="0" borderId="0"/>
    <xf numFmtId="40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14" fontId="77" fillId="0" borderId="0">
      <alignment horizontal="center" wrapText="1"/>
      <protection locked="0"/>
    </xf>
    <xf numFmtId="202" fontId="8" fillId="0" borderId="0">
      <protection locked="0"/>
    </xf>
    <xf numFmtId="10" fontId="4" fillId="0" borderId="0" applyFont="0" applyFill="0" applyBorder="0" applyAlignment="0" applyProtection="0"/>
    <xf numFmtId="224" fontId="14" fillId="0" borderId="0">
      <protection locked="0"/>
    </xf>
    <xf numFmtId="224" fontId="14" fillId="0" borderId="0">
      <protection locked="0"/>
    </xf>
    <xf numFmtId="224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10" fillId="33" borderId="0" applyNumberFormat="0">
      <alignment vertical="center"/>
    </xf>
    <xf numFmtId="225" fontId="111" fillId="0" borderId="0"/>
    <xf numFmtId="0" fontId="7" fillId="0" borderId="0" applyNumberFormat="0" applyFont="0" applyFill="0" applyBorder="0" applyAlignment="0" applyProtection="0">
      <alignment horizontal="left"/>
    </xf>
    <xf numFmtId="30" fontId="112" fillId="0" borderId="0" applyNumberFormat="0" applyFill="0" applyBorder="0" applyAlignment="0" applyProtection="0">
      <alignment horizontal="left"/>
    </xf>
    <xf numFmtId="226" fontId="113" fillId="0" borderId="44">
      <alignment vertical="center" wrapText="1"/>
    </xf>
    <xf numFmtId="0" fontId="7" fillId="0" borderId="0"/>
    <xf numFmtId="0" fontId="114" fillId="0" borderId="0">
      <alignment horizontal="center" vertical="center"/>
    </xf>
    <xf numFmtId="0" fontId="115" fillId="0" borderId="0"/>
    <xf numFmtId="0" fontId="106" fillId="0" borderId="0"/>
    <xf numFmtId="40" fontId="116" fillId="0" borderId="0" applyBorder="0">
      <alignment horizontal="right"/>
    </xf>
    <xf numFmtId="227" fontId="117" fillId="0" borderId="0">
      <alignment horizontal="center"/>
    </xf>
    <xf numFmtId="0" fontId="58" fillId="0" borderId="0" applyNumberFormat="0" applyFill="0" applyBorder="0" applyAlignment="0" applyProtection="0">
      <alignment vertical="center"/>
    </xf>
    <xf numFmtId="0" fontId="118" fillId="0" borderId="0" applyFill="0" applyBorder="0" applyProtection="0">
      <alignment horizontal="centerContinuous" vertical="center"/>
    </xf>
    <xf numFmtId="0" fontId="6" fillId="32" borderId="0" applyFill="0" applyBorder="0" applyProtection="0">
      <alignment horizontal="center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0" fontId="120" fillId="33" borderId="0">
      <alignment horizontal="centerContinuous"/>
    </xf>
    <xf numFmtId="0" fontId="120" fillId="33" borderId="0">
      <alignment horizontal="centerContinuous"/>
    </xf>
    <xf numFmtId="0" fontId="121" fillId="0" borderId="0"/>
    <xf numFmtId="0" fontId="60" fillId="0" borderId="45" applyNumberFormat="0" applyFill="0" applyAlignment="0" applyProtection="0">
      <alignment vertical="center"/>
    </xf>
    <xf numFmtId="181" fontId="14" fillId="0" borderId="46">
      <protection locked="0"/>
    </xf>
    <xf numFmtId="0" fontId="84" fillId="0" borderId="47" applyNumberFormat="0" applyFont="0" applyFill="0" applyAlignment="0" applyProtection="0"/>
    <xf numFmtId="0" fontId="122" fillId="0" borderId="7">
      <alignment horizontal="left"/>
    </xf>
    <xf numFmtId="0" fontId="88" fillId="0" borderId="0">
      <alignment horizontal="center" vertical="top"/>
    </xf>
    <xf numFmtId="0" fontId="18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>
      <protection locked="0"/>
    </xf>
    <xf numFmtId="0" fontId="48" fillId="37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38" fontId="6" fillId="0" borderId="0"/>
    <xf numFmtId="0" fontId="59" fillId="0" borderId="0" applyNumberFormat="0" applyFill="0" applyBorder="0" applyAlignment="0" applyProtection="0">
      <alignment vertical="center"/>
    </xf>
    <xf numFmtId="0" fontId="50" fillId="17" borderId="29" applyNumberFormat="0" applyAlignment="0" applyProtection="0">
      <alignment vertical="center"/>
    </xf>
    <xf numFmtId="2" fontId="125" fillId="0" borderId="0" applyFont="0" applyFill="0" applyBorder="0" applyAlignment="0" applyProtection="0"/>
    <xf numFmtId="228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26" fillId="0" borderId="0" applyNumberFormat="0" applyFill="0" applyBorder="0" applyAlignment="0" applyProtection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27" fillId="0" borderId="0" applyNumberFormat="0" applyFill="0" applyBorder="0" applyAlignment="0" applyProtection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28" fillId="0" borderId="0"/>
    <xf numFmtId="49" fontId="129" fillId="0" borderId="44">
      <alignment horizontal="center" vertical="center" wrapText="1"/>
    </xf>
    <xf numFmtId="0" fontId="130" fillId="0" borderId="48">
      <alignment horizontal="center" vertical="center"/>
    </xf>
    <xf numFmtId="38" fontId="10" fillId="0" borderId="0"/>
    <xf numFmtId="0" fontId="2" fillId="0" borderId="0">
      <protection locked="0"/>
    </xf>
    <xf numFmtId="0" fontId="49" fillId="10" borderId="0" applyNumberFormat="0" applyBorder="0" applyAlignment="0" applyProtection="0">
      <alignment vertical="center"/>
    </xf>
    <xf numFmtId="0" fontId="125" fillId="0" borderId="0" applyFon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31" fillId="0" borderId="49">
      <alignment vertical="center"/>
    </xf>
    <xf numFmtId="3" fontId="7" fillId="0" borderId="50">
      <alignment horizontal="center"/>
    </xf>
    <xf numFmtId="3" fontId="7" fillId="0" borderId="50">
      <alignment horizontal="center"/>
    </xf>
    <xf numFmtId="3" fontId="47" fillId="0" borderId="27" applyNumberFormat="0" applyFill="0" applyBorder="0" applyProtection="0">
      <alignment horizontal="center" vertical="center"/>
    </xf>
    <xf numFmtId="0" fontId="125" fillId="0" borderId="0" applyFon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49" fontId="132" fillId="0" borderId="44">
      <alignment horizontal="center" vertical="center" wrapText="1"/>
    </xf>
    <xf numFmtId="0" fontId="93" fillId="0" borderId="0" applyNumberForma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3" fillId="14" borderId="51" applyNumberFormat="0" applyFont="0" applyAlignment="0" applyProtection="0">
      <alignment vertical="center"/>
    </xf>
    <xf numFmtId="0" fontId="62" fillId="0" borderId="0" applyNumberFormat="0" applyFont="0" applyFill="0" applyBorder="0" applyProtection="0">
      <alignment horizontal="distributed" vertical="center" justifyLastLine="1"/>
    </xf>
    <xf numFmtId="40" fontId="8" fillId="0" borderId="0">
      <protection locked="0"/>
    </xf>
    <xf numFmtId="229" fontId="62" fillId="0" borderId="0" applyFont="0" applyFill="0" applyBorder="0" applyProtection="0">
      <alignment horizontal="center" vertical="center"/>
    </xf>
    <xf numFmtId="230" fontId="62" fillId="0" borderId="0" applyFont="0" applyFill="0" applyBorder="0" applyProtection="0">
      <alignment horizontal="center" vertical="center"/>
    </xf>
    <xf numFmtId="9" fontId="10" fillId="32" borderId="0" applyFill="0" applyBorder="0" applyProtection="0">
      <alignment horizontal="right"/>
    </xf>
    <xf numFmtId="10" fontId="10" fillId="0" borderId="0" applyFill="0" applyBorder="0" applyProtection="0">
      <alignment horizontal="right"/>
    </xf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231" fontId="62" fillId="0" borderId="0" applyFont="0" applyFill="0" applyBorder="0" applyAlignment="0" applyProtection="0"/>
    <xf numFmtId="191" fontId="62" fillId="0" borderId="0" applyFont="0" applyFill="0" applyBorder="0" applyAlignment="0" applyProtection="0"/>
    <xf numFmtId="0" fontId="134" fillId="0" borderId="0" applyFont="0" applyFill="0" applyBorder="0" applyProtection="0">
      <alignment horizontal="center" vertical="center"/>
    </xf>
    <xf numFmtId="0" fontId="134" fillId="0" borderId="0" applyFont="0" applyFill="0" applyBorder="0" applyProtection="0">
      <alignment horizontal="center" vertical="center"/>
    </xf>
    <xf numFmtId="0" fontId="56" fillId="19" borderId="0" applyNumberFormat="0" applyBorder="0" applyAlignment="0" applyProtection="0">
      <alignment vertical="center"/>
    </xf>
    <xf numFmtId="0" fontId="135" fillId="0" borderId="27" applyFont="0" applyFill="0" applyAlignment="0" applyProtection="0">
      <alignment horizontal="center" vertical="center"/>
    </xf>
    <xf numFmtId="0" fontId="8" fillId="0" borderId="0"/>
    <xf numFmtId="232" fontId="128" fillId="0" borderId="17" applyBorder="0"/>
    <xf numFmtId="0" fontId="2" fillId="0" borderId="0"/>
    <xf numFmtId="0" fontId="62" fillId="0" borderId="0" applyNumberFormat="0" applyFont="0" applyFill="0" applyBorder="0" applyProtection="0">
      <alignment horizontal="centerContinuous" vertical="center"/>
    </xf>
    <xf numFmtId="192" fontId="136" fillId="0" borderId="48">
      <alignment vertical="center"/>
    </xf>
    <xf numFmtId="3" fontId="62" fillId="0" borderId="4"/>
    <xf numFmtId="0" fontId="62" fillId="0" borderId="4"/>
    <xf numFmtId="3" fontId="62" fillId="0" borderId="24"/>
    <xf numFmtId="3" fontId="62" fillId="0" borderId="10"/>
    <xf numFmtId="0" fontId="137" fillId="0" borderId="4"/>
    <xf numFmtId="0" fontId="138" fillId="0" borderId="0">
      <alignment horizontal="center"/>
    </xf>
    <xf numFmtId="0" fontId="9" fillId="0" borderId="52">
      <alignment horizontal="center"/>
    </xf>
    <xf numFmtId="0" fontId="52" fillId="0" borderId="0" applyNumberFormat="0" applyFill="0" applyBorder="0" applyAlignment="0" applyProtection="0">
      <alignment vertical="center"/>
    </xf>
    <xf numFmtId="0" fontId="51" fillId="23" borderId="30" applyNumberFormat="0" applyAlignment="0" applyProtection="0">
      <alignment vertical="center"/>
    </xf>
    <xf numFmtId="1" fontId="8" fillId="0" borderId="0"/>
    <xf numFmtId="184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233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77" fontId="45" fillId="0" borderId="0"/>
    <xf numFmtId="41" fontId="2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77" fontId="45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78" fontId="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1" fillId="0" borderId="0"/>
    <xf numFmtId="0" fontId="4" fillId="0" borderId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194" fontId="2" fillId="0" borderId="0" applyFont="0" applyFill="0" applyBorder="0" applyAlignment="0" applyProtection="0"/>
    <xf numFmtId="0" fontId="15" fillId="0" borderId="53"/>
    <xf numFmtId="0" fontId="55" fillId="0" borderId="32" applyNumberFormat="0" applyFill="0" applyAlignment="0" applyProtection="0">
      <alignment vertical="center"/>
    </xf>
    <xf numFmtId="0" fontId="60" fillId="0" borderId="54" applyNumberFormat="0" applyFill="0" applyAlignment="0" applyProtection="0">
      <alignment vertical="center"/>
    </xf>
    <xf numFmtId="0" fontId="140" fillId="0" borderId="0" applyFont="0" applyFill="0" applyBorder="0" applyAlignment="0" applyProtection="0"/>
    <xf numFmtId="0" fontId="141" fillId="0" borderId="0">
      <alignment vertical="center"/>
    </xf>
    <xf numFmtId="0" fontId="142" fillId="0" borderId="0">
      <alignment horizontal="center" vertical="center"/>
    </xf>
    <xf numFmtId="0" fontId="143" fillId="0" borderId="0" applyNumberFormat="0" applyBorder="0" applyAlignment="0">
      <alignment horizontal="centerContinuous" vertical="center"/>
    </xf>
    <xf numFmtId="0" fontId="102" fillId="11" borderId="29" applyNumberFormat="0" applyAlignment="0" applyProtection="0">
      <alignment vertical="center"/>
    </xf>
    <xf numFmtId="4" fontId="125" fillId="0" borderId="0" applyFont="0" applyFill="0" applyBorder="0" applyAlignment="0" applyProtection="0"/>
    <xf numFmtId="4" fontId="14" fillId="0" borderId="0">
      <protection locked="0"/>
    </xf>
    <xf numFmtId="4" fontId="14" fillId="0" borderId="0">
      <protection locked="0"/>
    </xf>
    <xf numFmtId="4" fontId="14" fillId="0" borderId="0">
      <protection locked="0"/>
    </xf>
    <xf numFmtId="4" fontId="14" fillId="0" borderId="0">
      <protection locked="0"/>
    </xf>
    <xf numFmtId="3" fontId="125" fillId="0" borderId="0" applyFont="0" applyFill="0" applyBorder="0" applyAlignment="0" applyProtection="0"/>
    <xf numFmtId="234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1" fontId="5" fillId="32" borderId="0" applyNumberFormat="0" applyFont="0" applyFill="0" applyBorder="0" applyAlignment="0">
      <alignment vertical="center"/>
    </xf>
    <xf numFmtId="0" fontId="108" fillId="33" borderId="0" applyNumberFormat="0" applyFont="0" applyFill="0" applyBorder="0" applyAlignment="0">
      <alignment vertical="center"/>
    </xf>
    <xf numFmtId="0" fontId="144" fillId="0" borderId="55" applyNumberFormat="0" applyFill="0" applyAlignment="0" applyProtection="0">
      <alignment vertical="center"/>
    </xf>
    <xf numFmtId="0" fontId="145" fillId="0" borderId="56" applyNumberFormat="0" applyFill="0" applyAlignment="0" applyProtection="0">
      <alignment vertical="center"/>
    </xf>
    <xf numFmtId="0" fontId="146" fillId="0" borderId="57" applyNumberFormat="0" applyFill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8" fillId="0" borderId="4">
      <alignment horizontal="distributed" vertical="center"/>
    </xf>
    <xf numFmtId="0" fontId="8" fillId="0" borderId="17">
      <alignment horizontal="distributed" vertical="top"/>
    </xf>
    <xf numFmtId="0" fontId="8" fillId="0" borderId="26">
      <alignment horizontal="distributed"/>
    </xf>
    <xf numFmtId="235" fontId="148" fillId="0" borderId="0">
      <alignment vertical="center"/>
    </xf>
    <xf numFmtId="0" fontId="53" fillId="13" borderId="0" applyNumberFormat="0" applyBorder="0" applyAlignment="0" applyProtection="0">
      <alignment vertical="center"/>
    </xf>
    <xf numFmtId="0" fontId="2" fillId="0" borderId="58" applyNumberFormat="0" applyFont="0" applyFill="0" applyAlignment="0" applyProtection="0">
      <alignment horizontal="left" vertical="center" indent="3"/>
    </xf>
    <xf numFmtId="0" fontId="47" fillId="0" borderId="59" applyNumberFormat="0" applyFont="0" applyFill="0" applyProtection="0">
      <alignment horizontal="left" vertical="center"/>
    </xf>
    <xf numFmtId="0" fontId="8" fillId="0" borderId="0"/>
    <xf numFmtId="1" fontId="149" fillId="32" borderId="0" applyNumberFormat="0" applyFont="0" applyFill="0" applyBorder="0" applyAlignment="0">
      <alignment vertical="center"/>
    </xf>
    <xf numFmtId="0" fontId="57" fillId="17" borderId="34" applyNumberFormat="0" applyAlignment="0" applyProtection="0">
      <alignment vertical="center"/>
    </xf>
    <xf numFmtId="40" fontId="8" fillId="0" borderId="0">
      <protection locked="0"/>
    </xf>
    <xf numFmtId="40" fontId="8" fillId="0" borderId="0">
      <protection locked="0"/>
    </xf>
    <xf numFmtId="236" fontId="62" fillId="0" borderId="0" applyFont="0" applyFill="0" applyBorder="0" applyProtection="0">
      <alignment vertical="center"/>
    </xf>
    <xf numFmtId="38" fontId="62" fillId="0" borderId="0" applyFont="0" applyFill="0" applyBorder="0" applyProtection="0">
      <alignment vertical="center"/>
    </xf>
    <xf numFmtId="178" fontId="8" fillId="0" borderId="4">
      <alignment horizontal="center" vertical="center"/>
    </xf>
    <xf numFmtId="184" fontId="8" fillId="0" borderId="0" applyFont="0" applyFill="0" applyBorder="0" applyAlignment="0" applyProtection="0"/>
    <xf numFmtId="237" fontId="2" fillId="0" borderId="0" applyFont="0" applyFill="0" applyBorder="0" applyAlignment="0" applyProtection="0"/>
    <xf numFmtId="238" fontId="10" fillId="32" borderId="0" applyFill="0" applyBorder="0" applyProtection="0">
      <alignment horizontal="right"/>
    </xf>
    <xf numFmtId="239" fontId="2" fillId="32" borderId="0" applyFill="0" applyBorder="0" applyProtection="0">
      <alignment horizontal="right"/>
    </xf>
    <xf numFmtId="38" fontId="62" fillId="0" borderId="0" applyFont="0" applyFill="0" applyBorder="0" applyAlignment="0" applyProtection="0">
      <alignment vertical="center"/>
    </xf>
    <xf numFmtId="192" fontId="62" fillId="0" borderId="0" applyFont="0" applyFill="0" applyBorder="0" applyAlignment="0" applyProtection="0">
      <alignment vertical="center"/>
    </xf>
    <xf numFmtId="38" fontId="62" fillId="0" borderId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178" fontId="8" fillId="0" borderId="0" applyFont="0" applyFill="0" applyBorder="0" applyAlignment="0" applyProtection="0"/>
    <xf numFmtId="40" fontId="8" fillId="0" borderId="0">
      <protection locked="0"/>
    </xf>
    <xf numFmtId="40" fontId="8" fillId="0" borderId="0">
      <protection locked="0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150" fillId="0" borderId="0" applyFont="0" applyFill="0" applyBorder="0" applyAlignment="0" applyProtection="0">
      <alignment vertical="center"/>
    </xf>
    <xf numFmtId="42" fontId="150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10" fontId="125" fillId="0" borderId="0" applyFont="0" applyFill="0" applyBorder="0" applyAlignment="0" applyProtection="0"/>
    <xf numFmtId="24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241" fontId="2" fillId="0" borderId="0">
      <protection locked="0"/>
    </xf>
    <xf numFmtId="40" fontId="8" fillId="0" borderId="0">
      <protection locked="0"/>
    </xf>
    <xf numFmtId="0" fontId="151" fillId="0" borderId="48">
      <alignment horizontal="center" vertical="center"/>
    </xf>
    <xf numFmtId="0" fontId="151" fillId="0" borderId="48">
      <alignment horizontal="left" vertical="center"/>
    </xf>
    <xf numFmtId="0" fontId="151" fillId="0" borderId="48">
      <alignment vertical="center" textRotation="255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45" fillId="0" borderId="0"/>
    <xf numFmtId="0" fontId="45" fillId="0" borderId="0"/>
    <xf numFmtId="0" fontId="43" fillId="0" borderId="0">
      <alignment vertical="center"/>
    </xf>
    <xf numFmtId="0" fontId="150" fillId="0" borderId="0">
      <alignment vertical="center"/>
    </xf>
    <xf numFmtId="0" fontId="2" fillId="0" borderId="0">
      <alignment vertical="center"/>
    </xf>
    <xf numFmtId="0" fontId="45" fillId="0" borderId="0"/>
    <xf numFmtId="0" fontId="43" fillId="0" borderId="0">
      <alignment vertical="center"/>
    </xf>
    <xf numFmtId="0" fontId="45" fillId="0" borderId="0"/>
    <xf numFmtId="0" fontId="43" fillId="0" borderId="0">
      <alignment vertical="center"/>
    </xf>
    <xf numFmtId="0" fontId="2" fillId="0" borderId="0">
      <alignment vertical="center"/>
    </xf>
    <xf numFmtId="0" fontId="43" fillId="0" borderId="0">
      <alignment vertical="center"/>
    </xf>
    <xf numFmtId="0" fontId="154" fillId="0" borderId="0">
      <alignment vertical="center"/>
    </xf>
    <xf numFmtId="0" fontId="43" fillId="0" borderId="0">
      <alignment vertical="center"/>
    </xf>
    <xf numFmtId="0" fontId="10" fillId="0" borderId="0">
      <alignment vertical="center"/>
    </xf>
    <xf numFmtId="0" fontId="8" fillId="0" borderId="0"/>
    <xf numFmtId="0" fontId="153" fillId="0" borderId="0" applyNumberFormat="0" applyFill="0" applyBorder="0" applyProtection="0">
      <alignment vertical="top" wrapText="1"/>
    </xf>
    <xf numFmtId="0" fontId="6" fillId="0" borderId="0"/>
    <xf numFmtId="0" fontId="8" fillId="0" borderId="0"/>
    <xf numFmtId="0" fontId="8" fillId="0" borderId="48">
      <alignment vertical="center" wrapText="1"/>
    </xf>
    <xf numFmtId="0" fontId="2" fillId="0" borderId="4" applyNumberFormat="0" applyFill="0" applyProtection="0">
      <alignment vertical="center"/>
    </xf>
    <xf numFmtId="0" fontId="67" fillId="0" borderId="40">
      <alignment horizontal="center" vertical="center"/>
    </xf>
    <xf numFmtId="0" fontId="155" fillId="0" borderId="53" applyNumberFormat="0" applyFont="0" applyFill="0" applyAlignment="0" applyProtection="0">
      <alignment horizontal="left" vertical="center"/>
    </xf>
    <xf numFmtId="0" fontId="125" fillId="0" borderId="47" applyNumberFormat="0" applyFont="0" applyFill="0" applyAlignment="0" applyProtection="0"/>
    <xf numFmtId="0" fontId="14" fillId="0" borderId="47">
      <protection locked="0"/>
    </xf>
    <xf numFmtId="0" fontId="14" fillId="0" borderId="47">
      <protection locked="0"/>
    </xf>
    <xf numFmtId="0" fontId="14" fillId="0" borderId="47">
      <protection locked="0"/>
    </xf>
    <xf numFmtId="0" fontId="14" fillId="0" borderId="47">
      <protection locked="0"/>
    </xf>
    <xf numFmtId="242" fontId="125" fillId="0" borderId="0" applyFont="0" applyFill="0" applyBorder="0" applyAlignment="0" applyProtection="0"/>
    <xf numFmtId="243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244" fontId="2" fillId="0" borderId="0">
      <protection locked="0"/>
    </xf>
    <xf numFmtId="245" fontId="125" fillId="0" borderId="0" applyFont="0" applyFill="0" applyBorder="0" applyAlignment="0" applyProtection="0"/>
    <xf numFmtId="246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1" fillId="0" borderId="0" applyNumberFormat="0" applyFont="0" applyFill="0" applyBorder="0" applyProtection="0">
      <alignment vertical="top"/>
    </xf>
    <xf numFmtId="43" fontId="45" fillId="0" borderId="0"/>
    <xf numFmtId="4" fontId="14" fillId="0" borderId="0">
      <protection locked="0"/>
    </xf>
    <xf numFmtId="0" fontId="43" fillId="0" borderId="0">
      <alignment vertical="center"/>
    </xf>
    <xf numFmtId="41" fontId="2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45" fillId="0" borderId="0"/>
    <xf numFmtId="0" fontId="43" fillId="0" borderId="0">
      <alignment vertical="center"/>
    </xf>
    <xf numFmtId="0" fontId="4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6" fillId="3" borderId="0" applyNumberFormat="0" applyBorder="0" applyAlignment="0" applyProtection="0">
      <alignment vertical="center"/>
    </xf>
    <xf numFmtId="0" fontId="156" fillId="3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45" fillId="0" borderId="0"/>
    <xf numFmtId="0" fontId="157" fillId="2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/>
    <xf numFmtId="0" fontId="6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5" fillId="0" borderId="0"/>
    <xf numFmtId="0" fontId="153" fillId="0" borderId="0" applyNumberFormat="0" applyFill="0" applyBorder="0" applyProtection="0">
      <alignment vertical="top" wrapText="1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2" fontId="8" fillId="0" borderId="0">
      <protection locked="0"/>
    </xf>
    <xf numFmtId="0" fontId="58" fillId="0" borderId="0" applyNumberFormat="0" applyFill="0" applyBorder="0" applyAlignment="0" applyProtection="0">
      <alignment vertical="center"/>
    </xf>
    <xf numFmtId="0" fontId="10" fillId="0" borderId="0">
      <alignment horizontal="center" vertical="center"/>
    </xf>
    <xf numFmtId="0" fontId="8" fillId="0" borderId="26">
      <alignment horizontal="distributed"/>
    </xf>
    <xf numFmtId="0" fontId="10" fillId="0" borderId="0">
      <alignment horizontal="center" vertical="center"/>
    </xf>
    <xf numFmtId="0" fontId="43" fillId="0" borderId="0">
      <alignment vertical="center"/>
    </xf>
    <xf numFmtId="0" fontId="50" fillId="17" borderId="29" applyNumberFormat="0" applyAlignment="0" applyProtection="0">
      <alignment vertical="center"/>
    </xf>
    <xf numFmtId="4" fontId="14" fillId="0" borderId="0">
      <protection locked="0"/>
    </xf>
    <xf numFmtId="205" fontId="2" fillId="0" borderId="0">
      <protection locked="0"/>
    </xf>
    <xf numFmtId="0" fontId="96" fillId="0" borderId="13">
      <alignment horizontal="left" vertical="center"/>
    </xf>
    <xf numFmtId="217" fontId="2" fillId="0" borderId="0">
      <protection locked="0"/>
    </xf>
    <xf numFmtId="217" fontId="2" fillId="0" borderId="0">
      <protection locked="0"/>
    </xf>
    <xf numFmtId="0" fontId="102" fillId="11" borderId="29" applyNumberFormat="0" applyAlignment="0" applyProtection="0">
      <alignment vertical="center"/>
    </xf>
    <xf numFmtId="0" fontId="2" fillId="14" borderId="33" applyNumberFormat="0" applyFont="0" applyAlignment="0" applyProtection="0">
      <alignment vertical="center"/>
    </xf>
    <xf numFmtId="0" fontId="57" fillId="17" borderId="34" applyNumberFormat="0" applyAlignment="0" applyProtection="0">
      <alignment vertical="center"/>
    </xf>
    <xf numFmtId="202" fontId="8" fillId="0" borderId="0">
      <protection locked="0"/>
    </xf>
    <xf numFmtId="0" fontId="58" fillId="0" borderId="0" applyNumberFormat="0" applyFill="0" applyBorder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50" fillId="17" borderId="29" applyNumberFormat="0" applyAlignment="0" applyProtection="0">
      <alignment vertical="center"/>
    </xf>
    <xf numFmtId="0" fontId="3" fillId="14" borderId="51" applyNumberFormat="0" applyFont="0" applyAlignment="0" applyProtection="0">
      <alignment vertical="center"/>
    </xf>
    <xf numFmtId="0" fontId="43" fillId="0" borderId="0">
      <alignment vertical="center"/>
    </xf>
    <xf numFmtId="249" fontId="2" fillId="0" borderId="0">
      <alignment vertical="center"/>
    </xf>
    <xf numFmtId="0" fontId="60" fillId="0" borderId="54" applyNumberFormat="0" applyFill="0" applyAlignment="0" applyProtection="0">
      <alignment vertical="center"/>
    </xf>
    <xf numFmtId="0" fontId="2" fillId="0" borderId="0">
      <alignment vertical="center"/>
    </xf>
    <xf numFmtId="0" fontId="158" fillId="0" borderId="0" applyNumberFormat="0" applyFill="0" applyBorder="0" applyProtection="0">
      <alignment vertical="top"/>
    </xf>
    <xf numFmtId="0" fontId="102" fillId="11" borderId="29" applyNumberFormat="0" applyAlignment="0" applyProtection="0">
      <alignment vertical="center"/>
    </xf>
    <xf numFmtId="0" fontId="45" fillId="0" borderId="0">
      <alignment vertical="top"/>
    </xf>
    <xf numFmtId="0" fontId="43" fillId="0" borderId="0">
      <alignment vertical="center"/>
    </xf>
    <xf numFmtId="0" fontId="6" fillId="0" borderId="0"/>
    <xf numFmtId="0" fontId="43" fillId="0" borderId="0">
      <alignment vertical="center"/>
    </xf>
    <xf numFmtId="249" fontId="4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26">
      <alignment horizontal="distributed"/>
    </xf>
    <xf numFmtId="0" fontId="57" fillId="7" borderId="34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99" fillId="0" borderId="56" applyNumberFormat="0" applyFill="0" applyAlignment="0" applyProtection="0">
      <alignment vertical="center"/>
    </xf>
    <xf numFmtId="0" fontId="57" fillId="17" borderId="34" applyNumberFormat="0" applyAlignment="0" applyProtection="0">
      <alignment vertical="center"/>
    </xf>
    <xf numFmtId="0" fontId="97" fillId="0" borderId="43" applyNumberFormat="0" applyFill="0" applyAlignment="0" applyProtection="0">
      <alignment vertical="center"/>
    </xf>
    <xf numFmtId="0" fontId="102" fillId="19" borderId="29" applyNumberFormat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21" fillId="0" borderId="0"/>
    <xf numFmtId="178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2" fillId="14" borderId="51" applyNumberFormat="0" applyFont="0" applyAlignment="0" applyProtection="0">
      <alignment vertical="center"/>
    </xf>
    <xf numFmtId="0" fontId="50" fillId="7" borderId="29" applyNumberFormat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247" fontId="8" fillId="0" borderId="0" applyFill="0" applyBorder="0" applyAlignment="0"/>
    <xf numFmtId="0" fontId="2" fillId="0" borderId="0">
      <protection locked="0"/>
    </xf>
    <xf numFmtId="9" fontId="3" fillId="0" borderId="0" applyFont="0" applyFill="0" applyBorder="0" applyAlignment="0" applyProtection="0">
      <alignment vertical="center"/>
    </xf>
    <xf numFmtId="0" fontId="2" fillId="0" borderId="0">
      <protection locked="0"/>
    </xf>
    <xf numFmtId="0" fontId="2" fillId="0" borderId="0">
      <protection locked="0"/>
    </xf>
    <xf numFmtId="0" fontId="3" fillId="14" borderId="0" applyNumberFormat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249" fontId="3" fillId="4" borderId="1" applyNumberFormat="0" applyFont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248" fontId="8" fillId="0" borderId="0"/>
    <xf numFmtId="0" fontId="48" fillId="19" borderId="0" applyNumberFormat="0" applyBorder="0" applyAlignment="0" applyProtection="0">
      <alignment vertical="center"/>
    </xf>
    <xf numFmtId="0" fontId="2" fillId="0" borderId="0">
      <protection locked="0"/>
    </xf>
    <xf numFmtId="0" fontId="3" fillId="19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102" fillId="11" borderId="29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02" fillId="11" borderId="29" applyNumberFormat="0" applyAlignment="0" applyProtection="0">
      <alignment vertical="center"/>
    </xf>
    <xf numFmtId="4" fontId="14" fillId="0" borderId="0">
      <protection locked="0"/>
    </xf>
    <xf numFmtId="0" fontId="50" fillId="17" borderId="29" applyNumberFormat="0" applyAlignment="0" applyProtection="0">
      <alignment vertical="center"/>
    </xf>
    <xf numFmtId="4" fontId="14" fillId="0" borderId="0">
      <protection locked="0"/>
    </xf>
    <xf numFmtId="205" fontId="2" fillId="0" borderId="0">
      <protection locked="0"/>
    </xf>
    <xf numFmtId="217" fontId="2" fillId="0" borderId="0">
      <protection locked="0"/>
    </xf>
    <xf numFmtId="217" fontId="2" fillId="0" borderId="0">
      <protection locked="0"/>
    </xf>
    <xf numFmtId="0" fontId="102" fillId="11" borderId="29" applyNumberFormat="0" applyAlignment="0" applyProtection="0">
      <alignment vertical="center"/>
    </xf>
    <xf numFmtId="0" fontId="2" fillId="14" borderId="33" applyNumberFormat="0" applyFont="0" applyAlignment="0" applyProtection="0">
      <alignment vertical="center"/>
    </xf>
    <xf numFmtId="0" fontId="57" fillId="17" borderId="34" applyNumberFormat="0" applyAlignment="0" applyProtection="0">
      <alignment vertical="center"/>
    </xf>
    <xf numFmtId="202" fontId="8" fillId="0" borderId="0">
      <protection locked="0"/>
    </xf>
    <xf numFmtId="0" fontId="58" fillId="0" borderId="0" applyNumberFormat="0" applyFill="0" applyBorder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10" fillId="0" borderId="0">
      <alignment horizontal="center" vertical="center"/>
    </xf>
    <xf numFmtId="0" fontId="50" fillId="17" borderId="29" applyNumberFormat="0" applyAlignment="0" applyProtection="0">
      <alignment vertical="center"/>
    </xf>
    <xf numFmtId="0" fontId="3" fillId="14" borderId="51" applyNumberFormat="0" applyFont="0" applyAlignment="0" applyProtection="0">
      <alignment vertical="center"/>
    </xf>
    <xf numFmtId="0" fontId="60" fillId="0" borderId="54" applyNumberFormat="0" applyFill="0" applyAlignment="0" applyProtection="0">
      <alignment vertical="center"/>
    </xf>
    <xf numFmtId="0" fontId="102" fillId="11" borderId="29" applyNumberFormat="0" applyAlignment="0" applyProtection="0">
      <alignment vertical="center"/>
    </xf>
    <xf numFmtId="0" fontId="57" fillId="17" borderId="34" applyNumberFormat="0" applyAlignment="0" applyProtection="0">
      <alignment vertical="center"/>
    </xf>
    <xf numFmtId="0" fontId="43" fillId="0" borderId="0">
      <alignment vertical="center"/>
    </xf>
    <xf numFmtId="0" fontId="2" fillId="0" borderId="0"/>
    <xf numFmtId="42" fontId="1" fillId="0" borderId="0" applyFont="0" applyFill="0" applyBorder="0" applyAlignment="0" applyProtection="0">
      <alignment vertical="center"/>
    </xf>
  </cellStyleXfs>
  <cellXfs count="93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46" fillId="0" borderId="0" xfId="0" applyFont="1" applyAlignment="1">
      <alignment vertical="center"/>
    </xf>
    <xf numFmtId="0" fontId="159" fillId="0" borderId="0" xfId="0" applyFont="1">
      <alignment vertical="center"/>
    </xf>
    <xf numFmtId="0" fontId="160" fillId="0" borderId="0" xfId="0" applyFont="1">
      <alignment vertical="center"/>
    </xf>
    <xf numFmtId="0" fontId="0" fillId="0" borderId="0" xfId="0" applyAlignment="1">
      <alignment horizontal="left" vertical="center"/>
    </xf>
    <xf numFmtId="0" fontId="162" fillId="0" borderId="13" xfId="15899" applyFont="1" applyBorder="1" applyAlignment="1">
      <alignment horizontal="right" vertical="center" shrinkToFit="1"/>
    </xf>
    <xf numFmtId="0" fontId="162" fillId="0" borderId="0" xfId="0" applyFont="1" applyAlignment="1">
      <alignment horizontal="center" vertical="center"/>
    </xf>
    <xf numFmtId="0" fontId="162" fillId="0" borderId="0" xfId="0" applyFont="1" applyAlignment="1">
      <alignment vertical="center"/>
    </xf>
    <xf numFmtId="250" fontId="162" fillId="0" borderId="0" xfId="1" applyNumberFormat="1" applyFont="1" applyAlignment="1">
      <alignment vertical="center"/>
    </xf>
    <xf numFmtId="250" fontId="163" fillId="0" borderId="0" xfId="1" applyNumberFormat="1" applyFont="1">
      <alignment vertical="center"/>
    </xf>
    <xf numFmtId="0" fontId="163" fillId="0" borderId="0" xfId="0" applyFont="1">
      <alignment vertical="center"/>
    </xf>
    <xf numFmtId="41" fontId="163" fillId="0" borderId="0" xfId="1" applyFont="1">
      <alignment vertical="center"/>
    </xf>
    <xf numFmtId="0" fontId="163" fillId="0" borderId="0" xfId="0" applyFont="1" applyAlignment="1">
      <alignment horizontal="center" vertical="center"/>
    </xf>
    <xf numFmtId="49" fontId="162" fillId="0" borderId="4" xfId="14832" applyNumberFormat="1" applyFont="1" applyFill="1" applyBorder="1" applyAlignment="1">
      <alignment horizontal="left" vertical="center"/>
    </xf>
    <xf numFmtId="0" fontId="162" fillId="0" borderId="3" xfId="2" applyFont="1" applyFill="1" applyBorder="1" applyAlignment="1">
      <alignment horizontal="center" vertical="center"/>
    </xf>
    <xf numFmtId="41" fontId="162" fillId="0" borderId="4" xfId="1" applyFont="1" applyFill="1" applyBorder="1" applyAlignment="1">
      <alignment vertical="center"/>
    </xf>
    <xf numFmtId="41" fontId="162" fillId="0" borderId="9" xfId="1" applyFont="1" applyFill="1" applyBorder="1" applyAlignment="1">
      <alignment horizontal="center" vertical="center"/>
    </xf>
    <xf numFmtId="0" fontId="162" fillId="0" borderId="36" xfId="2" applyFont="1" applyFill="1" applyBorder="1" applyAlignment="1">
      <alignment vertical="center"/>
    </xf>
    <xf numFmtId="0" fontId="162" fillId="0" borderId="36" xfId="2" applyFont="1" applyFill="1" applyBorder="1" applyAlignment="1">
      <alignment horizontal="center" vertical="center"/>
    </xf>
    <xf numFmtId="41" fontId="162" fillId="0" borderId="60" xfId="1" applyFont="1" applyFill="1" applyBorder="1" applyAlignment="1">
      <alignment vertical="center"/>
    </xf>
    <xf numFmtId="0" fontId="162" fillId="0" borderId="36" xfId="0" applyFont="1" applyFill="1" applyBorder="1" applyAlignment="1">
      <alignment vertical="center"/>
    </xf>
    <xf numFmtId="0" fontId="162" fillId="0" borderId="4" xfId="2" applyFont="1" applyFill="1" applyBorder="1" applyAlignment="1">
      <alignment vertical="center"/>
    </xf>
    <xf numFmtId="0" fontId="162" fillId="0" borderId="4" xfId="2" applyFont="1" applyFill="1" applyBorder="1" applyAlignment="1">
      <alignment horizontal="center" vertical="center" shrinkToFit="1"/>
    </xf>
    <xf numFmtId="41" fontId="162" fillId="0" borderId="4" xfId="1" applyFont="1" applyFill="1" applyBorder="1" applyAlignment="1">
      <alignment vertical="center" shrinkToFit="1"/>
    </xf>
    <xf numFmtId="0" fontId="162" fillId="0" borderId="65" xfId="2" applyFont="1" applyFill="1" applyBorder="1" applyAlignment="1">
      <alignment horizontal="center" vertical="center" shrinkToFit="1"/>
    </xf>
    <xf numFmtId="0" fontId="162" fillId="0" borderId="66" xfId="2" applyFont="1" applyFill="1" applyBorder="1" applyAlignment="1">
      <alignment vertical="center"/>
    </xf>
    <xf numFmtId="0" fontId="162" fillId="0" borderId="64" xfId="2" applyFont="1" applyFill="1" applyBorder="1" applyAlignment="1">
      <alignment vertical="center" shrinkToFit="1"/>
    </xf>
    <xf numFmtId="0" fontId="162" fillId="0" borderId="4" xfId="2" applyFont="1" applyFill="1" applyBorder="1" applyAlignment="1">
      <alignment horizontal="left" vertical="center"/>
    </xf>
    <xf numFmtId="0" fontId="162" fillId="0" borderId="37" xfId="2" applyFont="1" applyFill="1" applyBorder="1" applyAlignment="1">
      <alignment horizontal="center" vertical="center" shrinkToFit="1"/>
    </xf>
    <xf numFmtId="0" fontId="162" fillId="0" borderId="71" xfId="2" applyFont="1" applyFill="1" applyBorder="1" applyAlignment="1">
      <alignment horizontal="center" vertical="center"/>
    </xf>
    <xf numFmtId="0" fontId="162" fillId="0" borderId="71" xfId="0" applyFont="1" applyFill="1" applyBorder="1" applyAlignment="1">
      <alignment horizontal="center" vertical="center"/>
    </xf>
    <xf numFmtId="0" fontId="162" fillId="21" borderId="4" xfId="15923" applyFont="1" applyFill="1" applyBorder="1" applyAlignment="1">
      <alignment horizontal="center" vertical="center"/>
    </xf>
    <xf numFmtId="0" fontId="162" fillId="0" borderId="4" xfId="2" applyFont="1" applyFill="1" applyBorder="1" applyAlignment="1">
      <alignment horizontal="center" vertical="center" wrapText="1"/>
    </xf>
    <xf numFmtId="250" fontId="163" fillId="0" borderId="0" xfId="1" applyNumberFormat="1" applyFont="1" applyAlignment="1">
      <alignment horizontal="right" vertical="top"/>
    </xf>
    <xf numFmtId="0" fontId="166" fillId="0" borderId="0" xfId="15917" applyFont="1" applyFill="1" applyBorder="1" applyAlignment="1">
      <alignment horizontal="right" vertical="center"/>
    </xf>
    <xf numFmtId="250" fontId="166" fillId="0" borderId="0" xfId="1" applyNumberFormat="1" applyFont="1" applyFill="1" applyBorder="1" applyAlignment="1">
      <alignment horizontal="center" vertical="center" shrinkToFit="1"/>
    </xf>
    <xf numFmtId="0" fontId="166" fillId="0" borderId="0" xfId="15917" applyFont="1" applyFill="1" applyBorder="1" applyAlignment="1">
      <alignment horizontal="center" vertical="center"/>
    </xf>
    <xf numFmtId="0" fontId="166" fillId="0" borderId="0" xfId="15923" applyFont="1" applyFill="1" applyBorder="1" applyAlignment="1">
      <alignment horizontal="center" vertical="center"/>
    </xf>
    <xf numFmtId="0" fontId="166" fillId="0" borderId="0" xfId="0" applyFont="1" applyFill="1">
      <alignment vertical="center"/>
    </xf>
    <xf numFmtId="0" fontId="167" fillId="0" borderId="0" xfId="15917" quotePrefix="1" applyFont="1" applyFill="1" applyBorder="1" applyAlignment="1">
      <alignment horizontal="left" vertical="center"/>
    </xf>
    <xf numFmtId="41" fontId="162" fillId="0" borderId="0" xfId="1" applyFont="1" applyFill="1" applyBorder="1" applyAlignment="1">
      <alignment vertical="center" shrinkToFit="1"/>
    </xf>
    <xf numFmtId="0" fontId="162" fillId="0" borderId="70" xfId="2" applyFont="1" applyFill="1" applyBorder="1" applyAlignment="1">
      <alignment vertical="center"/>
    </xf>
    <xf numFmtId="0" fontId="162" fillId="0" borderId="69" xfId="2" applyFont="1" applyFill="1" applyBorder="1" applyAlignment="1">
      <alignment vertical="center" shrinkToFit="1"/>
    </xf>
    <xf numFmtId="0" fontId="162" fillId="0" borderId="77" xfId="2" applyFont="1" applyFill="1" applyBorder="1" applyAlignment="1">
      <alignment vertical="center" shrinkToFit="1"/>
    </xf>
    <xf numFmtId="0" fontId="162" fillId="0" borderId="70" xfId="2" applyFont="1" applyFill="1" applyBorder="1" applyAlignment="1">
      <alignment horizontal="center" vertical="center" shrinkToFit="1"/>
    </xf>
    <xf numFmtId="41" fontId="162" fillId="0" borderId="80" xfId="1" applyFont="1" applyFill="1" applyBorder="1" applyAlignment="1">
      <alignment horizontal="center" vertical="center"/>
    </xf>
    <xf numFmtId="41" fontId="162" fillId="0" borderId="3" xfId="1" applyFont="1" applyFill="1" applyBorder="1" applyAlignment="1">
      <alignment vertical="center" shrinkToFit="1"/>
    </xf>
    <xf numFmtId="0" fontId="162" fillId="0" borderId="4" xfId="2" applyFont="1" applyFill="1" applyBorder="1" applyAlignment="1">
      <alignment horizontal="center" vertical="center"/>
    </xf>
    <xf numFmtId="0" fontId="162" fillId="0" borderId="14" xfId="2" applyFont="1" applyFill="1" applyBorder="1" applyAlignment="1">
      <alignment horizontal="center" vertical="center" shrinkToFit="1"/>
    </xf>
    <xf numFmtId="0" fontId="162" fillId="0" borderId="38" xfId="2" applyFont="1" applyFill="1" applyBorder="1" applyAlignment="1">
      <alignment vertical="center"/>
    </xf>
    <xf numFmtId="0" fontId="163" fillId="0" borderId="36" xfId="0" applyFont="1" applyFill="1" applyBorder="1" applyAlignment="1">
      <alignment vertical="center"/>
    </xf>
    <xf numFmtId="0" fontId="163" fillId="0" borderId="37" xfId="0" applyFont="1" applyFill="1" applyBorder="1" applyAlignment="1">
      <alignment horizontal="left" vertical="center"/>
    </xf>
    <xf numFmtId="41" fontId="162" fillId="0" borderId="80" xfId="1" applyFont="1" applyFill="1" applyBorder="1" applyAlignment="1">
      <alignment vertical="center" shrinkToFit="1"/>
    </xf>
    <xf numFmtId="0" fontId="162" fillId="40" borderId="9" xfId="15917" applyFont="1" applyFill="1" applyBorder="1" applyAlignment="1">
      <alignment horizontal="center" vertical="center"/>
    </xf>
    <xf numFmtId="0" fontId="161" fillId="40" borderId="4" xfId="15923" applyFont="1" applyFill="1" applyBorder="1" applyAlignment="1">
      <alignment horizontal="center" vertical="center"/>
    </xf>
    <xf numFmtId="0" fontId="162" fillId="40" borderId="4" xfId="15923" applyFont="1" applyFill="1" applyBorder="1" applyAlignment="1">
      <alignment horizontal="center" vertical="center"/>
    </xf>
    <xf numFmtId="0" fontId="162" fillId="0" borderId="4" xfId="2" applyFont="1" applyFill="1" applyBorder="1" applyAlignment="1">
      <alignment vertical="center" shrinkToFit="1"/>
    </xf>
    <xf numFmtId="0" fontId="162" fillId="0" borderId="4" xfId="2" applyFont="1" applyFill="1" applyBorder="1" applyAlignment="1">
      <alignment horizontal="center" vertical="center"/>
    </xf>
    <xf numFmtId="0" fontId="162" fillId="21" borderId="4" xfId="15923" applyFont="1" applyFill="1" applyBorder="1" applyAlignment="1">
      <alignment horizontal="left" vertical="center"/>
    </xf>
    <xf numFmtId="0" fontId="162" fillId="0" borderId="4" xfId="2" applyFont="1" applyFill="1" applyBorder="1" applyAlignment="1">
      <alignment horizontal="left" vertical="center" wrapText="1"/>
    </xf>
    <xf numFmtId="0" fontId="162" fillId="0" borderId="17" xfId="2" applyFont="1" applyFill="1" applyBorder="1" applyAlignment="1">
      <alignment horizontal="left" vertical="center"/>
    </xf>
    <xf numFmtId="0" fontId="162" fillId="0" borderId="4" xfId="5749" applyFont="1" applyFill="1" applyBorder="1" applyAlignment="1">
      <alignment horizontal="center" vertical="center"/>
    </xf>
    <xf numFmtId="0" fontId="162" fillId="39" borderId="4" xfId="0" applyFont="1" applyFill="1" applyBorder="1" applyAlignment="1">
      <alignment horizontal="left" vertical="center" wrapText="1"/>
    </xf>
    <xf numFmtId="0" fontId="162" fillId="39" borderId="4" xfId="0" applyFont="1" applyFill="1" applyBorder="1" applyAlignment="1">
      <alignment horizontal="center" vertical="center" wrapText="1"/>
    </xf>
    <xf numFmtId="0" fontId="163" fillId="0" borderId="4" xfId="0" applyFont="1" applyFill="1" applyBorder="1" applyAlignment="1">
      <alignment horizontal="left" vertical="center"/>
    </xf>
    <xf numFmtId="0" fontId="162" fillId="0" borderId="4" xfId="0" applyFont="1" applyBorder="1" applyAlignment="1">
      <alignment horizontal="center" vertical="center"/>
    </xf>
    <xf numFmtId="0" fontId="163" fillId="0" borderId="4" xfId="0" applyFont="1" applyBorder="1" applyAlignment="1">
      <alignment horizontal="left" vertical="center"/>
    </xf>
    <xf numFmtId="0" fontId="163" fillId="0" borderId="4" xfId="0" applyFont="1" applyBorder="1" applyAlignment="1">
      <alignment horizontal="center" vertical="center"/>
    </xf>
    <xf numFmtId="0" fontId="162" fillId="0" borderId="4" xfId="5749" applyFont="1" applyFill="1" applyBorder="1" applyAlignment="1">
      <alignment horizontal="center" vertical="center" wrapText="1"/>
    </xf>
    <xf numFmtId="41" fontId="162" fillId="0" borderId="4" xfId="0" applyNumberFormat="1" applyFont="1" applyBorder="1" applyAlignment="1">
      <alignment horizontal="center" vertical="center"/>
    </xf>
    <xf numFmtId="0" fontId="163" fillId="0" borderId="4" xfId="0" applyFont="1" applyFill="1" applyBorder="1" applyAlignment="1">
      <alignment horizontal="left" vertical="center" wrapText="1"/>
    </xf>
    <xf numFmtId="0" fontId="162" fillId="39" borderId="4" xfId="16803" applyFont="1" applyFill="1" applyBorder="1" applyAlignment="1">
      <alignment horizontal="left" vertical="center" wrapText="1"/>
    </xf>
    <xf numFmtId="41" fontId="162" fillId="0" borderId="4" xfId="16798" applyFont="1" applyFill="1" applyBorder="1" applyAlignment="1">
      <alignment horizontal="center" vertical="center"/>
    </xf>
    <xf numFmtId="250" fontId="161" fillId="20" borderId="3" xfId="1" applyNumberFormat="1" applyFont="1" applyFill="1" applyBorder="1" applyAlignment="1">
      <alignment horizontal="center" vertical="center" shrinkToFit="1"/>
    </xf>
    <xf numFmtId="252" fontId="161" fillId="20" borderId="3" xfId="1" applyNumberFormat="1" applyFont="1" applyFill="1" applyBorder="1" applyAlignment="1">
      <alignment horizontal="center" vertical="center" shrinkToFit="1"/>
    </xf>
    <xf numFmtId="0" fontId="162" fillId="0" borderId="61" xfId="2" applyFont="1" applyFill="1" applyBorder="1" applyAlignment="1">
      <alignment horizontal="center" vertical="center"/>
    </xf>
    <xf numFmtId="0" fontId="162" fillId="0" borderId="26" xfId="2" applyFont="1" applyFill="1" applyBorder="1" applyAlignment="1">
      <alignment horizontal="left" vertical="center"/>
    </xf>
    <xf numFmtId="0" fontId="162" fillId="0" borderId="4" xfId="2" applyFont="1" applyFill="1" applyBorder="1" applyAlignment="1">
      <alignment horizontal="center" vertical="center"/>
    </xf>
    <xf numFmtId="41" fontId="162" fillId="0" borderId="0" xfId="1" applyFont="1" applyAlignment="1">
      <alignment vertical="center"/>
    </xf>
    <xf numFmtId="41" fontId="163" fillId="0" borderId="4" xfId="1" applyFont="1" applyFill="1" applyBorder="1" applyAlignment="1">
      <alignment horizontal="right" vertical="center"/>
    </xf>
    <xf numFmtId="41" fontId="162" fillId="39" borderId="4" xfId="1" applyFont="1" applyFill="1" applyBorder="1" applyAlignment="1" applyProtection="1">
      <alignment horizontal="right" vertical="center"/>
    </xf>
    <xf numFmtId="41" fontId="166" fillId="0" borderId="0" xfId="1" applyFont="1" applyFill="1" applyBorder="1" applyAlignment="1">
      <alignment horizontal="right" vertical="center"/>
    </xf>
    <xf numFmtId="0" fontId="162" fillId="39" borderId="26" xfId="16803" applyFont="1" applyFill="1" applyBorder="1" applyAlignment="1">
      <alignment horizontal="left" vertical="center" wrapText="1"/>
    </xf>
    <xf numFmtId="0" fontId="162" fillId="0" borderId="83" xfId="2" applyFont="1" applyFill="1" applyBorder="1" applyAlignment="1">
      <alignment horizontal="center" vertical="center"/>
    </xf>
    <xf numFmtId="0" fontId="162" fillId="0" borderId="25" xfId="2" applyFont="1" applyFill="1" applyBorder="1" applyAlignment="1">
      <alignment vertical="center" wrapText="1"/>
    </xf>
    <xf numFmtId="0" fontId="162" fillId="0" borderId="4" xfId="2" applyFont="1" applyFill="1" applyBorder="1" applyAlignment="1">
      <alignment horizontal="center" vertical="center"/>
    </xf>
    <xf numFmtId="0" fontId="162" fillId="0" borderId="4" xfId="0" applyFont="1" applyFill="1" applyBorder="1" applyAlignment="1">
      <alignment horizontal="center" vertical="center" wrapText="1"/>
    </xf>
    <xf numFmtId="0" fontId="162" fillId="0" borderId="4" xfId="0" applyFont="1" applyFill="1" applyBorder="1" applyAlignment="1">
      <alignment horizontal="left" vertical="center" wrapText="1"/>
    </xf>
    <xf numFmtId="0" fontId="162" fillId="0" borderId="4" xfId="2" applyFont="1" applyFill="1" applyBorder="1" applyAlignment="1">
      <alignment horizontal="left" vertical="center"/>
    </xf>
    <xf numFmtId="0" fontId="162" fillId="0" borderId="4" xfId="0" applyFont="1" applyFill="1" applyBorder="1" applyAlignment="1">
      <alignment vertical="center"/>
    </xf>
    <xf numFmtId="250" fontId="162" fillId="21" borderId="3" xfId="5749" applyNumberFormat="1" applyFont="1" applyFill="1" applyBorder="1" applyAlignment="1">
      <alignment horizontal="left" vertical="center"/>
    </xf>
    <xf numFmtId="0" fontId="162" fillId="0" borderId="60" xfId="5749" applyFont="1" applyFill="1" applyBorder="1" applyAlignment="1">
      <alignment horizontal="center" vertical="center"/>
    </xf>
    <xf numFmtId="0" fontId="162" fillId="21" borderId="9" xfId="5749" applyFont="1" applyFill="1" applyBorder="1" applyAlignment="1">
      <alignment horizontal="center" vertical="center" shrinkToFit="1"/>
    </xf>
    <xf numFmtId="0" fontId="162" fillId="0" borderId="9" xfId="5749" applyFont="1" applyFill="1" applyBorder="1" applyAlignment="1">
      <alignment horizontal="center" vertical="center"/>
    </xf>
    <xf numFmtId="0" fontId="162" fillId="0" borderId="62" xfId="5749" applyFont="1" applyFill="1" applyBorder="1" applyAlignment="1">
      <alignment horizontal="center" vertical="center"/>
    </xf>
    <xf numFmtId="0" fontId="163" fillId="38" borderId="4" xfId="2" applyFont="1" applyFill="1" applyBorder="1" applyAlignment="1">
      <alignment horizontal="left" vertical="center"/>
    </xf>
    <xf numFmtId="0" fontId="163" fillId="38" borderId="4" xfId="16803" applyFont="1" applyFill="1" applyBorder="1" applyAlignment="1">
      <alignment horizontal="left" vertical="center" wrapText="1"/>
    </xf>
    <xf numFmtId="251" fontId="163" fillId="38" borderId="4" xfId="0" applyNumberFormat="1" applyFont="1" applyFill="1" applyBorder="1" applyAlignment="1">
      <alignment horizontal="center" vertical="center"/>
    </xf>
    <xf numFmtId="0" fontId="163" fillId="38" borderId="4" xfId="0" applyFont="1" applyFill="1" applyBorder="1" applyAlignment="1">
      <alignment horizontal="center" vertical="center" wrapText="1"/>
    </xf>
    <xf numFmtId="41" fontId="163" fillId="38" borderId="4" xfId="1" applyFont="1" applyFill="1" applyBorder="1" applyAlignment="1">
      <alignment horizontal="right" vertical="center"/>
    </xf>
    <xf numFmtId="250" fontId="163" fillId="38" borderId="3" xfId="5749" applyNumberFormat="1" applyFont="1" applyFill="1" applyBorder="1" applyAlignment="1">
      <alignment horizontal="left" vertical="center"/>
    </xf>
    <xf numFmtId="0" fontId="163" fillId="38" borderId="9" xfId="5749" applyFont="1" applyFill="1" applyBorder="1" applyAlignment="1">
      <alignment horizontal="center" vertical="center"/>
    </xf>
    <xf numFmtId="0" fontId="163" fillId="38" borderId="4" xfId="2" applyFont="1" applyFill="1" applyBorder="1" applyAlignment="1">
      <alignment horizontal="center" vertical="center"/>
    </xf>
    <xf numFmtId="0" fontId="162" fillId="38" borderId="4" xfId="2" applyFont="1" applyFill="1" applyBorder="1" applyAlignment="1">
      <alignment vertical="center"/>
    </xf>
    <xf numFmtId="0" fontId="162" fillId="38" borderId="4" xfId="2" applyFont="1" applyFill="1" applyBorder="1" applyAlignment="1">
      <alignment horizontal="center" vertical="center"/>
    </xf>
    <xf numFmtId="250" fontId="170" fillId="0" borderId="0" xfId="1" applyNumberFormat="1" applyFont="1">
      <alignment vertical="center"/>
    </xf>
    <xf numFmtId="250" fontId="170" fillId="38" borderId="4" xfId="5749" applyNumberFormat="1" applyFont="1" applyFill="1" applyBorder="1" applyAlignment="1">
      <alignment horizontal="left" vertical="center"/>
    </xf>
    <xf numFmtId="250" fontId="163" fillId="0" borderId="0" xfId="1" applyNumberFormat="1" applyFont="1" applyAlignment="1">
      <alignment horizontal="center" vertical="center"/>
    </xf>
    <xf numFmtId="0" fontId="161" fillId="20" borderId="4" xfId="2" applyFont="1" applyFill="1" applyBorder="1" applyAlignment="1">
      <alignment horizontal="center" vertical="center"/>
    </xf>
    <xf numFmtId="41" fontId="161" fillId="20" borderId="4" xfId="1" applyFont="1" applyFill="1" applyBorder="1" applyAlignment="1">
      <alignment horizontal="center" vertical="center" wrapText="1"/>
    </xf>
    <xf numFmtId="250" fontId="161" fillId="20" borderId="4" xfId="1" applyNumberFormat="1" applyFont="1" applyFill="1" applyBorder="1" applyAlignment="1">
      <alignment horizontal="center" vertical="center" wrapText="1"/>
    </xf>
    <xf numFmtId="0" fontId="172" fillId="0" borderId="4" xfId="2" applyFont="1" applyFill="1" applyBorder="1" applyAlignment="1">
      <alignment horizontal="center" vertical="center"/>
    </xf>
    <xf numFmtId="0" fontId="172" fillId="0" borderId="3" xfId="2" applyFont="1" applyFill="1" applyBorder="1" applyAlignment="1">
      <alignment horizontal="center" vertical="center"/>
    </xf>
    <xf numFmtId="41" fontId="172" fillId="0" borderId="4" xfId="1" applyFont="1" applyFill="1" applyBorder="1" applyAlignment="1">
      <alignment vertical="center"/>
    </xf>
    <xf numFmtId="251" fontId="172" fillId="39" borderId="4" xfId="14832" applyNumberFormat="1" applyFont="1" applyFill="1" applyBorder="1" applyAlignment="1">
      <alignment horizontal="center" vertical="center" wrapText="1"/>
    </xf>
    <xf numFmtId="0" fontId="172" fillId="39" borderId="4" xfId="0" applyFont="1" applyFill="1" applyBorder="1" applyAlignment="1">
      <alignment horizontal="center" vertical="center" wrapText="1"/>
    </xf>
    <xf numFmtId="41" fontId="172" fillId="39" borderId="4" xfId="1" applyFont="1" applyFill="1" applyBorder="1" applyAlignment="1">
      <alignment horizontal="right" vertical="center"/>
    </xf>
    <xf numFmtId="250" fontId="172" fillId="0" borderId="3" xfId="5749" applyNumberFormat="1" applyFont="1" applyFill="1" applyBorder="1" applyAlignment="1">
      <alignment horizontal="left" vertical="center"/>
    </xf>
    <xf numFmtId="251" fontId="172" fillId="0" borderId="4" xfId="0" applyNumberFormat="1" applyFont="1" applyBorder="1" applyAlignment="1">
      <alignment horizontal="center" vertical="center"/>
    </xf>
    <xf numFmtId="251" fontId="172" fillId="0" borderId="4" xfId="0" applyNumberFormat="1" applyFont="1" applyFill="1" applyBorder="1" applyAlignment="1">
      <alignment horizontal="center" vertical="center"/>
    </xf>
    <xf numFmtId="41" fontId="172" fillId="0" borderId="4" xfId="1" applyFont="1" applyFill="1" applyBorder="1" applyAlignment="1">
      <alignment horizontal="right" vertical="center"/>
    </xf>
    <xf numFmtId="0" fontId="172" fillId="0" borderId="4" xfId="0" applyFont="1" applyBorder="1" applyAlignment="1">
      <alignment horizontal="center" vertical="center"/>
    </xf>
    <xf numFmtId="251" fontId="172" fillId="0" borderId="4" xfId="5749" applyNumberFormat="1" applyFont="1" applyFill="1" applyBorder="1" applyAlignment="1">
      <alignment horizontal="center" vertical="center"/>
    </xf>
    <xf numFmtId="0" fontId="172" fillId="0" borderId="4" xfId="5749" applyFont="1" applyFill="1" applyBorder="1" applyAlignment="1">
      <alignment horizontal="center" vertical="center"/>
    </xf>
    <xf numFmtId="251" fontId="172" fillId="0" borderId="4" xfId="5749" applyNumberFormat="1" applyFont="1" applyBorder="1" applyAlignment="1">
      <alignment horizontal="center" vertical="center"/>
    </xf>
    <xf numFmtId="0" fontId="172" fillId="0" borderId="4" xfId="5749" applyFont="1" applyFill="1" applyBorder="1" applyAlignment="1">
      <alignment horizontal="center" vertical="center" wrapText="1"/>
    </xf>
    <xf numFmtId="41" fontId="172" fillId="0" borderId="4" xfId="0" applyNumberFormat="1" applyFont="1" applyBorder="1" applyAlignment="1">
      <alignment horizontal="center" vertical="center"/>
    </xf>
    <xf numFmtId="251" fontId="172" fillId="0" borderId="4" xfId="0" applyNumberFormat="1" applyFont="1" applyFill="1" applyBorder="1" applyAlignment="1">
      <alignment horizontal="center" vertical="center" wrapText="1"/>
    </xf>
    <xf numFmtId="251" fontId="172" fillId="39" borderId="4" xfId="5749" applyNumberFormat="1" applyFont="1" applyFill="1" applyBorder="1" applyAlignment="1">
      <alignment horizontal="center" vertical="center"/>
    </xf>
    <xf numFmtId="41" fontId="172" fillId="39" borderId="4" xfId="1" applyFont="1" applyFill="1" applyBorder="1" applyAlignment="1" applyProtection="1">
      <alignment horizontal="right" vertical="center"/>
    </xf>
    <xf numFmtId="251" fontId="172" fillId="39" borderId="4" xfId="0" applyNumberFormat="1" applyFont="1" applyFill="1" applyBorder="1" applyAlignment="1">
      <alignment horizontal="center" vertical="center" wrapText="1"/>
    </xf>
    <xf numFmtId="0" fontId="163" fillId="39" borderId="4" xfId="0" applyFont="1" applyFill="1" applyBorder="1" applyAlignment="1">
      <alignment horizontal="center" vertical="center" wrapText="1"/>
    </xf>
    <xf numFmtId="0" fontId="163" fillId="0" borderId="4" xfId="5749" applyFont="1" applyFill="1" applyBorder="1" applyAlignment="1">
      <alignment horizontal="center" vertical="center" wrapText="1"/>
    </xf>
    <xf numFmtId="0" fontId="163" fillId="0" borderId="4" xfId="5749" applyFont="1" applyFill="1" applyBorder="1" applyAlignment="1">
      <alignment horizontal="center" vertical="center"/>
    </xf>
    <xf numFmtId="41" fontId="163" fillId="0" borderId="4" xfId="0" applyNumberFormat="1" applyFont="1" applyBorder="1" applyAlignment="1">
      <alignment horizontal="center" vertical="center"/>
    </xf>
    <xf numFmtId="0" fontId="172" fillId="38" borderId="4" xfId="2" applyFont="1" applyFill="1" applyBorder="1" applyAlignment="1">
      <alignment horizontal="center" vertical="center"/>
    </xf>
    <xf numFmtId="41" fontId="172" fillId="38" borderId="4" xfId="1" applyFont="1" applyFill="1" applyBorder="1" applyAlignment="1">
      <alignment vertical="center"/>
    </xf>
    <xf numFmtId="250" fontId="172" fillId="38" borderId="3" xfId="5749" applyNumberFormat="1" applyFont="1" applyFill="1" applyBorder="1" applyAlignment="1">
      <alignment horizontal="left" vertical="center"/>
    </xf>
    <xf numFmtId="0" fontId="172" fillId="0" borderId="4" xfId="0" applyFont="1" applyFill="1" applyBorder="1" applyAlignment="1">
      <alignment horizontal="center" vertical="center" wrapText="1"/>
    </xf>
    <xf numFmtId="0" fontId="172" fillId="0" borderId="4" xfId="0" applyFont="1" applyFill="1" applyBorder="1" applyAlignment="1">
      <alignment horizontal="center" vertical="center"/>
    </xf>
    <xf numFmtId="0" fontId="172" fillId="38" borderId="4" xfId="0" applyFont="1" applyFill="1" applyBorder="1" applyAlignment="1">
      <alignment horizontal="center" vertical="center"/>
    </xf>
    <xf numFmtId="42" fontId="166" fillId="0" borderId="0" xfId="1" applyNumberFormat="1" applyFont="1" applyFill="1" applyBorder="1" applyAlignment="1">
      <alignment horizontal="center" vertical="center" shrinkToFit="1"/>
    </xf>
    <xf numFmtId="41" fontId="162" fillId="0" borderId="0" xfId="1" applyNumberFormat="1" applyFont="1" applyAlignment="1">
      <alignment vertical="center"/>
    </xf>
    <xf numFmtId="41" fontId="163" fillId="0" borderId="0" xfId="1" applyNumberFormat="1" applyFont="1">
      <alignment vertical="center"/>
    </xf>
    <xf numFmtId="41" fontId="161" fillId="20" borderId="4" xfId="1" applyNumberFormat="1" applyFont="1" applyFill="1" applyBorder="1" applyAlignment="1">
      <alignment horizontal="center" vertical="center" wrapText="1"/>
    </xf>
    <xf numFmtId="41" fontId="162" fillId="0" borderId="4" xfId="1" applyNumberFormat="1" applyFont="1" applyFill="1" applyBorder="1" applyAlignment="1">
      <alignment vertical="center"/>
    </xf>
    <xf numFmtId="41" fontId="162" fillId="39" borderId="4" xfId="1" applyNumberFormat="1" applyFont="1" applyFill="1" applyBorder="1" applyAlignment="1">
      <alignment horizontal="right" vertical="center"/>
    </xf>
    <xf numFmtId="41" fontId="163" fillId="0" borderId="4" xfId="1" applyNumberFormat="1" applyFont="1" applyFill="1" applyBorder="1" applyAlignment="1">
      <alignment horizontal="right" vertical="center"/>
    </xf>
    <xf numFmtId="41" fontId="163" fillId="39" borderId="4" xfId="1" applyNumberFormat="1" applyFont="1" applyFill="1" applyBorder="1" applyAlignment="1">
      <alignment horizontal="right" vertical="center"/>
    </xf>
    <xf numFmtId="41" fontId="162" fillId="39" borderId="4" xfId="1" applyNumberFormat="1" applyFont="1" applyFill="1" applyBorder="1" applyAlignment="1" applyProtection="1">
      <alignment horizontal="right" vertical="center"/>
    </xf>
    <xf numFmtId="41" fontId="163" fillId="38" borderId="4" xfId="1" applyNumberFormat="1" applyFont="1" applyFill="1" applyBorder="1" applyAlignment="1">
      <alignment horizontal="right" vertical="center"/>
    </xf>
    <xf numFmtId="41" fontId="162" fillId="38" borderId="4" xfId="1" applyNumberFormat="1" applyFont="1" applyFill="1" applyBorder="1" applyAlignment="1">
      <alignment vertical="center"/>
    </xf>
    <xf numFmtId="41" fontId="162" fillId="0" borderId="4" xfId="1" applyNumberFormat="1" applyFont="1" applyFill="1" applyBorder="1" applyAlignment="1">
      <alignment horizontal="right" vertical="center"/>
    </xf>
    <xf numFmtId="41" fontId="162" fillId="40" borderId="3" xfId="1" applyNumberFormat="1" applyFont="1" applyFill="1" applyBorder="1" applyAlignment="1">
      <alignment horizontal="left" vertical="center"/>
    </xf>
    <xf numFmtId="41" fontId="162" fillId="21" borderId="3" xfId="1" applyNumberFormat="1" applyFont="1" applyFill="1" applyBorder="1" applyAlignment="1">
      <alignment horizontal="left" vertical="center"/>
    </xf>
    <xf numFmtId="41" fontId="166" fillId="0" borderId="0" xfId="1" applyNumberFormat="1" applyFont="1" applyFill="1" applyBorder="1" applyAlignment="1">
      <alignment horizontal="center" vertical="center" shrinkToFit="1"/>
    </xf>
    <xf numFmtId="250" fontId="162" fillId="21" borderId="3" xfId="1" applyNumberFormat="1" applyFont="1" applyFill="1" applyBorder="1" applyAlignment="1">
      <alignment horizontal="center" vertical="center"/>
    </xf>
    <xf numFmtId="250" fontId="162" fillId="40" borderId="3" xfId="1" applyNumberFormat="1" applyFont="1" applyFill="1" applyBorder="1" applyAlignment="1">
      <alignment horizontal="center" vertical="center"/>
    </xf>
    <xf numFmtId="250" fontId="172" fillId="21" borderId="3" xfId="5749" applyNumberFormat="1" applyFont="1" applyFill="1" applyBorder="1" applyAlignment="1">
      <alignment horizontal="left" vertical="center"/>
    </xf>
    <xf numFmtId="250" fontId="172" fillId="40" borderId="3" xfId="1" applyNumberFormat="1" applyFont="1" applyFill="1" applyBorder="1" applyAlignment="1">
      <alignment horizontal="left" vertical="center"/>
    </xf>
    <xf numFmtId="0" fontId="172" fillId="0" borderId="4" xfId="2" applyFont="1" applyFill="1" applyBorder="1" applyAlignment="1">
      <alignment horizontal="center" vertical="center" shrinkToFit="1"/>
    </xf>
    <xf numFmtId="41" fontId="172" fillId="0" borderId="4" xfId="1" applyFont="1" applyFill="1" applyBorder="1" applyAlignment="1">
      <alignment vertical="center" shrinkToFit="1"/>
    </xf>
    <xf numFmtId="0" fontId="172" fillId="0" borderId="70" xfId="2" applyFont="1" applyFill="1" applyBorder="1" applyAlignment="1">
      <alignment horizontal="center" vertical="center" shrinkToFit="1"/>
    </xf>
    <xf numFmtId="41" fontId="172" fillId="0" borderId="3" xfId="1" applyFont="1" applyFill="1" applyBorder="1" applyAlignment="1">
      <alignment vertical="center" shrinkToFit="1"/>
    </xf>
    <xf numFmtId="250" fontId="172" fillId="0" borderId="3" xfId="1" applyNumberFormat="1" applyFont="1" applyFill="1" applyBorder="1" applyAlignment="1">
      <alignment horizontal="left" vertical="center"/>
    </xf>
    <xf numFmtId="250" fontId="172" fillId="21" borderId="3" xfId="1" applyNumberFormat="1" applyFont="1" applyFill="1" applyBorder="1" applyAlignment="1">
      <alignment horizontal="left" vertical="center"/>
    </xf>
    <xf numFmtId="250" fontId="172" fillId="21" borderId="4" xfId="1" applyNumberFormat="1" applyFont="1" applyFill="1" applyBorder="1" applyAlignment="1">
      <alignment horizontal="left" vertical="center"/>
    </xf>
    <xf numFmtId="251" fontId="162" fillId="0" borderId="0" xfId="1" applyNumberFormat="1" applyFont="1" applyAlignment="1">
      <alignment horizontal="center" vertical="center"/>
    </xf>
    <xf numFmtId="251" fontId="163" fillId="0" borderId="0" xfId="1" applyNumberFormat="1" applyFont="1" applyAlignment="1">
      <alignment horizontal="center" vertical="center"/>
    </xf>
    <xf numFmtId="251" fontId="166" fillId="0" borderId="0" xfId="1" applyNumberFormat="1" applyFont="1" applyFill="1" applyBorder="1" applyAlignment="1">
      <alignment horizontal="center" vertical="center" shrinkToFit="1"/>
    </xf>
    <xf numFmtId="0" fontId="172" fillId="0" borderId="14" xfId="2" applyFont="1" applyFill="1" applyBorder="1" applyAlignment="1">
      <alignment horizontal="center" vertical="center" shrinkToFit="1"/>
    </xf>
    <xf numFmtId="0" fontId="162" fillId="38" borderId="70" xfId="2" applyFont="1" applyFill="1" applyBorder="1" applyAlignment="1">
      <alignment vertical="center"/>
    </xf>
    <xf numFmtId="0" fontId="162" fillId="38" borderId="77" xfId="2" applyFont="1" applyFill="1" applyBorder="1" applyAlignment="1">
      <alignment vertical="center" shrinkToFit="1"/>
    </xf>
    <xf numFmtId="0" fontId="162" fillId="38" borderId="4" xfId="2" applyFont="1" applyFill="1" applyBorder="1" applyAlignment="1">
      <alignment horizontal="center" vertical="center" shrinkToFit="1"/>
    </xf>
    <xf numFmtId="0" fontId="162" fillId="38" borderId="70" xfId="2" applyFont="1" applyFill="1" applyBorder="1" applyAlignment="1">
      <alignment horizontal="center" vertical="center" shrinkToFit="1"/>
    </xf>
    <xf numFmtId="41" fontId="162" fillId="38" borderId="4" xfId="1" applyFont="1" applyFill="1" applyBorder="1" applyAlignment="1">
      <alignment vertical="center" shrinkToFit="1"/>
    </xf>
    <xf numFmtId="41" fontId="162" fillId="38" borderId="80" xfId="1" applyFont="1" applyFill="1" applyBorder="1" applyAlignment="1">
      <alignment horizontal="center" vertical="center"/>
    </xf>
    <xf numFmtId="0" fontId="172" fillId="38" borderId="4" xfId="2" applyFont="1" applyFill="1" applyBorder="1" applyAlignment="1">
      <alignment horizontal="center" vertical="center" shrinkToFit="1"/>
    </xf>
    <xf numFmtId="0" fontId="172" fillId="38" borderId="70" xfId="2" applyFont="1" applyFill="1" applyBorder="1" applyAlignment="1">
      <alignment horizontal="center" vertical="center" shrinkToFit="1"/>
    </xf>
    <xf numFmtId="41" fontId="172" fillId="38" borderId="3" xfId="1" applyFont="1" applyFill="1" applyBorder="1" applyAlignment="1">
      <alignment vertical="center" shrinkToFit="1"/>
    </xf>
    <xf numFmtId="250" fontId="172" fillId="38" borderId="3" xfId="1" applyNumberFormat="1" applyFont="1" applyFill="1" applyBorder="1" applyAlignment="1">
      <alignment horizontal="left" vertical="center"/>
    </xf>
    <xf numFmtId="41" fontId="162" fillId="38" borderId="3" xfId="1" applyFont="1" applyFill="1" applyBorder="1" applyAlignment="1">
      <alignment vertical="center" shrinkToFit="1"/>
    </xf>
    <xf numFmtId="41" fontId="162" fillId="38" borderId="4" xfId="1" applyFont="1" applyFill="1" applyBorder="1" applyAlignment="1">
      <alignment horizontal="center" vertical="center"/>
    </xf>
    <xf numFmtId="41" fontId="172" fillId="38" borderId="4" xfId="1" applyFont="1" applyFill="1" applyBorder="1" applyAlignment="1">
      <alignment vertical="center" shrinkToFit="1"/>
    </xf>
    <xf numFmtId="250" fontId="172" fillId="38" borderId="4" xfId="1" applyNumberFormat="1" applyFont="1" applyFill="1" applyBorder="1" applyAlignment="1">
      <alignment horizontal="left" vertical="center"/>
    </xf>
    <xf numFmtId="250" fontId="162" fillId="38" borderId="3" xfId="1" applyNumberFormat="1" applyFont="1" applyFill="1" applyBorder="1" applyAlignment="1">
      <alignment horizontal="center" vertical="center"/>
    </xf>
    <xf numFmtId="41" fontId="162" fillId="38" borderId="3" xfId="1" applyNumberFormat="1" applyFont="1" applyFill="1" applyBorder="1" applyAlignment="1">
      <alignment horizontal="left" vertical="center"/>
    </xf>
    <xf numFmtId="0" fontId="172" fillId="38" borderId="14" xfId="2" applyFont="1" applyFill="1" applyBorder="1" applyAlignment="1">
      <alignment horizontal="center" vertical="center" shrinkToFit="1"/>
    </xf>
    <xf numFmtId="0" fontId="162" fillId="38" borderId="4" xfId="1" applyNumberFormat="1" applyFont="1" applyFill="1" applyBorder="1" applyAlignment="1">
      <alignment horizontal="center" vertical="center"/>
    </xf>
    <xf numFmtId="0" fontId="162" fillId="38" borderId="4" xfId="2" applyFont="1" applyFill="1" applyBorder="1" applyAlignment="1">
      <alignment vertical="center" shrinkToFit="1"/>
    </xf>
    <xf numFmtId="250" fontId="162" fillId="0" borderId="0" xfId="1" applyNumberFormat="1" applyFont="1" applyAlignment="1">
      <alignment horizontal="center" vertical="center"/>
    </xf>
    <xf numFmtId="0" fontId="162" fillId="38" borderId="4" xfId="2" applyFont="1" applyFill="1" applyBorder="1" applyAlignment="1">
      <alignment horizontal="left" vertical="center"/>
    </xf>
    <xf numFmtId="0" fontId="172" fillId="0" borderId="36" xfId="2" applyFont="1" applyFill="1" applyBorder="1" applyAlignment="1">
      <alignment horizontal="center" vertical="center"/>
    </xf>
    <xf numFmtId="41" fontId="172" fillId="0" borderId="60" xfId="1" applyFont="1" applyFill="1" applyBorder="1" applyAlignment="1">
      <alignment vertical="center"/>
    </xf>
    <xf numFmtId="0" fontId="172" fillId="0" borderId="36" xfId="0" applyFont="1" applyFill="1" applyBorder="1" applyAlignment="1">
      <alignment horizontal="center" vertical="center"/>
    </xf>
    <xf numFmtId="0" fontId="162" fillId="38" borderId="4" xfId="2" applyFont="1" applyFill="1" applyBorder="1" applyAlignment="1">
      <alignment horizontal="center" vertical="center" wrapText="1"/>
    </xf>
    <xf numFmtId="0" fontId="162" fillId="38" borderId="26" xfId="2" applyFont="1" applyFill="1" applyBorder="1" applyAlignment="1">
      <alignment horizontal="center" vertical="center"/>
    </xf>
    <xf numFmtId="0" fontId="162" fillId="38" borderId="25" xfId="2" applyFont="1" applyFill="1" applyBorder="1" applyAlignment="1">
      <alignment horizontal="center" vertical="center"/>
    </xf>
    <xf numFmtId="0" fontId="162" fillId="38" borderId="17" xfId="2" applyFont="1" applyFill="1" applyBorder="1" applyAlignment="1">
      <alignment horizontal="center" vertical="center"/>
    </xf>
    <xf numFmtId="0" fontId="162" fillId="38" borderId="4" xfId="16803" applyFont="1" applyFill="1" applyBorder="1" applyAlignment="1">
      <alignment horizontal="left" vertical="center" wrapText="1"/>
    </xf>
    <xf numFmtId="41" fontId="162" fillId="38" borderId="4" xfId="0" applyNumberFormat="1" applyFont="1" applyFill="1" applyBorder="1" applyAlignment="1">
      <alignment horizontal="center" vertical="center"/>
    </xf>
    <xf numFmtId="41" fontId="162" fillId="38" borderId="4" xfId="1" applyFont="1" applyFill="1" applyBorder="1" applyAlignment="1" applyProtection="1">
      <alignment horizontal="right" vertical="center"/>
    </xf>
    <xf numFmtId="250" fontId="161" fillId="20" borderId="3" xfId="1" applyNumberFormat="1" applyFont="1" applyFill="1" applyBorder="1" applyAlignment="1">
      <alignment horizontal="center" vertical="center" wrapText="1"/>
    </xf>
    <xf numFmtId="41" fontId="162" fillId="40" borderId="9" xfId="1" applyFont="1" applyFill="1" applyBorder="1" applyAlignment="1">
      <alignment horizontal="center" vertical="center" shrinkToFit="1"/>
    </xf>
    <xf numFmtId="41" fontId="162" fillId="38" borderId="9" xfId="1" applyFont="1" applyFill="1" applyBorder="1" applyAlignment="1">
      <alignment horizontal="center" vertical="center"/>
    </xf>
    <xf numFmtId="41" fontId="162" fillId="21" borderId="9" xfId="1" applyFont="1" applyFill="1" applyBorder="1" applyAlignment="1">
      <alignment horizontal="center" vertical="center" shrinkToFit="1"/>
    </xf>
    <xf numFmtId="41" fontId="162" fillId="38" borderId="9" xfId="1" applyFont="1" applyFill="1" applyBorder="1" applyAlignment="1">
      <alignment horizontal="center" vertical="center" shrinkToFit="1"/>
    </xf>
    <xf numFmtId="41" fontId="162" fillId="0" borderId="60" xfId="1" applyFont="1" applyFill="1" applyBorder="1" applyAlignment="1">
      <alignment horizontal="center" vertical="center"/>
    </xf>
    <xf numFmtId="251" fontId="161" fillId="20" borderId="89" xfId="1" applyNumberFormat="1" applyFont="1" applyFill="1" applyBorder="1" applyAlignment="1">
      <alignment horizontal="center" vertical="center" wrapText="1"/>
    </xf>
    <xf numFmtId="42" fontId="161" fillId="20" borderId="90" xfId="1" applyNumberFormat="1" applyFont="1" applyFill="1" applyBorder="1" applyAlignment="1">
      <alignment horizontal="center" vertical="center" wrapText="1"/>
    </xf>
    <xf numFmtId="251" fontId="162" fillId="0" borderId="89" xfId="2" applyNumberFormat="1" applyFont="1" applyFill="1" applyBorder="1" applyAlignment="1">
      <alignment horizontal="center" vertical="center"/>
    </xf>
    <xf numFmtId="251" fontId="162" fillId="39" borderId="89" xfId="14832" applyNumberFormat="1" applyFont="1" applyFill="1" applyBorder="1" applyAlignment="1">
      <alignment horizontal="center" vertical="center" wrapText="1"/>
    </xf>
    <xf numFmtId="251" fontId="162" fillId="0" borderId="89" xfId="0" applyNumberFormat="1" applyFont="1" applyBorder="1" applyAlignment="1">
      <alignment horizontal="center" vertical="center"/>
    </xf>
    <xf numFmtId="251" fontId="163" fillId="0" borderId="89" xfId="0" applyNumberFormat="1" applyFont="1" applyFill="1" applyBorder="1" applyAlignment="1">
      <alignment horizontal="center" vertical="center"/>
    </xf>
    <xf numFmtId="251" fontId="163" fillId="0" borderId="89" xfId="5749" applyNumberFormat="1" applyFont="1" applyFill="1" applyBorder="1" applyAlignment="1">
      <alignment horizontal="center" vertical="center"/>
    </xf>
    <xf numFmtId="251" fontId="163" fillId="0" borderId="89" xfId="5749" applyNumberFormat="1" applyFont="1" applyBorder="1" applyAlignment="1">
      <alignment horizontal="center" vertical="center"/>
    </xf>
    <xf numFmtId="251" fontId="163" fillId="0" borderId="89" xfId="0" applyNumberFormat="1" applyFont="1" applyFill="1" applyBorder="1" applyAlignment="1">
      <alignment horizontal="center" vertical="center" wrapText="1"/>
    </xf>
    <xf numFmtId="251" fontId="162" fillId="39" borderId="89" xfId="5749" applyNumberFormat="1" applyFont="1" applyFill="1" applyBorder="1" applyAlignment="1">
      <alignment horizontal="center" vertical="center"/>
    </xf>
    <xf numFmtId="251" fontId="163" fillId="39" borderId="89" xfId="0" applyNumberFormat="1" applyFont="1" applyFill="1" applyBorder="1" applyAlignment="1">
      <alignment horizontal="center" vertical="center" wrapText="1"/>
    </xf>
    <xf numFmtId="251" fontId="163" fillId="0" borderId="89" xfId="0" applyNumberFormat="1" applyFont="1" applyBorder="1" applyAlignment="1">
      <alignment horizontal="center" vertical="center"/>
    </xf>
    <xf numFmtId="251" fontId="163" fillId="38" borderId="89" xfId="0" applyNumberFormat="1" applyFont="1" applyFill="1" applyBorder="1" applyAlignment="1">
      <alignment horizontal="center" vertical="center"/>
    </xf>
    <xf numFmtId="251" fontId="162" fillId="0" borderId="89" xfId="0" applyNumberFormat="1" applyFont="1" applyFill="1" applyBorder="1" applyAlignment="1">
      <alignment horizontal="center" vertical="center"/>
    </xf>
    <xf numFmtId="251" fontId="162" fillId="38" borderId="89" xfId="0" applyNumberFormat="1" applyFont="1" applyFill="1" applyBorder="1" applyAlignment="1">
      <alignment horizontal="center" vertical="center"/>
    </xf>
    <xf numFmtId="251" fontId="162" fillId="38" borderId="91" xfId="1" applyNumberFormat="1" applyFont="1" applyFill="1" applyBorder="1" applyAlignment="1">
      <alignment horizontal="center" vertical="center"/>
    </xf>
    <xf numFmtId="251" fontId="162" fillId="38" borderId="89" xfId="1" applyNumberFormat="1" applyFont="1" applyFill="1" applyBorder="1" applyAlignment="1">
      <alignment horizontal="center" vertical="center"/>
    </xf>
    <xf numFmtId="251" fontId="162" fillId="0" borderId="89" xfId="2" applyNumberFormat="1" applyFont="1" applyFill="1" applyBorder="1" applyAlignment="1">
      <alignment horizontal="center" vertical="center" shrinkToFit="1"/>
    </xf>
    <xf numFmtId="251" fontId="162" fillId="38" borderId="89" xfId="2" applyNumberFormat="1" applyFont="1" applyFill="1" applyBorder="1" applyAlignment="1">
      <alignment horizontal="center" vertical="center" shrinkToFit="1"/>
    </xf>
    <xf numFmtId="0" fontId="162" fillId="0" borderId="89" xfId="2" applyFont="1" applyFill="1" applyBorder="1" applyAlignment="1">
      <alignment horizontal="center" vertical="center" shrinkToFit="1"/>
    </xf>
    <xf numFmtId="0" fontId="162" fillId="38" borderId="89" xfId="2" applyFont="1" applyFill="1" applyBorder="1" applyAlignment="1">
      <alignment horizontal="center" vertical="center" shrinkToFit="1"/>
    </xf>
    <xf numFmtId="251" fontId="162" fillId="21" borderId="91" xfId="1" applyNumberFormat="1" applyFont="1" applyFill="1" applyBorder="1" applyAlignment="1">
      <alignment horizontal="center" vertical="center"/>
    </xf>
    <xf numFmtId="0" fontId="162" fillId="0" borderId="89" xfId="2" applyFont="1" applyFill="1" applyBorder="1" applyAlignment="1">
      <alignment horizontal="center" vertical="center"/>
    </xf>
    <xf numFmtId="0" fontId="162" fillId="0" borderId="97" xfId="2" applyFont="1" applyFill="1" applyBorder="1" applyAlignment="1">
      <alignment horizontal="center" vertical="center"/>
    </xf>
    <xf numFmtId="0" fontId="162" fillId="0" borderId="97" xfId="0" applyFont="1" applyFill="1" applyBorder="1" applyAlignment="1">
      <alignment horizontal="center" vertical="center"/>
    </xf>
    <xf numFmtId="251" fontId="162" fillId="40" borderId="91" xfId="1" applyNumberFormat="1" applyFont="1" applyFill="1" applyBorder="1" applyAlignment="1">
      <alignment horizontal="center" vertical="center"/>
    </xf>
    <xf numFmtId="251" fontId="162" fillId="0" borderId="89" xfId="1" applyNumberFormat="1" applyFont="1" applyFill="1" applyBorder="1" applyAlignment="1">
      <alignment horizontal="center" vertical="center"/>
    </xf>
    <xf numFmtId="251" fontId="162" fillId="0" borderId="91" xfId="1" applyNumberFormat="1" applyFont="1" applyFill="1" applyBorder="1" applyAlignment="1">
      <alignment horizontal="center" vertical="center"/>
    </xf>
    <xf numFmtId="251" fontId="163" fillId="0" borderId="89" xfId="16798" applyNumberFormat="1" applyFont="1" applyFill="1" applyBorder="1" applyAlignment="1">
      <alignment horizontal="center" vertical="center"/>
    </xf>
    <xf numFmtId="251" fontId="162" fillId="39" borderId="89" xfId="16798" applyNumberFormat="1" applyFont="1" applyFill="1" applyBorder="1" applyAlignment="1">
      <alignment horizontal="center" vertical="center"/>
    </xf>
    <xf numFmtId="251" fontId="162" fillId="38" borderId="89" xfId="16798" applyNumberFormat="1" applyFont="1" applyFill="1" applyBorder="1" applyAlignment="1">
      <alignment horizontal="center" vertical="center"/>
    </xf>
    <xf numFmtId="251" fontId="162" fillId="0" borderId="99" xfId="1" applyNumberFormat="1" applyFont="1" applyFill="1" applyBorder="1" applyAlignment="1">
      <alignment horizontal="center" vertical="center"/>
    </xf>
    <xf numFmtId="0" fontId="162" fillId="0" borderId="102" xfId="5749" applyFont="1" applyFill="1" applyBorder="1" applyAlignment="1">
      <alignment horizontal="center" vertical="center"/>
    </xf>
    <xf numFmtId="0" fontId="162" fillId="0" borderId="103" xfId="2" applyFont="1" applyFill="1" applyBorder="1" applyAlignment="1">
      <alignment horizontal="center" vertical="center"/>
    </xf>
    <xf numFmtId="42" fontId="161" fillId="40" borderId="90" xfId="1" applyNumberFormat="1" applyFont="1" applyFill="1" applyBorder="1" applyAlignment="1">
      <alignment horizontal="left" vertical="center"/>
    </xf>
    <xf numFmtId="42" fontId="161" fillId="21" borderId="90" xfId="5749" applyNumberFormat="1" applyFont="1" applyFill="1" applyBorder="1" applyAlignment="1">
      <alignment horizontal="left" vertical="center"/>
    </xf>
    <xf numFmtId="250" fontId="166" fillId="40" borderId="4" xfId="1" applyNumberFormat="1" applyFont="1" applyFill="1" applyBorder="1" applyAlignment="1">
      <alignment horizontal="left" vertical="center"/>
    </xf>
    <xf numFmtId="250" fontId="166" fillId="21" borderId="4" xfId="1" applyNumberFormat="1" applyFont="1" applyFill="1" applyBorder="1" applyAlignment="1">
      <alignment horizontal="left" vertical="center"/>
    </xf>
    <xf numFmtId="250" fontId="166" fillId="40" borderId="90" xfId="1" applyNumberFormat="1" applyFont="1" applyFill="1" applyBorder="1" applyAlignment="1">
      <alignment horizontal="left" vertical="center"/>
    </xf>
    <xf numFmtId="42" fontId="161" fillId="0" borderId="0" xfId="1" applyNumberFormat="1" applyFont="1" applyAlignment="1">
      <alignment vertical="center"/>
    </xf>
    <xf numFmtId="42" fontId="170" fillId="0" borderId="0" xfId="1" applyNumberFormat="1" applyFont="1">
      <alignment vertical="center"/>
    </xf>
    <xf numFmtId="42" fontId="161" fillId="0" borderId="90" xfId="1" applyNumberFormat="1" applyFont="1" applyFill="1" applyBorder="1" applyAlignment="1">
      <alignment horizontal="left" vertical="center"/>
    </xf>
    <xf numFmtId="42" fontId="161" fillId="0" borderId="90" xfId="5749" applyNumberFormat="1" applyFont="1" applyFill="1" applyBorder="1" applyAlignment="1">
      <alignment horizontal="left" vertical="center"/>
    </xf>
    <xf numFmtId="42" fontId="161" fillId="0" borderId="93" xfId="5749" applyNumberFormat="1" applyFont="1" applyFill="1" applyBorder="1" applyAlignment="1">
      <alignment horizontal="left" vertical="center"/>
    </xf>
    <xf numFmtId="42" fontId="161" fillId="38" borderId="93" xfId="1" applyNumberFormat="1" applyFont="1" applyFill="1" applyBorder="1" applyAlignment="1">
      <alignment horizontal="left" vertical="center"/>
    </xf>
    <xf numFmtId="42" fontId="161" fillId="21" borderId="93" xfId="1" applyNumberFormat="1" applyFont="1" applyFill="1" applyBorder="1" applyAlignment="1">
      <alignment horizontal="left" vertical="center"/>
    </xf>
    <xf numFmtId="42" fontId="161" fillId="38" borderId="90" xfId="1" applyNumberFormat="1" applyFont="1" applyFill="1" applyBorder="1" applyAlignment="1">
      <alignment horizontal="left" vertical="center"/>
    </xf>
    <xf numFmtId="42" fontId="161" fillId="0" borderId="93" xfId="1" applyNumberFormat="1" applyFont="1" applyFill="1" applyBorder="1" applyAlignment="1">
      <alignment horizontal="left" vertical="center"/>
    </xf>
    <xf numFmtId="42" fontId="171" fillId="38" borderId="93" xfId="1" applyNumberFormat="1" applyFont="1" applyFill="1" applyBorder="1" applyAlignment="1">
      <alignment horizontal="left" vertical="center"/>
    </xf>
    <xf numFmtId="42" fontId="171" fillId="38" borderId="90" xfId="1" applyNumberFormat="1" applyFont="1" applyFill="1" applyBorder="1" applyAlignment="1">
      <alignment horizontal="left" vertical="center"/>
    </xf>
    <xf numFmtId="42" fontId="171" fillId="21" borderId="93" xfId="1" applyNumberFormat="1" applyFont="1" applyFill="1" applyBorder="1" applyAlignment="1">
      <alignment horizontal="left" vertical="center"/>
    </xf>
    <xf numFmtId="42" fontId="166" fillId="38" borderId="93" xfId="5749" applyNumberFormat="1" applyFont="1" applyFill="1" applyBorder="1" applyAlignment="1">
      <alignment horizontal="left" vertical="center"/>
    </xf>
    <xf numFmtId="42" fontId="166" fillId="38" borderId="90" xfId="5749" applyNumberFormat="1" applyFont="1" applyFill="1" applyBorder="1" applyAlignment="1">
      <alignment horizontal="left" vertical="center"/>
    </xf>
    <xf numFmtId="250" fontId="170" fillId="0" borderId="0" xfId="1" applyNumberFormat="1" applyFont="1" applyAlignment="1">
      <alignment vertical="center"/>
    </xf>
    <xf numFmtId="250" fontId="170" fillId="20" borderId="4" xfId="1" applyNumberFormat="1" applyFont="1" applyFill="1" applyBorder="1" applyAlignment="1">
      <alignment horizontal="center" vertical="center" wrapText="1"/>
    </xf>
    <xf numFmtId="250" fontId="170" fillId="0" borderId="4" xfId="1" applyNumberFormat="1" applyFont="1" applyFill="1" applyBorder="1" applyAlignment="1">
      <alignment horizontal="left" vertical="center"/>
    </xf>
    <xf numFmtId="250" fontId="170" fillId="40" borderId="4" xfId="1" applyNumberFormat="1" applyFont="1" applyFill="1" applyBorder="1" applyAlignment="1">
      <alignment horizontal="left" vertical="center"/>
    </xf>
    <xf numFmtId="250" fontId="170" fillId="0" borderId="4" xfId="5749" applyNumberFormat="1" applyFont="1" applyFill="1" applyBorder="1" applyAlignment="1">
      <alignment horizontal="left" vertical="center"/>
    </xf>
    <xf numFmtId="250" fontId="170" fillId="21" borderId="3" xfId="5749" applyNumberFormat="1" applyFont="1" applyFill="1" applyBorder="1" applyAlignment="1">
      <alignment horizontal="left" vertical="center"/>
    </xf>
    <xf numFmtId="250" fontId="170" fillId="21" borderId="5" xfId="5749" applyNumberFormat="1" applyFont="1" applyFill="1" applyBorder="1" applyAlignment="1">
      <alignment horizontal="left" vertical="center"/>
    </xf>
    <xf numFmtId="250" fontId="170" fillId="40" borderId="3" xfId="1" applyNumberFormat="1" applyFont="1" applyFill="1" applyBorder="1" applyAlignment="1">
      <alignment horizontal="left" vertical="center"/>
    </xf>
    <xf numFmtId="250" fontId="170" fillId="38" borderId="4" xfId="1" applyNumberFormat="1" applyFont="1" applyFill="1" applyBorder="1" applyAlignment="1">
      <alignment horizontal="left" vertical="center"/>
    </xf>
    <xf numFmtId="250" fontId="170" fillId="21" borderId="4" xfId="1" applyNumberFormat="1" applyFont="1" applyFill="1" applyBorder="1" applyAlignment="1">
      <alignment horizontal="left" vertical="center"/>
    </xf>
    <xf numFmtId="250" fontId="170" fillId="0" borderId="0" xfId="1" applyNumberFormat="1" applyFont="1" applyFill="1" applyBorder="1" applyAlignment="1">
      <alignment horizontal="center" vertical="center" shrinkToFit="1"/>
    </xf>
    <xf numFmtId="42" fontId="166" fillId="21" borderId="92" xfId="5749" applyNumberFormat="1" applyFont="1" applyFill="1" applyBorder="1" applyAlignment="1">
      <alignment horizontal="left" vertical="center"/>
    </xf>
    <xf numFmtId="42" fontId="166" fillId="21" borderId="90" xfId="5749" applyNumberFormat="1" applyFont="1" applyFill="1" applyBorder="1" applyAlignment="1">
      <alignment horizontal="left" vertical="center"/>
    </xf>
    <xf numFmtId="250" fontId="172" fillId="21" borderId="5" xfId="5749" applyNumberFormat="1" applyFont="1" applyFill="1" applyBorder="1" applyAlignment="1">
      <alignment horizontal="left" vertical="center"/>
    </xf>
    <xf numFmtId="42" fontId="166" fillId="40" borderId="90" xfId="1" applyNumberFormat="1" applyFont="1" applyFill="1" applyBorder="1" applyAlignment="1">
      <alignment horizontal="left" vertical="center"/>
    </xf>
    <xf numFmtId="42" fontId="166" fillId="21" borderId="93" xfId="1" applyNumberFormat="1" applyFont="1" applyFill="1" applyBorder="1" applyAlignment="1">
      <alignment horizontal="left" vertical="center"/>
    </xf>
    <xf numFmtId="42" fontId="166" fillId="38" borderId="93" xfId="1" applyNumberFormat="1" applyFont="1" applyFill="1" applyBorder="1" applyAlignment="1">
      <alignment horizontal="left" vertical="center"/>
    </xf>
    <xf numFmtId="0" fontId="162" fillId="38" borderId="25" xfId="2" applyFont="1" applyFill="1" applyBorder="1" applyAlignment="1">
      <alignment horizontal="left" vertical="center"/>
    </xf>
    <xf numFmtId="0" fontId="162" fillId="0" borderId="105" xfId="2" applyFont="1" applyFill="1" applyBorder="1" applyAlignment="1">
      <alignment horizontal="center" vertical="center" shrinkToFit="1"/>
    </xf>
    <xf numFmtId="0" fontId="162" fillId="20" borderId="3" xfId="15917" applyFont="1" applyFill="1" applyBorder="1" applyAlignment="1">
      <alignment horizontal="center" vertical="center"/>
    </xf>
    <xf numFmtId="0" fontId="162" fillId="20" borderId="13" xfId="15917" applyFont="1" applyFill="1" applyBorder="1" applyAlignment="1">
      <alignment horizontal="center" vertical="center"/>
    </xf>
    <xf numFmtId="0" fontId="162" fillId="20" borderId="9" xfId="15917" applyFont="1" applyFill="1" applyBorder="1" applyAlignment="1">
      <alignment horizontal="center" vertical="center"/>
    </xf>
    <xf numFmtId="41" fontId="162" fillId="20" borderId="13" xfId="1" applyFont="1" applyFill="1" applyBorder="1" applyAlignment="1">
      <alignment horizontal="center" vertical="center" shrinkToFit="1"/>
    </xf>
    <xf numFmtId="0" fontId="162" fillId="20" borderId="9" xfId="15923" applyFont="1" applyFill="1" applyBorder="1" applyAlignment="1">
      <alignment horizontal="center" vertical="center"/>
    </xf>
    <xf numFmtId="250" fontId="161" fillId="20" borderId="3" xfId="1" applyNumberFormat="1" applyFont="1" applyFill="1" applyBorder="1" applyAlignment="1">
      <alignment horizontal="center" vertical="center"/>
    </xf>
    <xf numFmtId="0" fontId="162" fillId="38" borderId="3" xfId="2" applyFont="1" applyFill="1" applyBorder="1" applyAlignment="1">
      <alignment horizontal="center" vertical="center" shrinkToFit="1"/>
    </xf>
    <xf numFmtId="0" fontId="162" fillId="21" borderId="26" xfId="15923" applyFont="1" applyFill="1" applyBorder="1" applyAlignment="1">
      <alignment horizontal="left" vertical="center"/>
    </xf>
    <xf numFmtId="0" fontId="162" fillId="38" borderId="4" xfId="2" applyFont="1" applyFill="1" applyBorder="1" applyAlignment="1">
      <alignment vertical="center" wrapText="1"/>
    </xf>
    <xf numFmtId="0" fontId="162" fillId="38" borderId="9" xfId="2" applyFont="1" applyFill="1" applyBorder="1" applyAlignment="1">
      <alignment horizontal="center" vertical="center"/>
    </xf>
    <xf numFmtId="251" fontId="172" fillId="0" borderId="4" xfId="16798" applyNumberFormat="1" applyFont="1" applyFill="1" applyBorder="1" applyAlignment="1">
      <alignment horizontal="center" vertical="center"/>
    </xf>
    <xf numFmtId="41" fontId="172" fillId="0" borderId="4" xfId="16798" applyFont="1" applyFill="1" applyBorder="1" applyAlignment="1">
      <alignment horizontal="center" vertical="center"/>
    </xf>
    <xf numFmtId="251" fontId="172" fillId="39" borderId="4" xfId="16798" applyNumberFormat="1" applyFont="1" applyFill="1" applyBorder="1" applyAlignment="1">
      <alignment horizontal="center" vertical="center"/>
    </xf>
    <xf numFmtId="251" fontId="172" fillId="38" borderId="4" xfId="16798" applyNumberFormat="1" applyFont="1" applyFill="1" applyBorder="1" applyAlignment="1">
      <alignment horizontal="center" vertical="center"/>
    </xf>
    <xf numFmtId="41" fontId="172" fillId="38" borderId="4" xfId="0" applyNumberFormat="1" applyFont="1" applyFill="1" applyBorder="1" applyAlignment="1">
      <alignment horizontal="center" vertical="center"/>
    </xf>
    <xf numFmtId="41" fontId="172" fillId="38" borderId="4" xfId="1" applyFont="1" applyFill="1" applyBorder="1" applyAlignment="1" applyProtection="1">
      <alignment horizontal="right" vertical="center"/>
    </xf>
    <xf numFmtId="0" fontId="172" fillId="0" borderId="65" xfId="2" applyFont="1" applyFill="1" applyBorder="1" applyAlignment="1">
      <alignment horizontal="center" vertical="center" shrinkToFit="1"/>
    </xf>
    <xf numFmtId="41" fontId="172" fillId="0" borderId="81" xfId="1" applyFont="1" applyFill="1" applyBorder="1" applyAlignment="1">
      <alignment vertical="center" shrinkToFit="1"/>
    </xf>
    <xf numFmtId="41" fontId="172" fillId="0" borderId="0" xfId="1" applyFont="1" applyFill="1" applyBorder="1" applyAlignment="1">
      <alignment vertical="center" shrinkToFit="1"/>
    </xf>
    <xf numFmtId="0" fontId="172" fillId="0" borderId="37" xfId="0" applyFont="1" applyFill="1" applyBorder="1" applyAlignment="1">
      <alignment horizontal="center" vertical="center"/>
    </xf>
    <xf numFmtId="0" fontId="172" fillId="0" borderId="37" xfId="2" applyFont="1" applyFill="1" applyBorder="1" applyAlignment="1">
      <alignment horizontal="center" vertical="center" shrinkToFit="1"/>
    </xf>
    <xf numFmtId="41" fontId="172" fillId="0" borderId="80" xfId="1" applyFont="1" applyFill="1" applyBorder="1" applyAlignment="1">
      <alignment vertical="center" shrinkToFit="1"/>
    </xf>
    <xf numFmtId="250" fontId="172" fillId="0" borderId="5" xfId="1" applyNumberFormat="1" applyFont="1" applyFill="1" applyBorder="1" applyAlignment="1">
      <alignment horizontal="left" vertical="center"/>
    </xf>
    <xf numFmtId="0" fontId="162" fillId="38" borderId="9" xfId="2" applyFont="1" applyFill="1" applyBorder="1" applyAlignment="1">
      <alignment vertical="center" shrinkToFit="1"/>
    </xf>
    <xf numFmtId="42" fontId="170" fillId="20" borderId="3" xfId="1" applyNumberFormat="1" applyFont="1" applyFill="1" applyBorder="1" applyAlignment="1">
      <alignment horizontal="left" vertical="center" shrinkToFit="1"/>
    </xf>
    <xf numFmtId="42" fontId="171" fillId="38" borderId="90" xfId="5749" applyNumberFormat="1" applyFont="1" applyFill="1" applyBorder="1" applyAlignment="1">
      <alignment horizontal="left" vertical="center"/>
    </xf>
    <xf numFmtId="42" fontId="166" fillId="40" borderId="93" xfId="1" applyNumberFormat="1" applyFont="1" applyFill="1" applyBorder="1" applyAlignment="1">
      <alignment horizontal="left" vertical="center"/>
    </xf>
    <xf numFmtId="42" fontId="166" fillId="21" borderId="90" xfId="1" applyNumberFormat="1" applyFont="1" applyFill="1" applyBorder="1" applyAlignment="1">
      <alignment horizontal="left" vertical="center"/>
    </xf>
    <xf numFmtId="250" fontId="170" fillId="20" borderId="101" xfId="1" applyNumberFormat="1" applyFont="1" applyFill="1" applyBorder="1" applyAlignment="1">
      <alignment horizontal="left" vertical="center" shrinkToFit="1"/>
    </xf>
    <xf numFmtId="0" fontId="162" fillId="38" borderId="4" xfId="15917" applyFont="1" applyFill="1" applyBorder="1" applyAlignment="1">
      <alignment horizontal="left" vertical="center"/>
    </xf>
    <xf numFmtId="0" fontId="162" fillId="38" borderId="4" xfId="15917" applyFont="1" applyFill="1" applyBorder="1" applyAlignment="1">
      <alignment horizontal="left" vertical="center" wrapText="1"/>
    </xf>
    <xf numFmtId="41" fontId="172" fillId="38" borderId="4" xfId="1" applyFont="1" applyFill="1" applyBorder="1" applyAlignment="1">
      <alignment horizontal="center" vertical="center"/>
    </xf>
    <xf numFmtId="0" fontId="162" fillId="41" borderId="4" xfId="2" applyFont="1" applyFill="1" applyBorder="1" applyAlignment="1">
      <alignment vertical="center" shrinkToFit="1"/>
    </xf>
    <xf numFmtId="0" fontId="172" fillId="41" borderId="4" xfId="2" applyFont="1" applyFill="1" applyBorder="1" applyAlignment="1">
      <alignment horizontal="center" vertical="center" shrinkToFit="1"/>
    </xf>
    <xf numFmtId="41" fontId="172" fillId="41" borderId="4" xfId="1" applyFont="1" applyFill="1" applyBorder="1" applyAlignment="1">
      <alignment vertical="center" shrinkToFit="1"/>
    </xf>
    <xf numFmtId="250" fontId="172" fillId="41" borderId="3" xfId="1" applyNumberFormat="1" applyFont="1" applyFill="1" applyBorder="1" applyAlignment="1">
      <alignment horizontal="left" vertical="center"/>
    </xf>
    <xf numFmtId="251" fontId="162" fillId="41" borderId="91" xfId="1" applyNumberFormat="1" applyFont="1" applyFill="1" applyBorder="1" applyAlignment="1">
      <alignment horizontal="center" vertical="center"/>
    </xf>
    <xf numFmtId="0" fontId="162" fillId="41" borderId="4" xfId="2" applyFont="1" applyFill="1" applyBorder="1" applyAlignment="1">
      <alignment horizontal="center" vertical="center" shrinkToFit="1"/>
    </xf>
    <xf numFmtId="41" fontId="162" fillId="41" borderId="3" xfId="1" applyFont="1" applyFill="1" applyBorder="1" applyAlignment="1">
      <alignment vertical="center" shrinkToFit="1"/>
    </xf>
    <xf numFmtId="250" fontId="170" fillId="41" borderId="4" xfId="1" applyNumberFormat="1" applyFont="1" applyFill="1" applyBorder="1" applyAlignment="1">
      <alignment horizontal="left" vertical="center"/>
    </xf>
    <xf numFmtId="42" fontId="166" fillId="41" borderId="93" xfId="1" applyNumberFormat="1" applyFont="1" applyFill="1" applyBorder="1" applyAlignment="1">
      <alignment horizontal="left" vertical="center"/>
    </xf>
    <xf numFmtId="41" fontId="162" fillId="41" borderId="9" xfId="1" applyFont="1" applyFill="1" applyBorder="1" applyAlignment="1">
      <alignment horizontal="center" vertical="center"/>
    </xf>
    <xf numFmtId="41" fontId="162" fillId="41" borderId="4" xfId="1" applyFont="1" applyFill="1" applyBorder="1" applyAlignment="1">
      <alignment vertical="center" shrinkToFit="1"/>
    </xf>
    <xf numFmtId="250" fontId="172" fillId="41" borderId="3" xfId="5749" applyNumberFormat="1" applyFont="1" applyFill="1" applyBorder="1" applyAlignment="1">
      <alignment horizontal="left" vertical="center"/>
    </xf>
    <xf numFmtId="0" fontId="162" fillId="41" borderId="89" xfId="2" applyFont="1" applyFill="1" applyBorder="1" applyAlignment="1">
      <alignment horizontal="center" vertical="center" shrinkToFit="1"/>
    </xf>
    <xf numFmtId="250" fontId="170" fillId="41" borderId="4" xfId="5749" applyNumberFormat="1" applyFont="1" applyFill="1" applyBorder="1" applyAlignment="1">
      <alignment horizontal="left" vertical="center"/>
    </xf>
    <xf numFmtId="42" fontId="166" fillId="41" borderId="90" xfId="5749" applyNumberFormat="1" applyFont="1" applyFill="1" applyBorder="1" applyAlignment="1">
      <alignment horizontal="left" vertical="center"/>
    </xf>
    <xf numFmtId="253" fontId="169" fillId="0" borderId="3" xfId="15899" applyNumberFormat="1" applyFont="1" applyBorder="1" applyAlignment="1">
      <alignment horizontal="left" vertical="center" shrinkToFit="1"/>
    </xf>
    <xf numFmtId="0" fontId="162" fillId="41" borderId="77" xfId="2" applyFont="1" applyFill="1" applyBorder="1" applyAlignment="1">
      <alignment vertical="center" shrinkToFit="1"/>
    </xf>
    <xf numFmtId="0" fontId="172" fillId="41" borderId="70" xfId="2" applyFont="1" applyFill="1" applyBorder="1" applyAlignment="1">
      <alignment horizontal="center" vertical="center" shrinkToFit="1"/>
    </xf>
    <xf numFmtId="41" fontId="172" fillId="41" borderId="3" xfId="1" applyFont="1" applyFill="1" applyBorder="1" applyAlignment="1">
      <alignment vertical="center" shrinkToFit="1"/>
    </xf>
    <xf numFmtId="250" fontId="162" fillId="41" borderId="3" xfId="1" applyNumberFormat="1" applyFont="1" applyFill="1" applyBorder="1" applyAlignment="1">
      <alignment horizontal="center" vertical="center"/>
    </xf>
    <xf numFmtId="41" fontId="162" fillId="41" borderId="3" xfId="1" applyNumberFormat="1" applyFont="1" applyFill="1" applyBorder="1" applyAlignment="1">
      <alignment horizontal="left" vertical="center"/>
    </xf>
    <xf numFmtId="250" fontId="161" fillId="20" borderId="4" xfId="1" applyNumberFormat="1" applyFont="1" applyFill="1" applyBorder="1" applyAlignment="1">
      <alignment horizontal="center" vertical="center" shrinkToFit="1"/>
    </xf>
    <xf numFmtId="0" fontId="161" fillId="20" borderId="109" xfId="15923" applyFont="1" applyFill="1" applyBorder="1" applyAlignment="1">
      <alignment vertical="center"/>
    </xf>
    <xf numFmtId="250" fontId="173" fillId="42" borderId="4" xfId="1" applyNumberFormat="1" applyFont="1" applyFill="1" applyBorder="1" applyAlignment="1">
      <alignment horizontal="left" vertical="center" shrinkToFit="1"/>
    </xf>
    <xf numFmtId="0" fontId="162" fillId="38" borderId="17" xfId="2" applyFont="1" applyFill="1" applyBorder="1" applyAlignment="1">
      <alignment horizontal="center" vertical="center"/>
    </xf>
    <xf numFmtId="0" fontId="162" fillId="38" borderId="25" xfId="2" applyFont="1" applyFill="1" applyBorder="1" applyAlignment="1">
      <alignment horizontal="center" vertical="center"/>
    </xf>
    <xf numFmtId="0" fontId="162" fillId="38" borderId="17" xfId="2" applyFont="1" applyFill="1" applyBorder="1" applyAlignment="1">
      <alignment horizontal="left" vertical="center"/>
    </xf>
    <xf numFmtId="250" fontId="172" fillId="21" borderId="5" xfId="1" applyNumberFormat="1" applyFont="1" applyFill="1" applyBorder="1" applyAlignment="1">
      <alignment horizontal="left" vertical="center"/>
    </xf>
    <xf numFmtId="0" fontId="163" fillId="43" borderId="4" xfId="0" applyFont="1" applyFill="1" applyBorder="1" applyAlignment="1">
      <alignment horizontal="left" vertical="center" wrapText="1"/>
    </xf>
    <xf numFmtId="251" fontId="172" fillId="43" borderId="4" xfId="0" applyNumberFormat="1" applyFont="1" applyFill="1" applyBorder="1" applyAlignment="1">
      <alignment horizontal="center" vertical="center" wrapText="1"/>
    </xf>
    <xf numFmtId="41" fontId="172" fillId="43" borderId="4" xfId="0" applyNumberFormat="1" applyFont="1" applyFill="1" applyBorder="1" applyAlignment="1">
      <alignment horizontal="center" vertical="center"/>
    </xf>
    <xf numFmtId="41" fontId="172" fillId="43" borderId="4" xfId="1" applyFont="1" applyFill="1" applyBorder="1" applyAlignment="1">
      <alignment horizontal="right" vertical="center"/>
    </xf>
    <xf numFmtId="250" fontId="172" fillId="43" borderId="3" xfId="5749" applyNumberFormat="1" applyFont="1" applyFill="1" applyBorder="1" applyAlignment="1">
      <alignment horizontal="left" vertical="center"/>
    </xf>
    <xf numFmtId="251" fontId="163" fillId="43" borderId="89" xfId="0" applyNumberFormat="1" applyFont="1" applyFill="1" applyBorder="1" applyAlignment="1">
      <alignment horizontal="center" vertical="center" wrapText="1"/>
    </xf>
    <xf numFmtId="41" fontId="162" fillId="43" borderId="4" xfId="0" applyNumberFormat="1" applyFont="1" applyFill="1" applyBorder="1" applyAlignment="1">
      <alignment horizontal="center" vertical="center"/>
    </xf>
    <xf numFmtId="41" fontId="163" fillId="43" borderId="4" xfId="1" applyNumberFormat="1" applyFont="1" applyFill="1" applyBorder="1" applyAlignment="1">
      <alignment horizontal="right" vertical="center"/>
    </xf>
    <xf numFmtId="250" fontId="170" fillId="43" borderId="4" xfId="5749" applyNumberFormat="1" applyFont="1" applyFill="1" applyBorder="1" applyAlignment="1">
      <alignment horizontal="left" vertical="center"/>
    </xf>
    <xf numFmtId="0" fontId="162" fillId="43" borderId="4" xfId="2" applyFont="1" applyFill="1" applyBorder="1" applyAlignment="1">
      <alignment vertical="center" shrinkToFit="1"/>
    </xf>
    <xf numFmtId="0" fontId="172" fillId="43" borderId="4" xfId="2" applyFont="1" applyFill="1" applyBorder="1" applyAlignment="1">
      <alignment horizontal="center" vertical="center" shrinkToFit="1"/>
    </xf>
    <xf numFmtId="41" fontId="172" fillId="43" borderId="4" xfId="1" applyFont="1" applyFill="1" applyBorder="1" applyAlignment="1">
      <alignment vertical="center" shrinkToFit="1"/>
    </xf>
    <xf numFmtId="250" fontId="172" fillId="43" borderId="3" xfId="1" applyNumberFormat="1" applyFont="1" applyFill="1" applyBorder="1" applyAlignment="1">
      <alignment horizontal="left" vertical="center"/>
    </xf>
    <xf numFmtId="251" fontId="162" fillId="43" borderId="91" xfId="1" applyNumberFormat="1" applyFont="1" applyFill="1" applyBorder="1" applyAlignment="1">
      <alignment horizontal="center" vertical="center"/>
    </xf>
    <xf numFmtId="0" fontId="162" fillId="43" borderId="65" xfId="2" applyFont="1" applyFill="1" applyBorder="1" applyAlignment="1">
      <alignment horizontal="center" vertical="center" shrinkToFit="1"/>
    </xf>
    <xf numFmtId="41" fontId="162" fillId="43" borderId="0" xfId="1" applyFont="1" applyFill="1" applyBorder="1" applyAlignment="1">
      <alignment vertical="center" shrinkToFit="1"/>
    </xf>
    <xf numFmtId="250" fontId="170" fillId="43" borderId="4" xfId="1" applyNumberFormat="1" applyFont="1" applyFill="1" applyBorder="1" applyAlignment="1">
      <alignment horizontal="left" vertical="center"/>
    </xf>
    <xf numFmtId="42" fontId="166" fillId="43" borderId="93" xfId="1" applyNumberFormat="1" applyFont="1" applyFill="1" applyBorder="1" applyAlignment="1">
      <alignment horizontal="left" vertical="center"/>
    </xf>
    <xf numFmtId="41" fontId="162" fillId="43" borderId="80" xfId="1" applyFont="1" applyFill="1" applyBorder="1" applyAlignment="1">
      <alignment horizontal="center" vertical="center"/>
    </xf>
    <xf numFmtId="0" fontId="162" fillId="43" borderId="4" xfId="2" applyFont="1" applyFill="1" applyBorder="1" applyAlignment="1">
      <alignment horizontal="center" vertical="center"/>
    </xf>
    <xf numFmtId="251" fontId="162" fillId="43" borderId="99" xfId="1" applyNumberFormat="1" applyFont="1" applyFill="1" applyBorder="1" applyAlignment="1">
      <alignment horizontal="center" vertical="center"/>
    </xf>
    <xf numFmtId="0" fontId="162" fillId="43" borderId="77" xfId="2" applyFont="1" applyFill="1" applyBorder="1" applyAlignment="1">
      <alignment horizontal="center" vertical="center" shrinkToFit="1"/>
    </xf>
    <xf numFmtId="41" fontId="162" fillId="43" borderId="26" xfId="1" applyFont="1" applyFill="1" applyBorder="1" applyAlignment="1">
      <alignment vertical="center" shrinkToFit="1"/>
    </xf>
    <xf numFmtId="42" fontId="166" fillId="43" borderId="13" xfId="1" applyNumberFormat="1" applyFont="1" applyFill="1" applyBorder="1" applyAlignment="1">
      <alignment horizontal="left" vertical="center"/>
    </xf>
    <xf numFmtId="41" fontId="162" fillId="43" borderId="4" xfId="1" applyFont="1" applyFill="1" applyBorder="1" applyAlignment="1">
      <alignment horizontal="center" vertical="center"/>
    </xf>
    <xf numFmtId="0" fontId="162" fillId="43" borderId="4" xfId="2" applyFont="1" applyFill="1" applyBorder="1" applyAlignment="1">
      <alignment horizontal="center" vertical="center" shrinkToFit="1"/>
    </xf>
    <xf numFmtId="41" fontId="162" fillId="43" borderId="4" xfId="1" applyFont="1" applyFill="1" applyBorder="1" applyAlignment="1">
      <alignment vertical="center" shrinkToFit="1"/>
    </xf>
    <xf numFmtId="0" fontId="162" fillId="43" borderId="4" xfId="2" applyFont="1" applyFill="1" applyBorder="1" applyAlignment="1">
      <alignment horizontal="left" vertical="center"/>
    </xf>
    <xf numFmtId="0" fontId="162" fillId="43" borderId="4" xfId="2" applyFont="1" applyFill="1" applyBorder="1" applyAlignment="1">
      <alignment vertical="center"/>
    </xf>
    <xf numFmtId="0" fontId="172" fillId="43" borderId="4" xfId="0" applyFont="1" applyFill="1" applyBorder="1" applyAlignment="1">
      <alignment horizontal="center" vertical="center"/>
    </xf>
    <xf numFmtId="0" fontId="162" fillId="43" borderId="37" xfId="2" applyFont="1" applyFill="1" applyBorder="1" applyAlignment="1">
      <alignment horizontal="center" vertical="center" shrinkToFit="1"/>
    </xf>
    <xf numFmtId="41" fontId="162" fillId="43" borderId="80" xfId="1" applyFont="1" applyFill="1" applyBorder="1" applyAlignment="1">
      <alignment vertical="center" shrinkToFit="1"/>
    </xf>
    <xf numFmtId="41" fontId="162" fillId="43" borderId="9" xfId="1" applyFont="1" applyFill="1" applyBorder="1" applyAlignment="1">
      <alignment horizontal="center" vertical="center"/>
    </xf>
    <xf numFmtId="0" fontId="162" fillId="43" borderId="4" xfId="2" applyFont="1" applyFill="1" applyBorder="1" applyAlignment="1">
      <alignment horizontal="left" vertical="center" wrapText="1"/>
    </xf>
    <xf numFmtId="0" fontId="162" fillId="43" borderId="4" xfId="15917" applyFont="1" applyFill="1" applyBorder="1" applyAlignment="1">
      <alignment horizontal="left" vertical="center"/>
    </xf>
    <xf numFmtId="0" fontId="172" fillId="43" borderId="4" xfId="15917" applyFont="1" applyFill="1" applyBorder="1" applyAlignment="1">
      <alignment horizontal="center" vertical="center"/>
    </xf>
    <xf numFmtId="41" fontId="172" fillId="43" borderId="4" xfId="1" applyFont="1" applyFill="1" applyBorder="1" applyAlignment="1">
      <alignment horizontal="center" vertical="center"/>
    </xf>
    <xf numFmtId="0" fontId="162" fillId="43" borderId="4" xfId="15917" applyFont="1" applyFill="1" applyBorder="1" applyAlignment="1">
      <alignment horizontal="center" vertical="center"/>
    </xf>
    <xf numFmtId="251" fontId="162" fillId="43" borderId="89" xfId="1" applyNumberFormat="1" applyFont="1" applyFill="1" applyBorder="1" applyAlignment="1">
      <alignment horizontal="center" vertical="center"/>
    </xf>
    <xf numFmtId="250" fontId="166" fillId="21" borderId="90" xfId="1" applyNumberFormat="1" applyFont="1" applyFill="1" applyBorder="1" applyAlignment="1">
      <alignment horizontal="left" vertical="center"/>
    </xf>
    <xf numFmtId="42" fontId="166" fillId="43" borderId="90" xfId="5749" applyNumberFormat="1" applyFont="1" applyFill="1" applyBorder="1" applyAlignment="1">
      <alignment horizontal="left" vertical="center"/>
    </xf>
    <xf numFmtId="0" fontId="162" fillId="45" borderId="4" xfId="2" applyFont="1" applyFill="1" applyBorder="1" applyAlignment="1">
      <alignment horizontal="center" vertical="center"/>
    </xf>
    <xf numFmtId="0" fontId="162" fillId="45" borderId="4" xfId="15917" applyFont="1" applyFill="1" applyBorder="1" applyAlignment="1">
      <alignment horizontal="left" vertical="center"/>
    </xf>
    <xf numFmtId="0" fontId="172" fillId="45" borderId="4" xfId="2" applyFont="1" applyFill="1" applyBorder="1" applyAlignment="1">
      <alignment horizontal="center" vertical="center" shrinkToFit="1"/>
    </xf>
    <xf numFmtId="41" fontId="172" fillId="45" borderId="4" xfId="1" applyFont="1" applyFill="1" applyBorder="1" applyAlignment="1">
      <alignment horizontal="center" vertical="center"/>
    </xf>
    <xf numFmtId="250" fontId="172" fillId="45" borderId="3" xfId="1" applyNumberFormat="1" applyFont="1" applyFill="1" applyBorder="1" applyAlignment="1">
      <alignment horizontal="left" vertical="center"/>
    </xf>
    <xf numFmtId="251" fontId="162" fillId="45" borderId="91" xfId="1" applyNumberFormat="1" applyFont="1" applyFill="1" applyBorder="1" applyAlignment="1">
      <alignment horizontal="center" vertical="center"/>
    </xf>
    <xf numFmtId="0" fontId="162" fillId="45" borderId="4" xfId="2" applyFont="1" applyFill="1" applyBorder="1" applyAlignment="1">
      <alignment horizontal="center" vertical="center" shrinkToFit="1"/>
    </xf>
    <xf numFmtId="41" fontId="162" fillId="45" borderId="4" xfId="1" applyFont="1" applyFill="1" applyBorder="1" applyAlignment="1">
      <alignment horizontal="center" vertical="center"/>
    </xf>
    <xf numFmtId="250" fontId="170" fillId="45" borderId="4" xfId="1" applyNumberFormat="1" applyFont="1" applyFill="1" applyBorder="1" applyAlignment="1">
      <alignment horizontal="left" vertical="center"/>
    </xf>
    <xf numFmtId="41" fontId="162" fillId="45" borderId="9" xfId="1" applyFont="1" applyFill="1" applyBorder="1" applyAlignment="1">
      <alignment horizontal="center" vertical="center"/>
    </xf>
    <xf numFmtId="41" fontId="172" fillId="45" borderId="4" xfId="1" applyFont="1" applyFill="1" applyBorder="1" applyAlignment="1">
      <alignment vertical="center" shrinkToFit="1"/>
    </xf>
    <xf numFmtId="41" fontId="162" fillId="45" borderId="4" xfId="1" applyFont="1" applyFill="1" applyBorder="1" applyAlignment="1">
      <alignment vertical="center" shrinkToFit="1"/>
    </xf>
    <xf numFmtId="0" fontId="172" fillId="45" borderId="4" xfId="15917" applyFont="1" applyFill="1" applyBorder="1" applyAlignment="1">
      <alignment horizontal="center" vertical="center"/>
    </xf>
    <xf numFmtId="0" fontId="162" fillId="45" borderId="4" xfId="15917" applyFont="1" applyFill="1" applyBorder="1" applyAlignment="1">
      <alignment horizontal="center" vertical="center"/>
    </xf>
    <xf numFmtId="42" fontId="166" fillId="45" borderId="93" xfId="1" applyNumberFormat="1" applyFont="1" applyFill="1" applyBorder="1" applyAlignment="1">
      <alignment horizontal="left" vertical="center"/>
    </xf>
    <xf numFmtId="0" fontId="162" fillId="45" borderId="4" xfId="2" applyFont="1" applyFill="1" applyBorder="1" applyAlignment="1">
      <alignment horizontal="left" vertical="center"/>
    </xf>
    <xf numFmtId="0" fontId="162" fillId="45" borderId="4" xfId="2" applyFont="1" applyFill="1" applyBorder="1" applyAlignment="1">
      <alignment vertical="center"/>
    </xf>
    <xf numFmtId="0" fontId="162" fillId="45" borderId="4" xfId="2" applyFont="1" applyFill="1" applyBorder="1" applyAlignment="1">
      <alignment vertical="center" shrinkToFit="1"/>
    </xf>
    <xf numFmtId="250" fontId="172" fillId="45" borderId="3" xfId="5749" applyNumberFormat="1" applyFont="1" applyFill="1" applyBorder="1" applyAlignment="1">
      <alignment horizontal="left" vertical="center"/>
    </xf>
    <xf numFmtId="0" fontId="162" fillId="45" borderId="89" xfId="2" applyFont="1" applyFill="1" applyBorder="1" applyAlignment="1">
      <alignment horizontal="center" vertical="center" shrinkToFit="1"/>
    </xf>
    <xf numFmtId="250" fontId="170" fillId="45" borderId="4" xfId="5749" applyNumberFormat="1" applyFont="1" applyFill="1" applyBorder="1" applyAlignment="1">
      <alignment horizontal="left" vertical="center"/>
    </xf>
    <xf numFmtId="42" fontId="171" fillId="45" borderId="90" xfId="5749" applyNumberFormat="1" applyFont="1" applyFill="1" applyBorder="1" applyAlignment="1">
      <alignment horizontal="left" vertical="center"/>
    </xf>
    <xf numFmtId="0" fontId="162" fillId="45" borderId="36" xfId="2" applyFont="1" applyFill="1" applyBorder="1" applyAlignment="1">
      <alignment vertical="center"/>
    </xf>
    <xf numFmtId="0" fontId="172" fillId="45" borderId="36" xfId="2" applyFont="1" applyFill="1" applyBorder="1" applyAlignment="1">
      <alignment horizontal="center" vertical="center"/>
    </xf>
    <xf numFmtId="41" fontId="172" fillId="45" borderId="60" xfId="1" applyFont="1" applyFill="1" applyBorder="1" applyAlignment="1">
      <alignment vertical="center"/>
    </xf>
    <xf numFmtId="0" fontId="162" fillId="45" borderId="97" xfId="2" applyFont="1" applyFill="1" applyBorder="1" applyAlignment="1">
      <alignment horizontal="center" vertical="center"/>
    </xf>
    <xf numFmtId="0" fontId="162" fillId="45" borderId="36" xfId="2" applyFont="1" applyFill="1" applyBorder="1" applyAlignment="1">
      <alignment horizontal="center" vertical="center"/>
    </xf>
    <xf numFmtId="41" fontId="162" fillId="45" borderId="60" xfId="1" applyFont="1" applyFill="1" applyBorder="1" applyAlignment="1">
      <alignment vertical="center"/>
    </xf>
    <xf numFmtId="42" fontId="171" fillId="45" borderId="93" xfId="1" applyNumberFormat="1" applyFont="1" applyFill="1" applyBorder="1" applyAlignment="1">
      <alignment horizontal="left" vertical="center"/>
    </xf>
    <xf numFmtId="41" fontId="162" fillId="45" borderId="60" xfId="1" applyFont="1" applyFill="1" applyBorder="1" applyAlignment="1">
      <alignment horizontal="center" vertical="center"/>
    </xf>
    <xf numFmtId="0" fontId="162" fillId="45" borderId="9" xfId="2" applyFont="1" applyFill="1" applyBorder="1" applyAlignment="1">
      <alignment vertical="center" shrinkToFit="1"/>
    </xf>
    <xf numFmtId="250" fontId="162" fillId="45" borderId="3" xfId="1" applyNumberFormat="1" applyFont="1" applyFill="1" applyBorder="1" applyAlignment="1">
      <alignment horizontal="center" vertical="center"/>
    </xf>
    <xf numFmtId="41" fontId="162" fillId="45" borderId="3" xfId="1" applyNumberFormat="1" applyFont="1" applyFill="1" applyBorder="1" applyAlignment="1">
      <alignment horizontal="left" vertical="center"/>
    </xf>
    <xf numFmtId="0" fontId="162" fillId="45" borderId="77" xfId="2" applyFont="1" applyFill="1" applyBorder="1" applyAlignment="1">
      <alignment vertical="center" shrinkToFit="1"/>
    </xf>
    <xf numFmtId="0" fontId="172" fillId="45" borderId="70" xfId="2" applyFont="1" applyFill="1" applyBorder="1" applyAlignment="1">
      <alignment horizontal="center" vertical="center" shrinkToFit="1"/>
    </xf>
    <xf numFmtId="41" fontId="172" fillId="45" borderId="3" xfId="1" applyFont="1" applyFill="1" applyBorder="1" applyAlignment="1">
      <alignment vertical="center" shrinkToFit="1"/>
    </xf>
    <xf numFmtId="41" fontId="162" fillId="45" borderId="3" xfId="1" applyFont="1" applyFill="1" applyBorder="1" applyAlignment="1">
      <alignment vertical="center" shrinkToFit="1"/>
    </xf>
    <xf numFmtId="0" fontId="162" fillId="38" borderId="26" xfId="2" applyFont="1" applyFill="1" applyBorder="1" applyAlignment="1">
      <alignment vertical="center"/>
    </xf>
    <xf numFmtId="0" fontId="162" fillId="38" borderId="25" xfId="2" applyFont="1" applyFill="1" applyBorder="1" applyAlignment="1">
      <alignment vertical="center"/>
    </xf>
    <xf numFmtId="0" fontId="162" fillId="38" borderId="17" xfId="2" applyFont="1" applyFill="1" applyBorder="1" applyAlignment="1">
      <alignment vertical="center"/>
    </xf>
    <xf numFmtId="0" fontId="162" fillId="45" borderId="25" xfId="2" applyFont="1" applyFill="1" applyBorder="1" applyAlignment="1">
      <alignment vertical="center"/>
    </xf>
    <xf numFmtId="0" fontId="162" fillId="45" borderId="9" xfId="15917" applyFont="1" applyFill="1" applyBorder="1" applyAlignment="1">
      <alignment horizontal="center" vertical="center"/>
    </xf>
    <xf numFmtId="251" fontId="162" fillId="45" borderId="89" xfId="1" applyNumberFormat="1" applyFont="1" applyFill="1" applyBorder="1" applyAlignment="1">
      <alignment horizontal="center" vertical="center"/>
    </xf>
    <xf numFmtId="251" fontId="162" fillId="45" borderId="4" xfId="1" applyNumberFormat="1" applyFont="1" applyFill="1" applyBorder="1" applyAlignment="1">
      <alignment horizontal="center" vertical="center"/>
    </xf>
    <xf numFmtId="42" fontId="166" fillId="45" borderId="3" xfId="1" applyNumberFormat="1" applyFont="1" applyFill="1" applyBorder="1" applyAlignment="1">
      <alignment horizontal="left" vertical="center"/>
    </xf>
    <xf numFmtId="0" fontId="162" fillId="45" borderId="77" xfId="2" applyFont="1" applyFill="1" applyBorder="1" applyAlignment="1">
      <alignment vertical="center" wrapText="1" shrinkToFit="1"/>
    </xf>
    <xf numFmtId="0" fontId="162" fillId="45" borderId="3" xfId="2" applyFont="1" applyFill="1" applyBorder="1" applyAlignment="1">
      <alignment horizontal="center" vertical="center" shrinkToFit="1"/>
    </xf>
    <xf numFmtId="0" fontId="162" fillId="45" borderId="17" xfId="2" applyFont="1" applyFill="1" applyBorder="1" applyAlignment="1">
      <alignment horizontal="center" vertical="center"/>
    </xf>
    <xf numFmtId="0" fontId="162" fillId="38" borderId="17" xfId="2" applyFont="1" applyFill="1" applyBorder="1" applyAlignment="1">
      <alignment horizontal="center" vertical="center"/>
    </xf>
    <xf numFmtId="0" fontId="162" fillId="0" borderId="4" xfId="2" applyFont="1" applyFill="1" applyBorder="1" applyAlignment="1">
      <alignment horizontal="center" vertical="center"/>
    </xf>
    <xf numFmtId="0" fontId="162" fillId="46" borderId="4" xfId="2" applyFont="1" applyFill="1" applyBorder="1" applyAlignment="1">
      <alignment vertical="center"/>
    </xf>
    <xf numFmtId="0" fontId="172" fillId="46" borderId="4" xfId="2" applyFont="1" applyFill="1" applyBorder="1" applyAlignment="1">
      <alignment horizontal="center" vertical="center"/>
    </xf>
    <xf numFmtId="41" fontId="172" fillId="46" borderId="4" xfId="1" applyFont="1" applyFill="1" applyBorder="1" applyAlignment="1">
      <alignment vertical="center"/>
    </xf>
    <xf numFmtId="250" fontId="172" fillId="46" borderId="3" xfId="5749" applyNumberFormat="1" applyFont="1" applyFill="1" applyBorder="1" applyAlignment="1">
      <alignment horizontal="left" vertical="center"/>
    </xf>
    <xf numFmtId="251" fontId="162" fillId="46" borderId="89" xfId="2" applyNumberFormat="1" applyFont="1" applyFill="1" applyBorder="1" applyAlignment="1">
      <alignment horizontal="center" vertical="center"/>
    </xf>
    <xf numFmtId="0" fontId="162" fillId="46" borderId="4" xfId="2" applyFont="1" applyFill="1" applyBorder="1" applyAlignment="1">
      <alignment horizontal="center" vertical="center"/>
    </xf>
    <xf numFmtId="41" fontId="162" fillId="46" borderId="4" xfId="1" applyNumberFormat="1" applyFont="1" applyFill="1" applyBorder="1" applyAlignment="1">
      <alignment vertical="center"/>
    </xf>
    <xf numFmtId="250" fontId="170" fillId="46" borderId="4" xfId="5749" applyNumberFormat="1" applyFont="1" applyFill="1" applyBorder="1" applyAlignment="1">
      <alignment horizontal="left" vertical="center"/>
    </xf>
    <xf numFmtId="42" fontId="171" fillId="46" borderId="93" xfId="5749" applyNumberFormat="1" applyFont="1" applyFill="1" applyBorder="1" applyAlignment="1">
      <alignment horizontal="left" vertical="center"/>
    </xf>
    <xf numFmtId="0" fontId="162" fillId="46" borderId="60" xfId="5749" applyFont="1" applyFill="1" applyBorder="1" applyAlignment="1">
      <alignment horizontal="center" vertical="center"/>
    </xf>
    <xf numFmtId="42" fontId="166" fillId="46" borderId="93" xfId="5749" applyNumberFormat="1" applyFont="1" applyFill="1" applyBorder="1" applyAlignment="1">
      <alignment horizontal="left" vertical="center"/>
    </xf>
    <xf numFmtId="0" fontId="162" fillId="46" borderId="4" xfId="0" applyFont="1" applyFill="1" applyBorder="1" applyAlignment="1">
      <alignment horizontal="left" vertical="center" wrapText="1"/>
    </xf>
    <xf numFmtId="0" fontId="172" fillId="46" borderId="4" xfId="0" applyFont="1" applyFill="1" applyBorder="1" applyAlignment="1">
      <alignment horizontal="center" vertical="center" wrapText="1"/>
    </xf>
    <xf numFmtId="0" fontId="162" fillId="46" borderId="4" xfId="0" applyFont="1" applyFill="1" applyBorder="1" applyAlignment="1">
      <alignment horizontal="center" vertical="center" wrapText="1"/>
    </xf>
    <xf numFmtId="0" fontId="172" fillId="46" borderId="4" xfId="0" applyFont="1" applyFill="1" applyBorder="1" applyAlignment="1">
      <alignment horizontal="center" vertical="center"/>
    </xf>
    <xf numFmtId="251" fontId="162" fillId="46" borderId="89" xfId="0" applyNumberFormat="1" applyFont="1" applyFill="1" applyBorder="1" applyAlignment="1">
      <alignment horizontal="center" vertical="center"/>
    </xf>
    <xf numFmtId="0" fontId="162" fillId="46" borderId="4" xfId="2" applyFont="1" applyFill="1" applyBorder="1" applyAlignment="1">
      <alignment horizontal="left" vertical="center"/>
    </xf>
    <xf numFmtId="250" fontId="172" fillId="46" borderId="3" xfId="1" applyNumberFormat="1" applyFont="1" applyFill="1" applyBorder="1" applyAlignment="1">
      <alignment horizontal="left" vertical="center"/>
    </xf>
    <xf numFmtId="0" fontId="162" fillId="46" borderId="89" xfId="2" applyFont="1" applyFill="1" applyBorder="1" applyAlignment="1">
      <alignment horizontal="center" vertical="center"/>
    </xf>
    <xf numFmtId="41" fontId="162" fillId="46" borderId="4" xfId="1" applyFont="1" applyFill="1" applyBorder="1" applyAlignment="1">
      <alignment vertical="center"/>
    </xf>
    <xf numFmtId="250" fontId="170" fillId="46" borderId="4" xfId="1" applyNumberFormat="1" applyFont="1" applyFill="1" applyBorder="1" applyAlignment="1">
      <alignment horizontal="left" vertical="center"/>
    </xf>
    <xf numFmtId="42" fontId="161" fillId="46" borderId="93" xfId="1" applyNumberFormat="1" applyFont="1" applyFill="1" applyBorder="1" applyAlignment="1">
      <alignment horizontal="left" vertical="center"/>
    </xf>
    <xf numFmtId="41" fontId="162" fillId="46" borderId="80" xfId="1" applyFont="1" applyFill="1" applyBorder="1" applyAlignment="1">
      <alignment horizontal="center" vertical="center"/>
    </xf>
    <xf numFmtId="0" fontId="162" fillId="46" borderId="4" xfId="2" applyFont="1" applyFill="1" applyBorder="1" applyAlignment="1">
      <alignment vertical="center" shrinkToFit="1"/>
    </xf>
    <xf numFmtId="0" fontId="172" fillId="46" borderId="4" xfId="2" applyFont="1" applyFill="1" applyBorder="1" applyAlignment="1">
      <alignment horizontal="center" vertical="center" shrinkToFit="1"/>
    </xf>
    <xf numFmtId="41" fontId="172" fillId="46" borderId="4" xfId="1" applyFont="1" applyFill="1" applyBorder="1" applyAlignment="1">
      <alignment vertical="center" shrinkToFit="1"/>
    </xf>
    <xf numFmtId="0" fontId="162" fillId="46" borderId="89" xfId="2" applyFont="1" applyFill="1" applyBorder="1" applyAlignment="1">
      <alignment horizontal="center" vertical="center" shrinkToFit="1"/>
    </xf>
    <xf numFmtId="0" fontId="162" fillId="46" borderId="4" xfId="2" applyFont="1" applyFill="1" applyBorder="1" applyAlignment="1">
      <alignment horizontal="center" vertical="center" shrinkToFit="1"/>
    </xf>
    <xf numFmtId="41" fontId="162" fillId="46" borderId="4" xfId="1" applyFont="1" applyFill="1" applyBorder="1" applyAlignment="1">
      <alignment vertical="center" shrinkToFit="1"/>
    </xf>
    <xf numFmtId="42" fontId="166" fillId="46" borderId="90" xfId="5749" applyNumberFormat="1" applyFont="1" applyFill="1" applyBorder="1" applyAlignment="1">
      <alignment horizontal="left" vertical="center"/>
    </xf>
    <xf numFmtId="41" fontId="162" fillId="46" borderId="9" xfId="1" applyFont="1" applyFill="1" applyBorder="1" applyAlignment="1">
      <alignment horizontal="center" vertical="center"/>
    </xf>
    <xf numFmtId="0" fontId="162" fillId="46" borderId="36" xfId="2" applyFont="1" applyFill="1" applyBorder="1" applyAlignment="1">
      <alignment vertical="center"/>
    </xf>
    <xf numFmtId="0" fontId="172" fillId="46" borderId="36" xfId="2" applyFont="1" applyFill="1" applyBorder="1" applyAlignment="1">
      <alignment horizontal="center" vertical="center"/>
    </xf>
    <xf numFmtId="41" fontId="172" fillId="46" borderId="60" xfId="1" applyFont="1" applyFill="1" applyBorder="1" applyAlignment="1">
      <alignment vertical="center"/>
    </xf>
    <xf numFmtId="0" fontId="162" fillId="46" borderId="97" xfId="2" applyFont="1" applyFill="1" applyBorder="1" applyAlignment="1">
      <alignment horizontal="center" vertical="center"/>
    </xf>
    <xf numFmtId="0" fontId="162" fillId="46" borderId="36" xfId="2" applyFont="1" applyFill="1" applyBorder="1" applyAlignment="1">
      <alignment horizontal="center" vertical="center"/>
    </xf>
    <xf numFmtId="41" fontId="162" fillId="46" borderId="60" xfId="1" applyFont="1" applyFill="1" applyBorder="1" applyAlignment="1">
      <alignment vertical="center"/>
    </xf>
    <xf numFmtId="41" fontId="162" fillId="46" borderId="60" xfId="1" applyFont="1" applyFill="1" applyBorder="1" applyAlignment="1">
      <alignment horizontal="center" vertical="center"/>
    </xf>
    <xf numFmtId="0" fontId="162" fillId="46" borderId="37" xfId="2" applyFont="1" applyFill="1" applyBorder="1" applyAlignment="1">
      <alignment vertical="center"/>
    </xf>
    <xf numFmtId="0" fontId="172" fillId="46" borderId="37" xfId="2" applyFont="1" applyFill="1" applyBorder="1" applyAlignment="1">
      <alignment horizontal="center" vertical="center"/>
    </xf>
    <xf numFmtId="41" fontId="172" fillId="46" borderId="62" xfId="1" applyFont="1" applyFill="1" applyBorder="1" applyAlignment="1">
      <alignment vertical="center"/>
    </xf>
    <xf numFmtId="0" fontId="162" fillId="46" borderId="98" xfId="2" applyFont="1" applyFill="1" applyBorder="1" applyAlignment="1">
      <alignment horizontal="center" vertical="center"/>
    </xf>
    <xf numFmtId="0" fontId="162" fillId="46" borderId="37" xfId="2" applyFont="1" applyFill="1" applyBorder="1" applyAlignment="1">
      <alignment horizontal="center" vertical="center"/>
    </xf>
    <xf numFmtId="41" fontId="162" fillId="46" borderId="62" xfId="1" applyFont="1" applyFill="1" applyBorder="1" applyAlignment="1">
      <alignment vertical="center"/>
    </xf>
    <xf numFmtId="41" fontId="162" fillId="46" borderId="62" xfId="1" applyFont="1" applyFill="1" applyBorder="1" applyAlignment="1">
      <alignment horizontal="center" vertical="center"/>
    </xf>
    <xf numFmtId="251" fontId="162" fillId="46" borderId="91" xfId="1" applyNumberFormat="1" applyFont="1" applyFill="1" applyBorder="1" applyAlignment="1">
      <alignment horizontal="center" vertical="center"/>
    </xf>
    <xf numFmtId="42" fontId="166" fillId="46" borderId="93" xfId="1" applyNumberFormat="1" applyFont="1" applyFill="1" applyBorder="1" applyAlignment="1">
      <alignment horizontal="left" vertical="center"/>
    </xf>
    <xf numFmtId="0" fontId="162" fillId="46" borderId="17" xfId="2" applyFont="1" applyFill="1" applyBorder="1" applyAlignment="1">
      <alignment vertical="center"/>
    </xf>
    <xf numFmtId="0" fontId="162" fillId="46" borderId="4" xfId="2" applyFont="1" applyFill="1" applyBorder="1" applyAlignment="1">
      <alignment horizontal="center" vertical="center" wrapText="1"/>
    </xf>
    <xf numFmtId="0" fontId="162" fillId="46" borderId="9" xfId="2" applyFont="1" applyFill="1" applyBorder="1" applyAlignment="1">
      <alignment vertical="center" shrinkToFit="1"/>
    </xf>
    <xf numFmtId="250" fontId="162" fillId="46" borderId="3" xfId="1" applyNumberFormat="1" applyFont="1" applyFill="1" applyBorder="1" applyAlignment="1">
      <alignment horizontal="center" vertical="center"/>
    </xf>
    <xf numFmtId="41" fontId="162" fillId="46" borderId="3" xfId="1" applyNumberFormat="1" applyFont="1" applyFill="1" applyBorder="1" applyAlignment="1">
      <alignment horizontal="left" vertical="center"/>
    </xf>
    <xf numFmtId="250" fontId="162" fillId="46" borderId="4" xfId="1" applyNumberFormat="1" applyFont="1" applyFill="1" applyBorder="1" applyAlignment="1">
      <alignment horizontal="center" vertical="center"/>
    </xf>
    <xf numFmtId="41" fontId="162" fillId="46" borderId="4" xfId="1" applyNumberFormat="1" applyFont="1" applyFill="1" applyBorder="1" applyAlignment="1">
      <alignment horizontal="left" vertical="center"/>
    </xf>
    <xf numFmtId="42" fontId="171" fillId="46" borderId="93" xfId="1" applyNumberFormat="1" applyFont="1" applyFill="1" applyBorder="1" applyAlignment="1">
      <alignment horizontal="left" vertical="center"/>
    </xf>
    <xf numFmtId="0" fontId="162" fillId="46" borderId="17" xfId="2" applyFont="1" applyFill="1" applyBorder="1" applyAlignment="1">
      <alignment horizontal="center" vertical="center"/>
    </xf>
    <xf numFmtId="41" fontId="162" fillId="46" borderId="3" xfId="1" applyFont="1" applyFill="1" applyBorder="1" applyAlignment="1">
      <alignment vertical="center" shrinkToFit="1"/>
    </xf>
    <xf numFmtId="0" fontId="162" fillId="46" borderId="4" xfId="2" applyFont="1" applyFill="1" applyBorder="1" applyAlignment="1">
      <alignment vertical="center" wrapText="1" shrinkToFit="1"/>
    </xf>
    <xf numFmtId="0" fontId="162" fillId="46" borderId="4" xfId="2" applyFont="1" applyFill="1" applyBorder="1" applyAlignment="1">
      <alignment vertical="center" wrapText="1"/>
    </xf>
    <xf numFmtId="41" fontId="162" fillId="46" borderId="35" xfId="1" applyFont="1" applyFill="1" applyBorder="1" applyAlignment="1">
      <alignment vertical="center" shrinkToFit="1"/>
    </xf>
    <xf numFmtId="41" fontId="162" fillId="46" borderId="9" xfId="1" applyFont="1" applyFill="1" applyBorder="1" applyAlignment="1">
      <alignment vertical="center" shrinkToFit="1"/>
    </xf>
    <xf numFmtId="0" fontId="162" fillId="46" borderId="25" xfId="2" applyFont="1" applyFill="1" applyBorder="1" applyAlignment="1">
      <alignment horizontal="left" vertical="center"/>
    </xf>
    <xf numFmtId="41" fontId="172" fillId="46" borderId="35" xfId="1" applyFont="1" applyFill="1" applyBorder="1" applyAlignment="1">
      <alignment vertical="center" shrinkToFit="1"/>
    </xf>
    <xf numFmtId="0" fontId="162" fillId="46" borderId="91" xfId="2" applyFont="1" applyFill="1" applyBorder="1" applyAlignment="1">
      <alignment horizontal="center" vertical="center" shrinkToFit="1"/>
    </xf>
    <xf numFmtId="41" fontId="162" fillId="46" borderId="0" xfId="1" applyFont="1" applyFill="1" applyBorder="1" applyAlignment="1">
      <alignment horizontal="center" vertical="center"/>
    </xf>
    <xf numFmtId="0" fontId="162" fillId="46" borderId="4" xfId="15917" applyFont="1" applyFill="1" applyBorder="1" applyAlignment="1">
      <alignment horizontal="left" vertical="center"/>
    </xf>
    <xf numFmtId="0" fontId="162" fillId="46" borderId="4" xfId="15917" applyFont="1" applyFill="1" applyBorder="1" applyAlignment="1">
      <alignment horizontal="left" vertical="center" wrapText="1"/>
    </xf>
    <xf numFmtId="41" fontId="172" fillId="46" borderId="4" xfId="1" applyFont="1" applyFill="1" applyBorder="1" applyAlignment="1">
      <alignment horizontal="center" vertical="center"/>
    </xf>
    <xf numFmtId="251" fontId="162" fillId="21" borderId="91" xfId="1" applyNumberFormat="1" applyFont="1" applyFill="1" applyBorder="1" applyAlignment="1">
      <alignment horizontal="center" vertical="center"/>
    </xf>
    <xf numFmtId="251" fontId="162" fillId="40" borderId="91" xfId="1" applyNumberFormat="1" applyFont="1" applyFill="1" applyBorder="1" applyAlignment="1">
      <alignment horizontal="center" vertical="center"/>
    </xf>
    <xf numFmtId="0" fontId="162" fillId="38" borderId="4" xfId="2" applyFont="1" applyFill="1" applyBorder="1" applyAlignment="1">
      <alignment horizontal="center" vertical="center"/>
    </xf>
    <xf numFmtId="0" fontId="162" fillId="0" borderId="4" xfId="2" applyFont="1" applyFill="1" applyBorder="1" applyAlignment="1">
      <alignment horizontal="center" vertical="center"/>
    </xf>
    <xf numFmtId="253" fontId="163" fillId="0" borderId="0" xfId="0" applyNumberFormat="1" applyFont="1" applyAlignment="1">
      <alignment horizontal="center" vertical="center"/>
    </xf>
    <xf numFmtId="42" fontId="161" fillId="43" borderId="90" xfId="1" applyNumberFormat="1" applyFont="1" applyFill="1" applyBorder="1" applyAlignment="1">
      <alignment horizontal="left" vertical="center"/>
    </xf>
    <xf numFmtId="42" fontId="161" fillId="20" borderId="90" xfId="1" applyNumberFormat="1" applyFont="1" applyFill="1" applyBorder="1" applyAlignment="1">
      <alignment horizontal="left" vertical="center"/>
    </xf>
    <xf numFmtId="42" fontId="161" fillId="41" borderId="90" xfId="1" applyNumberFormat="1" applyFont="1" applyFill="1" applyBorder="1" applyAlignment="1">
      <alignment horizontal="left" vertical="center"/>
    </xf>
    <xf numFmtId="42" fontId="161" fillId="46" borderId="90" xfId="1" applyNumberFormat="1" applyFont="1" applyFill="1" applyBorder="1" applyAlignment="1">
      <alignment horizontal="left" vertical="center"/>
    </xf>
    <xf numFmtId="251" fontId="163" fillId="47" borderId="89" xfId="0" applyNumberFormat="1" applyFont="1" applyFill="1" applyBorder="1" applyAlignment="1">
      <alignment horizontal="center" vertical="center" wrapText="1"/>
    </xf>
    <xf numFmtId="41" fontId="162" fillId="47" borderId="4" xfId="0" applyNumberFormat="1" applyFont="1" applyFill="1" applyBorder="1" applyAlignment="1">
      <alignment horizontal="center" vertical="center"/>
    </xf>
    <xf numFmtId="41" fontId="163" fillId="47" borderId="4" xfId="1" applyNumberFormat="1" applyFont="1" applyFill="1" applyBorder="1" applyAlignment="1">
      <alignment horizontal="right" vertical="center"/>
    </xf>
    <xf numFmtId="250" fontId="170" fillId="47" borderId="4" xfId="5749" applyNumberFormat="1" applyFont="1" applyFill="1" applyBorder="1" applyAlignment="1">
      <alignment horizontal="left" vertical="center"/>
    </xf>
    <xf numFmtId="42" fontId="161" fillId="47" borderId="90" xfId="1" applyNumberFormat="1" applyFont="1" applyFill="1" applyBorder="1" applyAlignment="1">
      <alignment horizontal="left" vertical="center"/>
    </xf>
    <xf numFmtId="0" fontId="162" fillId="47" borderId="60" xfId="5749" applyFont="1" applyFill="1" applyBorder="1" applyAlignment="1">
      <alignment horizontal="center" vertical="center"/>
    </xf>
    <xf numFmtId="0" fontId="162" fillId="47" borderId="71" xfId="2" applyFont="1" applyFill="1" applyBorder="1" applyAlignment="1">
      <alignment horizontal="left" vertical="center"/>
    </xf>
    <xf numFmtId="251" fontId="162" fillId="47" borderId="89" xfId="0" applyNumberFormat="1" applyFont="1" applyFill="1" applyBorder="1" applyAlignment="1">
      <alignment horizontal="center" vertical="center"/>
    </xf>
    <xf numFmtId="0" fontId="162" fillId="47" borderId="4" xfId="0" applyFont="1" applyFill="1" applyBorder="1" applyAlignment="1">
      <alignment horizontal="center" vertical="center" wrapText="1"/>
    </xf>
    <xf numFmtId="41" fontId="162" fillId="47" borderId="4" xfId="1" applyNumberFormat="1" applyFont="1" applyFill="1" applyBorder="1" applyAlignment="1">
      <alignment horizontal="right" vertical="center"/>
    </xf>
    <xf numFmtId="0" fontId="162" fillId="47" borderId="4" xfId="2" applyFont="1" applyFill="1" applyBorder="1" applyAlignment="1">
      <alignment horizontal="center" vertical="center"/>
    </xf>
    <xf numFmtId="41" fontId="162" fillId="47" borderId="4" xfId="1" applyNumberFormat="1" applyFont="1" applyFill="1" applyBorder="1" applyAlignment="1">
      <alignment vertical="center"/>
    </xf>
    <xf numFmtId="0" fontId="162" fillId="47" borderId="9" xfId="5749" applyFont="1" applyFill="1" applyBorder="1" applyAlignment="1">
      <alignment horizontal="center" vertical="center"/>
    </xf>
    <xf numFmtId="0" fontId="162" fillId="47" borderId="0" xfId="5749" applyFont="1" applyFill="1" applyBorder="1" applyAlignment="1">
      <alignment horizontal="center" vertical="center"/>
    </xf>
    <xf numFmtId="251" fontId="162" fillId="47" borderId="89" xfId="2" applyNumberFormat="1" applyFont="1" applyFill="1" applyBorder="1" applyAlignment="1">
      <alignment horizontal="center" vertical="center" shrinkToFit="1"/>
    </xf>
    <xf numFmtId="0" fontId="162" fillId="47" borderId="70" xfId="2" applyFont="1" applyFill="1" applyBorder="1" applyAlignment="1">
      <alignment horizontal="center" vertical="center" shrinkToFit="1"/>
    </xf>
    <xf numFmtId="41" fontId="162" fillId="47" borderId="3" xfId="1" applyFont="1" applyFill="1" applyBorder="1" applyAlignment="1">
      <alignment vertical="center" shrinkToFit="1"/>
    </xf>
    <xf numFmtId="250" fontId="170" fillId="47" borderId="4" xfId="1" applyNumberFormat="1" applyFont="1" applyFill="1" applyBorder="1" applyAlignment="1">
      <alignment horizontal="left" vertical="center"/>
    </xf>
    <xf numFmtId="251" fontId="162" fillId="47" borderId="91" xfId="1" applyNumberFormat="1" applyFont="1" applyFill="1" applyBorder="1" applyAlignment="1">
      <alignment horizontal="center" vertical="center"/>
    </xf>
    <xf numFmtId="250" fontId="162" fillId="47" borderId="3" xfId="1" applyNumberFormat="1" applyFont="1" applyFill="1" applyBorder="1" applyAlignment="1">
      <alignment horizontal="center" vertical="center"/>
    </xf>
    <xf numFmtId="41" fontId="162" fillId="47" borderId="3" xfId="1" applyNumberFormat="1" applyFont="1" applyFill="1" applyBorder="1" applyAlignment="1">
      <alignment horizontal="left" vertical="center"/>
    </xf>
    <xf numFmtId="42" fontId="166" fillId="47" borderId="93" xfId="1" applyNumberFormat="1" applyFont="1" applyFill="1" applyBorder="1" applyAlignment="1">
      <alignment horizontal="left" vertical="center"/>
    </xf>
    <xf numFmtId="41" fontId="162" fillId="47" borderId="9" xfId="1" applyFont="1" applyFill="1" applyBorder="1" applyAlignment="1">
      <alignment horizontal="center" vertical="center"/>
    </xf>
    <xf numFmtId="250" fontId="162" fillId="47" borderId="4" xfId="1" applyNumberFormat="1" applyFont="1" applyFill="1" applyBorder="1" applyAlignment="1">
      <alignment horizontal="center" vertical="center"/>
    </xf>
    <xf numFmtId="41" fontId="162" fillId="47" borderId="4" xfId="1" applyNumberFormat="1" applyFont="1" applyFill="1" applyBorder="1" applyAlignment="1">
      <alignment horizontal="left" vertical="center"/>
    </xf>
    <xf numFmtId="42" fontId="171" fillId="47" borderId="93" xfId="1" applyNumberFormat="1" applyFont="1" applyFill="1" applyBorder="1" applyAlignment="1">
      <alignment horizontal="left" vertical="center"/>
    </xf>
    <xf numFmtId="0" fontId="162" fillId="47" borderId="4" xfId="2" applyFont="1" applyFill="1" applyBorder="1" applyAlignment="1">
      <alignment horizontal="center" vertical="center" shrinkToFit="1"/>
    </xf>
    <xf numFmtId="41" fontId="162" fillId="47" borderId="4" xfId="1" applyFont="1" applyFill="1" applyBorder="1" applyAlignment="1">
      <alignment vertical="center" shrinkToFit="1"/>
    </xf>
    <xf numFmtId="0" fontId="162" fillId="47" borderId="13" xfId="2" applyFont="1" applyFill="1" applyBorder="1" applyAlignment="1">
      <alignment horizontal="center" vertical="center" shrinkToFit="1"/>
    </xf>
    <xf numFmtId="41" fontId="162" fillId="47" borderId="9" xfId="1" applyFont="1" applyFill="1" applyBorder="1" applyAlignment="1">
      <alignment vertical="center" shrinkToFit="1"/>
    </xf>
    <xf numFmtId="251" fontId="162" fillId="47" borderId="89" xfId="1" applyNumberFormat="1" applyFont="1" applyFill="1" applyBorder="1" applyAlignment="1">
      <alignment horizontal="center" vertical="center"/>
    </xf>
    <xf numFmtId="251" fontId="162" fillId="47" borderId="4" xfId="1" applyNumberFormat="1" applyFont="1" applyFill="1" applyBorder="1" applyAlignment="1">
      <alignment horizontal="center" vertical="center"/>
    </xf>
    <xf numFmtId="42" fontId="166" fillId="47" borderId="3" xfId="1" applyNumberFormat="1" applyFont="1" applyFill="1" applyBorder="1" applyAlignment="1">
      <alignment horizontal="left" vertical="center"/>
    </xf>
    <xf numFmtId="42" fontId="161" fillId="21" borderId="90" xfId="1" applyNumberFormat="1" applyFont="1" applyFill="1" applyBorder="1" applyAlignment="1">
      <alignment horizontal="left" vertical="center"/>
    </xf>
    <xf numFmtId="42" fontId="161" fillId="45" borderId="90" xfId="1" applyNumberFormat="1" applyFont="1" applyFill="1" applyBorder="1" applyAlignment="1">
      <alignment horizontal="left" vertical="center"/>
    </xf>
    <xf numFmtId="42" fontId="166" fillId="47" borderId="90" xfId="1" applyNumberFormat="1" applyFont="1" applyFill="1" applyBorder="1" applyAlignment="1">
      <alignment horizontal="left" vertical="center"/>
    </xf>
    <xf numFmtId="0" fontId="162" fillId="47" borderId="4" xfId="2" applyFont="1" applyFill="1" applyBorder="1" applyAlignment="1">
      <alignment vertical="center" shrinkToFit="1"/>
    </xf>
    <xf numFmtId="250" fontId="172" fillId="47" borderId="3" xfId="1" applyNumberFormat="1" applyFont="1" applyFill="1" applyBorder="1" applyAlignment="1">
      <alignment horizontal="left" vertical="center"/>
    </xf>
    <xf numFmtId="0" fontId="162" fillId="47" borderId="4" xfId="15917" applyFont="1" applyFill="1" applyBorder="1" applyAlignment="1">
      <alignment horizontal="left" vertical="center"/>
    </xf>
    <xf numFmtId="0" fontId="162" fillId="47" borderId="4" xfId="15917" applyFont="1" applyFill="1" applyBorder="1" applyAlignment="1">
      <alignment horizontal="left" vertical="center" wrapText="1"/>
    </xf>
    <xf numFmtId="0" fontId="172" fillId="47" borderId="4" xfId="2" applyFont="1" applyFill="1" applyBorder="1" applyAlignment="1">
      <alignment horizontal="center" vertical="center" shrinkToFit="1"/>
    </xf>
    <xf numFmtId="41" fontId="172" fillId="47" borderId="4" xfId="1" applyFont="1" applyFill="1" applyBorder="1" applyAlignment="1">
      <alignment horizontal="center" vertical="center"/>
    </xf>
    <xf numFmtId="41" fontId="174" fillId="47" borderId="9" xfId="1" applyFont="1" applyFill="1" applyBorder="1" applyAlignment="1">
      <alignment horizontal="center" vertical="center"/>
    </xf>
    <xf numFmtId="0" fontId="174" fillId="47" borderId="4" xfId="2" applyFont="1" applyFill="1" applyBorder="1" applyAlignment="1">
      <alignment horizontal="center" vertical="center"/>
    </xf>
    <xf numFmtId="0" fontId="162" fillId="38" borderId="26" xfId="2" applyFont="1" applyFill="1" applyBorder="1" applyAlignment="1">
      <alignment vertical="center" wrapText="1"/>
    </xf>
    <xf numFmtId="0" fontId="162" fillId="38" borderId="25" xfId="2" applyFont="1" applyFill="1" applyBorder="1" applyAlignment="1">
      <alignment vertical="center" wrapText="1"/>
    </xf>
    <xf numFmtId="0" fontId="162" fillId="47" borderId="25" xfId="2" applyFont="1" applyFill="1" applyBorder="1" applyAlignment="1">
      <alignment vertical="center" wrapText="1"/>
    </xf>
    <xf numFmtId="0" fontId="162" fillId="47" borderId="17" xfId="2" applyFont="1" applyFill="1" applyBorder="1" applyAlignment="1">
      <alignment vertical="center"/>
    </xf>
    <xf numFmtId="0" fontId="162" fillId="47" borderId="4" xfId="2" applyFont="1" applyFill="1" applyBorder="1" applyAlignment="1">
      <alignment vertical="center"/>
    </xf>
    <xf numFmtId="41" fontId="162" fillId="47" borderId="89" xfId="1" applyFont="1" applyFill="1" applyBorder="1" applyAlignment="1">
      <alignment horizontal="center" vertical="center" shrinkToFit="1"/>
    </xf>
    <xf numFmtId="0" fontId="162" fillId="47" borderId="4" xfId="15923" applyFont="1" applyFill="1" applyBorder="1" applyAlignment="1">
      <alignment horizontal="center" vertical="center"/>
    </xf>
    <xf numFmtId="0" fontId="162" fillId="47" borderId="26" xfId="2" applyFont="1" applyFill="1" applyBorder="1" applyAlignment="1">
      <alignment vertical="center"/>
    </xf>
    <xf numFmtId="0" fontId="162" fillId="47" borderId="25" xfId="2" applyFont="1" applyFill="1" applyBorder="1" applyAlignment="1">
      <alignment vertical="center"/>
    </xf>
    <xf numFmtId="251" fontId="162" fillId="47" borderId="13" xfId="1" applyNumberFormat="1" applyFont="1" applyFill="1" applyBorder="1" applyAlignment="1">
      <alignment horizontal="center" vertical="center"/>
    </xf>
    <xf numFmtId="251" fontId="162" fillId="21" borderId="91" xfId="1" applyNumberFormat="1" applyFont="1" applyFill="1" applyBorder="1" applyAlignment="1">
      <alignment horizontal="center" vertical="center"/>
    </xf>
    <xf numFmtId="251" fontId="162" fillId="40" borderId="91" xfId="1" applyNumberFormat="1" applyFont="1" applyFill="1" applyBorder="1" applyAlignment="1">
      <alignment horizontal="center" vertical="center"/>
    </xf>
    <xf numFmtId="0" fontId="162" fillId="0" borderId="4" xfId="2" applyFont="1" applyFill="1" applyBorder="1" applyAlignment="1">
      <alignment horizontal="center" vertical="center"/>
    </xf>
    <xf numFmtId="251" fontId="173" fillId="48" borderId="113" xfId="1" applyNumberFormat="1" applyFont="1" applyFill="1" applyBorder="1" applyAlignment="1">
      <alignment horizontal="center" vertical="center" wrapText="1"/>
    </xf>
    <xf numFmtId="250" fontId="173" fillId="48" borderId="114" xfId="1" applyNumberFormat="1" applyFont="1" applyFill="1" applyBorder="1" applyAlignment="1">
      <alignment horizontal="center" vertical="center" wrapText="1"/>
    </xf>
    <xf numFmtId="41" fontId="173" fillId="48" borderId="114" xfId="1" applyNumberFormat="1" applyFont="1" applyFill="1" applyBorder="1" applyAlignment="1">
      <alignment horizontal="center" vertical="center" wrapText="1"/>
    </xf>
    <xf numFmtId="42" fontId="173" fillId="48" borderId="115" xfId="1" applyNumberFormat="1" applyFont="1" applyFill="1" applyBorder="1" applyAlignment="1">
      <alignment horizontal="center" vertical="center" wrapText="1"/>
    </xf>
    <xf numFmtId="251" fontId="162" fillId="21" borderId="91" xfId="1" applyNumberFormat="1" applyFont="1" applyFill="1" applyBorder="1" applyAlignment="1">
      <alignment horizontal="center" vertical="center"/>
    </xf>
    <xf numFmtId="251" fontId="162" fillId="40" borderId="91" xfId="1" applyNumberFormat="1" applyFont="1" applyFill="1" applyBorder="1" applyAlignment="1">
      <alignment horizontal="center" vertical="center"/>
    </xf>
    <xf numFmtId="0" fontId="162" fillId="0" borderId="4" xfId="2" applyFont="1" applyFill="1" applyBorder="1" applyAlignment="1">
      <alignment horizontal="center" vertical="center"/>
    </xf>
    <xf numFmtId="0" fontId="162" fillId="0" borderId="4" xfId="2" applyFont="1" applyFill="1" applyBorder="1" applyAlignment="1">
      <alignment horizontal="center" vertical="center"/>
    </xf>
    <xf numFmtId="251" fontId="175" fillId="49" borderId="91" xfId="1" applyNumberFormat="1" applyFont="1" applyFill="1" applyBorder="1" applyAlignment="1">
      <alignment horizontal="center" vertical="center"/>
    </xf>
    <xf numFmtId="0" fontId="175" fillId="49" borderId="4" xfId="2" applyFont="1" applyFill="1" applyBorder="1" applyAlignment="1">
      <alignment horizontal="center" vertical="center" shrinkToFit="1"/>
    </xf>
    <xf numFmtId="250" fontId="173" fillId="49" borderId="4" xfId="1" applyNumberFormat="1" applyFont="1" applyFill="1" applyBorder="1" applyAlignment="1">
      <alignment horizontal="left" vertical="center"/>
    </xf>
    <xf numFmtId="42" fontId="173" fillId="49" borderId="93" xfId="1" applyNumberFormat="1" applyFont="1" applyFill="1" applyBorder="1" applyAlignment="1">
      <alignment horizontal="left" vertical="center"/>
    </xf>
    <xf numFmtId="251" fontId="175" fillId="44" borderId="91" xfId="1" applyNumberFormat="1" applyFont="1" applyFill="1" applyBorder="1" applyAlignment="1">
      <alignment horizontal="center" vertical="center"/>
    </xf>
    <xf numFmtId="0" fontId="175" fillId="44" borderId="4" xfId="2" applyFont="1" applyFill="1" applyBorder="1" applyAlignment="1">
      <alignment horizontal="center" vertical="center" shrinkToFit="1"/>
    </xf>
    <xf numFmtId="41" fontId="175" fillId="44" borderId="4" xfId="1" applyFont="1" applyFill="1" applyBorder="1" applyAlignment="1">
      <alignment horizontal="center" vertical="center"/>
    </xf>
    <xf numFmtId="250" fontId="173" fillId="44" borderId="4" xfId="1" applyNumberFormat="1" applyFont="1" applyFill="1" applyBorder="1" applyAlignment="1">
      <alignment horizontal="left" vertical="center"/>
    </xf>
    <xf numFmtId="42" fontId="173" fillId="44" borderId="93" xfId="1" applyNumberFormat="1" applyFont="1" applyFill="1" applyBorder="1" applyAlignment="1">
      <alignment horizontal="left" vertical="center"/>
    </xf>
    <xf numFmtId="41" fontId="162" fillId="44" borderId="9" xfId="1" applyFont="1" applyFill="1" applyBorder="1" applyAlignment="1">
      <alignment horizontal="center" vertical="center"/>
    </xf>
    <xf numFmtId="0" fontId="175" fillId="44" borderId="4" xfId="2" applyFont="1" applyFill="1" applyBorder="1" applyAlignment="1">
      <alignment horizontal="left" vertical="center"/>
    </xf>
    <xf numFmtId="41" fontId="175" fillId="49" borderId="9" xfId="1" applyFont="1" applyFill="1" applyBorder="1" applyAlignment="1">
      <alignment horizontal="center" vertical="center"/>
    </xf>
    <xf numFmtId="0" fontId="175" fillId="49" borderId="4" xfId="2" applyFont="1" applyFill="1" applyBorder="1" applyAlignment="1">
      <alignment horizontal="center" vertical="center"/>
    </xf>
    <xf numFmtId="251" fontId="162" fillId="44" borderId="91" xfId="1" applyNumberFormat="1" applyFont="1" applyFill="1" applyBorder="1" applyAlignment="1">
      <alignment horizontal="center" vertical="center"/>
    </xf>
    <xf numFmtId="0" fontId="162" fillId="44" borderId="4" xfId="2" applyFont="1" applyFill="1" applyBorder="1" applyAlignment="1">
      <alignment horizontal="center" vertical="center" shrinkToFit="1"/>
    </xf>
    <xf numFmtId="250" fontId="170" fillId="44" borderId="4" xfId="1" applyNumberFormat="1" applyFont="1" applyFill="1" applyBorder="1" applyAlignment="1">
      <alignment horizontal="left" vertical="center"/>
    </xf>
    <xf numFmtId="41" fontId="175" fillId="44" borderId="9" xfId="1" applyFont="1" applyFill="1" applyBorder="1" applyAlignment="1">
      <alignment horizontal="center" vertical="center"/>
    </xf>
    <xf numFmtId="0" fontId="172" fillId="44" borderId="4" xfId="2" applyFont="1" applyFill="1" applyBorder="1" applyAlignment="1">
      <alignment horizontal="center" vertical="center" shrinkToFit="1"/>
    </xf>
    <xf numFmtId="41" fontId="172" fillId="44" borderId="4" xfId="1" applyFont="1" applyFill="1" applyBorder="1" applyAlignment="1">
      <alignment horizontal="center" vertical="center"/>
    </xf>
    <xf numFmtId="250" fontId="172" fillId="44" borderId="3" xfId="1" applyNumberFormat="1" applyFont="1" applyFill="1" applyBorder="1" applyAlignment="1">
      <alignment horizontal="left" vertical="center"/>
    </xf>
    <xf numFmtId="0" fontId="175" fillId="44" borderId="4" xfId="15917" applyFont="1" applyFill="1" applyBorder="1" applyAlignment="1">
      <alignment horizontal="left" vertical="center" wrapText="1"/>
    </xf>
    <xf numFmtId="251" fontId="162" fillId="44" borderId="13" xfId="1" applyNumberFormat="1" applyFont="1" applyFill="1" applyBorder="1" applyAlignment="1">
      <alignment horizontal="center" vertical="center"/>
    </xf>
    <xf numFmtId="0" fontId="162" fillId="44" borderId="13" xfId="2" applyFont="1" applyFill="1" applyBorder="1" applyAlignment="1">
      <alignment horizontal="center" vertical="center" shrinkToFit="1"/>
    </xf>
    <xf numFmtId="42" fontId="166" fillId="44" borderId="93" xfId="1" applyNumberFormat="1" applyFont="1" applyFill="1" applyBorder="1" applyAlignment="1">
      <alignment horizontal="left" vertical="center"/>
    </xf>
    <xf numFmtId="42" fontId="166" fillId="44" borderId="90" xfId="1" applyNumberFormat="1" applyFont="1" applyFill="1" applyBorder="1" applyAlignment="1">
      <alignment horizontal="left" vertical="center"/>
    </xf>
    <xf numFmtId="0" fontId="175" fillId="44" borderId="4" xfId="2" applyFont="1" applyFill="1" applyBorder="1" applyAlignment="1">
      <alignment horizontal="center" vertical="center"/>
    </xf>
    <xf numFmtId="0" fontId="175" fillId="44" borderId="36" xfId="0" applyFont="1" applyFill="1" applyBorder="1" applyAlignment="1">
      <alignment horizontal="center" vertical="center"/>
    </xf>
    <xf numFmtId="0" fontId="175" fillId="44" borderId="36" xfId="2" applyFont="1" applyFill="1" applyBorder="1" applyAlignment="1">
      <alignment horizontal="center" vertical="center"/>
    </xf>
    <xf numFmtId="41" fontId="175" fillId="44" borderId="60" xfId="1" applyFont="1" applyFill="1" applyBorder="1" applyAlignment="1">
      <alignment vertical="center"/>
    </xf>
    <xf numFmtId="250" fontId="175" fillId="44" borderId="3" xfId="1" applyNumberFormat="1" applyFont="1" applyFill="1" applyBorder="1" applyAlignment="1">
      <alignment horizontal="left" vertical="center"/>
    </xf>
    <xf numFmtId="0" fontId="175" fillId="44" borderId="97" xfId="0" applyFont="1" applyFill="1" applyBorder="1" applyAlignment="1">
      <alignment horizontal="center" vertical="center"/>
    </xf>
    <xf numFmtId="42" fontId="173" fillId="44" borderId="90" xfId="1" applyNumberFormat="1" applyFont="1" applyFill="1" applyBorder="1" applyAlignment="1">
      <alignment horizontal="left" vertical="center"/>
    </xf>
    <xf numFmtId="41" fontId="175" fillId="44" borderId="0" xfId="1" applyFont="1" applyFill="1" applyBorder="1" applyAlignment="1">
      <alignment vertical="center"/>
    </xf>
    <xf numFmtId="0" fontId="175" fillId="44" borderId="104" xfId="0" applyFont="1" applyFill="1" applyBorder="1" applyAlignment="1">
      <alignment horizontal="center" vertical="center"/>
    </xf>
    <xf numFmtId="0" fontId="175" fillId="44" borderId="4" xfId="15917" quotePrefix="1" applyFont="1" applyFill="1" applyBorder="1" applyAlignment="1">
      <alignment horizontal="left" vertical="center" wrapText="1" indent="3"/>
    </xf>
    <xf numFmtId="0" fontId="175" fillId="44" borderId="36" xfId="2" quotePrefix="1" applyFont="1" applyFill="1" applyBorder="1" applyAlignment="1">
      <alignment horizontal="left" vertical="center" indent="3"/>
    </xf>
    <xf numFmtId="0" fontId="175" fillId="44" borderId="36" xfId="0" quotePrefix="1" applyFont="1" applyFill="1" applyBorder="1" applyAlignment="1">
      <alignment horizontal="left" vertical="center" indent="3"/>
    </xf>
    <xf numFmtId="0" fontId="175" fillId="44" borderId="37" xfId="2" applyFont="1" applyFill="1" applyBorder="1" applyAlignment="1">
      <alignment horizontal="center" vertical="center"/>
    </xf>
    <xf numFmtId="41" fontId="175" fillId="44" borderId="60" xfId="1" applyFont="1" applyFill="1" applyBorder="1" applyAlignment="1">
      <alignment horizontal="center" vertical="center"/>
    </xf>
    <xf numFmtId="0" fontId="175" fillId="44" borderId="71" xfId="0" applyFont="1" applyFill="1" applyBorder="1" applyAlignment="1">
      <alignment horizontal="center" vertical="center"/>
    </xf>
    <xf numFmtId="41" fontId="162" fillId="44" borderId="60" xfId="1" applyFont="1" applyFill="1" applyBorder="1" applyAlignment="1">
      <alignment horizontal="center" vertical="center"/>
    </xf>
    <xf numFmtId="0" fontId="175" fillId="44" borderId="36" xfId="0" applyFont="1" applyFill="1" applyBorder="1" applyAlignment="1">
      <alignment vertical="center"/>
    </xf>
    <xf numFmtId="0" fontId="175" fillId="44" borderId="36" xfId="2" applyFont="1" applyFill="1" applyBorder="1" applyAlignment="1">
      <alignment vertical="center"/>
    </xf>
    <xf numFmtId="251" fontId="175" fillId="50" borderId="91" xfId="1" applyNumberFormat="1" applyFont="1" applyFill="1" applyBorder="1" applyAlignment="1">
      <alignment horizontal="center" vertical="center"/>
    </xf>
    <xf numFmtId="41" fontId="175" fillId="50" borderId="4" xfId="1" applyFont="1" applyFill="1" applyBorder="1" applyAlignment="1">
      <alignment horizontal="center" vertical="center"/>
    </xf>
    <xf numFmtId="250" fontId="173" fillId="50" borderId="4" xfId="1" applyNumberFormat="1" applyFont="1" applyFill="1" applyBorder="1" applyAlignment="1">
      <alignment horizontal="left" vertical="center"/>
    </xf>
    <xf numFmtId="42" fontId="173" fillId="50" borderId="93" xfId="1" applyNumberFormat="1" applyFont="1" applyFill="1" applyBorder="1" applyAlignment="1">
      <alignment horizontal="left" vertical="center"/>
    </xf>
    <xf numFmtId="0" fontId="175" fillId="50" borderId="4" xfId="2" applyFont="1" applyFill="1" applyBorder="1" applyAlignment="1">
      <alignment horizontal="left" vertical="center"/>
    </xf>
    <xf numFmtId="0" fontId="175" fillId="50" borderId="4" xfId="2" applyFont="1" applyFill="1" applyBorder="1" applyAlignment="1">
      <alignment horizontal="center" vertical="center" shrinkToFit="1"/>
    </xf>
    <xf numFmtId="0" fontId="175" fillId="50" borderId="4" xfId="15917" quotePrefix="1" applyFont="1" applyFill="1" applyBorder="1" applyAlignment="1">
      <alignment horizontal="left" vertical="center" wrapText="1" indent="3"/>
    </xf>
    <xf numFmtId="0" fontId="161" fillId="20" borderId="13" xfId="15917" applyFont="1" applyFill="1" applyBorder="1" applyAlignment="1">
      <alignment vertical="center"/>
    </xf>
    <xf numFmtId="0" fontId="161" fillId="20" borderId="9" xfId="15917" applyFont="1" applyFill="1" applyBorder="1" applyAlignment="1">
      <alignment vertical="center"/>
    </xf>
    <xf numFmtId="0" fontId="175" fillId="44" borderId="4" xfId="0" quotePrefix="1" applyFont="1" applyFill="1" applyBorder="1" applyAlignment="1">
      <alignment horizontal="left" vertical="center" indent="3"/>
    </xf>
    <xf numFmtId="0" fontId="162" fillId="39" borderId="4" xfId="2" applyFont="1" applyFill="1" applyBorder="1" applyAlignment="1">
      <alignment horizontal="center" vertical="center"/>
    </xf>
    <xf numFmtId="0" fontId="162" fillId="39" borderId="4" xfId="15917" applyFont="1" applyFill="1" applyBorder="1" applyAlignment="1">
      <alignment horizontal="left" vertical="center"/>
    </xf>
    <xf numFmtId="0" fontId="172" fillId="39" borderId="4" xfId="15917" applyFont="1" applyFill="1" applyBorder="1" applyAlignment="1">
      <alignment horizontal="center" vertical="center"/>
    </xf>
    <xf numFmtId="41" fontId="172" fillId="39" borderId="4" xfId="1" applyFont="1" applyFill="1" applyBorder="1" applyAlignment="1">
      <alignment horizontal="center" vertical="center"/>
    </xf>
    <xf numFmtId="250" fontId="172" fillId="39" borderId="3" xfId="1" applyNumberFormat="1" applyFont="1" applyFill="1" applyBorder="1" applyAlignment="1">
      <alignment horizontal="left" vertical="center"/>
    </xf>
    <xf numFmtId="251" fontId="162" fillId="39" borderId="91" xfId="1" applyNumberFormat="1" applyFont="1" applyFill="1" applyBorder="1" applyAlignment="1">
      <alignment horizontal="center" vertical="center"/>
    </xf>
    <xf numFmtId="0" fontId="162" fillId="39" borderId="4" xfId="15917" applyFont="1" applyFill="1" applyBorder="1" applyAlignment="1">
      <alignment horizontal="center" vertical="center"/>
    </xf>
    <xf numFmtId="41" fontId="162" fillId="39" borderId="4" xfId="1" applyFont="1" applyFill="1" applyBorder="1" applyAlignment="1">
      <alignment horizontal="center" vertical="center"/>
    </xf>
    <xf numFmtId="250" fontId="170" fillId="39" borderId="4" xfId="1" applyNumberFormat="1" applyFont="1" applyFill="1" applyBorder="1" applyAlignment="1">
      <alignment horizontal="left" vertical="center"/>
    </xf>
    <xf numFmtId="42" fontId="161" fillId="39" borderId="93" xfId="1" applyNumberFormat="1" applyFont="1" applyFill="1" applyBorder="1" applyAlignment="1">
      <alignment horizontal="left" vertical="center"/>
    </xf>
    <xf numFmtId="42" fontId="161" fillId="39" borderId="90" xfId="1" applyNumberFormat="1" applyFont="1" applyFill="1" applyBorder="1" applyAlignment="1">
      <alignment horizontal="left" vertical="center"/>
    </xf>
    <xf numFmtId="41" fontId="162" fillId="39" borderId="9" xfId="1" applyFont="1" applyFill="1" applyBorder="1" applyAlignment="1">
      <alignment horizontal="center" vertical="center"/>
    </xf>
    <xf numFmtId="0" fontId="0" fillId="39" borderId="0" xfId="0" applyFill="1">
      <alignment vertical="center"/>
    </xf>
    <xf numFmtId="0" fontId="172" fillId="39" borderId="4" xfId="2" applyFont="1" applyFill="1" applyBorder="1" applyAlignment="1">
      <alignment horizontal="center" vertical="center" shrinkToFit="1"/>
    </xf>
    <xf numFmtId="0" fontId="162" fillId="39" borderId="4" xfId="2" applyFont="1" applyFill="1" applyBorder="1" applyAlignment="1">
      <alignment horizontal="center" vertical="center" shrinkToFit="1"/>
    </xf>
    <xf numFmtId="41" fontId="162" fillId="39" borderId="0" xfId="1" applyFont="1" applyFill="1" applyBorder="1" applyAlignment="1">
      <alignment horizontal="center" vertical="center"/>
    </xf>
    <xf numFmtId="41" fontId="162" fillId="50" borderId="80" xfId="1" applyFont="1" applyFill="1" applyBorder="1" applyAlignment="1">
      <alignment horizontal="center" vertical="center"/>
    </xf>
    <xf numFmtId="0" fontId="176" fillId="39" borderId="0" xfId="0" applyFont="1" applyFill="1">
      <alignment vertical="center"/>
    </xf>
    <xf numFmtId="0" fontId="175" fillId="44" borderId="4" xfId="15917" applyFont="1" applyFill="1" applyBorder="1" applyAlignment="1">
      <alignment horizontal="left" vertical="center"/>
    </xf>
    <xf numFmtId="0" fontId="175" fillId="44" borderId="4" xfId="15917" applyFont="1" applyFill="1" applyBorder="1" applyAlignment="1">
      <alignment horizontal="center" vertical="center"/>
    </xf>
    <xf numFmtId="0" fontId="175" fillId="50" borderId="70" xfId="2" applyFont="1" applyFill="1" applyBorder="1" applyAlignment="1">
      <alignment vertical="center"/>
    </xf>
    <xf numFmtId="0" fontId="175" fillId="50" borderId="69" xfId="2" applyFont="1" applyFill="1" applyBorder="1" applyAlignment="1">
      <alignment vertical="center" shrinkToFit="1"/>
    </xf>
    <xf numFmtId="0" fontId="175" fillId="50" borderId="65" xfId="2" applyFont="1" applyFill="1" applyBorder="1" applyAlignment="1">
      <alignment horizontal="center" vertical="center" shrinkToFit="1"/>
    </xf>
    <xf numFmtId="41" fontId="175" fillId="50" borderId="0" xfId="1" applyFont="1" applyFill="1" applyBorder="1" applyAlignment="1">
      <alignment vertical="center" shrinkToFit="1"/>
    </xf>
    <xf numFmtId="250" fontId="175" fillId="50" borderId="5" xfId="1" applyNumberFormat="1" applyFont="1" applyFill="1" applyBorder="1" applyAlignment="1">
      <alignment horizontal="left" vertical="center"/>
    </xf>
    <xf numFmtId="0" fontId="175" fillId="50" borderId="105" xfId="2" applyFont="1" applyFill="1" applyBorder="1" applyAlignment="1">
      <alignment horizontal="center" vertical="center" shrinkToFit="1"/>
    </xf>
    <xf numFmtId="41" fontId="175" fillId="50" borderId="4" xfId="1" applyFont="1" applyFill="1" applyBorder="1" applyAlignment="1">
      <alignment vertical="center" shrinkToFit="1"/>
    </xf>
    <xf numFmtId="42" fontId="173" fillId="50" borderId="90" xfId="1" applyNumberFormat="1" applyFont="1" applyFill="1" applyBorder="1" applyAlignment="1">
      <alignment horizontal="left" vertical="center"/>
    </xf>
    <xf numFmtId="41" fontId="175" fillId="50" borderId="80" xfId="1" applyFont="1" applyFill="1" applyBorder="1" applyAlignment="1">
      <alignment horizontal="center" vertical="center"/>
    </xf>
    <xf numFmtId="0" fontId="175" fillId="50" borderId="4" xfId="2" applyFont="1" applyFill="1" applyBorder="1" applyAlignment="1">
      <alignment vertical="center"/>
    </xf>
    <xf numFmtId="250" fontId="175" fillId="50" borderId="4" xfId="1" applyNumberFormat="1" applyFont="1" applyFill="1" applyBorder="1" applyAlignment="1">
      <alignment horizontal="left" vertical="center"/>
    </xf>
    <xf numFmtId="251" fontId="175" fillId="50" borderId="13" xfId="1" applyNumberFormat="1" applyFont="1" applyFill="1" applyBorder="1" applyAlignment="1">
      <alignment horizontal="center" vertical="center"/>
    </xf>
    <xf numFmtId="42" fontId="173" fillId="50" borderId="13" xfId="1" applyNumberFormat="1" applyFont="1" applyFill="1" applyBorder="1" applyAlignment="1">
      <alignment horizontal="left" vertical="center"/>
    </xf>
    <xf numFmtId="251" fontId="173" fillId="50" borderId="113" xfId="1" applyNumberFormat="1" applyFont="1" applyFill="1" applyBorder="1" applyAlignment="1">
      <alignment horizontal="center" vertical="center" wrapText="1"/>
    </xf>
    <xf numFmtId="250" fontId="173" fillId="50" borderId="114" xfId="1" applyNumberFormat="1" applyFont="1" applyFill="1" applyBorder="1" applyAlignment="1">
      <alignment horizontal="center" vertical="center" wrapText="1"/>
    </xf>
    <xf numFmtId="41" fontId="173" fillId="50" borderId="114" xfId="1" applyNumberFormat="1" applyFont="1" applyFill="1" applyBorder="1" applyAlignment="1">
      <alignment horizontal="center" vertical="center" wrapText="1"/>
    </xf>
    <xf numFmtId="42" fontId="173" fillId="50" borderId="115" xfId="1" applyNumberFormat="1" applyFont="1" applyFill="1" applyBorder="1" applyAlignment="1">
      <alignment horizontal="center" vertical="center" wrapText="1"/>
    </xf>
    <xf numFmtId="0" fontId="175" fillId="50" borderId="4" xfId="15917" applyFont="1" applyFill="1" applyBorder="1" applyAlignment="1">
      <alignment horizontal="left" vertical="center" wrapText="1"/>
    </xf>
    <xf numFmtId="0" fontId="172" fillId="50" borderId="4" xfId="2" applyFont="1" applyFill="1" applyBorder="1" applyAlignment="1">
      <alignment horizontal="center" vertical="center" shrinkToFit="1"/>
    </xf>
    <xf numFmtId="41" fontId="172" fillId="50" borderId="4" xfId="1" applyFont="1" applyFill="1" applyBorder="1" applyAlignment="1">
      <alignment horizontal="center" vertical="center"/>
    </xf>
    <xf numFmtId="250" fontId="172" fillId="50" borderId="3" xfId="1" applyNumberFormat="1" applyFont="1" applyFill="1" applyBorder="1" applyAlignment="1">
      <alignment horizontal="left" vertical="center"/>
    </xf>
    <xf numFmtId="251" fontId="162" fillId="50" borderId="13" xfId="1" applyNumberFormat="1" applyFont="1" applyFill="1" applyBorder="1" applyAlignment="1">
      <alignment horizontal="center" vertical="center"/>
    </xf>
    <xf numFmtId="0" fontId="162" fillId="50" borderId="13" xfId="2" applyFont="1" applyFill="1" applyBorder="1" applyAlignment="1">
      <alignment horizontal="center" vertical="center" shrinkToFit="1"/>
    </xf>
    <xf numFmtId="41" fontId="162" fillId="50" borderId="9" xfId="1" applyFont="1" applyFill="1" applyBorder="1" applyAlignment="1">
      <alignment horizontal="center" vertical="center"/>
    </xf>
    <xf numFmtId="250" fontId="170" fillId="50" borderId="4" xfId="1" applyNumberFormat="1" applyFont="1" applyFill="1" applyBorder="1" applyAlignment="1">
      <alignment horizontal="left" vertical="center"/>
    </xf>
    <xf numFmtId="42" fontId="166" fillId="50" borderId="93" xfId="1" applyNumberFormat="1" applyFont="1" applyFill="1" applyBorder="1" applyAlignment="1">
      <alignment horizontal="left" vertical="center"/>
    </xf>
    <xf numFmtId="251" fontId="162" fillId="50" borderId="91" xfId="1" applyNumberFormat="1" applyFont="1" applyFill="1" applyBorder="1" applyAlignment="1">
      <alignment horizontal="center" vertical="center"/>
    </xf>
    <xf numFmtId="0" fontId="162" fillId="50" borderId="4" xfId="2" applyFont="1" applyFill="1" applyBorder="1" applyAlignment="1">
      <alignment horizontal="center" vertical="center" shrinkToFit="1"/>
    </xf>
    <xf numFmtId="42" fontId="166" fillId="50" borderId="90" xfId="1" applyNumberFormat="1" applyFont="1" applyFill="1" applyBorder="1" applyAlignment="1">
      <alignment horizontal="left" vertical="center"/>
    </xf>
    <xf numFmtId="41" fontId="175" fillId="50" borderId="9" xfId="1" applyFont="1" applyFill="1" applyBorder="1" applyAlignment="1">
      <alignment horizontal="center" vertical="center"/>
    </xf>
    <xf numFmtId="0" fontId="175" fillId="50" borderId="4" xfId="2" applyFont="1" applyFill="1" applyBorder="1" applyAlignment="1">
      <alignment horizontal="center" vertical="center"/>
    </xf>
    <xf numFmtId="250" fontId="170" fillId="38" borderId="4" xfId="1" applyNumberFormat="1" applyFont="1" applyFill="1" applyBorder="1">
      <alignment vertical="center"/>
    </xf>
    <xf numFmtId="250" fontId="170" fillId="51" borderId="4" xfId="1" applyNumberFormat="1" applyFont="1" applyFill="1" applyBorder="1">
      <alignment vertical="center"/>
    </xf>
    <xf numFmtId="251" fontId="163" fillId="51" borderId="4" xfId="1" applyNumberFormat="1" applyFont="1" applyFill="1" applyBorder="1" applyAlignment="1">
      <alignment horizontal="center" vertical="center"/>
    </xf>
    <xf numFmtId="251" fontId="163" fillId="38" borderId="4" xfId="1" applyNumberFormat="1" applyFont="1" applyFill="1" applyBorder="1" applyAlignment="1">
      <alignment horizontal="center" vertical="center"/>
    </xf>
    <xf numFmtId="0" fontId="175" fillId="44" borderId="26" xfId="2" applyFont="1" applyFill="1" applyBorder="1" applyAlignment="1">
      <alignment horizontal="center" vertical="center"/>
    </xf>
    <xf numFmtId="0" fontId="175" fillId="44" borderId="17" xfId="2" applyFont="1" applyFill="1" applyBorder="1" applyAlignment="1">
      <alignment horizontal="center" vertical="center"/>
    </xf>
    <xf numFmtId="0" fontId="161" fillId="20" borderId="9" xfId="15923" applyFont="1" applyFill="1" applyBorder="1" applyAlignment="1">
      <alignment horizontal="center" vertical="center"/>
    </xf>
    <xf numFmtId="0" fontId="175" fillId="44" borderId="117" xfId="2" applyFont="1" applyFill="1" applyBorder="1" applyAlignment="1">
      <alignment horizontal="center" vertical="center"/>
    </xf>
    <xf numFmtId="0" fontId="175" fillId="44" borderId="118" xfId="2" applyFont="1" applyFill="1" applyBorder="1" applyAlignment="1">
      <alignment horizontal="center" vertical="center"/>
    </xf>
    <xf numFmtId="250" fontId="170" fillId="47" borderId="26" xfId="1" applyNumberFormat="1" applyFont="1" applyFill="1" applyBorder="1" applyAlignment="1">
      <alignment horizontal="center" vertical="center"/>
    </xf>
    <xf numFmtId="250" fontId="170" fillId="47" borderId="25" xfId="1" applyNumberFormat="1" applyFont="1" applyFill="1" applyBorder="1" applyAlignment="1">
      <alignment horizontal="center" vertical="center"/>
    </xf>
    <xf numFmtId="250" fontId="170" fillId="47" borderId="17" xfId="1" applyNumberFormat="1" applyFont="1" applyFill="1" applyBorder="1" applyAlignment="1">
      <alignment horizontal="center" vertical="center"/>
    </xf>
    <xf numFmtId="42" fontId="161" fillId="47" borderId="92" xfId="1" applyNumberFormat="1" applyFont="1" applyFill="1" applyBorder="1" applyAlignment="1">
      <alignment horizontal="center" vertical="center"/>
    </xf>
    <xf numFmtId="42" fontId="161" fillId="47" borderId="116" xfId="1" applyNumberFormat="1" applyFont="1" applyFill="1" applyBorder="1" applyAlignment="1">
      <alignment horizontal="center" vertical="center"/>
    </xf>
    <xf numFmtId="42" fontId="161" fillId="47" borderId="25" xfId="17002" applyFont="1" applyFill="1" applyBorder="1" applyAlignment="1">
      <alignment horizontal="center" vertical="center"/>
    </xf>
    <xf numFmtId="42" fontId="173" fillId="44" borderId="92" xfId="1" applyNumberFormat="1" applyFont="1" applyFill="1" applyBorder="1" applyAlignment="1">
      <alignment horizontal="center" vertical="center"/>
    </xf>
    <xf numFmtId="42" fontId="173" fillId="44" borderId="116" xfId="1" applyNumberFormat="1" applyFont="1" applyFill="1" applyBorder="1" applyAlignment="1">
      <alignment horizontal="center" vertical="center"/>
    </xf>
    <xf numFmtId="42" fontId="173" fillId="44" borderId="96" xfId="1" applyNumberFormat="1" applyFont="1" applyFill="1" applyBorder="1" applyAlignment="1">
      <alignment horizontal="center" vertical="center"/>
    </xf>
    <xf numFmtId="251" fontId="162" fillId="47" borderId="99" xfId="1" applyNumberFormat="1" applyFont="1" applyFill="1" applyBorder="1" applyAlignment="1">
      <alignment horizontal="center" vertical="center"/>
    </xf>
    <xf numFmtId="251" fontId="162" fillId="47" borderId="104" xfId="1" applyNumberFormat="1" applyFont="1" applyFill="1" applyBorder="1" applyAlignment="1">
      <alignment horizontal="center" vertical="center"/>
    </xf>
    <xf numFmtId="0" fontId="162" fillId="47" borderId="14" xfId="2" applyFont="1" applyFill="1" applyBorder="1" applyAlignment="1">
      <alignment horizontal="center" vertical="center" shrinkToFit="1"/>
    </xf>
    <xf numFmtId="0" fontId="162" fillId="47" borderId="0" xfId="2" applyFont="1" applyFill="1" applyBorder="1" applyAlignment="1">
      <alignment horizontal="center" vertical="center" shrinkToFit="1"/>
    </xf>
    <xf numFmtId="41" fontId="162" fillId="47" borderId="35" xfId="1" applyFont="1" applyFill="1" applyBorder="1" applyAlignment="1">
      <alignment horizontal="center" vertical="center"/>
    </xf>
    <xf numFmtId="41" fontId="162" fillId="47" borderId="8" xfId="1" applyFont="1" applyFill="1" applyBorder="1" applyAlignment="1">
      <alignment horizontal="center" vertical="center"/>
    </xf>
    <xf numFmtId="0" fontId="162" fillId="38" borderId="26" xfId="2" applyFont="1" applyFill="1" applyBorder="1" applyAlignment="1">
      <alignment horizontal="center" vertical="center"/>
    </xf>
    <xf numFmtId="0" fontId="162" fillId="38" borderId="17" xfId="2" applyFont="1" applyFill="1" applyBorder="1" applyAlignment="1">
      <alignment horizontal="center" vertical="center"/>
    </xf>
    <xf numFmtId="0" fontId="162" fillId="38" borderId="25" xfId="2" applyFont="1" applyFill="1" applyBorder="1" applyAlignment="1">
      <alignment horizontal="center" vertical="center"/>
    </xf>
    <xf numFmtId="0" fontId="162" fillId="38" borderId="26" xfId="2" applyFont="1" applyFill="1" applyBorder="1" applyAlignment="1">
      <alignment horizontal="center" vertical="center" wrapText="1"/>
    </xf>
    <xf numFmtId="0" fontId="162" fillId="21" borderId="5" xfId="15917" applyFont="1" applyFill="1" applyBorder="1" applyAlignment="1">
      <alignment horizontal="center" vertical="center"/>
    </xf>
    <xf numFmtId="0" fontId="162" fillId="21" borderId="14" xfId="15917" applyFont="1" applyFill="1" applyBorder="1" applyAlignment="1">
      <alignment horizontal="center" vertical="center"/>
    </xf>
    <xf numFmtId="0" fontId="162" fillId="21" borderId="35" xfId="15917" applyFont="1" applyFill="1" applyBorder="1" applyAlignment="1">
      <alignment horizontal="center" vertical="center"/>
    </xf>
    <xf numFmtId="0" fontId="162" fillId="38" borderId="26" xfId="15923" applyFont="1" applyFill="1" applyBorder="1" applyAlignment="1">
      <alignment horizontal="center" vertical="center"/>
    </xf>
    <xf numFmtId="0" fontId="162" fillId="38" borderId="25" xfId="15923" applyFont="1" applyFill="1" applyBorder="1" applyAlignment="1">
      <alignment horizontal="center" vertical="center"/>
    </xf>
    <xf numFmtId="0" fontId="162" fillId="38" borderId="17" xfId="15923" applyFont="1" applyFill="1" applyBorder="1" applyAlignment="1">
      <alignment horizontal="center" vertical="center"/>
    </xf>
    <xf numFmtId="251" fontId="162" fillId="21" borderId="91" xfId="1" applyNumberFormat="1" applyFont="1" applyFill="1" applyBorder="1" applyAlignment="1">
      <alignment horizontal="center" vertical="center"/>
    </xf>
    <xf numFmtId="251" fontId="162" fillId="21" borderId="13" xfId="1" applyNumberFormat="1" applyFont="1" applyFill="1" applyBorder="1" applyAlignment="1">
      <alignment horizontal="center" vertical="center"/>
    </xf>
    <xf numFmtId="251" fontId="162" fillId="21" borderId="9" xfId="1" applyNumberFormat="1" applyFont="1" applyFill="1" applyBorder="1" applyAlignment="1">
      <alignment horizontal="center" vertical="center"/>
    </xf>
    <xf numFmtId="0" fontId="175" fillId="44" borderId="26" xfId="15917" applyFont="1" applyFill="1" applyBorder="1" applyAlignment="1">
      <alignment horizontal="center" vertical="center"/>
    </xf>
    <xf numFmtId="0" fontId="175" fillId="44" borderId="17" xfId="15917" applyFont="1" applyFill="1" applyBorder="1" applyAlignment="1">
      <alignment horizontal="center" vertical="center"/>
    </xf>
    <xf numFmtId="0" fontId="172" fillId="45" borderId="14" xfId="2" applyFont="1" applyFill="1" applyBorder="1" applyAlignment="1">
      <alignment horizontal="center" vertical="center" shrinkToFit="1"/>
    </xf>
    <xf numFmtId="0" fontId="172" fillId="45" borderId="0" xfId="2" applyFont="1" applyFill="1" applyBorder="1" applyAlignment="1">
      <alignment horizontal="center" vertical="center" shrinkToFit="1"/>
    </xf>
    <xf numFmtId="250" fontId="172" fillId="45" borderId="92" xfId="1" applyNumberFormat="1" applyFont="1" applyFill="1" applyBorder="1" applyAlignment="1">
      <alignment horizontal="center" vertical="center"/>
    </xf>
    <xf numFmtId="250" fontId="172" fillId="45" borderId="116" xfId="1" applyNumberFormat="1" applyFont="1" applyFill="1" applyBorder="1" applyAlignment="1">
      <alignment horizontal="center" vertical="center"/>
    </xf>
    <xf numFmtId="0" fontId="175" fillId="44" borderId="25" xfId="15917" applyFont="1" applyFill="1" applyBorder="1" applyAlignment="1">
      <alignment horizontal="center" vertical="center"/>
    </xf>
    <xf numFmtId="0" fontId="161" fillId="20" borderId="5" xfId="15923" applyFont="1" applyFill="1" applyBorder="1" applyAlignment="1">
      <alignment horizontal="center" vertical="center"/>
    </xf>
    <xf numFmtId="0" fontId="161" fillId="20" borderId="14" xfId="15923" applyFont="1" applyFill="1" applyBorder="1" applyAlignment="1">
      <alignment horizontal="center" vertical="center"/>
    </xf>
    <xf numFmtId="0" fontId="161" fillId="20" borderId="108" xfId="15923" applyFont="1" applyFill="1" applyBorder="1" applyAlignment="1">
      <alignment horizontal="center" vertical="center"/>
    </xf>
    <xf numFmtId="0" fontId="161" fillId="20" borderId="87" xfId="15923" applyFont="1" applyFill="1" applyBorder="1" applyAlignment="1">
      <alignment horizontal="center" vertical="center"/>
    </xf>
    <xf numFmtId="0" fontId="161" fillId="20" borderId="109" xfId="15923" applyFont="1" applyFill="1" applyBorder="1" applyAlignment="1">
      <alignment horizontal="center" vertical="center"/>
    </xf>
    <xf numFmtId="0" fontId="162" fillId="47" borderId="5" xfId="2" applyFont="1" applyFill="1" applyBorder="1" applyAlignment="1">
      <alignment horizontal="center" vertical="center" shrinkToFit="1"/>
    </xf>
    <xf numFmtId="0" fontId="162" fillId="47" borderId="61" xfId="2" applyFont="1" applyFill="1" applyBorder="1" applyAlignment="1">
      <alignment horizontal="center" vertical="center" shrinkToFit="1"/>
    </xf>
    <xf numFmtId="0" fontId="162" fillId="47" borderId="79" xfId="2" applyFont="1" applyFill="1" applyBorder="1" applyAlignment="1">
      <alignment horizontal="center" vertical="center" shrinkToFit="1"/>
    </xf>
    <xf numFmtId="251" fontId="162" fillId="47" borderId="94" xfId="1" applyNumberFormat="1" applyFont="1" applyFill="1" applyBorder="1" applyAlignment="1">
      <alignment horizontal="center" vertical="center"/>
    </xf>
    <xf numFmtId="251" fontId="162" fillId="47" borderId="119" xfId="1" applyNumberFormat="1" applyFont="1" applyFill="1" applyBorder="1" applyAlignment="1">
      <alignment horizontal="center" vertical="center"/>
    </xf>
    <xf numFmtId="251" fontId="162" fillId="47" borderId="95" xfId="1" applyNumberFormat="1" applyFont="1" applyFill="1" applyBorder="1" applyAlignment="1">
      <alignment horizontal="center" vertical="center"/>
    </xf>
    <xf numFmtId="0" fontId="162" fillId="47" borderId="26" xfId="2" applyFont="1" applyFill="1" applyBorder="1" applyAlignment="1">
      <alignment horizontal="center" vertical="center" shrinkToFit="1"/>
    </xf>
    <xf numFmtId="0" fontId="162" fillId="47" borderId="25" xfId="2" applyFont="1" applyFill="1" applyBorder="1" applyAlignment="1">
      <alignment horizontal="center" vertical="center" shrinkToFit="1"/>
    </xf>
    <xf numFmtId="251" fontId="162" fillId="40" borderId="91" xfId="1" applyNumberFormat="1" applyFont="1" applyFill="1" applyBorder="1" applyAlignment="1">
      <alignment horizontal="center" vertical="center"/>
    </xf>
    <xf numFmtId="251" fontId="162" fillId="40" borderId="13" xfId="1" applyNumberFormat="1" applyFont="1" applyFill="1" applyBorder="1" applyAlignment="1">
      <alignment horizontal="center" vertical="center"/>
    </xf>
    <xf numFmtId="251" fontId="162" fillId="40" borderId="9" xfId="1" applyNumberFormat="1" applyFont="1" applyFill="1" applyBorder="1" applyAlignment="1">
      <alignment horizontal="center" vertical="center"/>
    </xf>
    <xf numFmtId="251" fontId="162" fillId="45" borderId="99" xfId="1" applyNumberFormat="1" applyFont="1" applyFill="1" applyBorder="1" applyAlignment="1">
      <alignment horizontal="center" vertical="center"/>
    </xf>
    <xf numFmtId="251" fontId="162" fillId="45" borderId="104" xfId="1" applyNumberFormat="1" applyFont="1" applyFill="1" applyBorder="1" applyAlignment="1">
      <alignment horizontal="center" vertical="center"/>
    </xf>
    <xf numFmtId="0" fontId="175" fillId="44" borderId="25" xfId="2" applyFont="1" applyFill="1" applyBorder="1" applyAlignment="1">
      <alignment horizontal="center" vertical="center"/>
    </xf>
    <xf numFmtId="0" fontId="162" fillId="38" borderId="5" xfId="2" applyFont="1" applyFill="1" applyBorder="1" applyAlignment="1">
      <alignment horizontal="center" vertical="center"/>
    </xf>
    <xf numFmtId="0" fontId="162" fillId="38" borderId="61" xfId="2" applyFont="1" applyFill="1" applyBorder="1" applyAlignment="1">
      <alignment horizontal="center" vertical="center"/>
    </xf>
    <xf numFmtId="0" fontId="162" fillId="0" borderId="26" xfId="2" applyFont="1" applyFill="1" applyBorder="1" applyAlignment="1">
      <alignment horizontal="center" vertical="center"/>
    </xf>
    <xf numFmtId="0" fontId="162" fillId="0" borderId="25" xfId="2" applyFont="1" applyFill="1" applyBorder="1" applyAlignment="1">
      <alignment horizontal="center" vertical="center"/>
    </xf>
    <xf numFmtId="0" fontId="162" fillId="0" borderId="17" xfId="2" applyFont="1" applyFill="1" applyBorder="1" applyAlignment="1">
      <alignment horizontal="center" vertical="center"/>
    </xf>
    <xf numFmtId="0" fontId="162" fillId="0" borderId="26" xfId="2" applyFont="1" applyFill="1" applyBorder="1" applyAlignment="1">
      <alignment horizontal="left" vertical="center"/>
    </xf>
    <xf numFmtId="0" fontId="162" fillId="0" borderId="17" xfId="2" applyFont="1" applyFill="1" applyBorder="1" applyAlignment="1">
      <alignment horizontal="left" vertical="center"/>
    </xf>
    <xf numFmtId="0" fontId="162" fillId="40" borderId="3" xfId="15917" applyFont="1" applyFill="1" applyBorder="1" applyAlignment="1">
      <alignment horizontal="center" vertical="center"/>
    </xf>
    <xf numFmtId="0" fontId="162" fillId="40" borderId="13" xfId="15917" applyFont="1" applyFill="1" applyBorder="1" applyAlignment="1">
      <alignment horizontal="center" vertical="center"/>
    </xf>
    <xf numFmtId="0" fontId="162" fillId="40" borderId="9" xfId="15917" applyFont="1" applyFill="1" applyBorder="1" applyAlignment="1">
      <alignment horizontal="center" vertical="center"/>
    </xf>
    <xf numFmtId="0" fontId="162" fillId="38" borderId="4" xfId="2" applyFont="1" applyFill="1" applyBorder="1" applyAlignment="1">
      <alignment horizontal="center" vertical="center" wrapText="1"/>
    </xf>
    <xf numFmtId="0" fontId="162" fillId="38" borderId="4" xfId="2" applyFont="1" applyFill="1" applyBorder="1" applyAlignment="1">
      <alignment horizontal="center" vertical="center"/>
    </xf>
    <xf numFmtId="0" fontId="162" fillId="38" borderId="68" xfId="2" applyFont="1" applyFill="1" applyBorder="1" applyAlignment="1">
      <alignment horizontal="left" vertical="center"/>
    </xf>
    <xf numFmtId="0" fontId="162" fillId="38" borderId="78" xfId="2" applyFont="1" applyFill="1" applyBorder="1" applyAlignment="1">
      <alignment horizontal="left" vertical="center"/>
    </xf>
    <xf numFmtId="0" fontId="162" fillId="38" borderId="25" xfId="2" applyFont="1" applyFill="1" applyBorder="1" applyAlignment="1">
      <alignment horizontal="left" vertical="center"/>
    </xf>
    <xf numFmtId="0" fontId="162" fillId="38" borderId="17" xfId="2" applyFont="1" applyFill="1" applyBorder="1" applyAlignment="1">
      <alignment horizontal="left" vertical="center"/>
    </xf>
    <xf numFmtId="0" fontId="162" fillId="38" borderId="26" xfId="2" applyFont="1" applyFill="1" applyBorder="1" applyAlignment="1">
      <alignment horizontal="left" vertical="center"/>
    </xf>
    <xf numFmtId="250" fontId="170" fillId="38" borderId="26" xfId="1" applyNumberFormat="1" applyFont="1" applyFill="1" applyBorder="1" applyAlignment="1">
      <alignment horizontal="center" vertical="center"/>
    </xf>
    <xf numFmtId="250" fontId="170" fillId="38" borderId="17" xfId="1" applyNumberFormat="1" applyFont="1" applyFill="1" applyBorder="1" applyAlignment="1">
      <alignment horizontal="center" vertical="center"/>
    </xf>
    <xf numFmtId="251" fontId="162" fillId="21" borderId="104" xfId="1" applyNumberFormat="1" applyFont="1" applyFill="1" applyBorder="1" applyAlignment="1">
      <alignment horizontal="center" vertical="center"/>
    </xf>
    <xf numFmtId="251" fontId="162" fillId="21" borderId="0" xfId="1" applyNumberFormat="1" applyFont="1" applyFill="1" applyBorder="1" applyAlignment="1">
      <alignment horizontal="center" vertical="center"/>
    </xf>
    <xf numFmtId="251" fontId="162" fillId="21" borderId="8" xfId="1" applyNumberFormat="1" applyFont="1" applyFill="1" applyBorder="1" applyAlignment="1">
      <alignment horizontal="center" vertical="center"/>
    </xf>
    <xf numFmtId="42" fontId="166" fillId="38" borderId="92" xfId="1" applyNumberFormat="1" applyFont="1" applyFill="1" applyBorder="1" applyAlignment="1">
      <alignment horizontal="center" vertical="center"/>
    </xf>
    <xf numFmtId="42" fontId="166" fillId="38" borderId="96" xfId="1" applyNumberFormat="1" applyFont="1" applyFill="1" applyBorder="1" applyAlignment="1">
      <alignment horizontal="center" vertical="center"/>
    </xf>
    <xf numFmtId="0" fontId="162" fillId="21" borderId="91" xfId="1" applyNumberFormat="1" applyFont="1" applyFill="1" applyBorder="1" applyAlignment="1">
      <alignment horizontal="center" vertical="center"/>
    </xf>
    <xf numFmtId="0" fontId="162" fillId="21" borderId="13" xfId="1" applyNumberFormat="1" applyFont="1" applyFill="1" applyBorder="1" applyAlignment="1">
      <alignment horizontal="center" vertical="center"/>
    </xf>
    <xf numFmtId="0" fontId="162" fillId="21" borderId="9" xfId="1" applyNumberFormat="1" applyFont="1" applyFill="1" applyBorder="1" applyAlignment="1">
      <alignment horizontal="center" vertical="center"/>
    </xf>
    <xf numFmtId="0" fontId="162" fillId="45" borderId="14" xfId="2" applyFont="1" applyFill="1" applyBorder="1" applyAlignment="1">
      <alignment horizontal="center" vertical="center" shrinkToFit="1"/>
    </xf>
    <xf numFmtId="0" fontId="162" fillId="45" borderId="0" xfId="2" applyFont="1" applyFill="1" applyBorder="1" applyAlignment="1">
      <alignment horizontal="center" vertical="center" shrinkToFit="1"/>
    </xf>
    <xf numFmtId="41" fontId="162" fillId="45" borderId="35" xfId="1" applyFont="1" applyFill="1" applyBorder="1" applyAlignment="1">
      <alignment horizontal="center" vertical="center"/>
    </xf>
    <xf numFmtId="41" fontId="162" fillId="45" borderId="8" xfId="1" applyFont="1" applyFill="1" applyBorder="1" applyAlignment="1">
      <alignment horizontal="center" vertical="center"/>
    </xf>
    <xf numFmtId="250" fontId="170" fillId="45" borderId="26" xfId="1" applyNumberFormat="1" applyFont="1" applyFill="1" applyBorder="1" applyAlignment="1">
      <alignment horizontal="center" vertical="center"/>
    </xf>
    <xf numFmtId="250" fontId="170" fillId="45" borderId="25" xfId="1" applyNumberFormat="1" applyFont="1" applyFill="1" applyBorder="1" applyAlignment="1">
      <alignment horizontal="center" vertical="center"/>
    </xf>
    <xf numFmtId="42" fontId="161" fillId="45" borderId="92" xfId="1" applyNumberFormat="1" applyFont="1" applyFill="1" applyBorder="1" applyAlignment="1">
      <alignment horizontal="center" vertical="center"/>
    </xf>
    <xf numFmtId="42" fontId="161" fillId="45" borderId="116" xfId="1" applyNumberFormat="1" applyFont="1" applyFill="1" applyBorder="1" applyAlignment="1">
      <alignment horizontal="center" vertical="center"/>
    </xf>
    <xf numFmtId="250" fontId="172" fillId="38" borderId="5" xfId="1" applyNumberFormat="1" applyFont="1" applyFill="1" applyBorder="1" applyAlignment="1">
      <alignment horizontal="center" vertical="center"/>
    </xf>
    <xf numFmtId="250" fontId="172" fillId="38" borderId="79" xfId="1" applyNumberFormat="1" applyFont="1" applyFill="1" applyBorder="1" applyAlignment="1">
      <alignment horizontal="center" vertical="center"/>
    </xf>
    <xf numFmtId="251" fontId="162" fillId="38" borderId="94" xfId="1" applyNumberFormat="1" applyFont="1" applyFill="1" applyBorder="1" applyAlignment="1">
      <alignment horizontal="center" vertical="center"/>
    </xf>
    <xf numFmtId="251" fontId="162" fillId="38" borderId="95" xfId="1" applyNumberFormat="1" applyFont="1" applyFill="1" applyBorder="1" applyAlignment="1">
      <alignment horizontal="center" vertical="center"/>
    </xf>
    <xf numFmtId="250" fontId="162" fillId="38" borderId="26" xfId="1" applyNumberFormat="1" applyFont="1" applyFill="1" applyBorder="1" applyAlignment="1">
      <alignment horizontal="center" vertical="center"/>
    </xf>
    <xf numFmtId="250" fontId="162" fillId="38" borderId="17" xfId="1" applyNumberFormat="1" applyFont="1" applyFill="1" applyBorder="1" applyAlignment="1">
      <alignment horizontal="center" vertical="center"/>
    </xf>
    <xf numFmtId="41" fontId="162" fillId="38" borderId="26" xfId="1" applyNumberFormat="1" applyFont="1" applyFill="1" applyBorder="1" applyAlignment="1">
      <alignment horizontal="center" vertical="center"/>
    </xf>
    <xf numFmtId="41" fontId="162" fillId="38" borderId="17" xfId="1" applyNumberFormat="1" applyFont="1" applyFill="1" applyBorder="1" applyAlignment="1">
      <alignment horizontal="center" vertical="center"/>
    </xf>
    <xf numFmtId="41" fontId="162" fillId="38" borderId="35" xfId="1" applyFont="1" applyFill="1" applyBorder="1" applyAlignment="1">
      <alignment horizontal="center" vertical="center"/>
    </xf>
    <xf numFmtId="41" fontId="162" fillId="38" borderId="85" xfId="1" applyFont="1" applyFill="1" applyBorder="1" applyAlignment="1">
      <alignment horizontal="center" vertical="center"/>
    </xf>
    <xf numFmtId="0" fontId="163" fillId="38" borderId="26" xfId="0" applyFont="1" applyFill="1" applyBorder="1" applyAlignment="1">
      <alignment horizontal="left" vertical="center"/>
    </xf>
    <xf numFmtId="0" fontId="163" fillId="38" borderId="25" xfId="0" applyFont="1" applyFill="1" applyBorder="1" applyAlignment="1">
      <alignment horizontal="left" vertical="center"/>
    </xf>
    <xf numFmtId="0" fontId="163" fillId="38" borderId="17" xfId="0" applyFont="1" applyFill="1" applyBorder="1" applyAlignment="1">
      <alignment horizontal="left" vertical="center"/>
    </xf>
    <xf numFmtId="0" fontId="162" fillId="0" borderId="5" xfId="2" applyFont="1" applyFill="1" applyBorder="1" applyAlignment="1">
      <alignment horizontal="center" vertical="center" wrapText="1"/>
    </xf>
    <xf numFmtId="0" fontId="162" fillId="0" borderId="35" xfId="2" applyFont="1" applyFill="1" applyBorder="1" applyAlignment="1">
      <alignment horizontal="center" vertical="center" wrapText="1"/>
    </xf>
    <xf numFmtId="0" fontId="162" fillId="0" borderId="61" xfId="2" applyFont="1" applyFill="1" applyBorder="1" applyAlignment="1">
      <alignment horizontal="center" vertical="center" wrapText="1"/>
    </xf>
    <xf numFmtId="0" fontId="162" fillId="0" borderId="8" xfId="2" applyFont="1" applyFill="1" applyBorder="1" applyAlignment="1">
      <alignment horizontal="center" vertical="center" wrapText="1"/>
    </xf>
    <xf numFmtId="0" fontId="162" fillId="0" borderId="79" xfId="2" applyFont="1" applyFill="1" applyBorder="1" applyAlignment="1">
      <alignment horizontal="center" vertical="center" wrapText="1"/>
    </xf>
    <xf numFmtId="0" fontId="162" fillId="0" borderId="27" xfId="2" applyFont="1" applyFill="1" applyBorder="1" applyAlignment="1">
      <alignment horizontal="center" vertical="center" wrapText="1"/>
    </xf>
    <xf numFmtId="251" fontId="162" fillId="21" borderId="91" xfId="5749" applyNumberFormat="1" applyFont="1" applyFill="1" applyBorder="1" applyAlignment="1">
      <alignment horizontal="center" vertical="center"/>
    </xf>
    <xf numFmtId="251" fontId="162" fillId="21" borderId="13" xfId="5749" applyNumberFormat="1" applyFont="1" applyFill="1" applyBorder="1" applyAlignment="1">
      <alignment horizontal="center" vertical="center"/>
    </xf>
    <xf numFmtId="251" fontId="162" fillId="21" borderId="9" xfId="5749" applyNumberFormat="1" applyFont="1" applyFill="1" applyBorder="1" applyAlignment="1">
      <alignment horizontal="center" vertical="center"/>
    </xf>
    <xf numFmtId="0" fontId="162" fillId="0" borderId="68" xfId="2" applyFont="1" applyFill="1" applyBorder="1" applyAlignment="1">
      <alignment horizontal="left" vertical="center"/>
    </xf>
    <xf numFmtId="0" fontId="162" fillId="0" borderId="78" xfId="2" applyFont="1" applyFill="1" applyBorder="1" applyAlignment="1">
      <alignment horizontal="left" vertical="center"/>
    </xf>
    <xf numFmtId="0" fontId="162" fillId="40" borderId="91" xfId="1" applyNumberFormat="1" applyFont="1" applyFill="1" applyBorder="1" applyAlignment="1">
      <alignment horizontal="center" vertical="center"/>
    </xf>
    <xf numFmtId="0" fontId="162" fillId="40" borderId="13" xfId="1" applyNumberFormat="1" applyFont="1" applyFill="1" applyBorder="1" applyAlignment="1">
      <alignment horizontal="center" vertical="center"/>
    </xf>
    <xf numFmtId="0" fontId="162" fillId="40" borderId="9" xfId="1" applyNumberFormat="1" applyFont="1" applyFill="1" applyBorder="1" applyAlignment="1">
      <alignment horizontal="center" vertical="center"/>
    </xf>
    <xf numFmtId="0" fontId="161" fillId="20" borderId="9" xfId="2" applyFont="1" applyFill="1" applyBorder="1" applyAlignment="1">
      <alignment horizontal="center" vertical="center" wrapText="1"/>
    </xf>
    <xf numFmtId="0" fontId="161" fillId="20" borderId="4" xfId="2" applyFont="1" applyFill="1" applyBorder="1" applyAlignment="1">
      <alignment horizontal="center" vertical="center"/>
    </xf>
    <xf numFmtId="250" fontId="170" fillId="20" borderId="86" xfId="1" applyNumberFormat="1" applyFont="1" applyFill="1" applyBorder="1" applyAlignment="1">
      <alignment horizontal="center" vertical="center"/>
    </xf>
    <xf numFmtId="250" fontId="170" fillId="20" borderId="87" xfId="1" applyNumberFormat="1" applyFont="1" applyFill="1" applyBorder="1" applyAlignment="1">
      <alignment horizontal="center" vertical="center"/>
    </xf>
    <xf numFmtId="250" fontId="170" fillId="20" borderId="88" xfId="1" applyNumberFormat="1" applyFont="1" applyFill="1" applyBorder="1" applyAlignment="1">
      <alignment horizontal="center" vertical="center"/>
    </xf>
    <xf numFmtId="250" fontId="162" fillId="40" borderId="91" xfId="1" applyNumberFormat="1" applyFont="1" applyFill="1" applyBorder="1" applyAlignment="1">
      <alignment horizontal="center" vertical="center"/>
    </xf>
    <xf numFmtId="250" fontId="162" fillId="40" borderId="13" xfId="1" applyNumberFormat="1" applyFont="1" applyFill="1" applyBorder="1" applyAlignment="1">
      <alignment horizontal="center" vertical="center"/>
    </xf>
    <xf numFmtId="250" fontId="162" fillId="40" borderId="9" xfId="1" applyNumberFormat="1" applyFont="1" applyFill="1" applyBorder="1" applyAlignment="1">
      <alignment horizontal="center" vertical="center"/>
    </xf>
    <xf numFmtId="250" fontId="162" fillId="21" borderId="91" xfId="5749" applyNumberFormat="1" applyFont="1" applyFill="1" applyBorder="1" applyAlignment="1">
      <alignment horizontal="center" vertical="center"/>
    </xf>
    <xf numFmtId="250" fontId="162" fillId="21" borderId="13" xfId="5749" applyNumberFormat="1" applyFont="1" applyFill="1" applyBorder="1" applyAlignment="1">
      <alignment horizontal="center" vertical="center"/>
    </xf>
    <xf numFmtId="250" fontId="162" fillId="21" borderId="9" xfId="5749" applyNumberFormat="1" applyFont="1" applyFill="1" applyBorder="1" applyAlignment="1">
      <alignment horizontal="center" vertical="center"/>
    </xf>
    <xf numFmtId="41" fontId="162" fillId="38" borderId="27" xfId="1" applyFont="1" applyFill="1" applyBorder="1" applyAlignment="1">
      <alignment horizontal="center" vertical="center"/>
    </xf>
    <xf numFmtId="0" fontId="170" fillId="20" borderId="4" xfId="0" applyFont="1" applyFill="1" applyBorder="1" applyAlignment="1">
      <alignment horizontal="center" vertical="center"/>
    </xf>
    <xf numFmtId="0" fontId="170" fillId="20" borderId="3" xfId="0" applyFont="1" applyFill="1" applyBorder="1" applyAlignment="1">
      <alignment horizontal="center" vertical="center"/>
    </xf>
    <xf numFmtId="0" fontId="162" fillId="38" borderId="25" xfId="2" applyFont="1" applyFill="1" applyBorder="1" applyAlignment="1">
      <alignment horizontal="center" vertical="center" wrapText="1"/>
    </xf>
    <xf numFmtId="0" fontId="162" fillId="0" borderId="26" xfId="2" applyFont="1" applyFill="1" applyBorder="1" applyAlignment="1">
      <alignment horizontal="center" vertical="center" wrapText="1"/>
    </xf>
    <xf numFmtId="0" fontId="162" fillId="0" borderId="25" xfId="2" applyFont="1" applyFill="1" applyBorder="1" applyAlignment="1">
      <alignment horizontal="center" vertical="center" wrapText="1"/>
    </xf>
    <xf numFmtId="0" fontId="162" fillId="0" borderId="17" xfId="2" applyFont="1" applyFill="1" applyBorder="1" applyAlignment="1">
      <alignment horizontal="center" vertical="center" wrapText="1"/>
    </xf>
    <xf numFmtId="0" fontId="162" fillId="0" borderId="4" xfId="2" applyFont="1" applyFill="1" applyBorder="1" applyAlignment="1">
      <alignment horizontal="left" vertical="center"/>
    </xf>
    <xf numFmtId="0" fontId="162" fillId="0" borderId="4" xfId="2" applyFont="1" applyFill="1" applyBorder="1" applyAlignment="1">
      <alignment horizontal="center" vertical="center"/>
    </xf>
    <xf numFmtId="0" fontId="162" fillId="0" borderId="5" xfId="2" applyFont="1" applyFill="1" applyBorder="1" applyAlignment="1">
      <alignment horizontal="center" vertical="center"/>
    </xf>
    <xf numFmtId="0" fontId="162" fillId="0" borderId="61" xfId="2" applyFont="1" applyFill="1" applyBorder="1" applyAlignment="1">
      <alignment horizontal="center" vertical="center"/>
    </xf>
    <xf numFmtId="0" fontId="162" fillId="0" borderId="79" xfId="2" applyFont="1" applyFill="1" applyBorder="1" applyAlignment="1">
      <alignment horizontal="center" vertical="center"/>
    </xf>
    <xf numFmtId="0" fontId="162" fillId="38" borderId="84" xfId="2" applyFont="1" applyFill="1" applyBorder="1" applyAlignment="1">
      <alignment horizontal="left" vertical="center"/>
    </xf>
    <xf numFmtId="0" fontId="162" fillId="0" borderId="25" xfId="2" applyFont="1" applyFill="1" applyBorder="1" applyAlignment="1">
      <alignment horizontal="left" vertical="center"/>
    </xf>
    <xf numFmtId="41" fontId="172" fillId="45" borderId="35" xfId="1" applyFont="1" applyFill="1" applyBorder="1" applyAlignment="1">
      <alignment horizontal="center" vertical="center"/>
    </xf>
    <xf numFmtId="41" fontId="172" fillId="45" borderId="8" xfId="1" applyFont="1" applyFill="1" applyBorder="1" applyAlignment="1">
      <alignment horizontal="center" vertical="center"/>
    </xf>
    <xf numFmtId="0" fontId="164" fillId="0" borderId="12" xfId="0" applyFont="1" applyBorder="1" applyAlignment="1">
      <alignment horizontal="center" vertical="center"/>
    </xf>
    <xf numFmtId="0" fontId="161" fillId="38" borderId="63" xfId="15899" applyFont="1" applyFill="1" applyBorder="1" applyAlignment="1">
      <alignment horizontal="center" vertical="center" shrinkToFit="1"/>
    </xf>
    <xf numFmtId="0" fontId="161" fillId="38" borderId="15" xfId="15899" applyFont="1" applyFill="1" applyBorder="1" applyAlignment="1">
      <alignment horizontal="center" vertical="center" shrinkToFit="1"/>
    </xf>
    <xf numFmtId="0" fontId="161" fillId="38" borderId="21" xfId="15899" applyFont="1" applyFill="1" applyBorder="1" applyAlignment="1">
      <alignment horizontal="center" vertical="center" shrinkToFit="1"/>
    </xf>
    <xf numFmtId="0" fontId="161" fillId="38" borderId="63" xfId="15900" applyFont="1" applyFill="1" applyBorder="1" applyAlignment="1">
      <alignment horizontal="center" vertical="center" shrinkToFit="1"/>
    </xf>
    <xf numFmtId="0" fontId="161" fillId="38" borderId="15" xfId="15900" applyFont="1" applyFill="1" applyBorder="1" applyAlignment="1">
      <alignment horizontal="center" vertical="center" shrinkToFit="1"/>
    </xf>
    <xf numFmtId="0" fontId="161" fillId="38" borderId="21" xfId="15900" applyFont="1" applyFill="1" applyBorder="1" applyAlignment="1">
      <alignment horizontal="center" vertical="center" shrinkToFit="1"/>
    </xf>
    <xf numFmtId="0" fontId="161" fillId="0" borderId="28" xfId="15899" applyFont="1" applyBorder="1" applyAlignment="1">
      <alignment horizontal="center" vertical="center"/>
    </xf>
    <xf numFmtId="0" fontId="161" fillId="0" borderId="9" xfId="15899" applyFont="1" applyBorder="1" applyAlignment="1">
      <alignment horizontal="center" vertical="center"/>
    </xf>
    <xf numFmtId="0" fontId="162" fillId="0" borderId="3" xfId="15899" applyFont="1" applyBorder="1" applyAlignment="1">
      <alignment horizontal="center" vertical="center" shrinkToFit="1"/>
    </xf>
    <xf numFmtId="0" fontId="162" fillId="0" borderId="18" xfId="15899" applyFont="1" applyBorder="1" applyAlignment="1">
      <alignment horizontal="center" vertical="center" shrinkToFit="1"/>
    </xf>
    <xf numFmtId="0" fontId="165" fillId="0" borderId="74" xfId="15899" applyFont="1" applyFill="1" applyBorder="1" applyAlignment="1">
      <alignment horizontal="center" vertical="center"/>
    </xf>
    <xf numFmtId="0" fontId="165" fillId="0" borderId="75" xfId="15899" applyFont="1" applyFill="1" applyBorder="1" applyAlignment="1">
      <alignment horizontal="center" vertical="center"/>
    </xf>
    <xf numFmtId="0" fontId="165" fillId="0" borderId="76" xfId="15899" applyFont="1" applyFill="1" applyBorder="1" applyAlignment="1">
      <alignment horizontal="center" vertical="center"/>
    </xf>
    <xf numFmtId="0" fontId="165" fillId="0" borderId="19" xfId="15899" applyFont="1" applyFill="1" applyBorder="1" applyAlignment="1">
      <alignment horizontal="center" vertical="center"/>
    </xf>
    <xf numFmtId="0" fontId="165" fillId="0" borderId="0" xfId="15899" applyFont="1" applyFill="1" applyBorder="1" applyAlignment="1">
      <alignment horizontal="center" vertical="center"/>
    </xf>
    <xf numFmtId="0" fontId="165" fillId="0" borderId="72" xfId="15899" applyFont="1" applyFill="1" applyBorder="1" applyAlignment="1">
      <alignment horizontal="center" vertical="center"/>
    </xf>
    <xf numFmtId="0" fontId="165" fillId="0" borderId="20" xfId="15899" applyFont="1" applyFill="1" applyBorder="1" applyAlignment="1">
      <alignment horizontal="center" vertical="center"/>
    </xf>
    <xf numFmtId="0" fontId="165" fillId="0" borderId="12" xfId="15899" applyFont="1" applyFill="1" applyBorder="1" applyAlignment="1">
      <alignment horizontal="center" vertical="center"/>
    </xf>
    <xf numFmtId="0" fontId="165" fillId="0" borderId="73" xfId="15899" applyFont="1" applyFill="1" applyBorder="1" applyAlignment="1">
      <alignment horizontal="center" vertical="center"/>
    </xf>
    <xf numFmtId="0" fontId="161" fillId="0" borderId="28" xfId="15899" applyFont="1" applyFill="1" applyBorder="1" applyAlignment="1">
      <alignment horizontal="center" vertical="center"/>
    </xf>
    <xf numFmtId="0" fontId="161" fillId="0" borderId="9" xfId="15899" applyFont="1" applyFill="1" applyBorder="1" applyAlignment="1">
      <alignment horizontal="center" vertical="center"/>
    </xf>
    <xf numFmtId="0" fontId="161" fillId="0" borderId="28" xfId="15902" applyFont="1" applyBorder="1" applyAlignment="1">
      <alignment horizontal="center" vertical="center" shrinkToFit="1"/>
    </xf>
    <xf numFmtId="0" fontId="161" fillId="0" borderId="13" xfId="15902" applyFont="1" applyBorder="1" applyAlignment="1">
      <alignment horizontal="center" vertical="center" shrinkToFit="1"/>
    </xf>
    <xf numFmtId="0" fontId="161" fillId="0" borderId="9" xfId="15902" applyFont="1" applyBorder="1" applyAlignment="1">
      <alignment horizontal="center" vertical="center" shrinkToFit="1"/>
    </xf>
    <xf numFmtId="0" fontId="161" fillId="0" borderId="28" xfId="15902" applyFont="1" applyFill="1" applyBorder="1" applyAlignment="1">
      <alignment horizontal="center" vertical="center" shrinkToFit="1"/>
    </xf>
    <xf numFmtId="0" fontId="161" fillId="0" borderId="13" xfId="15902" applyFont="1" applyFill="1" applyBorder="1" applyAlignment="1">
      <alignment horizontal="center" vertical="center" shrinkToFit="1"/>
    </xf>
    <xf numFmtId="0" fontId="161" fillId="0" borderId="9" xfId="15902" applyFont="1" applyFill="1" applyBorder="1" applyAlignment="1">
      <alignment horizontal="center" vertical="center" shrinkToFit="1"/>
    </xf>
    <xf numFmtId="0" fontId="161" fillId="0" borderId="67" xfId="15902" applyFont="1" applyBorder="1" applyAlignment="1">
      <alignment horizontal="center" vertical="center" shrinkToFit="1"/>
    </xf>
    <xf numFmtId="0" fontId="161" fillId="0" borderId="16" xfId="15902" applyFont="1" applyBorder="1" applyAlignment="1">
      <alignment horizontal="center" vertical="center" shrinkToFit="1"/>
    </xf>
    <xf numFmtId="0" fontId="161" fillId="0" borderId="11" xfId="15902" applyFont="1" applyBorder="1" applyAlignment="1">
      <alignment horizontal="center" vertical="center" shrinkToFit="1"/>
    </xf>
    <xf numFmtId="0" fontId="162" fillId="0" borderId="3" xfId="15902" applyFont="1" applyBorder="1" applyAlignment="1">
      <alignment horizontal="center" vertical="center" shrinkToFit="1"/>
    </xf>
    <xf numFmtId="0" fontId="162" fillId="0" borderId="13" xfId="15902" applyFont="1" applyBorder="1" applyAlignment="1">
      <alignment horizontal="center" vertical="center" shrinkToFit="1"/>
    </xf>
    <xf numFmtId="0" fontId="162" fillId="0" borderId="18" xfId="15902" applyFont="1" applyBorder="1" applyAlignment="1">
      <alignment horizontal="center" vertical="center" shrinkToFit="1"/>
    </xf>
    <xf numFmtId="0" fontId="161" fillId="0" borderId="22" xfId="15902" applyFont="1" applyBorder="1" applyAlignment="1">
      <alignment horizontal="center" vertical="center" shrinkToFit="1"/>
    </xf>
    <xf numFmtId="0" fontId="161" fillId="0" borderId="23" xfId="15902" applyFont="1" applyBorder="1" applyAlignment="1">
      <alignment horizontal="center" vertical="center" shrinkToFit="1"/>
    </xf>
    <xf numFmtId="0" fontId="161" fillId="20" borderId="91" xfId="15923" applyFont="1" applyFill="1" applyBorder="1" applyAlignment="1">
      <alignment horizontal="center" vertical="center"/>
    </xf>
    <xf numFmtId="0" fontId="161" fillId="0" borderId="67" xfId="15899" applyFont="1" applyBorder="1" applyAlignment="1">
      <alignment horizontal="center" vertical="center"/>
    </xf>
    <xf numFmtId="0" fontId="161" fillId="0" borderId="11" xfId="15899" applyFont="1" applyBorder="1" applyAlignment="1">
      <alignment horizontal="center" vertical="center"/>
    </xf>
    <xf numFmtId="0" fontId="162" fillId="0" borderId="22" xfId="15899" applyFont="1" applyBorder="1" applyAlignment="1">
      <alignment horizontal="center" vertical="center" shrinkToFit="1"/>
    </xf>
    <xf numFmtId="0" fontId="162" fillId="0" borderId="23" xfId="15899" applyFont="1" applyBorder="1" applyAlignment="1">
      <alignment horizontal="center" vertical="center" shrinkToFit="1"/>
    </xf>
    <xf numFmtId="41" fontId="161" fillId="20" borderId="91" xfId="1" applyFont="1" applyFill="1" applyBorder="1" applyAlignment="1">
      <alignment horizontal="center" vertical="center" shrinkToFit="1"/>
    </xf>
    <xf numFmtId="41" fontId="161" fillId="20" borderId="9" xfId="1" applyFont="1" applyFill="1" applyBorder="1" applyAlignment="1">
      <alignment horizontal="center" vertical="center" shrinkToFit="1"/>
    </xf>
    <xf numFmtId="0" fontId="162" fillId="21" borderId="4" xfId="15917" applyFont="1" applyFill="1" applyBorder="1" applyAlignment="1">
      <alignment horizontal="center" vertical="center"/>
    </xf>
    <xf numFmtId="0" fontId="162" fillId="40" borderId="4" xfId="15917" applyFont="1" applyFill="1" applyBorder="1" applyAlignment="1">
      <alignment horizontal="center" vertical="center"/>
    </xf>
    <xf numFmtId="0" fontId="172" fillId="38" borderId="26" xfId="2" applyFont="1" applyFill="1" applyBorder="1" applyAlignment="1">
      <alignment horizontal="center" vertical="center"/>
    </xf>
    <xf numFmtId="0" fontId="172" fillId="38" borderId="17" xfId="2" applyFont="1" applyFill="1" applyBorder="1" applyAlignment="1">
      <alignment horizontal="center" vertical="center"/>
    </xf>
    <xf numFmtId="41" fontId="172" fillId="38" borderId="26" xfId="1" applyFont="1" applyFill="1" applyBorder="1" applyAlignment="1">
      <alignment horizontal="center" vertical="center"/>
    </xf>
    <xf numFmtId="41" fontId="172" fillId="38" borderId="17" xfId="1" applyFont="1" applyFill="1" applyBorder="1" applyAlignment="1">
      <alignment horizontal="center" vertical="center"/>
    </xf>
    <xf numFmtId="0" fontId="162" fillId="21" borderId="3" xfId="15917" applyFont="1" applyFill="1" applyBorder="1" applyAlignment="1">
      <alignment horizontal="center" vertical="center"/>
    </xf>
    <xf numFmtId="0" fontId="162" fillId="21" borderId="13" xfId="15917" applyFont="1" applyFill="1" applyBorder="1" applyAlignment="1">
      <alignment horizontal="center" vertical="center"/>
    </xf>
    <xf numFmtId="0" fontId="162" fillId="21" borderId="9" xfId="15917" applyFont="1" applyFill="1" applyBorder="1" applyAlignment="1">
      <alignment horizontal="center" vertical="center"/>
    </xf>
    <xf numFmtId="0" fontId="162" fillId="0" borderId="35" xfId="2" applyFont="1" applyFill="1" applyBorder="1" applyAlignment="1">
      <alignment horizontal="center" vertical="center"/>
    </xf>
    <xf numFmtId="0" fontId="162" fillId="0" borderId="8" xfId="2" applyFont="1" applyFill="1" applyBorder="1" applyAlignment="1">
      <alignment horizontal="center" vertical="center"/>
    </xf>
    <xf numFmtId="0" fontId="162" fillId="0" borderId="27" xfId="2" applyFont="1" applyFill="1" applyBorder="1" applyAlignment="1">
      <alignment horizontal="center" vertical="center"/>
    </xf>
    <xf numFmtId="0" fontId="162" fillId="0" borderId="14" xfId="2" applyFont="1" applyFill="1" applyBorder="1" applyAlignment="1">
      <alignment horizontal="center" vertical="center" wrapText="1"/>
    </xf>
    <xf numFmtId="0" fontId="162" fillId="0" borderId="0" xfId="2" applyFont="1" applyFill="1" applyBorder="1" applyAlignment="1">
      <alignment horizontal="center" vertical="center" wrapText="1"/>
    </xf>
    <xf numFmtId="0" fontId="162" fillId="0" borderId="82" xfId="2" applyFont="1" applyFill="1" applyBorder="1" applyAlignment="1">
      <alignment horizontal="center" vertical="center" wrapText="1"/>
    </xf>
    <xf numFmtId="0" fontId="162" fillId="39" borderId="26" xfId="0" applyFont="1" applyFill="1" applyBorder="1" applyAlignment="1">
      <alignment horizontal="left" vertical="center" wrapText="1"/>
    </xf>
    <xf numFmtId="0" fontId="162" fillId="39" borderId="25" xfId="0" applyFont="1" applyFill="1" applyBorder="1" applyAlignment="1">
      <alignment horizontal="left" vertical="center" wrapText="1"/>
    </xf>
    <xf numFmtId="0" fontId="162" fillId="39" borderId="17" xfId="0" applyFont="1" applyFill="1" applyBorder="1" applyAlignment="1">
      <alignment horizontal="left" vertical="center" wrapText="1"/>
    </xf>
    <xf numFmtId="0" fontId="162" fillId="0" borderId="26" xfId="2" applyFont="1" applyFill="1" applyBorder="1" applyAlignment="1">
      <alignment horizontal="left" vertical="center" wrapText="1"/>
    </xf>
    <xf numFmtId="0" fontId="162" fillId="0" borderId="25" xfId="2" applyFont="1" applyFill="1" applyBorder="1" applyAlignment="1">
      <alignment horizontal="left" vertical="center" wrapText="1"/>
    </xf>
    <xf numFmtId="0" fontId="162" fillId="0" borderId="17" xfId="2" applyFont="1" applyFill="1" applyBorder="1" applyAlignment="1">
      <alignment horizontal="left" vertical="center" wrapText="1"/>
    </xf>
    <xf numFmtId="0" fontId="163" fillId="0" borderId="26" xfId="0" applyFont="1" applyFill="1" applyBorder="1" applyAlignment="1">
      <alignment horizontal="left" vertical="center"/>
    </xf>
    <xf numFmtId="0" fontId="163" fillId="0" borderId="25" xfId="0" applyFont="1" applyFill="1" applyBorder="1" applyAlignment="1">
      <alignment horizontal="left" vertical="center"/>
    </xf>
    <xf numFmtId="0" fontId="163" fillId="0" borderId="17" xfId="0" applyFont="1" applyFill="1" applyBorder="1" applyAlignment="1">
      <alignment horizontal="left" vertical="center"/>
    </xf>
    <xf numFmtId="0" fontId="162" fillId="43" borderId="4" xfId="2" applyFont="1" applyFill="1" applyBorder="1" applyAlignment="1">
      <alignment horizontal="center" vertical="center"/>
    </xf>
    <xf numFmtId="0" fontId="162" fillId="43" borderId="4" xfId="2" applyFont="1" applyFill="1" applyBorder="1" applyAlignment="1">
      <alignment horizontal="left" vertical="center"/>
    </xf>
    <xf numFmtId="0" fontId="162" fillId="43" borderId="5" xfId="2" applyFont="1" applyFill="1" applyBorder="1" applyAlignment="1">
      <alignment horizontal="center" vertical="center"/>
    </xf>
    <xf numFmtId="0" fontId="162" fillId="43" borderId="35" xfId="2" applyFont="1" applyFill="1" applyBorder="1" applyAlignment="1">
      <alignment horizontal="center" vertical="center"/>
    </xf>
    <xf numFmtId="0" fontId="162" fillId="43" borderId="61" xfId="2" applyFont="1" applyFill="1" applyBorder="1" applyAlignment="1">
      <alignment horizontal="center" vertical="center"/>
    </xf>
    <xf numFmtId="0" fontId="162" fillId="43" borderId="8" xfId="2" applyFont="1" applyFill="1" applyBorder="1" applyAlignment="1">
      <alignment horizontal="center" vertical="center"/>
    </xf>
    <xf numFmtId="0" fontId="162" fillId="43" borderId="79" xfId="2" applyFont="1" applyFill="1" applyBorder="1" applyAlignment="1">
      <alignment horizontal="center" vertical="center"/>
    </xf>
    <xf numFmtId="0" fontId="162" fillId="43" borderId="27" xfId="2" applyFont="1" applyFill="1" applyBorder="1" applyAlignment="1">
      <alignment horizontal="center" vertical="center"/>
    </xf>
    <xf numFmtId="0" fontId="162" fillId="43" borderId="26" xfId="2" applyFont="1" applyFill="1" applyBorder="1" applyAlignment="1">
      <alignment horizontal="center" vertical="center" wrapText="1"/>
    </xf>
    <xf numFmtId="0" fontId="162" fillId="43" borderId="25" xfId="2" applyFont="1" applyFill="1" applyBorder="1" applyAlignment="1">
      <alignment horizontal="center" vertical="center" wrapText="1"/>
    </xf>
    <xf numFmtId="0" fontId="162" fillId="43" borderId="14" xfId="2" applyFont="1" applyFill="1" applyBorder="1" applyAlignment="1">
      <alignment horizontal="center" vertical="center"/>
    </xf>
    <xf numFmtId="0" fontId="162" fillId="43" borderId="0" xfId="2" applyFont="1" applyFill="1" applyBorder="1" applyAlignment="1">
      <alignment horizontal="center" vertical="center"/>
    </xf>
    <xf numFmtId="0" fontId="162" fillId="43" borderId="82" xfId="2" applyFont="1" applyFill="1" applyBorder="1" applyAlignment="1">
      <alignment horizontal="center" vertical="center"/>
    </xf>
    <xf numFmtId="251" fontId="161" fillId="20" borderId="91" xfId="1" applyNumberFormat="1" applyFont="1" applyFill="1" applyBorder="1" applyAlignment="1">
      <alignment horizontal="center" vertical="center" wrapText="1"/>
    </xf>
    <xf numFmtId="251" fontId="161" fillId="20" borderId="13" xfId="1" applyNumberFormat="1" applyFont="1" applyFill="1" applyBorder="1" applyAlignment="1">
      <alignment horizontal="center" vertical="center" wrapText="1"/>
    </xf>
    <xf numFmtId="251" fontId="161" fillId="20" borderId="9" xfId="1" applyNumberFormat="1" applyFont="1" applyFill="1" applyBorder="1" applyAlignment="1">
      <alignment horizontal="center" vertical="center" wrapText="1"/>
    </xf>
    <xf numFmtId="251" fontId="161" fillId="20" borderId="91" xfId="1" applyNumberFormat="1" applyFont="1" applyFill="1" applyBorder="1" applyAlignment="1">
      <alignment horizontal="center" vertical="center" shrinkToFit="1"/>
    </xf>
    <xf numFmtId="251" fontId="161" fillId="20" borderId="13" xfId="1" applyNumberFormat="1" applyFont="1" applyFill="1" applyBorder="1" applyAlignment="1">
      <alignment horizontal="center" vertical="center" shrinkToFit="1"/>
    </xf>
    <xf numFmtId="251" fontId="161" fillId="20" borderId="9" xfId="1" applyNumberFormat="1" applyFont="1" applyFill="1" applyBorder="1" applyAlignment="1">
      <alignment horizontal="center" vertical="center" shrinkToFit="1"/>
    </xf>
    <xf numFmtId="0" fontId="162" fillId="47" borderId="3" xfId="2" applyFont="1" applyFill="1" applyBorder="1" applyAlignment="1">
      <alignment horizontal="center" vertical="center"/>
    </xf>
    <xf numFmtId="0" fontId="162" fillId="47" borderId="13" xfId="2" applyFont="1" applyFill="1" applyBorder="1" applyAlignment="1">
      <alignment horizontal="center" vertical="center"/>
    </xf>
    <xf numFmtId="251" fontId="161" fillId="20" borderId="100" xfId="1" applyNumberFormat="1" applyFont="1" applyFill="1" applyBorder="1" applyAlignment="1">
      <alignment horizontal="center" vertical="center" shrinkToFit="1"/>
    </xf>
    <xf numFmtId="251" fontId="161" fillId="20" borderId="106" xfId="1" applyNumberFormat="1" applyFont="1" applyFill="1" applyBorder="1" applyAlignment="1">
      <alignment horizontal="center" vertical="center" shrinkToFit="1"/>
    </xf>
    <xf numFmtId="251" fontId="161" fillId="20" borderId="107" xfId="1" applyNumberFormat="1" applyFont="1" applyFill="1" applyBorder="1" applyAlignment="1">
      <alignment horizontal="center" vertical="center" shrinkToFit="1"/>
    </xf>
    <xf numFmtId="250" fontId="173" fillId="48" borderId="110" xfId="1" applyNumberFormat="1" applyFont="1" applyFill="1" applyBorder="1" applyAlignment="1">
      <alignment horizontal="center" vertical="center"/>
    </xf>
    <xf numFmtId="250" fontId="173" fillId="48" borderId="111" xfId="1" applyNumberFormat="1" applyFont="1" applyFill="1" applyBorder="1" applyAlignment="1">
      <alignment horizontal="center" vertical="center"/>
    </xf>
    <xf numFmtId="250" fontId="173" fillId="48" borderId="112" xfId="1" applyNumberFormat="1" applyFont="1" applyFill="1" applyBorder="1" applyAlignment="1">
      <alignment horizontal="center" vertical="center"/>
    </xf>
    <xf numFmtId="41" fontId="162" fillId="47" borderId="26" xfId="1" applyFont="1" applyFill="1" applyBorder="1" applyAlignment="1">
      <alignment horizontal="center" vertical="center"/>
    </xf>
    <xf numFmtId="41" fontId="162" fillId="47" borderId="25" xfId="1" applyFont="1" applyFill="1" applyBorder="1" applyAlignment="1">
      <alignment horizontal="center" vertical="center"/>
    </xf>
    <xf numFmtId="41" fontId="162" fillId="47" borderId="17" xfId="1" applyFont="1" applyFill="1" applyBorder="1" applyAlignment="1">
      <alignment horizontal="center" vertical="center"/>
    </xf>
    <xf numFmtId="250" fontId="173" fillId="50" borderId="110" xfId="1" applyNumberFormat="1" applyFont="1" applyFill="1" applyBorder="1" applyAlignment="1">
      <alignment horizontal="center" vertical="center"/>
    </xf>
    <xf numFmtId="250" fontId="173" fillId="50" borderId="111" xfId="1" applyNumberFormat="1" applyFont="1" applyFill="1" applyBorder="1" applyAlignment="1">
      <alignment horizontal="center" vertical="center"/>
    </xf>
    <xf numFmtId="250" fontId="173" fillId="50" borderId="112" xfId="1" applyNumberFormat="1" applyFont="1" applyFill="1" applyBorder="1" applyAlignment="1">
      <alignment horizontal="center" vertical="center"/>
    </xf>
    <xf numFmtId="41" fontId="166" fillId="0" borderId="14" xfId="1" applyNumberFormat="1" applyFont="1" applyFill="1" applyBorder="1" applyAlignment="1">
      <alignment horizontal="center" vertical="center" shrinkToFit="1"/>
    </xf>
    <xf numFmtId="0" fontId="161" fillId="20" borderId="3" xfId="15917" applyFont="1" applyFill="1" applyBorder="1" applyAlignment="1">
      <alignment horizontal="right" vertical="center"/>
    </xf>
    <xf numFmtId="0" fontId="161" fillId="20" borderId="13" xfId="15917" applyFont="1" applyFill="1" applyBorder="1" applyAlignment="1">
      <alignment horizontal="right" vertical="center"/>
    </xf>
  </cellXfs>
  <cellStyles count="17003">
    <cellStyle name="_x0014_" xfId="3038" xr:uid="{00000000-0005-0000-0000-000000000000}"/>
    <cellStyle name=" " xfId="3" xr:uid="{00000000-0005-0000-0000-000001000000}"/>
    <cellStyle name="            386grabber=vga.3gr  " xfId="4" xr:uid="{00000000-0005-0000-0000-000002000000}"/>
    <cellStyle name="          _x000d__x000a_386grabber=vga.3gr_x000d__x000a_" xfId="5" xr:uid="{00000000-0005-0000-0000-000003000000}"/>
    <cellStyle name="  2" xfId="6" xr:uid="{00000000-0005-0000-0000-000004000000}"/>
    <cellStyle name="  3" xfId="7" xr:uid="{00000000-0005-0000-0000-000005000000}"/>
    <cellStyle name=" _97연말" xfId="8" xr:uid="{00000000-0005-0000-0000-000006000000}"/>
    <cellStyle name=" _97연말 2" xfId="9" xr:uid="{00000000-0005-0000-0000-000007000000}"/>
    <cellStyle name=" _97연말1" xfId="10" xr:uid="{00000000-0005-0000-0000-000008000000}"/>
    <cellStyle name=" _97연말1 2" xfId="11" xr:uid="{00000000-0005-0000-0000-000009000000}"/>
    <cellStyle name=" _Book1" xfId="12" xr:uid="{00000000-0005-0000-0000-00000A000000}"/>
    <cellStyle name=" _Book1 2" xfId="13" xr:uid="{00000000-0005-0000-0000-00000B000000}"/>
    <cellStyle name="_x0014_ 2" xfId="3039" xr:uid="{00000000-0005-0000-0000-00000C000000}"/>
    <cellStyle name="_x0014_ 3" xfId="14" xr:uid="{00000000-0005-0000-0000-00000D000000}"/>
    <cellStyle name="&quot;" xfId="15" xr:uid="{00000000-0005-0000-0000-00000E000000}"/>
    <cellStyle name="&quot;큰제목&quot;" xfId="16003" xr:uid="{00000000-0005-0000-0000-00000F000000}"/>
    <cellStyle name="#" xfId="16" xr:uid="{00000000-0005-0000-0000-000010000000}"/>
    <cellStyle name="# 2" xfId="17" xr:uid="{00000000-0005-0000-0000-000011000000}"/>
    <cellStyle name="# 2 2" xfId="18" xr:uid="{00000000-0005-0000-0000-000012000000}"/>
    <cellStyle name="# 2 2 2" xfId="19" xr:uid="{00000000-0005-0000-0000-000013000000}"/>
    <cellStyle name="# 2 2 3" xfId="20" xr:uid="{00000000-0005-0000-0000-000014000000}"/>
    <cellStyle name="# 2 2 4" xfId="21" xr:uid="{00000000-0005-0000-0000-000015000000}"/>
    <cellStyle name="# 2 2 5" xfId="22" xr:uid="{00000000-0005-0000-0000-000016000000}"/>
    <cellStyle name="# 3" xfId="23" xr:uid="{00000000-0005-0000-0000-000017000000}"/>
    <cellStyle name="# 3 2" xfId="24" xr:uid="{00000000-0005-0000-0000-000018000000}"/>
    <cellStyle name="# 3 3" xfId="25" xr:uid="{00000000-0005-0000-0000-000019000000}"/>
    <cellStyle name="# 3 4" xfId="26" xr:uid="{00000000-0005-0000-0000-00001A000000}"/>
    <cellStyle name="# 3 5" xfId="27" xr:uid="{00000000-0005-0000-0000-00001B000000}"/>
    <cellStyle name="#,##0" xfId="28" xr:uid="{00000000-0005-0000-0000-00001C000000}"/>
    <cellStyle name="#,##0 10" xfId="29" xr:uid="{00000000-0005-0000-0000-00001D000000}"/>
    <cellStyle name="#,##0 10 2" xfId="30" xr:uid="{00000000-0005-0000-0000-00001E000000}"/>
    <cellStyle name="#,##0 10 2 2" xfId="31" xr:uid="{00000000-0005-0000-0000-00001F000000}"/>
    <cellStyle name="#,##0 10 2 2 2" xfId="32" xr:uid="{00000000-0005-0000-0000-000020000000}"/>
    <cellStyle name="#,##0 10 2 2 3" xfId="33" xr:uid="{00000000-0005-0000-0000-000021000000}"/>
    <cellStyle name="#,##0 10 2 2 4" xfId="34" xr:uid="{00000000-0005-0000-0000-000022000000}"/>
    <cellStyle name="#,##0 10 2 2 5" xfId="35" xr:uid="{00000000-0005-0000-0000-000023000000}"/>
    <cellStyle name="#,##0 10 3" xfId="36" xr:uid="{00000000-0005-0000-0000-000024000000}"/>
    <cellStyle name="#,##0 10 3 2" xfId="37" xr:uid="{00000000-0005-0000-0000-000025000000}"/>
    <cellStyle name="#,##0 10 3 3" xfId="38" xr:uid="{00000000-0005-0000-0000-000026000000}"/>
    <cellStyle name="#,##0 10 3 4" xfId="39" xr:uid="{00000000-0005-0000-0000-000027000000}"/>
    <cellStyle name="#,##0 10 3 5" xfId="40" xr:uid="{00000000-0005-0000-0000-000028000000}"/>
    <cellStyle name="#,##0 11" xfId="41" xr:uid="{00000000-0005-0000-0000-000029000000}"/>
    <cellStyle name="#,##0 11 2" xfId="42" xr:uid="{00000000-0005-0000-0000-00002A000000}"/>
    <cellStyle name="#,##0 11 2 2" xfId="43" xr:uid="{00000000-0005-0000-0000-00002B000000}"/>
    <cellStyle name="#,##0 11 2 2 2" xfId="44" xr:uid="{00000000-0005-0000-0000-00002C000000}"/>
    <cellStyle name="#,##0 11 2 2 3" xfId="45" xr:uid="{00000000-0005-0000-0000-00002D000000}"/>
    <cellStyle name="#,##0 11 2 2 4" xfId="46" xr:uid="{00000000-0005-0000-0000-00002E000000}"/>
    <cellStyle name="#,##0 11 2 2 5" xfId="47" xr:uid="{00000000-0005-0000-0000-00002F000000}"/>
    <cellStyle name="#,##0 11 3" xfId="48" xr:uid="{00000000-0005-0000-0000-000030000000}"/>
    <cellStyle name="#,##0 11 3 2" xfId="49" xr:uid="{00000000-0005-0000-0000-000031000000}"/>
    <cellStyle name="#,##0 11 3 3" xfId="50" xr:uid="{00000000-0005-0000-0000-000032000000}"/>
    <cellStyle name="#,##0 11 3 4" xfId="51" xr:uid="{00000000-0005-0000-0000-000033000000}"/>
    <cellStyle name="#,##0 11 3 5" xfId="52" xr:uid="{00000000-0005-0000-0000-000034000000}"/>
    <cellStyle name="#,##0 12" xfId="53" xr:uid="{00000000-0005-0000-0000-000035000000}"/>
    <cellStyle name="#,##0 12 2" xfId="54" xr:uid="{00000000-0005-0000-0000-000036000000}"/>
    <cellStyle name="#,##0 12 2 2" xfId="55" xr:uid="{00000000-0005-0000-0000-000037000000}"/>
    <cellStyle name="#,##0 12 2 2 2" xfId="56" xr:uid="{00000000-0005-0000-0000-000038000000}"/>
    <cellStyle name="#,##0 12 2 2 3" xfId="57" xr:uid="{00000000-0005-0000-0000-000039000000}"/>
    <cellStyle name="#,##0 12 2 2 4" xfId="58" xr:uid="{00000000-0005-0000-0000-00003A000000}"/>
    <cellStyle name="#,##0 12 2 2 5" xfId="59" xr:uid="{00000000-0005-0000-0000-00003B000000}"/>
    <cellStyle name="#,##0 12 3" xfId="60" xr:uid="{00000000-0005-0000-0000-00003C000000}"/>
    <cellStyle name="#,##0 12 3 2" xfId="61" xr:uid="{00000000-0005-0000-0000-00003D000000}"/>
    <cellStyle name="#,##0 12 3 3" xfId="62" xr:uid="{00000000-0005-0000-0000-00003E000000}"/>
    <cellStyle name="#,##0 12 3 4" xfId="63" xr:uid="{00000000-0005-0000-0000-00003F000000}"/>
    <cellStyle name="#,##0 12 3 5" xfId="64" xr:uid="{00000000-0005-0000-0000-000040000000}"/>
    <cellStyle name="#,##0 13" xfId="65" xr:uid="{00000000-0005-0000-0000-000041000000}"/>
    <cellStyle name="#,##0 13 2" xfId="66" xr:uid="{00000000-0005-0000-0000-000042000000}"/>
    <cellStyle name="#,##0 13 2 2" xfId="67" xr:uid="{00000000-0005-0000-0000-000043000000}"/>
    <cellStyle name="#,##0 13 2 2 2" xfId="68" xr:uid="{00000000-0005-0000-0000-000044000000}"/>
    <cellStyle name="#,##0 13 2 2 3" xfId="69" xr:uid="{00000000-0005-0000-0000-000045000000}"/>
    <cellStyle name="#,##0 13 2 2 4" xfId="70" xr:uid="{00000000-0005-0000-0000-000046000000}"/>
    <cellStyle name="#,##0 13 2 2 5" xfId="71" xr:uid="{00000000-0005-0000-0000-000047000000}"/>
    <cellStyle name="#,##0 13 3" xfId="72" xr:uid="{00000000-0005-0000-0000-000048000000}"/>
    <cellStyle name="#,##0 13 3 2" xfId="73" xr:uid="{00000000-0005-0000-0000-000049000000}"/>
    <cellStyle name="#,##0 13 3 3" xfId="74" xr:uid="{00000000-0005-0000-0000-00004A000000}"/>
    <cellStyle name="#,##0 13 3 4" xfId="75" xr:uid="{00000000-0005-0000-0000-00004B000000}"/>
    <cellStyle name="#,##0 13 3 5" xfId="76" xr:uid="{00000000-0005-0000-0000-00004C000000}"/>
    <cellStyle name="#,##0 14" xfId="77" xr:uid="{00000000-0005-0000-0000-00004D000000}"/>
    <cellStyle name="#,##0 14 2" xfId="78" xr:uid="{00000000-0005-0000-0000-00004E000000}"/>
    <cellStyle name="#,##0 14 2 2" xfId="79" xr:uid="{00000000-0005-0000-0000-00004F000000}"/>
    <cellStyle name="#,##0 14 2 2 2" xfId="80" xr:uid="{00000000-0005-0000-0000-000050000000}"/>
    <cellStyle name="#,##0 14 2 2 3" xfId="81" xr:uid="{00000000-0005-0000-0000-000051000000}"/>
    <cellStyle name="#,##0 14 2 2 4" xfId="82" xr:uid="{00000000-0005-0000-0000-000052000000}"/>
    <cellStyle name="#,##0 14 2 2 5" xfId="83" xr:uid="{00000000-0005-0000-0000-000053000000}"/>
    <cellStyle name="#,##0 14 3" xfId="84" xr:uid="{00000000-0005-0000-0000-000054000000}"/>
    <cellStyle name="#,##0 14 3 2" xfId="85" xr:uid="{00000000-0005-0000-0000-000055000000}"/>
    <cellStyle name="#,##0 14 3 3" xfId="86" xr:uid="{00000000-0005-0000-0000-000056000000}"/>
    <cellStyle name="#,##0 14 3 4" xfId="87" xr:uid="{00000000-0005-0000-0000-000057000000}"/>
    <cellStyle name="#,##0 14 3 5" xfId="88" xr:uid="{00000000-0005-0000-0000-000058000000}"/>
    <cellStyle name="#,##0 15" xfId="89" xr:uid="{00000000-0005-0000-0000-000059000000}"/>
    <cellStyle name="#,##0 15 2" xfId="90" xr:uid="{00000000-0005-0000-0000-00005A000000}"/>
    <cellStyle name="#,##0 15 2 2" xfId="91" xr:uid="{00000000-0005-0000-0000-00005B000000}"/>
    <cellStyle name="#,##0 15 2 2 2" xfId="92" xr:uid="{00000000-0005-0000-0000-00005C000000}"/>
    <cellStyle name="#,##0 15 2 2 3" xfId="93" xr:uid="{00000000-0005-0000-0000-00005D000000}"/>
    <cellStyle name="#,##0 15 2 2 4" xfId="94" xr:uid="{00000000-0005-0000-0000-00005E000000}"/>
    <cellStyle name="#,##0 15 2 2 5" xfId="95" xr:uid="{00000000-0005-0000-0000-00005F000000}"/>
    <cellStyle name="#,##0 15 3" xfId="96" xr:uid="{00000000-0005-0000-0000-000060000000}"/>
    <cellStyle name="#,##0 15 3 2" xfId="97" xr:uid="{00000000-0005-0000-0000-000061000000}"/>
    <cellStyle name="#,##0 15 3 3" xfId="98" xr:uid="{00000000-0005-0000-0000-000062000000}"/>
    <cellStyle name="#,##0 15 3 4" xfId="99" xr:uid="{00000000-0005-0000-0000-000063000000}"/>
    <cellStyle name="#,##0 15 3 5" xfId="100" xr:uid="{00000000-0005-0000-0000-000064000000}"/>
    <cellStyle name="#,##0 16" xfId="101" xr:uid="{00000000-0005-0000-0000-000065000000}"/>
    <cellStyle name="#,##0 16 2" xfId="102" xr:uid="{00000000-0005-0000-0000-000066000000}"/>
    <cellStyle name="#,##0 16 2 2" xfId="103" xr:uid="{00000000-0005-0000-0000-000067000000}"/>
    <cellStyle name="#,##0 16 2 2 2" xfId="104" xr:uid="{00000000-0005-0000-0000-000068000000}"/>
    <cellStyle name="#,##0 16 2 2 3" xfId="105" xr:uid="{00000000-0005-0000-0000-000069000000}"/>
    <cellStyle name="#,##0 16 2 2 4" xfId="106" xr:uid="{00000000-0005-0000-0000-00006A000000}"/>
    <cellStyle name="#,##0 16 2 2 5" xfId="107" xr:uid="{00000000-0005-0000-0000-00006B000000}"/>
    <cellStyle name="#,##0 16 3" xfId="108" xr:uid="{00000000-0005-0000-0000-00006C000000}"/>
    <cellStyle name="#,##0 16 3 2" xfId="109" xr:uid="{00000000-0005-0000-0000-00006D000000}"/>
    <cellStyle name="#,##0 16 3 3" xfId="110" xr:uid="{00000000-0005-0000-0000-00006E000000}"/>
    <cellStyle name="#,##0 16 3 4" xfId="111" xr:uid="{00000000-0005-0000-0000-00006F000000}"/>
    <cellStyle name="#,##0 16 3 5" xfId="112" xr:uid="{00000000-0005-0000-0000-000070000000}"/>
    <cellStyle name="#,##0 17" xfId="113" xr:uid="{00000000-0005-0000-0000-000071000000}"/>
    <cellStyle name="#,##0 17 2" xfId="114" xr:uid="{00000000-0005-0000-0000-000072000000}"/>
    <cellStyle name="#,##0 17 2 2" xfId="115" xr:uid="{00000000-0005-0000-0000-000073000000}"/>
    <cellStyle name="#,##0 17 2 2 2" xfId="116" xr:uid="{00000000-0005-0000-0000-000074000000}"/>
    <cellStyle name="#,##0 17 2 2 3" xfId="117" xr:uid="{00000000-0005-0000-0000-000075000000}"/>
    <cellStyle name="#,##0 17 2 2 4" xfId="118" xr:uid="{00000000-0005-0000-0000-000076000000}"/>
    <cellStyle name="#,##0 17 2 2 5" xfId="119" xr:uid="{00000000-0005-0000-0000-000077000000}"/>
    <cellStyle name="#,##0 17 3" xfId="120" xr:uid="{00000000-0005-0000-0000-000078000000}"/>
    <cellStyle name="#,##0 17 3 2" xfId="121" xr:uid="{00000000-0005-0000-0000-000079000000}"/>
    <cellStyle name="#,##0 17 3 3" xfId="122" xr:uid="{00000000-0005-0000-0000-00007A000000}"/>
    <cellStyle name="#,##0 17 3 4" xfId="123" xr:uid="{00000000-0005-0000-0000-00007B000000}"/>
    <cellStyle name="#,##0 17 3 5" xfId="124" xr:uid="{00000000-0005-0000-0000-00007C000000}"/>
    <cellStyle name="#,##0 18" xfId="125" xr:uid="{00000000-0005-0000-0000-00007D000000}"/>
    <cellStyle name="#,##0 18 2" xfId="126" xr:uid="{00000000-0005-0000-0000-00007E000000}"/>
    <cellStyle name="#,##0 18 2 2" xfId="127" xr:uid="{00000000-0005-0000-0000-00007F000000}"/>
    <cellStyle name="#,##0 18 2 2 2" xfId="128" xr:uid="{00000000-0005-0000-0000-000080000000}"/>
    <cellStyle name="#,##0 18 2 2 3" xfId="129" xr:uid="{00000000-0005-0000-0000-000081000000}"/>
    <cellStyle name="#,##0 18 2 2 4" xfId="130" xr:uid="{00000000-0005-0000-0000-000082000000}"/>
    <cellStyle name="#,##0 18 2 2 5" xfId="131" xr:uid="{00000000-0005-0000-0000-000083000000}"/>
    <cellStyle name="#,##0 18 3" xfId="132" xr:uid="{00000000-0005-0000-0000-000084000000}"/>
    <cellStyle name="#,##0 18 3 2" xfId="133" xr:uid="{00000000-0005-0000-0000-000085000000}"/>
    <cellStyle name="#,##0 18 3 3" xfId="134" xr:uid="{00000000-0005-0000-0000-000086000000}"/>
    <cellStyle name="#,##0 18 3 4" xfId="135" xr:uid="{00000000-0005-0000-0000-000087000000}"/>
    <cellStyle name="#,##0 18 3 5" xfId="136" xr:uid="{00000000-0005-0000-0000-000088000000}"/>
    <cellStyle name="#,##0 19" xfId="137" xr:uid="{00000000-0005-0000-0000-000089000000}"/>
    <cellStyle name="#,##0 19 2" xfId="138" xr:uid="{00000000-0005-0000-0000-00008A000000}"/>
    <cellStyle name="#,##0 19 2 2" xfId="139" xr:uid="{00000000-0005-0000-0000-00008B000000}"/>
    <cellStyle name="#,##0 19 2 2 2" xfId="140" xr:uid="{00000000-0005-0000-0000-00008C000000}"/>
    <cellStyle name="#,##0 19 2 2 3" xfId="141" xr:uid="{00000000-0005-0000-0000-00008D000000}"/>
    <cellStyle name="#,##0 19 2 2 4" xfId="142" xr:uid="{00000000-0005-0000-0000-00008E000000}"/>
    <cellStyle name="#,##0 19 2 2 5" xfId="143" xr:uid="{00000000-0005-0000-0000-00008F000000}"/>
    <cellStyle name="#,##0 19 3" xfId="144" xr:uid="{00000000-0005-0000-0000-000090000000}"/>
    <cellStyle name="#,##0 19 3 2" xfId="145" xr:uid="{00000000-0005-0000-0000-000091000000}"/>
    <cellStyle name="#,##0 19 3 3" xfId="146" xr:uid="{00000000-0005-0000-0000-000092000000}"/>
    <cellStyle name="#,##0 19 3 4" xfId="147" xr:uid="{00000000-0005-0000-0000-000093000000}"/>
    <cellStyle name="#,##0 19 3 5" xfId="148" xr:uid="{00000000-0005-0000-0000-000094000000}"/>
    <cellStyle name="#,##0 2" xfId="149" xr:uid="{00000000-0005-0000-0000-000095000000}"/>
    <cellStyle name="#,##0 2 2" xfId="150" xr:uid="{00000000-0005-0000-0000-000096000000}"/>
    <cellStyle name="#,##0 2 2 2" xfId="151" xr:uid="{00000000-0005-0000-0000-000097000000}"/>
    <cellStyle name="#,##0 2 2 2 2" xfId="152" xr:uid="{00000000-0005-0000-0000-000098000000}"/>
    <cellStyle name="#,##0 2 2 2 3" xfId="153" xr:uid="{00000000-0005-0000-0000-000099000000}"/>
    <cellStyle name="#,##0 2 2 2 4" xfId="154" xr:uid="{00000000-0005-0000-0000-00009A000000}"/>
    <cellStyle name="#,##0 2 2 2 5" xfId="155" xr:uid="{00000000-0005-0000-0000-00009B000000}"/>
    <cellStyle name="#,##0 2 3" xfId="156" xr:uid="{00000000-0005-0000-0000-00009C000000}"/>
    <cellStyle name="#,##0 2 3 2" xfId="157" xr:uid="{00000000-0005-0000-0000-00009D000000}"/>
    <cellStyle name="#,##0 2 3 3" xfId="158" xr:uid="{00000000-0005-0000-0000-00009E000000}"/>
    <cellStyle name="#,##0 2 3 4" xfId="159" xr:uid="{00000000-0005-0000-0000-00009F000000}"/>
    <cellStyle name="#,##0 2 3 5" xfId="160" xr:uid="{00000000-0005-0000-0000-0000A0000000}"/>
    <cellStyle name="#,##0 20" xfId="161" xr:uid="{00000000-0005-0000-0000-0000A1000000}"/>
    <cellStyle name="#,##0 20 2" xfId="162" xr:uid="{00000000-0005-0000-0000-0000A2000000}"/>
    <cellStyle name="#,##0 20 2 2" xfId="163" xr:uid="{00000000-0005-0000-0000-0000A3000000}"/>
    <cellStyle name="#,##0 20 2 2 2" xfId="164" xr:uid="{00000000-0005-0000-0000-0000A4000000}"/>
    <cellStyle name="#,##0 20 2 2 3" xfId="165" xr:uid="{00000000-0005-0000-0000-0000A5000000}"/>
    <cellStyle name="#,##0 20 2 2 4" xfId="166" xr:uid="{00000000-0005-0000-0000-0000A6000000}"/>
    <cellStyle name="#,##0 20 2 2 5" xfId="167" xr:uid="{00000000-0005-0000-0000-0000A7000000}"/>
    <cellStyle name="#,##0 20 3" xfId="168" xr:uid="{00000000-0005-0000-0000-0000A8000000}"/>
    <cellStyle name="#,##0 20 3 2" xfId="169" xr:uid="{00000000-0005-0000-0000-0000A9000000}"/>
    <cellStyle name="#,##0 20 3 3" xfId="170" xr:uid="{00000000-0005-0000-0000-0000AA000000}"/>
    <cellStyle name="#,##0 20 3 4" xfId="171" xr:uid="{00000000-0005-0000-0000-0000AB000000}"/>
    <cellStyle name="#,##0 20 3 5" xfId="172" xr:uid="{00000000-0005-0000-0000-0000AC000000}"/>
    <cellStyle name="#,##0 21" xfId="173" xr:uid="{00000000-0005-0000-0000-0000AD000000}"/>
    <cellStyle name="#,##0 21 2" xfId="174" xr:uid="{00000000-0005-0000-0000-0000AE000000}"/>
    <cellStyle name="#,##0 21 2 2" xfId="175" xr:uid="{00000000-0005-0000-0000-0000AF000000}"/>
    <cellStyle name="#,##0 21 2 2 2" xfId="176" xr:uid="{00000000-0005-0000-0000-0000B0000000}"/>
    <cellStyle name="#,##0 21 2 2 3" xfId="177" xr:uid="{00000000-0005-0000-0000-0000B1000000}"/>
    <cellStyle name="#,##0 21 2 2 4" xfId="178" xr:uid="{00000000-0005-0000-0000-0000B2000000}"/>
    <cellStyle name="#,##0 21 2 2 5" xfId="179" xr:uid="{00000000-0005-0000-0000-0000B3000000}"/>
    <cellStyle name="#,##0 21 3" xfId="180" xr:uid="{00000000-0005-0000-0000-0000B4000000}"/>
    <cellStyle name="#,##0 21 3 2" xfId="181" xr:uid="{00000000-0005-0000-0000-0000B5000000}"/>
    <cellStyle name="#,##0 21 3 3" xfId="182" xr:uid="{00000000-0005-0000-0000-0000B6000000}"/>
    <cellStyle name="#,##0 21 3 4" xfId="183" xr:uid="{00000000-0005-0000-0000-0000B7000000}"/>
    <cellStyle name="#,##0 21 3 5" xfId="184" xr:uid="{00000000-0005-0000-0000-0000B8000000}"/>
    <cellStyle name="#,##0 22" xfId="185" xr:uid="{00000000-0005-0000-0000-0000B9000000}"/>
    <cellStyle name="#,##0 22 2" xfId="186" xr:uid="{00000000-0005-0000-0000-0000BA000000}"/>
    <cellStyle name="#,##0 22 2 2" xfId="187" xr:uid="{00000000-0005-0000-0000-0000BB000000}"/>
    <cellStyle name="#,##0 22 2 2 2" xfId="188" xr:uid="{00000000-0005-0000-0000-0000BC000000}"/>
    <cellStyle name="#,##0 22 2 2 3" xfId="189" xr:uid="{00000000-0005-0000-0000-0000BD000000}"/>
    <cellStyle name="#,##0 22 2 2 4" xfId="190" xr:uid="{00000000-0005-0000-0000-0000BE000000}"/>
    <cellStyle name="#,##0 22 2 2 5" xfId="191" xr:uid="{00000000-0005-0000-0000-0000BF000000}"/>
    <cellStyle name="#,##0 22 3" xfId="192" xr:uid="{00000000-0005-0000-0000-0000C0000000}"/>
    <cellStyle name="#,##0 22 3 2" xfId="193" xr:uid="{00000000-0005-0000-0000-0000C1000000}"/>
    <cellStyle name="#,##0 22 3 3" xfId="194" xr:uid="{00000000-0005-0000-0000-0000C2000000}"/>
    <cellStyle name="#,##0 22 3 4" xfId="195" xr:uid="{00000000-0005-0000-0000-0000C3000000}"/>
    <cellStyle name="#,##0 22 3 5" xfId="196" xr:uid="{00000000-0005-0000-0000-0000C4000000}"/>
    <cellStyle name="#,##0 23" xfId="197" xr:uid="{00000000-0005-0000-0000-0000C5000000}"/>
    <cellStyle name="#,##0 23 2" xfId="198" xr:uid="{00000000-0005-0000-0000-0000C6000000}"/>
    <cellStyle name="#,##0 23 2 2" xfId="199" xr:uid="{00000000-0005-0000-0000-0000C7000000}"/>
    <cellStyle name="#,##0 23 2 2 2" xfId="200" xr:uid="{00000000-0005-0000-0000-0000C8000000}"/>
    <cellStyle name="#,##0 23 2 2 3" xfId="201" xr:uid="{00000000-0005-0000-0000-0000C9000000}"/>
    <cellStyle name="#,##0 23 2 2 4" xfId="202" xr:uid="{00000000-0005-0000-0000-0000CA000000}"/>
    <cellStyle name="#,##0 23 2 2 5" xfId="203" xr:uid="{00000000-0005-0000-0000-0000CB000000}"/>
    <cellStyle name="#,##0 23 3" xfId="204" xr:uid="{00000000-0005-0000-0000-0000CC000000}"/>
    <cellStyle name="#,##0 23 3 2" xfId="205" xr:uid="{00000000-0005-0000-0000-0000CD000000}"/>
    <cellStyle name="#,##0 23 3 3" xfId="206" xr:uid="{00000000-0005-0000-0000-0000CE000000}"/>
    <cellStyle name="#,##0 23 3 4" xfId="207" xr:uid="{00000000-0005-0000-0000-0000CF000000}"/>
    <cellStyle name="#,##0 23 3 5" xfId="208" xr:uid="{00000000-0005-0000-0000-0000D0000000}"/>
    <cellStyle name="#,##0 24" xfId="209" xr:uid="{00000000-0005-0000-0000-0000D1000000}"/>
    <cellStyle name="#,##0 24 2" xfId="210" xr:uid="{00000000-0005-0000-0000-0000D2000000}"/>
    <cellStyle name="#,##0 24 2 2" xfId="211" xr:uid="{00000000-0005-0000-0000-0000D3000000}"/>
    <cellStyle name="#,##0 24 2 2 2" xfId="212" xr:uid="{00000000-0005-0000-0000-0000D4000000}"/>
    <cellStyle name="#,##0 24 2 2 3" xfId="213" xr:uid="{00000000-0005-0000-0000-0000D5000000}"/>
    <cellStyle name="#,##0 24 2 2 4" xfId="214" xr:uid="{00000000-0005-0000-0000-0000D6000000}"/>
    <cellStyle name="#,##0 24 2 2 5" xfId="215" xr:uid="{00000000-0005-0000-0000-0000D7000000}"/>
    <cellStyle name="#,##0 24 3" xfId="216" xr:uid="{00000000-0005-0000-0000-0000D8000000}"/>
    <cellStyle name="#,##0 24 3 2" xfId="217" xr:uid="{00000000-0005-0000-0000-0000D9000000}"/>
    <cellStyle name="#,##0 24 3 3" xfId="218" xr:uid="{00000000-0005-0000-0000-0000DA000000}"/>
    <cellStyle name="#,##0 24 3 4" xfId="219" xr:uid="{00000000-0005-0000-0000-0000DB000000}"/>
    <cellStyle name="#,##0 24 3 5" xfId="220" xr:uid="{00000000-0005-0000-0000-0000DC000000}"/>
    <cellStyle name="#,##0 25" xfId="221" xr:uid="{00000000-0005-0000-0000-0000DD000000}"/>
    <cellStyle name="#,##0 25 2" xfId="222" xr:uid="{00000000-0005-0000-0000-0000DE000000}"/>
    <cellStyle name="#,##0 25 2 2" xfId="223" xr:uid="{00000000-0005-0000-0000-0000DF000000}"/>
    <cellStyle name="#,##0 25 2 2 2" xfId="224" xr:uid="{00000000-0005-0000-0000-0000E0000000}"/>
    <cellStyle name="#,##0 25 2 2 3" xfId="225" xr:uid="{00000000-0005-0000-0000-0000E1000000}"/>
    <cellStyle name="#,##0 25 2 2 4" xfId="226" xr:uid="{00000000-0005-0000-0000-0000E2000000}"/>
    <cellStyle name="#,##0 25 2 2 5" xfId="227" xr:uid="{00000000-0005-0000-0000-0000E3000000}"/>
    <cellStyle name="#,##0 25 3" xfId="228" xr:uid="{00000000-0005-0000-0000-0000E4000000}"/>
    <cellStyle name="#,##0 25 3 2" xfId="229" xr:uid="{00000000-0005-0000-0000-0000E5000000}"/>
    <cellStyle name="#,##0 25 3 3" xfId="230" xr:uid="{00000000-0005-0000-0000-0000E6000000}"/>
    <cellStyle name="#,##0 25 3 4" xfId="231" xr:uid="{00000000-0005-0000-0000-0000E7000000}"/>
    <cellStyle name="#,##0 25 3 5" xfId="232" xr:uid="{00000000-0005-0000-0000-0000E8000000}"/>
    <cellStyle name="#,##0 26" xfId="233" xr:uid="{00000000-0005-0000-0000-0000E9000000}"/>
    <cellStyle name="#,##0 26 2" xfId="234" xr:uid="{00000000-0005-0000-0000-0000EA000000}"/>
    <cellStyle name="#,##0 26 2 2" xfId="235" xr:uid="{00000000-0005-0000-0000-0000EB000000}"/>
    <cellStyle name="#,##0 26 2 2 2" xfId="236" xr:uid="{00000000-0005-0000-0000-0000EC000000}"/>
    <cellStyle name="#,##0 26 2 2 3" xfId="237" xr:uid="{00000000-0005-0000-0000-0000ED000000}"/>
    <cellStyle name="#,##0 26 2 2 4" xfId="238" xr:uid="{00000000-0005-0000-0000-0000EE000000}"/>
    <cellStyle name="#,##0 26 2 2 5" xfId="239" xr:uid="{00000000-0005-0000-0000-0000EF000000}"/>
    <cellStyle name="#,##0 26 3" xfId="240" xr:uid="{00000000-0005-0000-0000-0000F0000000}"/>
    <cellStyle name="#,##0 26 3 2" xfId="241" xr:uid="{00000000-0005-0000-0000-0000F1000000}"/>
    <cellStyle name="#,##0 26 3 3" xfId="242" xr:uid="{00000000-0005-0000-0000-0000F2000000}"/>
    <cellStyle name="#,##0 26 3 4" xfId="243" xr:uid="{00000000-0005-0000-0000-0000F3000000}"/>
    <cellStyle name="#,##0 26 3 5" xfId="244" xr:uid="{00000000-0005-0000-0000-0000F4000000}"/>
    <cellStyle name="#,##0 27" xfId="245" xr:uid="{00000000-0005-0000-0000-0000F5000000}"/>
    <cellStyle name="#,##0 27 2" xfId="246" xr:uid="{00000000-0005-0000-0000-0000F6000000}"/>
    <cellStyle name="#,##0 27 2 2" xfId="247" xr:uid="{00000000-0005-0000-0000-0000F7000000}"/>
    <cellStyle name="#,##0 27 2 2 2" xfId="248" xr:uid="{00000000-0005-0000-0000-0000F8000000}"/>
    <cellStyle name="#,##0 27 2 2 3" xfId="249" xr:uid="{00000000-0005-0000-0000-0000F9000000}"/>
    <cellStyle name="#,##0 27 2 2 4" xfId="250" xr:uid="{00000000-0005-0000-0000-0000FA000000}"/>
    <cellStyle name="#,##0 27 2 2 5" xfId="251" xr:uid="{00000000-0005-0000-0000-0000FB000000}"/>
    <cellStyle name="#,##0 27 3" xfId="252" xr:uid="{00000000-0005-0000-0000-0000FC000000}"/>
    <cellStyle name="#,##0 27 3 2" xfId="253" xr:uid="{00000000-0005-0000-0000-0000FD000000}"/>
    <cellStyle name="#,##0 27 3 3" xfId="254" xr:uid="{00000000-0005-0000-0000-0000FE000000}"/>
    <cellStyle name="#,##0 27 3 4" xfId="255" xr:uid="{00000000-0005-0000-0000-0000FF000000}"/>
    <cellStyle name="#,##0 27 3 5" xfId="256" xr:uid="{00000000-0005-0000-0000-000000010000}"/>
    <cellStyle name="#,##0 28" xfId="257" xr:uid="{00000000-0005-0000-0000-000001010000}"/>
    <cellStyle name="#,##0 28 2" xfId="258" xr:uid="{00000000-0005-0000-0000-000002010000}"/>
    <cellStyle name="#,##0 28 2 2" xfId="259" xr:uid="{00000000-0005-0000-0000-000003010000}"/>
    <cellStyle name="#,##0 28 2 2 2" xfId="260" xr:uid="{00000000-0005-0000-0000-000004010000}"/>
    <cellStyle name="#,##0 28 2 2 3" xfId="261" xr:uid="{00000000-0005-0000-0000-000005010000}"/>
    <cellStyle name="#,##0 28 2 2 4" xfId="262" xr:uid="{00000000-0005-0000-0000-000006010000}"/>
    <cellStyle name="#,##0 28 2 2 5" xfId="263" xr:uid="{00000000-0005-0000-0000-000007010000}"/>
    <cellStyle name="#,##0 28 3" xfId="264" xr:uid="{00000000-0005-0000-0000-000008010000}"/>
    <cellStyle name="#,##0 28 3 2" xfId="265" xr:uid="{00000000-0005-0000-0000-000009010000}"/>
    <cellStyle name="#,##0 28 3 3" xfId="266" xr:uid="{00000000-0005-0000-0000-00000A010000}"/>
    <cellStyle name="#,##0 28 3 4" xfId="267" xr:uid="{00000000-0005-0000-0000-00000B010000}"/>
    <cellStyle name="#,##0 28 3 5" xfId="268" xr:uid="{00000000-0005-0000-0000-00000C010000}"/>
    <cellStyle name="#,##0 29" xfId="269" xr:uid="{00000000-0005-0000-0000-00000D010000}"/>
    <cellStyle name="#,##0 29 2" xfId="270" xr:uid="{00000000-0005-0000-0000-00000E010000}"/>
    <cellStyle name="#,##0 29 2 2" xfId="271" xr:uid="{00000000-0005-0000-0000-00000F010000}"/>
    <cellStyle name="#,##0 29 2 2 2" xfId="272" xr:uid="{00000000-0005-0000-0000-000010010000}"/>
    <cellStyle name="#,##0 29 2 2 3" xfId="273" xr:uid="{00000000-0005-0000-0000-000011010000}"/>
    <cellStyle name="#,##0 29 2 2 4" xfId="274" xr:uid="{00000000-0005-0000-0000-000012010000}"/>
    <cellStyle name="#,##0 29 2 2 5" xfId="275" xr:uid="{00000000-0005-0000-0000-000013010000}"/>
    <cellStyle name="#,##0 29 3" xfId="276" xr:uid="{00000000-0005-0000-0000-000014010000}"/>
    <cellStyle name="#,##0 29 3 2" xfId="277" xr:uid="{00000000-0005-0000-0000-000015010000}"/>
    <cellStyle name="#,##0 29 3 3" xfId="278" xr:uid="{00000000-0005-0000-0000-000016010000}"/>
    <cellStyle name="#,##0 29 3 4" xfId="279" xr:uid="{00000000-0005-0000-0000-000017010000}"/>
    <cellStyle name="#,##0 29 3 5" xfId="280" xr:uid="{00000000-0005-0000-0000-000018010000}"/>
    <cellStyle name="#,##0 3" xfId="281" xr:uid="{00000000-0005-0000-0000-000019010000}"/>
    <cellStyle name="#,##0 3 2" xfId="282" xr:uid="{00000000-0005-0000-0000-00001A010000}"/>
    <cellStyle name="#,##0 3 2 2" xfId="283" xr:uid="{00000000-0005-0000-0000-00001B010000}"/>
    <cellStyle name="#,##0 3 2 2 2" xfId="284" xr:uid="{00000000-0005-0000-0000-00001C010000}"/>
    <cellStyle name="#,##0 3 2 2 3" xfId="285" xr:uid="{00000000-0005-0000-0000-00001D010000}"/>
    <cellStyle name="#,##0 3 2 2 4" xfId="286" xr:uid="{00000000-0005-0000-0000-00001E010000}"/>
    <cellStyle name="#,##0 3 2 2 5" xfId="287" xr:uid="{00000000-0005-0000-0000-00001F010000}"/>
    <cellStyle name="#,##0 3 3" xfId="288" xr:uid="{00000000-0005-0000-0000-000020010000}"/>
    <cellStyle name="#,##0 3 3 2" xfId="289" xr:uid="{00000000-0005-0000-0000-000021010000}"/>
    <cellStyle name="#,##0 3 3 3" xfId="290" xr:uid="{00000000-0005-0000-0000-000022010000}"/>
    <cellStyle name="#,##0 3 3 4" xfId="291" xr:uid="{00000000-0005-0000-0000-000023010000}"/>
    <cellStyle name="#,##0 3 3 5" xfId="292" xr:uid="{00000000-0005-0000-0000-000024010000}"/>
    <cellStyle name="#,##0 30" xfId="293" xr:uid="{00000000-0005-0000-0000-000025010000}"/>
    <cellStyle name="#,##0 30 2" xfId="294" xr:uid="{00000000-0005-0000-0000-000026010000}"/>
    <cellStyle name="#,##0 30 2 2" xfId="295" xr:uid="{00000000-0005-0000-0000-000027010000}"/>
    <cellStyle name="#,##0 30 2 2 2" xfId="296" xr:uid="{00000000-0005-0000-0000-000028010000}"/>
    <cellStyle name="#,##0 30 2 2 3" xfId="297" xr:uid="{00000000-0005-0000-0000-000029010000}"/>
    <cellStyle name="#,##0 30 2 2 4" xfId="298" xr:uid="{00000000-0005-0000-0000-00002A010000}"/>
    <cellStyle name="#,##0 30 2 2 5" xfId="299" xr:uid="{00000000-0005-0000-0000-00002B010000}"/>
    <cellStyle name="#,##0 30 3" xfId="300" xr:uid="{00000000-0005-0000-0000-00002C010000}"/>
    <cellStyle name="#,##0 30 3 2" xfId="301" xr:uid="{00000000-0005-0000-0000-00002D010000}"/>
    <cellStyle name="#,##0 30 3 3" xfId="302" xr:uid="{00000000-0005-0000-0000-00002E010000}"/>
    <cellStyle name="#,##0 30 3 4" xfId="303" xr:uid="{00000000-0005-0000-0000-00002F010000}"/>
    <cellStyle name="#,##0 30 3 5" xfId="304" xr:uid="{00000000-0005-0000-0000-000030010000}"/>
    <cellStyle name="#,##0 31" xfId="305" xr:uid="{00000000-0005-0000-0000-000031010000}"/>
    <cellStyle name="#,##0 31 2" xfId="306" xr:uid="{00000000-0005-0000-0000-000032010000}"/>
    <cellStyle name="#,##0 31 2 2" xfId="307" xr:uid="{00000000-0005-0000-0000-000033010000}"/>
    <cellStyle name="#,##0 31 2 2 2" xfId="308" xr:uid="{00000000-0005-0000-0000-000034010000}"/>
    <cellStyle name="#,##0 31 2 2 3" xfId="309" xr:uid="{00000000-0005-0000-0000-000035010000}"/>
    <cellStyle name="#,##0 31 2 2 4" xfId="310" xr:uid="{00000000-0005-0000-0000-000036010000}"/>
    <cellStyle name="#,##0 31 2 2 5" xfId="311" xr:uid="{00000000-0005-0000-0000-000037010000}"/>
    <cellStyle name="#,##0 31 3" xfId="312" xr:uid="{00000000-0005-0000-0000-000038010000}"/>
    <cellStyle name="#,##0 31 3 2" xfId="313" xr:uid="{00000000-0005-0000-0000-000039010000}"/>
    <cellStyle name="#,##0 31 3 3" xfId="314" xr:uid="{00000000-0005-0000-0000-00003A010000}"/>
    <cellStyle name="#,##0 31 3 4" xfId="315" xr:uid="{00000000-0005-0000-0000-00003B010000}"/>
    <cellStyle name="#,##0 31 3 5" xfId="316" xr:uid="{00000000-0005-0000-0000-00003C010000}"/>
    <cellStyle name="#,##0 32" xfId="317" xr:uid="{00000000-0005-0000-0000-00003D010000}"/>
    <cellStyle name="#,##0 33" xfId="318" xr:uid="{00000000-0005-0000-0000-00003E010000}"/>
    <cellStyle name="#,##0 34" xfId="319" xr:uid="{00000000-0005-0000-0000-00003F010000}"/>
    <cellStyle name="#,##0 34 2" xfId="320" xr:uid="{00000000-0005-0000-0000-000040010000}"/>
    <cellStyle name="#,##0 34 3" xfId="321" xr:uid="{00000000-0005-0000-0000-000041010000}"/>
    <cellStyle name="#,##0 34 4" xfId="322" xr:uid="{00000000-0005-0000-0000-000042010000}"/>
    <cellStyle name="#,##0 34 5" xfId="323" xr:uid="{00000000-0005-0000-0000-000043010000}"/>
    <cellStyle name="#,##0 4" xfId="324" xr:uid="{00000000-0005-0000-0000-000044010000}"/>
    <cellStyle name="#,##0 4 2" xfId="325" xr:uid="{00000000-0005-0000-0000-000045010000}"/>
    <cellStyle name="#,##0 4 2 2" xfId="326" xr:uid="{00000000-0005-0000-0000-000046010000}"/>
    <cellStyle name="#,##0 4 2 2 2" xfId="327" xr:uid="{00000000-0005-0000-0000-000047010000}"/>
    <cellStyle name="#,##0 4 2 2 3" xfId="328" xr:uid="{00000000-0005-0000-0000-000048010000}"/>
    <cellStyle name="#,##0 4 2 2 4" xfId="329" xr:uid="{00000000-0005-0000-0000-000049010000}"/>
    <cellStyle name="#,##0 4 2 2 5" xfId="330" xr:uid="{00000000-0005-0000-0000-00004A010000}"/>
    <cellStyle name="#,##0 4 3" xfId="331" xr:uid="{00000000-0005-0000-0000-00004B010000}"/>
    <cellStyle name="#,##0 4 3 2" xfId="332" xr:uid="{00000000-0005-0000-0000-00004C010000}"/>
    <cellStyle name="#,##0 4 3 3" xfId="333" xr:uid="{00000000-0005-0000-0000-00004D010000}"/>
    <cellStyle name="#,##0 4 3 4" xfId="334" xr:uid="{00000000-0005-0000-0000-00004E010000}"/>
    <cellStyle name="#,##0 4 3 5" xfId="335" xr:uid="{00000000-0005-0000-0000-00004F010000}"/>
    <cellStyle name="#,##0 5" xfId="336" xr:uid="{00000000-0005-0000-0000-000050010000}"/>
    <cellStyle name="#,##0 5 2" xfId="337" xr:uid="{00000000-0005-0000-0000-000051010000}"/>
    <cellStyle name="#,##0 5 2 2" xfId="338" xr:uid="{00000000-0005-0000-0000-000052010000}"/>
    <cellStyle name="#,##0 5 2 2 2" xfId="339" xr:uid="{00000000-0005-0000-0000-000053010000}"/>
    <cellStyle name="#,##0 5 2 2 3" xfId="340" xr:uid="{00000000-0005-0000-0000-000054010000}"/>
    <cellStyle name="#,##0 5 2 2 4" xfId="341" xr:uid="{00000000-0005-0000-0000-000055010000}"/>
    <cellStyle name="#,##0 5 2 2 5" xfId="342" xr:uid="{00000000-0005-0000-0000-000056010000}"/>
    <cellStyle name="#,##0 5 3" xfId="343" xr:uid="{00000000-0005-0000-0000-000057010000}"/>
    <cellStyle name="#,##0 5 3 2" xfId="344" xr:uid="{00000000-0005-0000-0000-000058010000}"/>
    <cellStyle name="#,##0 5 3 3" xfId="345" xr:uid="{00000000-0005-0000-0000-000059010000}"/>
    <cellStyle name="#,##0 5 3 4" xfId="346" xr:uid="{00000000-0005-0000-0000-00005A010000}"/>
    <cellStyle name="#,##0 5 3 5" xfId="347" xr:uid="{00000000-0005-0000-0000-00005B010000}"/>
    <cellStyle name="#,##0 6" xfId="348" xr:uid="{00000000-0005-0000-0000-00005C010000}"/>
    <cellStyle name="#,##0 6 2" xfId="349" xr:uid="{00000000-0005-0000-0000-00005D010000}"/>
    <cellStyle name="#,##0 6 2 2" xfId="350" xr:uid="{00000000-0005-0000-0000-00005E010000}"/>
    <cellStyle name="#,##0 6 2 2 2" xfId="351" xr:uid="{00000000-0005-0000-0000-00005F010000}"/>
    <cellStyle name="#,##0 6 2 2 3" xfId="352" xr:uid="{00000000-0005-0000-0000-000060010000}"/>
    <cellStyle name="#,##0 6 2 2 4" xfId="353" xr:uid="{00000000-0005-0000-0000-000061010000}"/>
    <cellStyle name="#,##0 6 2 2 5" xfId="354" xr:uid="{00000000-0005-0000-0000-000062010000}"/>
    <cellStyle name="#,##0 6 3" xfId="355" xr:uid="{00000000-0005-0000-0000-000063010000}"/>
    <cellStyle name="#,##0 6 3 2" xfId="356" xr:uid="{00000000-0005-0000-0000-000064010000}"/>
    <cellStyle name="#,##0 6 3 3" xfId="357" xr:uid="{00000000-0005-0000-0000-000065010000}"/>
    <cellStyle name="#,##0 6 3 4" xfId="358" xr:uid="{00000000-0005-0000-0000-000066010000}"/>
    <cellStyle name="#,##0 6 3 5" xfId="359" xr:uid="{00000000-0005-0000-0000-000067010000}"/>
    <cellStyle name="#,##0 7" xfId="360" xr:uid="{00000000-0005-0000-0000-000068010000}"/>
    <cellStyle name="#,##0 7 2" xfId="361" xr:uid="{00000000-0005-0000-0000-000069010000}"/>
    <cellStyle name="#,##0 7 2 2" xfId="362" xr:uid="{00000000-0005-0000-0000-00006A010000}"/>
    <cellStyle name="#,##0 7 2 2 2" xfId="363" xr:uid="{00000000-0005-0000-0000-00006B010000}"/>
    <cellStyle name="#,##0 7 2 2 3" xfId="364" xr:uid="{00000000-0005-0000-0000-00006C010000}"/>
    <cellStyle name="#,##0 7 2 2 4" xfId="365" xr:uid="{00000000-0005-0000-0000-00006D010000}"/>
    <cellStyle name="#,##0 7 2 2 5" xfId="366" xr:uid="{00000000-0005-0000-0000-00006E010000}"/>
    <cellStyle name="#,##0 7 3" xfId="367" xr:uid="{00000000-0005-0000-0000-00006F010000}"/>
    <cellStyle name="#,##0 7 3 2" xfId="368" xr:uid="{00000000-0005-0000-0000-000070010000}"/>
    <cellStyle name="#,##0 7 3 3" xfId="369" xr:uid="{00000000-0005-0000-0000-000071010000}"/>
    <cellStyle name="#,##0 7 3 4" xfId="370" xr:uid="{00000000-0005-0000-0000-000072010000}"/>
    <cellStyle name="#,##0 7 3 5" xfId="371" xr:uid="{00000000-0005-0000-0000-000073010000}"/>
    <cellStyle name="#,##0 8" xfId="372" xr:uid="{00000000-0005-0000-0000-000074010000}"/>
    <cellStyle name="#,##0 8 2" xfId="373" xr:uid="{00000000-0005-0000-0000-000075010000}"/>
    <cellStyle name="#,##0 8 2 2" xfId="374" xr:uid="{00000000-0005-0000-0000-000076010000}"/>
    <cellStyle name="#,##0 8 2 2 2" xfId="375" xr:uid="{00000000-0005-0000-0000-000077010000}"/>
    <cellStyle name="#,##0 8 2 2 3" xfId="376" xr:uid="{00000000-0005-0000-0000-000078010000}"/>
    <cellStyle name="#,##0 8 2 2 4" xfId="377" xr:uid="{00000000-0005-0000-0000-000079010000}"/>
    <cellStyle name="#,##0 8 2 2 5" xfId="378" xr:uid="{00000000-0005-0000-0000-00007A010000}"/>
    <cellStyle name="#,##0 8 3" xfId="379" xr:uid="{00000000-0005-0000-0000-00007B010000}"/>
    <cellStyle name="#,##0 8 3 2" xfId="380" xr:uid="{00000000-0005-0000-0000-00007C010000}"/>
    <cellStyle name="#,##0 8 3 3" xfId="381" xr:uid="{00000000-0005-0000-0000-00007D010000}"/>
    <cellStyle name="#,##0 8 3 4" xfId="382" xr:uid="{00000000-0005-0000-0000-00007E010000}"/>
    <cellStyle name="#,##0 8 3 5" xfId="383" xr:uid="{00000000-0005-0000-0000-00007F010000}"/>
    <cellStyle name="#,##0 9" xfId="384" xr:uid="{00000000-0005-0000-0000-000080010000}"/>
    <cellStyle name="#,##0 9 2" xfId="385" xr:uid="{00000000-0005-0000-0000-000081010000}"/>
    <cellStyle name="#,##0 9 2 2" xfId="386" xr:uid="{00000000-0005-0000-0000-000082010000}"/>
    <cellStyle name="#,##0 9 2 2 2" xfId="387" xr:uid="{00000000-0005-0000-0000-000083010000}"/>
    <cellStyle name="#,##0 9 2 2 3" xfId="388" xr:uid="{00000000-0005-0000-0000-000084010000}"/>
    <cellStyle name="#,##0 9 2 2 4" xfId="389" xr:uid="{00000000-0005-0000-0000-000085010000}"/>
    <cellStyle name="#,##0 9 2 2 5" xfId="390" xr:uid="{00000000-0005-0000-0000-000086010000}"/>
    <cellStyle name="#,##0 9 3" xfId="391" xr:uid="{00000000-0005-0000-0000-000087010000}"/>
    <cellStyle name="#,##0 9 3 2" xfId="392" xr:uid="{00000000-0005-0000-0000-000088010000}"/>
    <cellStyle name="#,##0 9 3 3" xfId="393" xr:uid="{00000000-0005-0000-0000-000089010000}"/>
    <cellStyle name="#,##0 9 3 4" xfId="394" xr:uid="{00000000-0005-0000-0000-00008A010000}"/>
    <cellStyle name="#,##0 9 3 5" xfId="395" xr:uid="{00000000-0005-0000-0000-00008B010000}"/>
    <cellStyle name="#,##0.0" xfId="396" xr:uid="{00000000-0005-0000-0000-00008C010000}"/>
    <cellStyle name="#,##0.0 2" xfId="397" xr:uid="{00000000-0005-0000-0000-00008D010000}"/>
    <cellStyle name="#,##0.00" xfId="398" xr:uid="{00000000-0005-0000-0000-00008E010000}"/>
    <cellStyle name="#,##0.00 2" xfId="399" xr:uid="{00000000-0005-0000-0000-00008F010000}"/>
    <cellStyle name="#,##0.000" xfId="400" xr:uid="{00000000-0005-0000-0000-000090010000}"/>
    <cellStyle name="#,##0.000 2" xfId="401" xr:uid="{00000000-0005-0000-0000-000091010000}"/>
    <cellStyle name="#,##0_(060116)음향보정장치공사 내역서" xfId="402" xr:uid="{00000000-0005-0000-0000-000092010000}"/>
    <cellStyle name="#_cost9702 (2)_계통도 (2)_계통도 " xfId="403" xr:uid="{00000000-0005-0000-0000-000093010000}"/>
    <cellStyle name="#_cost9702 (2)_계통도 (2)_계통도  2" xfId="404" xr:uid="{00000000-0005-0000-0000-000094010000}"/>
    <cellStyle name="#_cost9702 (2)_계통도 (2)_계통도  2 2" xfId="405" xr:uid="{00000000-0005-0000-0000-000095010000}"/>
    <cellStyle name="#_cost9702 (2)_계통도 (2)_계통도  2 2 2" xfId="406" xr:uid="{00000000-0005-0000-0000-000096010000}"/>
    <cellStyle name="#_cost9702 (2)_계통도 (2)_계통도  2 2 3" xfId="407" xr:uid="{00000000-0005-0000-0000-000097010000}"/>
    <cellStyle name="#_cost9702 (2)_계통도 (2)_계통도  2 2 4" xfId="408" xr:uid="{00000000-0005-0000-0000-000098010000}"/>
    <cellStyle name="#_cost9702 (2)_계통도 (2)_계통도  2 2 5" xfId="409" xr:uid="{00000000-0005-0000-0000-000099010000}"/>
    <cellStyle name="#_cost9702 (2)_계통도 (2)_계통도  3" xfId="410" xr:uid="{00000000-0005-0000-0000-00009A010000}"/>
    <cellStyle name="#_cost9702 (2)_계통도 (2)_계통도  3 2" xfId="411" xr:uid="{00000000-0005-0000-0000-00009B010000}"/>
    <cellStyle name="#_cost9702 (2)_계통도 (2)_계통도  3 3" xfId="412" xr:uid="{00000000-0005-0000-0000-00009C010000}"/>
    <cellStyle name="#_cost9702 (2)_계통도 (2)_계통도  3 4" xfId="413" xr:uid="{00000000-0005-0000-0000-00009D010000}"/>
    <cellStyle name="#_cost9702 (2)_계통도 (2)_계통도  3 5" xfId="414" xr:uid="{00000000-0005-0000-0000-00009E010000}"/>
    <cellStyle name="#_cost9702 (2)_공사비예산서 (2)_계통도 " xfId="415" xr:uid="{00000000-0005-0000-0000-00009F010000}"/>
    <cellStyle name="#_cost9702 (2)_공사비예산서 (2)_계통도  2" xfId="416" xr:uid="{00000000-0005-0000-0000-0000A0010000}"/>
    <cellStyle name="#_cost9702 (2)_공사비예산서 (2)_계통도  2 2" xfId="417" xr:uid="{00000000-0005-0000-0000-0000A1010000}"/>
    <cellStyle name="#_cost9702 (2)_공사비예산서 (2)_계통도  2 2 2" xfId="418" xr:uid="{00000000-0005-0000-0000-0000A2010000}"/>
    <cellStyle name="#_cost9702 (2)_공사비예산서 (2)_계통도  2 2 3" xfId="419" xr:uid="{00000000-0005-0000-0000-0000A3010000}"/>
    <cellStyle name="#_cost9702 (2)_공사비예산서 (2)_계통도  2 2 4" xfId="420" xr:uid="{00000000-0005-0000-0000-0000A4010000}"/>
    <cellStyle name="#_cost9702 (2)_공사비예산서 (2)_계통도  2 2 5" xfId="421" xr:uid="{00000000-0005-0000-0000-0000A5010000}"/>
    <cellStyle name="#_cost9702 (2)_공사비예산서 (2)_계통도  3" xfId="422" xr:uid="{00000000-0005-0000-0000-0000A6010000}"/>
    <cellStyle name="#_cost9702 (2)_공사비예산서 (2)_계통도  3 2" xfId="423" xr:uid="{00000000-0005-0000-0000-0000A7010000}"/>
    <cellStyle name="#_cost9702 (2)_공사비예산서 (2)_계통도  3 3" xfId="424" xr:uid="{00000000-0005-0000-0000-0000A8010000}"/>
    <cellStyle name="#_cost9702 (2)_공사비예산서 (2)_계통도  3 4" xfId="425" xr:uid="{00000000-0005-0000-0000-0000A9010000}"/>
    <cellStyle name="#_cost9702 (2)_공사비예산서 (2)_계통도  3 5" xfId="426" xr:uid="{00000000-0005-0000-0000-0000AA010000}"/>
    <cellStyle name="#_cost9702 (2)_공사비예산서_계통도 " xfId="427" xr:uid="{00000000-0005-0000-0000-0000AB010000}"/>
    <cellStyle name="#_cost9702 (2)_공사비예산서_계통도  2" xfId="428" xr:uid="{00000000-0005-0000-0000-0000AC010000}"/>
    <cellStyle name="#_cost9702 (2)_공사비예산서_계통도  2 2" xfId="429" xr:uid="{00000000-0005-0000-0000-0000AD010000}"/>
    <cellStyle name="#_cost9702 (2)_공사비예산서_계통도  2 2 2" xfId="430" xr:uid="{00000000-0005-0000-0000-0000AE010000}"/>
    <cellStyle name="#_cost9702 (2)_공사비예산서_계통도  2 2 3" xfId="431" xr:uid="{00000000-0005-0000-0000-0000AF010000}"/>
    <cellStyle name="#_cost9702 (2)_공사비예산서_계통도  2 2 4" xfId="432" xr:uid="{00000000-0005-0000-0000-0000B0010000}"/>
    <cellStyle name="#_cost9702 (2)_공사비예산서_계통도  2 2 5" xfId="433" xr:uid="{00000000-0005-0000-0000-0000B1010000}"/>
    <cellStyle name="#_cost9702 (2)_공사비예산서_계통도  3" xfId="434" xr:uid="{00000000-0005-0000-0000-0000B2010000}"/>
    <cellStyle name="#_cost9702 (2)_공사비예산서_계통도  3 2" xfId="435" xr:uid="{00000000-0005-0000-0000-0000B3010000}"/>
    <cellStyle name="#_cost9702 (2)_공사비예산서_계통도  3 3" xfId="436" xr:uid="{00000000-0005-0000-0000-0000B4010000}"/>
    <cellStyle name="#_cost9702 (2)_공사비예산서_계통도  3 4" xfId="437" xr:uid="{00000000-0005-0000-0000-0000B5010000}"/>
    <cellStyle name="#_cost9702 (2)_공사비예산서_계통도  3 5" xfId="438" xr:uid="{00000000-0005-0000-0000-0000B6010000}"/>
    <cellStyle name="#_cost9702 (2)_예정공정표 (2)_계통도 " xfId="439" xr:uid="{00000000-0005-0000-0000-0000B7010000}"/>
    <cellStyle name="#_cost9702 (2)_예정공정표 (2)_계통도  2" xfId="440" xr:uid="{00000000-0005-0000-0000-0000B8010000}"/>
    <cellStyle name="#_cost9702 (2)_예정공정표 (2)_계통도  2 2" xfId="441" xr:uid="{00000000-0005-0000-0000-0000B9010000}"/>
    <cellStyle name="#_cost9702 (2)_예정공정표 (2)_계통도  2 2 2" xfId="442" xr:uid="{00000000-0005-0000-0000-0000BA010000}"/>
    <cellStyle name="#_cost9702 (2)_예정공정표 (2)_계통도  2 2 3" xfId="443" xr:uid="{00000000-0005-0000-0000-0000BB010000}"/>
    <cellStyle name="#_cost9702 (2)_예정공정표 (2)_계통도  2 2 4" xfId="444" xr:uid="{00000000-0005-0000-0000-0000BC010000}"/>
    <cellStyle name="#_cost9702 (2)_예정공정표 (2)_계통도  2 2 5" xfId="445" xr:uid="{00000000-0005-0000-0000-0000BD010000}"/>
    <cellStyle name="#_cost9702 (2)_예정공정표 (2)_계통도  3" xfId="446" xr:uid="{00000000-0005-0000-0000-0000BE010000}"/>
    <cellStyle name="#_cost9702 (2)_예정공정표 (2)_계통도  3 2" xfId="447" xr:uid="{00000000-0005-0000-0000-0000BF010000}"/>
    <cellStyle name="#_cost9702 (2)_예정공정표 (2)_계통도  3 3" xfId="448" xr:uid="{00000000-0005-0000-0000-0000C0010000}"/>
    <cellStyle name="#_cost9702 (2)_예정공정표 (2)_계통도  3 4" xfId="449" xr:uid="{00000000-0005-0000-0000-0000C1010000}"/>
    <cellStyle name="#_cost9702 (2)_예정공정표 (2)_계통도  3 5" xfId="450" xr:uid="{00000000-0005-0000-0000-0000C2010000}"/>
    <cellStyle name="#_cost9702 (2)_주요자재_계통도 " xfId="451" xr:uid="{00000000-0005-0000-0000-0000C3010000}"/>
    <cellStyle name="#_cost9702 (2)_주요자재_계통도  2" xfId="452" xr:uid="{00000000-0005-0000-0000-0000C4010000}"/>
    <cellStyle name="#_cost9702 (2)_주요자재_계통도  2 2" xfId="453" xr:uid="{00000000-0005-0000-0000-0000C5010000}"/>
    <cellStyle name="#_cost9702 (2)_주요자재_계통도  2 2 2" xfId="454" xr:uid="{00000000-0005-0000-0000-0000C6010000}"/>
    <cellStyle name="#_cost9702 (2)_주요자재_계통도  2 2 3" xfId="455" xr:uid="{00000000-0005-0000-0000-0000C7010000}"/>
    <cellStyle name="#_cost9702 (2)_주요자재_계통도  2 2 4" xfId="456" xr:uid="{00000000-0005-0000-0000-0000C8010000}"/>
    <cellStyle name="#_cost9702 (2)_주요자재_계통도  2 2 5" xfId="457" xr:uid="{00000000-0005-0000-0000-0000C9010000}"/>
    <cellStyle name="#_cost9702 (2)_주요자재_계통도  3" xfId="458" xr:uid="{00000000-0005-0000-0000-0000CA010000}"/>
    <cellStyle name="#_cost9702 (2)_주요자재_계통도  3 2" xfId="459" xr:uid="{00000000-0005-0000-0000-0000CB010000}"/>
    <cellStyle name="#_cost9702 (2)_주요자재_계통도  3 3" xfId="460" xr:uid="{00000000-0005-0000-0000-0000CC010000}"/>
    <cellStyle name="#_cost9702 (2)_주요자재_계통도  3 4" xfId="461" xr:uid="{00000000-0005-0000-0000-0000CD010000}"/>
    <cellStyle name="#_cost9702 (2)_주요자재_계통도  3 5" xfId="462" xr:uid="{00000000-0005-0000-0000-0000CE010000}"/>
    <cellStyle name="#_롯데 일산점 무대조명_총괄표_100503_수정" xfId="463" xr:uid="{00000000-0005-0000-0000-0000CF010000}"/>
    <cellStyle name="#_롯데 일산점 무대조명_총괄표_100503_수정 2" xfId="464" xr:uid="{00000000-0005-0000-0000-0000D0010000}"/>
    <cellStyle name="#_롯데 일산점 무대조명_총괄표_100503_수정 2 2" xfId="465" xr:uid="{00000000-0005-0000-0000-0000D1010000}"/>
    <cellStyle name="#_롯데 일산점 무대조명_총괄표_100503_수정 2 2 2" xfId="466" xr:uid="{00000000-0005-0000-0000-0000D2010000}"/>
    <cellStyle name="#_롯데 일산점 무대조명_총괄표_100503_수정 2 2 3" xfId="467" xr:uid="{00000000-0005-0000-0000-0000D3010000}"/>
    <cellStyle name="#_롯데 일산점 무대조명_총괄표_100503_수정 2 2 4" xfId="468" xr:uid="{00000000-0005-0000-0000-0000D4010000}"/>
    <cellStyle name="#_롯데 일산점 무대조명_총괄표_100503_수정 2 2 5" xfId="469" xr:uid="{00000000-0005-0000-0000-0000D5010000}"/>
    <cellStyle name="#_롯데 일산점 무대조명_총괄표_100503_수정 3" xfId="470" xr:uid="{00000000-0005-0000-0000-0000D6010000}"/>
    <cellStyle name="#_롯데 일산점 무대조명_총괄표_100503_수정 3 2" xfId="471" xr:uid="{00000000-0005-0000-0000-0000D7010000}"/>
    <cellStyle name="#_롯데 일산점 무대조명_총괄표_100503_수정 3 3" xfId="472" xr:uid="{00000000-0005-0000-0000-0000D8010000}"/>
    <cellStyle name="#_롯데 일산점 무대조명_총괄표_100503_수정 3 4" xfId="473" xr:uid="{00000000-0005-0000-0000-0000D9010000}"/>
    <cellStyle name="#_롯데 일산점 무대조명_총괄표_100503_수정 3 5" xfId="474" xr:uid="{00000000-0005-0000-0000-0000DA010000}"/>
    <cellStyle name="#_예정공정표_계통도 " xfId="475" xr:uid="{00000000-0005-0000-0000-0000DB010000}"/>
    <cellStyle name="#_예정공정표_계통도  2" xfId="476" xr:uid="{00000000-0005-0000-0000-0000DC010000}"/>
    <cellStyle name="#_예정공정표_계통도  2 2" xfId="477" xr:uid="{00000000-0005-0000-0000-0000DD010000}"/>
    <cellStyle name="#_예정공정표_계통도  2 2 2" xfId="478" xr:uid="{00000000-0005-0000-0000-0000DE010000}"/>
    <cellStyle name="#_예정공정표_계통도  2 2 3" xfId="479" xr:uid="{00000000-0005-0000-0000-0000DF010000}"/>
    <cellStyle name="#_예정공정표_계통도  2 2 4" xfId="480" xr:uid="{00000000-0005-0000-0000-0000E0010000}"/>
    <cellStyle name="#_예정공정표_계통도  2 2 5" xfId="481" xr:uid="{00000000-0005-0000-0000-0000E1010000}"/>
    <cellStyle name="#_예정공정표_계통도  3" xfId="482" xr:uid="{00000000-0005-0000-0000-0000E2010000}"/>
    <cellStyle name="#_예정공정표_계통도  3 2" xfId="483" xr:uid="{00000000-0005-0000-0000-0000E3010000}"/>
    <cellStyle name="#_예정공정표_계통도  3 3" xfId="484" xr:uid="{00000000-0005-0000-0000-0000E4010000}"/>
    <cellStyle name="#_예정공정표_계통도  3 4" xfId="485" xr:uid="{00000000-0005-0000-0000-0000E5010000}"/>
    <cellStyle name="#_예정공정표_계통도  3 5" xfId="486" xr:uid="{00000000-0005-0000-0000-0000E6010000}"/>
    <cellStyle name="#_전파진흥원_AV설비_설치공사_(원가포함)_SMT110903" xfId="487" xr:uid="{00000000-0005-0000-0000-0000E7010000}"/>
    <cellStyle name="#_전파진흥원_AV설비_설치공사_(원가포함)_SMT110903 2" xfId="488" xr:uid="{00000000-0005-0000-0000-0000E8010000}"/>
    <cellStyle name="#_전파진흥원_AV설비_설치공사_(원가포함)_SMT110903 2 2" xfId="489" xr:uid="{00000000-0005-0000-0000-0000E9010000}"/>
    <cellStyle name="#_전파진흥원_AV설비_설치공사_(원가포함)_SMT110903 2 2 2" xfId="490" xr:uid="{00000000-0005-0000-0000-0000EA010000}"/>
    <cellStyle name="#_전파진흥원_AV설비_설치공사_(원가포함)_SMT110903 2 2 3" xfId="491" xr:uid="{00000000-0005-0000-0000-0000EB010000}"/>
    <cellStyle name="#_전파진흥원_AV설비_설치공사_(원가포함)_SMT110903 2 2 4" xfId="492" xr:uid="{00000000-0005-0000-0000-0000EC010000}"/>
    <cellStyle name="#_전파진흥원_AV설비_설치공사_(원가포함)_SMT110903 2 2 5" xfId="493" xr:uid="{00000000-0005-0000-0000-0000ED010000}"/>
    <cellStyle name="#_전파진흥원_AV설비_설치공사_(원가포함)_SMT110903 3" xfId="494" xr:uid="{00000000-0005-0000-0000-0000EE010000}"/>
    <cellStyle name="#_전파진흥원_AV설비_설치공사_(원가포함)_SMT110903 3 2" xfId="495" xr:uid="{00000000-0005-0000-0000-0000EF010000}"/>
    <cellStyle name="#_전파진흥원_AV설비_설치공사_(원가포함)_SMT110903 3 3" xfId="496" xr:uid="{00000000-0005-0000-0000-0000F0010000}"/>
    <cellStyle name="#_전파진흥원_AV설비_설치공사_(원가포함)_SMT110903 3 4" xfId="497" xr:uid="{00000000-0005-0000-0000-0000F1010000}"/>
    <cellStyle name="#_전파진흥원_AV설비_설치공사_(원가포함)_SMT110903 3 5" xfId="498" xr:uid="{00000000-0005-0000-0000-0000F2010000}"/>
    <cellStyle name="#_품셈 " xfId="499" xr:uid="{00000000-0005-0000-0000-0000F3010000}"/>
    <cellStyle name="#_품셈  2" xfId="500" xr:uid="{00000000-0005-0000-0000-0000F4010000}"/>
    <cellStyle name="#_품셈  2 2" xfId="501" xr:uid="{00000000-0005-0000-0000-0000F5010000}"/>
    <cellStyle name="#_품셈  2 2 2" xfId="502" xr:uid="{00000000-0005-0000-0000-0000F6010000}"/>
    <cellStyle name="#_품셈  2 2 3" xfId="503" xr:uid="{00000000-0005-0000-0000-0000F7010000}"/>
    <cellStyle name="#_품셈  2 2 4" xfId="504" xr:uid="{00000000-0005-0000-0000-0000F8010000}"/>
    <cellStyle name="#_품셈  2 2 5" xfId="505" xr:uid="{00000000-0005-0000-0000-0000F9010000}"/>
    <cellStyle name="#_품셈  3" xfId="506" xr:uid="{00000000-0005-0000-0000-0000FA010000}"/>
    <cellStyle name="#_품셈  3 2" xfId="507" xr:uid="{00000000-0005-0000-0000-0000FB010000}"/>
    <cellStyle name="#_품셈  3 3" xfId="508" xr:uid="{00000000-0005-0000-0000-0000FC010000}"/>
    <cellStyle name="#_품셈  3 4" xfId="509" xr:uid="{00000000-0005-0000-0000-0000FD010000}"/>
    <cellStyle name="#_품셈  3 5" xfId="510" xr:uid="{00000000-0005-0000-0000-0000FE010000}"/>
    <cellStyle name="#_품셈_계통도 " xfId="511" xr:uid="{00000000-0005-0000-0000-0000FF010000}"/>
    <cellStyle name="#_품셈_계통도  2" xfId="512" xr:uid="{00000000-0005-0000-0000-000000020000}"/>
    <cellStyle name="#_품셈_계통도  2 2" xfId="513" xr:uid="{00000000-0005-0000-0000-000001020000}"/>
    <cellStyle name="#_품셈_계통도  2 2 2" xfId="514" xr:uid="{00000000-0005-0000-0000-000002020000}"/>
    <cellStyle name="#_품셈_계통도  2 2 3" xfId="515" xr:uid="{00000000-0005-0000-0000-000003020000}"/>
    <cellStyle name="#_품셈_계통도  2 2 4" xfId="516" xr:uid="{00000000-0005-0000-0000-000004020000}"/>
    <cellStyle name="#_품셈_계통도  2 2 5" xfId="517" xr:uid="{00000000-0005-0000-0000-000005020000}"/>
    <cellStyle name="#_품셈_계통도  3" xfId="518" xr:uid="{00000000-0005-0000-0000-000006020000}"/>
    <cellStyle name="#_품셈_계통도  3 2" xfId="519" xr:uid="{00000000-0005-0000-0000-000007020000}"/>
    <cellStyle name="#_품셈_계통도  3 3" xfId="520" xr:uid="{00000000-0005-0000-0000-000008020000}"/>
    <cellStyle name="#_품셈_계통도  3 4" xfId="521" xr:uid="{00000000-0005-0000-0000-000009020000}"/>
    <cellStyle name="#_품셈_계통도  3 5" xfId="522" xr:uid="{00000000-0005-0000-0000-00000A020000}"/>
    <cellStyle name="$" xfId="523" xr:uid="{00000000-0005-0000-0000-00000B020000}"/>
    <cellStyle name="$ 2" xfId="524" xr:uid="{00000000-0005-0000-0000-00000C020000}"/>
    <cellStyle name="$ 3" xfId="525" xr:uid="{00000000-0005-0000-0000-00000D020000}"/>
    <cellStyle name="$_db진흥" xfId="526" xr:uid="{00000000-0005-0000-0000-00000E020000}"/>
    <cellStyle name="$_db진흥 2" xfId="527" xr:uid="{00000000-0005-0000-0000-00000F020000}"/>
    <cellStyle name="$_SE40" xfId="528" xr:uid="{00000000-0005-0000-0000-000010020000}"/>
    <cellStyle name="$_SE40 2" xfId="529" xr:uid="{00000000-0005-0000-0000-000011020000}"/>
    <cellStyle name="$_견적2" xfId="530" xr:uid="{00000000-0005-0000-0000-000012020000}"/>
    <cellStyle name="$_견적2 2" xfId="531" xr:uid="{00000000-0005-0000-0000-000013020000}"/>
    <cellStyle name="$_기아" xfId="532" xr:uid="{00000000-0005-0000-0000-000014020000}"/>
    <cellStyle name="$_기아 2" xfId="533" xr:uid="{00000000-0005-0000-0000-000015020000}"/>
    <cellStyle name="(##.00)" xfId="534" xr:uid="{00000000-0005-0000-0000-000016020000}"/>
    <cellStyle name="(##.00) 2" xfId="16004" xr:uid="{00000000-0005-0000-0000-000017020000}"/>
    <cellStyle name="(△콤마)" xfId="535" xr:uid="{00000000-0005-0000-0000-000018020000}"/>
    <cellStyle name="(△콤마) 2" xfId="536" xr:uid="{00000000-0005-0000-0000-000019020000}"/>
    <cellStyle name="(백분율)" xfId="537" xr:uid="{00000000-0005-0000-0000-00001A020000}"/>
    <cellStyle name="(백분율) 2" xfId="538" xr:uid="{00000000-0005-0000-0000-00001B020000}"/>
    <cellStyle name="(콤마)" xfId="539" xr:uid="{00000000-0005-0000-0000-00001C020000}"/>
    <cellStyle name="(콤마) 2" xfId="540" xr:uid="{00000000-0005-0000-0000-00001D020000}"/>
    <cellStyle name="(표준)" xfId="541" xr:uid="{00000000-0005-0000-0000-00001E020000}"/>
    <cellStyle name="(표준) 2" xfId="542" xr:uid="{00000000-0005-0000-0000-00001F020000}"/>
    <cellStyle name="(표준) 2 2" xfId="543" xr:uid="{00000000-0005-0000-0000-000020020000}"/>
    <cellStyle name="(표준) 2 3" xfId="544" xr:uid="{00000000-0005-0000-0000-000021020000}"/>
    <cellStyle name="(표준) 2 4" xfId="545" xr:uid="{00000000-0005-0000-0000-000022020000}"/>
    <cellStyle name="(표준) 2 5" xfId="546" xr:uid="{00000000-0005-0000-0000-000023020000}"/>
    <cellStyle name=";;;" xfId="547" xr:uid="{00000000-0005-0000-0000-000024020000}"/>
    <cellStyle name="?? [0.00]_PRODUCT DETAIL Q1" xfId="548" xr:uid="{00000000-0005-0000-0000-000025020000}"/>
    <cellStyle name="?? [0]_????? " xfId="549" xr:uid="{00000000-0005-0000-0000-000026020000}"/>
    <cellStyle name="??_x000c_둄_x001b_ |?_x0001_?_x0003__x0014__x0007__x0001__x0001_" xfId="550" xr:uid="{00000000-0005-0000-0000-000027020000}"/>
    <cellStyle name="??_x000c_둄_x001b__x000d_|?_x0001_?_x0003__x0014__x0007__x0001__x0001_" xfId="551" xr:uid="{00000000-0005-0000-0000-000028020000}"/>
    <cellStyle name="??&amp;5_x0007_?._x0007_9_x0008_??_x0007__x0001__x0001_" xfId="552" xr:uid="{00000000-0005-0000-0000-000029020000}"/>
    <cellStyle name="??&amp;5_x0007_?._x0007_9_x0008_??_x0007__x0001__x0001_ 2" xfId="553" xr:uid="{00000000-0005-0000-0000-00002A020000}"/>
    <cellStyle name="??&amp;6_x0007_?/_x0007_9_x0008_??_x0007__x0001__x0001_" xfId="554" xr:uid="{00000000-0005-0000-0000-00002B020000}"/>
    <cellStyle name="??&amp;6_x0007_?/_x0007_9_x0008_??_x0007__x0001__x0001_ 2" xfId="555" xr:uid="{00000000-0005-0000-0000-00002C020000}"/>
    <cellStyle name="??&amp;O?&amp;H?_x0008__x000f__x0007_?_x0007__x0001__x0001_" xfId="556" xr:uid="{00000000-0005-0000-0000-00002D020000}"/>
    <cellStyle name="??&amp;O?&amp;H?_x0008__x000f__x0007_?_x0007__x0001__x0001_ 2" xfId="557" xr:uid="{00000000-0005-0000-0000-00002E020000}"/>
    <cellStyle name="??&amp;O?&amp;H?_x0008_??_x0007__x0001__x0001_" xfId="558" xr:uid="{00000000-0005-0000-0000-00002F020000}"/>
    <cellStyle name="??&amp;O?&amp;H?_x0008_??_x0007__x0001__x0001_ 2" xfId="559" xr:uid="{00000000-0005-0000-0000-000030020000}"/>
    <cellStyle name="??&amp;O?&amp;H?_x0008_??_x0007__x0001__x0001_ 2 2" xfId="560" xr:uid="{00000000-0005-0000-0000-000031020000}"/>
    <cellStyle name="??&amp;O?&amp;H?_x0008_??_x0007__x0001__x0001_ 2 2 2" xfId="561" xr:uid="{00000000-0005-0000-0000-000032020000}"/>
    <cellStyle name="??&amp;O?&amp;H?_x0008_??_x0007__x0001__x0001_ 2 3" xfId="562" xr:uid="{00000000-0005-0000-0000-000033020000}"/>
    <cellStyle name="??&amp;O?&amp;H?_x0008_??_x0007__x0001__x0001_ 3" xfId="563" xr:uid="{00000000-0005-0000-0000-000034020000}"/>
    <cellStyle name="??&amp;O?&amp;H?_x0008_??_x0007__x0001__x0001_ 3 2" xfId="564" xr:uid="{00000000-0005-0000-0000-000035020000}"/>
    <cellStyle name="??&amp;O?&amp;H?_x0008_??_x0007__x0001__x0001_ 4" xfId="565" xr:uid="{00000000-0005-0000-0000-000036020000}"/>
    <cellStyle name="??&amp;O?&amp;H?_x0008_??_x0007__x0001__x0001_ 4 2" xfId="566" xr:uid="{00000000-0005-0000-0000-000037020000}"/>
    <cellStyle name="??&amp;O?&amp;H?_x0008_??_x0007__x0001__x0001_ 5" xfId="567" xr:uid="{00000000-0005-0000-0000-000038020000}"/>
    <cellStyle name="??&amp;멅?둃9_x0008_??_x0007__x0001__x0001_" xfId="568" xr:uid="{00000000-0005-0000-0000-000039020000}"/>
    <cellStyle name="??&amp;멅?둃9_x0008_??_x0007__x0001__x0001_ 2" xfId="569" xr:uid="{00000000-0005-0000-0000-00003A020000}"/>
    <cellStyle name="??&amp;쏗?뷐9_x0008__x0011__x0007_?_x0007__x0001__x0001_" xfId="570" xr:uid="{00000000-0005-0000-0000-00003B020000}"/>
    <cellStyle name="??&amp;쏗?뷐9_x0008__x0011__x0007_?_x0007__x0001__x0001_ 2" xfId="571" xr:uid="{00000000-0005-0000-0000-00003C020000}"/>
    <cellStyle name="???­ [0]_¸???" xfId="572" xr:uid="{00000000-0005-0000-0000-00003D020000}"/>
    <cellStyle name="????Æ?¸???" xfId="573" xr:uid="{00000000-0005-0000-0000-00003E020000}"/>
    <cellStyle name="???­_¸???" xfId="574" xr:uid="{00000000-0005-0000-0000-00003F020000}"/>
    <cellStyle name="???Ø_(?¤º¸º?¹?)¿?º°??¿ø°??¹" xfId="575" xr:uid="{00000000-0005-0000-0000-000040020000}"/>
    <cellStyle name="??_?.????" xfId="576" xr:uid="{00000000-0005-0000-0000-000041020000}"/>
    <cellStyle name="??¿¡ ¿?´? ????Æ?¸???" xfId="577" xr:uid="{00000000-0005-0000-0000-000042020000}"/>
    <cellStyle name="?Þ¸¶ [0]_¸???" xfId="578" xr:uid="{00000000-0005-0000-0000-000043020000}"/>
    <cellStyle name="?Þ¸¶_¸???" xfId="579" xr:uid="{00000000-0005-0000-0000-000044020000}"/>
    <cellStyle name="?W?_laroux" xfId="580" xr:uid="{00000000-0005-0000-0000-000045020000}"/>
    <cellStyle name="?曹%U?&amp;H?_x0008_?s _x0007__x0001__x0001_" xfId="581" xr:uid="{00000000-0005-0000-0000-000046020000}"/>
    <cellStyle name="?曹%U?&amp;H?_x0008_?s_x000a__x0007__x0001__x0001_" xfId="582" xr:uid="{00000000-0005-0000-0000-000047020000}"/>
    <cellStyle name="?珠??? " xfId="583" xr:uid="{00000000-0005-0000-0000-000048020000}"/>
    <cellStyle name="_(01-14)광양항인건비" xfId="16006" xr:uid="{00000000-0005-0000-0000-000049020000}"/>
    <cellStyle name="_(060116)음향보정장치공사 내역서" xfId="584" xr:uid="{00000000-0005-0000-0000-00004A020000}"/>
    <cellStyle name="_(060116)음향보정장치공사 내역서 2" xfId="585" xr:uid="{00000000-0005-0000-0000-00004B020000}"/>
    <cellStyle name="_(060510)안동문화회관-av현상설계" xfId="586" xr:uid="{00000000-0005-0000-0000-00004C020000}"/>
    <cellStyle name="_(060510)안동문화회관-av현상설계 2" xfId="587" xr:uid="{00000000-0005-0000-0000-00004D020000}"/>
    <cellStyle name="_▷기본자료기록" xfId="588" xr:uid="{00000000-0005-0000-0000-00004E020000}"/>
    <cellStyle name="_▷기본자료기록 2" xfId="589" xr:uid="{00000000-0005-0000-0000-00004F020000}"/>
    <cellStyle name="_▷기본자료들" xfId="590" xr:uid="{00000000-0005-0000-0000-000050020000}"/>
    <cellStyle name="_▷기본자료들 2" xfId="591" xr:uid="{00000000-0005-0000-0000-000051020000}"/>
    <cellStyle name="_00 단가산출서 9호선,공항,공용" xfId="16007" xr:uid="{00000000-0005-0000-0000-000052020000}"/>
    <cellStyle name="_01" xfId="16008" xr:uid="{00000000-0005-0000-0000-000053020000}"/>
    <cellStyle name="_01~02 1-1A,1B 구간 공사용 임시전력공사 내역서" xfId="16009" xr:uid="{00000000-0005-0000-0000-000054020000}"/>
    <cellStyle name="_0106-06-007 금속 및 수장공사 단가견적- 대림" xfId="16010" xr:uid="{00000000-0005-0000-0000-000055020000}"/>
    <cellStyle name="_01년하반기계획" xfId="16011" xr:uid="{00000000-0005-0000-0000-000056020000}"/>
    <cellStyle name="_02.LGT-견적(LAN_양근창D)_061012T" xfId="592" xr:uid="{00000000-0005-0000-0000-000057020000}"/>
    <cellStyle name="_02.LGT-견적(LAN_양근창D)_061012T 2" xfId="593" xr:uid="{00000000-0005-0000-0000-000058020000}"/>
    <cellStyle name="_0301무대음향내역(최종)1" xfId="594" xr:uid="{00000000-0005-0000-0000-000059020000}"/>
    <cellStyle name="_0301무대음향내역(최종)1 2" xfId="595" xr:uid="{00000000-0005-0000-0000-00005A020000}"/>
    <cellStyle name="_05 산출근거(방송)" xfId="596" xr:uid="{00000000-0005-0000-0000-00005B020000}"/>
    <cellStyle name="_05.4.11-2_농심CAMPUS 전력 및 조명제어공사" xfId="597" xr:uid="{00000000-0005-0000-0000-00005C020000}"/>
    <cellStyle name="_05.4.11-2_농심CAMPUS 전력 및 조명제어공사 2" xfId="598" xr:uid="{00000000-0005-0000-0000-00005D020000}"/>
    <cellStyle name="_050306-부경대학교공조설비일위대가" xfId="599" xr:uid="{00000000-0005-0000-0000-00005E020000}"/>
    <cellStyle name="_050306-부경대학교공조설비일위대가 2" xfId="600" xr:uid="{00000000-0005-0000-0000-00005F020000}"/>
    <cellStyle name="_050728 IBM Lounge Renovation Work" xfId="16012" xr:uid="{00000000-0005-0000-0000-000060020000}"/>
    <cellStyle name="_050805 스파피스-입찰내역서" xfId="16013" xr:uid="{00000000-0005-0000-0000-000061020000}"/>
    <cellStyle name="_06.내역서(경관설비공사)-설계비 변경(9월14일)" xfId="16014" xr:uid="{00000000-0005-0000-0000-000062020000}"/>
    <cellStyle name="_0601-021-1 용인여성회관 음향장비구입" xfId="601" xr:uid="{00000000-0005-0000-0000-000063020000}"/>
    <cellStyle name="_0601-021-1 용인여성회관 음향장비구입 2" xfId="602" xr:uid="{00000000-0005-0000-0000-000064020000}"/>
    <cellStyle name="_06월소장단회의" xfId="16015" xr:uid="{00000000-0005-0000-0000-000065020000}"/>
    <cellStyle name="_1" xfId="603" xr:uid="{00000000-0005-0000-0000-000066020000}"/>
    <cellStyle name="_1 2" xfId="604" xr:uid="{00000000-0005-0000-0000-000067020000}"/>
    <cellStyle name="_1. 총괄(제조+설치)" xfId="16016" xr:uid="{00000000-0005-0000-0000-000068020000}"/>
    <cellStyle name="_1+2.무인발매기(제조+구매)-2" xfId="16017" xr:uid="{00000000-0005-0000-0000-000069020000}"/>
    <cellStyle name="_1021_IPT_S8700_ LG가산_to ibs" xfId="605" xr:uid="{00000000-0005-0000-0000-00006A020000}"/>
    <cellStyle name="_1021_IPT_S8700_ LG가산_to ibs 2" xfId="606" xr:uid="{00000000-0005-0000-0000-00006B020000}"/>
    <cellStyle name="_11.통합보안관리서버" xfId="16018" xr:uid="{00000000-0005-0000-0000-00006C020000}"/>
    <cellStyle name="_11111" xfId="607" xr:uid="{00000000-0005-0000-0000-00006D020000}"/>
    <cellStyle name="_11111 2" xfId="608" xr:uid="{00000000-0005-0000-0000-00006E020000}"/>
    <cellStyle name="_1차_착수서류-내역서" xfId="16019" xr:uid="{00000000-0005-0000-0000-00006F020000}"/>
    <cellStyle name="_1차변경내역(전기)최종계약" xfId="16020" xr:uid="{00000000-0005-0000-0000-000070020000}"/>
    <cellStyle name="_2" xfId="609" xr:uid="{00000000-0005-0000-0000-000071020000}"/>
    <cellStyle name="_2 2" xfId="610" xr:uid="{00000000-0005-0000-0000-000072020000}"/>
    <cellStyle name="_2. 모형제조" xfId="16021" xr:uid="{00000000-0005-0000-0000-000073020000}"/>
    <cellStyle name="_2000-10회의" xfId="16022" xr:uid="{00000000-0005-0000-0000-000074020000}"/>
    <cellStyle name="_2001-038(월마트부천)" xfId="611" xr:uid="{00000000-0005-0000-0000-000075020000}"/>
    <cellStyle name="_2001-038(월마트부천) 2" xfId="612" xr:uid="{00000000-0005-0000-0000-000076020000}"/>
    <cellStyle name="_2001년분 실행" xfId="16023" xr:uid="{00000000-0005-0000-0000-000077020000}"/>
    <cellStyle name="_2001년스케쥴" xfId="16024" xr:uid="{00000000-0005-0000-0000-000078020000}"/>
    <cellStyle name="_2001년업무(재조정)" xfId="16025" xr:uid="{00000000-0005-0000-0000-000079020000}"/>
    <cellStyle name="_2002-홈플러스목천점물류센타(동부확정)" xfId="613" xr:uid="{00000000-0005-0000-0000-00007A020000}"/>
    <cellStyle name="_2002-홈플러스목천점물류센타(동부확정) 2" xfId="614" xr:uid="{00000000-0005-0000-0000-00007B020000}"/>
    <cellStyle name="_20060627-3. 계약내역서(GS)" xfId="615" xr:uid="{00000000-0005-0000-0000-00007C020000}"/>
    <cellStyle name="_20060627-3. 계약내역서(GS) 2" xfId="616" xr:uid="{00000000-0005-0000-0000-00007D020000}"/>
    <cellStyle name="_210323-1g" xfId="617" xr:uid="{00000000-0005-0000-0000-00007E020000}"/>
    <cellStyle name="_210323-1g 2" xfId="618" xr:uid="{00000000-0005-0000-0000-00007F020000}"/>
    <cellStyle name="_210323g" xfId="619" xr:uid="{00000000-0005-0000-0000-000080020000}"/>
    <cellStyle name="_210323g 2" xfId="620" xr:uid="{00000000-0005-0000-0000-000081020000}"/>
    <cellStyle name="_231970g" xfId="621" xr:uid="{00000000-0005-0000-0000-000082020000}"/>
    <cellStyle name="_231970g 2" xfId="622" xr:uid="{00000000-0005-0000-0000-000083020000}"/>
    <cellStyle name="_240040G" xfId="623" xr:uid="{00000000-0005-0000-0000-000084020000}"/>
    <cellStyle name="_240040G 2" xfId="624" xr:uid="{00000000-0005-0000-0000-000085020000}"/>
    <cellStyle name="_2차변경내역(전기)작업" xfId="16026" xr:uid="{00000000-0005-0000-0000-000086020000}"/>
    <cellStyle name="_3. 영상SW(용역)" xfId="16027" xr:uid="{00000000-0005-0000-0000-000087020000}"/>
    <cellStyle name="_3_DATA 통합운영 시스템 내역서_421" xfId="625" xr:uid="{00000000-0005-0000-0000-000088020000}"/>
    <cellStyle name="_3_DATA 통합운영 시스템 내역서_421 2" xfId="626" xr:uid="{00000000-0005-0000-0000-000089020000}"/>
    <cellStyle name="_3_DATA 통합운영 시스템 내역서_421_계약내역-관급-총괄" xfId="627" xr:uid="{00000000-0005-0000-0000-00008A020000}"/>
    <cellStyle name="_3_DATA 통합운영 시스템 내역서_421_계약내역-관급-총괄 2" xfId="628" xr:uid="{00000000-0005-0000-0000-00008B020000}"/>
    <cellStyle name="_3_자양취수장 내역서3" xfId="629" xr:uid="{00000000-0005-0000-0000-00008C020000}"/>
    <cellStyle name="_3_자양취수장 내역서3 2" xfId="630" xr:uid="{00000000-0005-0000-0000-00008D020000}"/>
    <cellStyle name="_3_자양취수장 내역서3_계약내역-관급-총괄" xfId="631" xr:uid="{00000000-0005-0000-0000-00008E020000}"/>
    <cellStyle name="_3_자양취수장 내역서3_계약내역-관급-총괄 2" xfId="632" xr:uid="{00000000-0005-0000-0000-00008F020000}"/>
    <cellStyle name="_30820ICG" xfId="633" xr:uid="{00000000-0005-0000-0000-000090020000}"/>
    <cellStyle name="_30820ICG 2" xfId="634" xr:uid="{00000000-0005-0000-0000-000091020000}"/>
    <cellStyle name="_4메인압력설계" xfId="635" xr:uid="{00000000-0005-0000-0000-000092020000}"/>
    <cellStyle name="_4메인압력설계 2" xfId="636" xr:uid="{00000000-0005-0000-0000-000093020000}"/>
    <cellStyle name="_5T감시제어설계" xfId="637" xr:uid="{00000000-0005-0000-0000-000094020000}"/>
    <cellStyle name="_5T감시제어설계 2" xfId="638" xr:uid="{00000000-0005-0000-0000-000095020000}"/>
    <cellStyle name="_7월예정공정표" xfId="16028" xr:uid="{00000000-0005-0000-0000-000096020000}"/>
    <cellStyle name="_8월공무정산(서동조정)" xfId="16029" xr:uid="{00000000-0005-0000-0000-000097020000}"/>
    <cellStyle name="_8층 사장실" xfId="639" xr:uid="{00000000-0005-0000-0000-000098020000}"/>
    <cellStyle name="_8층 사장실 2" xfId="640" xr:uid="{00000000-0005-0000-0000-000099020000}"/>
    <cellStyle name="_99광통신간석외1개소" xfId="641" xr:uid="{00000000-0005-0000-0000-00009A020000}"/>
    <cellStyle name="_99광통신간석외1개소 2" xfId="642" xr:uid="{00000000-0005-0000-0000-00009B020000}"/>
    <cellStyle name="_99광통신간석외1개소_1" xfId="643" xr:uid="{00000000-0005-0000-0000-00009C020000}"/>
    <cellStyle name="_99광통신간석외1개소_1 2" xfId="644" xr:uid="{00000000-0005-0000-0000-00009D020000}"/>
    <cellStyle name="_99광통신간석외1개소_견적" xfId="645" xr:uid="{00000000-0005-0000-0000-00009E020000}"/>
    <cellStyle name="_99광통신간석외1개소_견적 2" xfId="646" xr:uid="{00000000-0005-0000-0000-00009F020000}"/>
    <cellStyle name="_99광통신간석외1개소_통합국사트레이" xfId="647" xr:uid="{00000000-0005-0000-0000-0000A0020000}"/>
    <cellStyle name="_99광통신간석외1개소_통합국사트레이 2" xfId="648" xr:uid="{00000000-0005-0000-0000-0000A1020000}"/>
    <cellStyle name="_99광통신간석외1개소_한미우석" xfId="649" xr:uid="{00000000-0005-0000-0000-0000A2020000}"/>
    <cellStyle name="_99광통신간석외1개소_한미우석 2" xfId="650" xr:uid="{00000000-0005-0000-0000-0000A3020000}"/>
    <cellStyle name="_99광통신간석외1개소_한미우석_견적" xfId="651" xr:uid="{00000000-0005-0000-0000-0000A4020000}"/>
    <cellStyle name="_99광통신간석외1개소_한미우석_견적 2" xfId="652" xr:uid="{00000000-0005-0000-0000-0000A5020000}"/>
    <cellStyle name="_99광통신간석외1개소_한미우석_계양등7개소" xfId="653" xr:uid="{00000000-0005-0000-0000-0000A6020000}"/>
    <cellStyle name="_99광통신간석외1개소_한미우석_계양등7개소 2" xfId="654" xr:uid="{00000000-0005-0000-0000-0000A7020000}"/>
    <cellStyle name="_99광통신간석외1개소_한미우석_통합국사전원선" xfId="655" xr:uid="{00000000-0005-0000-0000-0000A8020000}"/>
    <cellStyle name="_99광통신간석외1개소_한미우석_통합국사전원선 2" xfId="656" xr:uid="{00000000-0005-0000-0000-0000A9020000}"/>
    <cellStyle name="_99광통신간석외1개소_한미우석_통합국사트레이" xfId="657" xr:uid="{00000000-0005-0000-0000-0000AA020000}"/>
    <cellStyle name="_99광통신간석외1개소_한미우석_통합국사트레이 2" xfId="658" xr:uid="{00000000-0005-0000-0000-0000AB020000}"/>
    <cellStyle name="_99광통신간석외1개소_한미우석_한미은행1" xfId="659" xr:uid="{00000000-0005-0000-0000-0000AC020000}"/>
    <cellStyle name="_99광통신간석외1개소_한미우석_한미은행1 2" xfId="660" xr:uid="{00000000-0005-0000-0000-0000AD020000}"/>
    <cellStyle name="_99광통신간석외1개소_한미우석_한미은행1_통합국사트레이" xfId="661" xr:uid="{00000000-0005-0000-0000-0000AE020000}"/>
    <cellStyle name="_99광통신간석외1개소_한미우석_한미은행1_통합국사트레이 2" xfId="662" xr:uid="{00000000-0005-0000-0000-0000AF020000}"/>
    <cellStyle name="_99광통신간석외1개소_한미우석_한미은행2" xfId="663" xr:uid="{00000000-0005-0000-0000-0000B0020000}"/>
    <cellStyle name="_99광통신간석외1개소_한미우석_한미은행2 2" xfId="664" xr:uid="{00000000-0005-0000-0000-0000B1020000}"/>
    <cellStyle name="_99광통신간석외1개소_한미우석_한미은행2_견적" xfId="665" xr:uid="{00000000-0005-0000-0000-0000B2020000}"/>
    <cellStyle name="_99광통신간석외1개소_한미우석_한미은행2_견적 2" xfId="666" xr:uid="{00000000-0005-0000-0000-0000B3020000}"/>
    <cellStyle name="_99광통신간석외1개소_한미우석_한미은행2_통합국사트레이" xfId="667" xr:uid="{00000000-0005-0000-0000-0000B4020000}"/>
    <cellStyle name="_99광통신간석외1개소_한미우석_한미은행2_통합국사트레이 2" xfId="668" xr:uid="{00000000-0005-0000-0000-0000B5020000}"/>
    <cellStyle name="_99광통신간석외1개소_한미우석_한미은행본사" xfId="669" xr:uid="{00000000-0005-0000-0000-0000B6020000}"/>
    <cellStyle name="_99광통신간석외1개소_한미우석_한미은행본사 2" xfId="670" xr:uid="{00000000-0005-0000-0000-0000B7020000}"/>
    <cellStyle name="_99광통신간석외1개소_한미우석_한미은행본사_견적" xfId="671" xr:uid="{00000000-0005-0000-0000-0000B8020000}"/>
    <cellStyle name="_99광통신간석외1개소_한미우석_한미은행본사_견적 2" xfId="672" xr:uid="{00000000-0005-0000-0000-0000B9020000}"/>
    <cellStyle name="_99광통신간석외1개소_한미우석_한미은행본사_통합국사트레이" xfId="673" xr:uid="{00000000-0005-0000-0000-0000BA020000}"/>
    <cellStyle name="_99광통신간석외1개소_한미우석_한미은행본사_통합국사트레이 2" xfId="674" xr:uid="{00000000-0005-0000-0000-0000BB020000}"/>
    <cellStyle name="_99광통신간석외1개소_한미우석_한미은행본사1" xfId="675" xr:uid="{00000000-0005-0000-0000-0000BC020000}"/>
    <cellStyle name="_99광통신간석외1개소_한미우석_한미은행본사1 2" xfId="676" xr:uid="{00000000-0005-0000-0000-0000BD020000}"/>
    <cellStyle name="_99광통신간석외1개소_한미우석_한미은행본사1_견적" xfId="677" xr:uid="{00000000-0005-0000-0000-0000BE020000}"/>
    <cellStyle name="_99광통신간석외1개소_한미우석_한미은행본사1_견적 2" xfId="678" xr:uid="{00000000-0005-0000-0000-0000BF020000}"/>
    <cellStyle name="_99광통신간석외1개소_한미우석_한미은행본사1_통합국사트레이" xfId="679" xr:uid="{00000000-0005-0000-0000-0000C0020000}"/>
    <cellStyle name="_99광통신간석외1개소_한미우석_한미은행본사1_통합국사트레이 2" xfId="680" xr:uid="{00000000-0005-0000-0000-0000C1020000}"/>
    <cellStyle name="_99광통신간석외1개소_한미은행본사" xfId="681" xr:uid="{00000000-0005-0000-0000-0000C2020000}"/>
    <cellStyle name="_99광통신간석외1개소_한미은행본사 2" xfId="682" xr:uid="{00000000-0005-0000-0000-0000C3020000}"/>
    <cellStyle name="_99광통신간석외1개소_한미은행본사_견적" xfId="683" xr:uid="{00000000-0005-0000-0000-0000C4020000}"/>
    <cellStyle name="_99광통신간석외1개소_한미은행본사_견적 2" xfId="684" xr:uid="{00000000-0005-0000-0000-0000C5020000}"/>
    <cellStyle name="_99광통신간석외1개소_한미은행본사_계양등7개소" xfId="685" xr:uid="{00000000-0005-0000-0000-0000C6020000}"/>
    <cellStyle name="_99광통신간석외1개소_한미은행본사_계양등7개소 2" xfId="686" xr:uid="{00000000-0005-0000-0000-0000C7020000}"/>
    <cellStyle name="_99광통신간석외1개소_한미은행본사_통합국사전원선" xfId="687" xr:uid="{00000000-0005-0000-0000-0000C8020000}"/>
    <cellStyle name="_99광통신간석외1개소_한미은행본사_통합국사전원선 2" xfId="688" xr:uid="{00000000-0005-0000-0000-0000C9020000}"/>
    <cellStyle name="_99광통신간석외1개소_한미은행본사_통합국사트레이" xfId="689" xr:uid="{00000000-0005-0000-0000-0000CA020000}"/>
    <cellStyle name="_99광통신간석외1개소_한미은행본사_통합국사트레이 2" xfId="690" xr:uid="{00000000-0005-0000-0000-0000CB020000}"/>
    <cellStyle name="_99광통신간석외1개소_한미은행본사_한미은행1" xfId="691" xr:uid="{00000000-0005-0000-0000-0000CC020000}"/>
    <cellStyle name="_99광통신간석외1개소_한미은행본사_한미은행1 2" xfId="692" xr:uid="{00000000-0005-0000-0000-0000CD020000}"/>
    <cellStyle name="_99광통신간석외1개소_한미은행본사_한미은행1_통합국사트레이" xfId="693" xr:uid="{00000000-0005-0000-0000-0000CE020000}"/>
    <cellStyle name="_99광통신간석외1개소_한미은행본사_한미은행1_통합국사트레이 2" xfId="694" xr:uid="{00000000-0005-0000-0000-0000CF020000}"/>
    <cellStyle name="_99광통신간석외1개소_한미은행본사_한미은행2" xfId="695" xr:uid="{00000000-0005-0000-0000-0000D0020000}"/>
    <cellStyle name="_99광통신간석외1개소_한미은행본사_한미은행2 2" xfId="696" xr:uid="{00000000-0005-0000-0000-0000D1020000}"/>
    <cellStyle name="_99광통신간석외1개소_한미은행본사_한미은행2_견적" xfId="697" xr:uid="{00000000-0005-0000-0000-0000D2020000}"/>
    <cellStyle name="_99광통신간석외1개소_한미은행본사_한미은행2_견적 2" xfId="698" xr:uid="{00000000-0005-0000-0000-0000D3020000}"/>
    <cellStyle name="_99광통신간석외1개소_한미은행본사_한미은행2_통합국사트레이" xfId="699" xr:uid="{00000000-0005-0000-0000-0000D4020000}"/>
    <cellStyle name="_99광통신간석외1개소_한미은행본사_한미은행2_통합국사트레이 2" xfId="700" xr:uid="{00000000-0005-0000-0000-0000D5020000}"/>
    <cellStyle name="_99광통신간석외1개소_한미은행본사_한미은행본사" xfId="701" xr:uid="{00000000-0005-0000-0000-0000D6020000}"/>
    <cellStyle name="_99광통신간석외1개소_한미은행본사_한미은행본사 2" xfId="702" xr:uid="{00000000-0005-0000-0000-0000D7020000}"/>
    <cellStyle name="_99광통신간석외1개소_한미은행본사_한미은행본사_견적" xfId="703" xr:uid="{00000000-0005-0000-0000-0000D8020000}"/>
    <cellStyle name="_99광통신간석외1개소_한미은행본사_한미은행본사_견적 2" xfId="704" xr:uid="{00000000-0005-0000-0000-0000D9020000}"/>
    <cellStyle name="_99광통신간석외1개소_한미은행본사_한미은행본사_통합국사트레이" xfId="705" xr:uid="{00000000-0005-0000-0000-0000DA020000}"/>
    <cellStyle name="_99광통신간석외1개소_한미은행본사_한미은행본사_통합국사트레이 2" xfId="706" xr:uid="{00000000-0005-0000-0000-0000DB020000}"/>
    <cellStyle name="_99광통신간석외1개소_한미은행본사_한미은행본사1" xfId="707" xr:uid="{00000000-0005-0000-0000-0000DC020000}"/>
    <cellStyle name="_99광통신간석외1개소_한미은행본사_한미은행본사1 2" xfId="708" xr:uid="{00000000-0005-0000-0000-0000DD020000}"/>
    <cellStyle name="_99광통신간석외1개소_한미은행본사_한미은행본사1_견적" xfId="709" xr:uid="{00000000-0005-0000-0000-0000DE020000}"/>
    <cellStyle name="_99광통신간석외1개소_한미은행본사_한미은행본사1_견적 2" xfId="710" xr:uid="{00000000-0005-0000-0000-0000DF020000}"/>
    <cellStyle name="_99광통신간석외1개소_한미은행본사_한미은행본사1_통합국사트레이" xfId="711" xr:uid="{00000000-0005-0000-0000-0000E0020000}"/>
    <cellStyle name="_99광통신간석외1개소_한미은행본사_한미은행본사1_통합국사트레이 2" xfId="712" xr:uid="{00000000-0005-0000-0000-0000E1020000}"/>
    <cellStyle name="_99광통신간석외1개소_한미케이블" xfId="713" xr:uid="{00000000-0005-0000-0000-0000E2020000}"/>
    <cellStyle name="_99광통신간석외1개소_한미케이블 2" xfId="714" xr:uid="{00000000-0005-0000-0000-0000E3020000}"/>
    <cellStyle name="_99광통신간석외1개소_한미케이블_견적" xfId="715" xr:uid="{00000000-0005-0000-0000-0000E4020000}"/>
    <cellStyle name="_99광통신간석외1개소_한미케이블_견적 2" xfId="716" xr:uid="{00000000-0005-0000-0000-0000E5020000}"/>
    <cellStyle name="_99광통신간석외1개소_한미케이블_계양등7개소" xfId="717" xr:uid="{00000000-0005-0000-0000-0000E6020000}"/>
    <cellStyle name="_99광통신간석외1개소_한미케이블_계양등7개소 2" xfId="718" xr:uid="{00000000-0005-0000-0000-0000E7020000}"/>
    <cellStyle name="_99광통신간석외1개소_한미케이블_통합국사전원선" xfId="719" xr:uid="{00000000-0005-0000-0000-0000E8020000}"/>
    <cellStyle name="_99광통신간석외1개소_한미케이블_통합국사전원선 2" xfId="720" xr:uid="{00000000-0005-0000-0000-0000E9020000}"/>
    <cellStyle name="_99광통신간석외1개소_한미케이블_통합국사트레이" xfId="721" xr:uid="{00000000-0005-0000-0000-0000EA020000}"/>
    <cellStyle name="_99광통신간석외1개소_한미케이블_통합국사트레이 2" xfId="722" xr:uid="{00000000-0005-0000-0000-0000EB020000}"/>
    <cellStyle name="_99광통신간석외1개소_한미케이블_한미은행1" xfId="723" xr:uid="{00000000-0005-0000-0000-0000EC020000}"/>
    <cellStyle name="_99광통신간석외1개소_한미케이블_한미은행1 2" xfId="724" xr:uid="{00000000-0005-0000-0000-0000ED020000}"/>
    <cellStyle name="_99광통신간석외1개소_한미케이블_한미은행1_통합국사트레이" xfId="725" xr:uid="{00000000-0005-0000-0000-0000EE020000}"/>
    <cellStyle name="_99광통신간석외1개소_한미케이블_한미은행1_통합국사트레이 2" xfId="726" xr:uid="{00000000-0005-0000-0000-0000EF020000}"/>
    <cellStyle name="_99광통신간석외1개소_한미케이블_한미은행2" xfId="727" xr:uid="{00000000-0005-0000-0000-0000F0020000}"/>
    <cellStyle name="_99광통신간석외1개소_한미케이블_한미은행2 2" xfId="728" xr:uid="{00000000-0005-0000-0000-0000F1020000}"/>
    <cellStyle name="_99광통신간석외1개소_한미케이블_한미은행2_견적" xfId="729" xr:uid="{00000000-0005-0000-0000-0000F2020000}"/>
    <cellStyle name="_99광통신간석외1개소_한미케이블_한미은행2_견적 2" xfId="730" xr:uid="{00000000-0005-0000-0000-0000F3020000}"/>
    <cellStyle name="_99광통신간석외1개소_한미케이블_한미은행2_통합국사트레이" xfId="731" xr:uid="{00000000-0005-0000-0000-0000F4020000}"/>
    <cellStyle name="_99광통신간석외1개소_한미케이블_한미은행2_통합국사트레이 2" xfId="732" xr:uid="{00000000-0005-0000-0000-0000F5020000}"/>
    <cellStyle name="_99광통신간석외1개소_한미케이블_한미은행본사" xfId="733" xr:uid="{00000000-0005-0000-0000-0000F6020000}"/>
    <cellStyle name="_99광통신간석외1개소_한미케이블_한미은행본사 2" xfId="734" xr:uid="{00000000-0005-0000-0000-0000F7020000}"/>
    <cellStyle name="_99광통신간석외1개소_한미케이블_한미은행본사_견적" xfId="735" xr:uid="{00000000-0005-0000-0000-0000F8020000}"/>
    <cellStyle name="_99광통신간석외1개소_한미케이블_한미은행본사_견적 2" xfId="736" xr:uid="{00000000-0005-0000-0000-0000F9020000}"/>
    <cellStyle name="_99광통신간석외1개소_한미케이블_한미은행본사_통합국사트레이" xfId="737" xr:uid="{00000000-0005-0000-0000-0000FA020000}"/>
    <cellStyle name="_99광통신간석외1개소_한미케이블_한미은행본사_통합국사트레이 2" xfId="738" xr:uid="{00000000-0005-0000-0000-0000FB020000}"/>
    <cellStyle name="_99광통신간석외1개소_한미케이블_한미은행본사1" xfId="739" xr:uid="{00000000-0005-0000-0000-0000FC020000}"/>
    <cellStyle name="_99광통신간석외1개소_한미케이블_한미은행본사1 2" xfId="740" xr:uid="{00000000-0005-0000-0000-0000FD020000}"/>
    <cellStyle name="_99광통신간석외1개소_한미케이블_한미은행본사1_견적" xfId="741" xr:uid="{00000000-0005-0000-0000-0000FE020000}"/>
    <cellStyle name="_99광통신간석외1개소_한미케이블_한미은행본사1_견적 2" xfId="742" xr:uid="{00000000-0005-0000-0000-0000FF020000}"/>
    <cellStyle name="_99광통신간석외1개소_한미케이블_한미은행본사1_통합국사트레이" xfId="743" xr:uid="{00000000-0005-0000-0000-000000030000}"/>
    <cellStyle name="_99광통신간석외1개소_한미케이블_한미은행본사1_통합국사트레이 2" xfId="744" xr:uid="{00000000-0005-0000-0000-000001030000}"/>
    <cellStyle name="_99광통신네트워크 중구 연안지역 보강공사" xfId="745" xr:uid="{00000000-0005-0000-0000-000002030000}"/>
    <cellStyle name="_99광통신네트워크 중구 연안지역 보강공사 2" xfId="746" xr:uid="{00000000-0005-0000-0000-000003030000}"/>
    <cellStyle name="_99광통신네트워크 중구 연안지역 보강공사_1" xfId="747" xr:uid="{00000000-0005-0000-0000-000004030000}"/>
    <cellStyle name="_99광통신네트워크 중구 연안지역 보강공사_1 2" xfId="748" xr:uid="{00000000-0005-0000-0000-000005030000}"/>
    <cellStyle name="_99광통신네트워크 중구 연안지역 보강공사_견적" xfId="749" xr:uid="{00000000-0005-0000-0000-000006030000}"/>
    <cellStyle name="_99광통신네트워크 중구 연안지역 보강공사_견적 2" xfId="750" xr:uid="{00000000-0005-0000-0000-000007030000}"/>
    <cellStyle name="_99광통신네트워크 중구 연안지역 보강공사_통합국사트레이" xfId="751" xr:uid="{00000000-0005-0000-0000-000008030000}"/>
    <cellStyle name="_99광통신네트워크 중구 연안지역 보강공사_통합국사트레이 2" xfId="752" xr:uid="{00000000-0005-0000-0000-000009030000}"/>
    <cellStyle name="_99광통신네트워크 중구 연안지역 보강공사_한미우석" xfId="753" xr:uid="{00000000-0005-0000-0000-00000A030000}"/>
    <cellStyle name="_99광통신네트워크 중구 연안지역 보강공사_한미우석 2" xfId="754" xr:uid="{00000000-0005-0000-0000-00000B030000}"/>
    <cellStyle name="_99광통신네트워크 중구 연안지역 보강공사_한미우석_견적" xfId="755" xr:uid="{00000000-0005-0000-0000-00000C030000}"/>
    <cellStyle name="_99광통신네트워크 중구 연안지역 보강공사_한미우석_견적 2" xfId="756" xr:uid="{00000000-0005-0000-0000-00000D030000}"/>
    <cellStyle name="_99광통신네트워크 중구 연안지역 보강공사_한미우석_계양등7개소" xfId="757" xr:uid="{00000000-0005-0000-0000-00000E030000}"/>
    <cellStyle name="_99광통신네트워크 중구 연안지역 보강공사_한미우석_계양등7개소 2" xfId="758" xr:uid="{00000000-0005-0000-0000-00000F030000}"/>
    <cellStyle name="_99광통신네트워크 중구 연안지역 보강공사_한미우석_통합국사전원선" xfId="759" xr:uid="{00000000-0005-0000-0000-000010030000}"/>
    <cellStyle name="_99광통신네트워크 중구 연안지역 보강공사_한미우석_통합국사전원선 2" xfId="760" xr:uid="{00000000-0005-0000-0000-000011030000}"/>
    <cellStyle name="_99광통신네트워크 중구 연안지역 보강공사_한미우석_통합국사트레이" xfId="761" xr:uid="{00000000-0005-0000-0000-000012030000}"/>
    <cellStyle name="_99광통신네트워크 중구 연안지역 보강공사_한미우석_통합국사트레이 2" xfId="762" xr:uid="{00000000-0005-0000-0000-000013030000}"/>
    <cellStyle name="_99광통신네트워크 중구 연안지역 보강공사_한미우석_한미은행1" xfId="763" xr:uid="{00000000-0005-0000-0000-000014030000}"/>
    <cellStyle name="_99광통신네트워크 중구 연안지역 보강공사_한미우석_한미은행1 2" xfId="764" xr:uid="{00000000-0005-0000-0000-000015030000}"/>
    <cellStyle name="_99광통신네트워크 중구 연안지역 보강공사_한미우석_한미은행1_통합국사트레이" xfId="765" xr:uid="{00000000-0005-0000-0000-000016030000}"/>
    <cellStyle name="_99광통신네트워크 중구 연안지역 보강공사_한미우석_한미은행1_통합국사트레이 2" xfId="766" xr:uid="{00000000-0005-0000-0000-000017030000}"/>
    <cellStyle name="_99광통신네트워크 중구 연안지역 보강공사_한미우석_한미은행2" xfId="767" xr:uid="{00000000-0005-0000-0000-000018030000}"/>
    <cellStyle name="_99광통신네트워크 중구 연안지역 보강공사_한미우석_한미은행2 2" xfId="768" xr:uid="{00000000-0005-0000-0000-000019030000}"/>
    <cellStyle name="_99광통신네트워크 중구 연안지역 보강공사_한미우석_한미은행2_견적" xfId="769" xr:uid="{00000000-0005-0000-0000-00001A030000}"/>
    <cellStyle name="_99광통신네트워크 중구 연안지역 보강공사_한미우석_한미은행2_견적 2" xfId="770" xr:uid="{00000000-0005-0000-0000-00001B030000}"/>
    <cellStyle name="_99광통신네트워크 중구 연안지역 보강공사_한미우석_한미은행2_통합국사트레이" xfId="771" xr:uid="{00000000-0005-0000-0000-00001C030000}"/>
    <cellStyle name="_99광통신네트워크 중구 연안지역 보강공사_한미우석_한미은행2_통합국사트레이 2" xfId="772" xr:uid="{00000000-0005-0000-0000-00001D030000}"/>
    <cellStyle name="_99광통신네트워크 중구 연안지역 보강공사_한미우석_한미은행본사" xfId="773" xr:uid="{00000000-0005-0000-0000-00001E030000}"/>
    <cellStyle name="_99광통신네트워크 중구 연안지역 보강공사_한미우석_한미은행본사 2" xfId="774" xr:uid="{00000000-0005-0000-0000-00001F030000}"/>
    <cellStyle name="_99광통신네트워크 중구 연안지역 보강공사_한미우석_한미은행본사_견적" xfId="775" xr:uid="{00000000-0005-0000-0000-000020030000}"/>
    <cellStyle name="_99광통신네트워크 중구 연안지역 보강공사_한미우석_한미은행본사_견적 2" xfId="776" xr:uid="{00000000-0005-0000-0000-000021030000}"/>
    <cellStyle name="_99광통신네트워크 중구 연안지역 보강공사_한미우석_한미은행본사_통합국사트레이" xfId="777" xr:uid="{00000000-0005-0000-0000-000022030000}"/>
    <cellStyle name="_99광통신네트워크 중구 연안지역 보강공사_한미우석_한미은행본사_통합국사트레이 2" xfId="778" xr:uid="{00000000-0005-0000-0000-000023030000}"/>
    <cellStyle name="_99광통신네트워크 중구 연안지역 보강공사_한미우석_한미은행본사1" xfId="779" xr:uid="{00000000-0005-0000-0000-000024030000}"/>
    <cellStyle name="_99광통신네트워크 중구 연안지역 보강공사_한미우석_한미은행본사1 2" xfId="780" xr:uid="{00000000-0005-0000-0000-000025030000}"/>
    <cellStyle name="_99광통신네트워크 중구 연안지역 보강공사_한미우석_한미은행본사1_견적" xfId="781" xr:uid="{00000000-0005-0000-0000-000026030000}"/>
    <cellStyle name="_99광통신네트워크 중구 연안지역 보강공사_한미우석_한미은행본사1_견적 2" xfId="782" xr:uid="{00000000-0005-0000-0000-000027030000}"/>
    <cellStyle name="_99광통신네트워크 중구 연안지역 보강공사_한미우석_한미은행본사1_통합국사트레이" xfId="783" xr:uid="{00000000-0005-0000-0000-000028030000}"/>
    <cellStyle name="_99광통신네트워크 중구 연안지역 보강공사_한미우석_한미은행본사1_통합국사트레이 2" xfId="784" xr:uid="{00000000-0005-0000-0000-000029030000}"/>
    <cellStyle name="_99광통신네트워크 중구 연안지역 보강공사_한미은행본사" xfId="785" xr:uid="{00000000-0005-0000-0000-00002A030000}"/>
    <cellStyle name="_99광통신네트워크 중구 연안지역 보강공사_한미은행본사 2" xfId="786" xr:uid="{00000000-0005-0000-0000-00002B030000}"/>
    <cellStyle name="_99광통신네트워크 중구 연안지역 보강공사_한미은행본사_견적" xfId="787" xr:uid="{00000000-0005-0000-0000-00002C030000}"/>
    <cellStyle name="_99광통신네트워크 중구 연안지역 보강공사_한미은행본사_견적 2" xfId="788" xr:uid="{00000000-0005-0000-0000-00002D030000}"/>
    <cellStyle name="_99광통신네트워크 중구 연안지역 보강공사_한미은행본사_계양등7개소" xfId="789" xr:uid="{00000000-0005-0000-0000-00002E030000}"/>
    <cellStyle name="_99광통신네트워크 중구 연안지역 보강공사_한미은행본사_계양등7개소 2" xfId="790" xr:uid="{00000000-0005-0000-0000-00002F030000}"/>
    <cellStyle name="_99광통신네트워크 중구 연안지역 보강공사_한미은행본사_통합국사전원선" xfId="791" xr:uid="{00000000-0005-0000-0000-000030030000}"/>
    <cellStyle name="_99광통신네트워크 중구 연안지역 보강공사_한미은행본사_통합국사전원선 2" xfId="792" xr:uid="{00000000-0005-0000-0000-000031030000}"/>
    <cellStyle name="_99광통신네트워크 중구 연안지역 보강공사_한미은행본사_통합국사트레이" xfId="793" xr:uid="{00000000-0005-0000-0000-000032030000}"/>
    <cellStyle name="_99광통신네트워크 중구 연안지역 보강공사_한미은행본사_통합국사트레이 2" xfId="794" xr:uid="{00000000-0005-0000-0000-000033030000}"/>
    <cellStyle name="_99광통신네트워크 중구 연안지역 보강공사_한미은행본사_한미은행1" xfId="795" xr:uid="{00000000-0005-0000-0000-000034030000}"/>
    <cellStyle name="_99광통신네트워크 중구 연안지역 보강공사_한미은행본사_한미은행1 2" xfId="796" xr:uid="{00000000-0005-0000-0000-000035030000}"/>
    <cellStyle name="_99광통신네트워크 중구 연안지역 보강공사_한미은행본사_한미은행1_통합국사트레이" xfId="797" xr:uid="{00000000-0005-0000-0000-000036030000}"/>
    <cellStyle name="_99광통신네트워크 중구 연안지역 보강공사_한미은행본사_한미은행1_통합국사트레이 2" xfId="798" xr:uid="{00000000-0005-0000-0000-000037030000}"/>
    <cellStyle name="_99광통신네트워크 중구 연안지역 보강공사_한미은행본사_한미은행2" xfId="799" xr:uid="{00000000-0005-0000-0000-000038030000}"/>
    <cellStyle name="_99광통신네트워크 중구 연안지역 보강공사_한미은행본사_한미은행2 2" xfId="800" xr:uid="{00000000-0005-0000-0000-000039030000}"/>
    <cellStyle name="_99광통신네트워크 중구 연안지역 보강공사_한미은행본사_한미은행2_견적" xfId="801" xr:uid="{00000000-0005-0000-0000-00003A030000}"/>
    <cellStyle name="_99광통신네트워크 중구 연안지역 보강공사_한미은행본사_한미은행2_견적 2" xfId="802" xr:uid="{00000000-0005-0000-0000-00003B030000}"/>
    <cellStyle name="_99광통신네트워크 중구 연안지역 보강공사_한미은행본사_한미은행2_통합국사트레이" xfId="803" xr:uid="{00000000-0005-0000-0000-00003C030000}"/>
    <cellStyle name="_99광통신네트워크 중구 연안지역 보강공사_한미은행본사_한미은행2_통합국사트레이 2" xfId="804" xr:uid="{00000000-0005-0000-0000-00003D030000}"/>
    <cellStyle name="_99광통신네트워크 중구 연안지역 보강공사_한미은행본사_한미은행본사" xfId="805" xr:uid="{00000000-0005-0000-0000-00003E030000}"/>
    <cellStyle name="_99광통신네트워크 중구 연안지역 보강공사_한미은행본사_한미은행본사 2" xfId="806" xr:uid="{00000000-0005-0000-0000-00003F030000}"/>
    <cellStyle name="_99광통신네트워크 중구 연안지역 보강공사_한미은행본사_한미은행본사_견적" xfId="807" xr:uid="{00000000-0005-0000-0000-000040030000}"/>
    <cellStyle name="_99광통신네트워크 중구 연안지역 보강공사_한미은행본사_한미은행본사_견적 2" xfId="808" xr:uid="{00000000-0005-0000-0000-000041030000}"/>
    <cellStyle name="_99광통신네트워크 중구 연안지역 보강공사_한미은행본사_한미은행본사_통합국사트레이" xfId="809" xr:uid="{00000000-0005-0000-0000-000042030000}"/>
    <cellStyle name="_99광통신네트워크 중구 연안지역 보강공사_한미은행본사_한미은행본사_통합국사트레이 2" xfId="810" xr:uid="{00000000-0005-0000-0000-000043030000}"/>
    <cellStyle name="_99광통신네트워크 중구 연안지역 보강공사_한미은행본사_한미은행본사1" xfId="811" xr:uid="{00000000-0005-0000-0000-000044030000}"/>
    <cellStyle name="_99광통신네트워크 중구 연안지역 보강공사_한미은행본사_한미은행본사1 2" xfId="812" xr:uid="{00000000-0005-0000-0000-000045030000}"/>
    <cellStyle name="_99광통신네트워크 중구 연안지역 보강공사_한미은행본사_한미은행본사1_견적" xfId="813" xr:uid="{00000000-0005-0000-0000-000046030000}"/>
    <cellStyle name="_99광통신네트워크 중구 연안지역 보강공사_한미은행본사_한미은행본사1_견적 2" xfId="814" xr:uid="{00000000-0005-0000-0000-000047030000}"/>
    <cellStyle name="_99광통신네트워크 중구 연안지역 보강공사_한미은행본사_한미은행본사1_통합국사트레이" xfId="815" xr:uid="{00000000-0005-0000-0000-000048030000}"/>
    <cellStyle name="_99광통신네트워크 중구 연안지역 보강공사_한미은행본사_한미은행본사1_통합국사트레이 2" xfId="816" xr:uid="{00000000-0005-0000-0000-000049030000}"/>
    <cellStyle name="_99광통신네트워크 중구 연안지역 보강공사_한미케이블" xfId="817" xr:uid="{00000000-0005-0000-0000-00004A030000}"/>
    <cellStyle name="_99광통신네트워크 중구 연안지역 보강공사_한미케이블 2" xfId="818" xr:uid="{00000000-0005-0000-0000-00004B030000}"/>
    <cellStyle name="_99광통신네트워크 중구 연안지역 보강공사_한미케이블_견적" xfId="819" xr:uid="{00000000-0005-0000-0000-00004C030000}"/>
    <cellStyle name="_99광통신네트워크 중구 연안지역 보강공사_한미케이블_견적 2" xfId="820" xr:uid="{00000000-0005-0000-0000-00004D030000}"/>
    <cellStyle name="_99광통신네트워크 중구 연안지역 보강공사_한미케이블_계양등7개소" xfId="821" xr:uid="{00000000-0005-0000-0000-00004E030000}"/>
    <cellStyle name="_99광통신네트워크 중구 연안지역 보강공사_한미케이블_계양등7개소 2" xfId="822" xr:uid="{00000000-0005-0000-0000-00004F030000}"/>
    <cellStyle name="_99광통신네트워크 중구 연안지역 보강공사_한미케이블_통합국사전원선" xfId="823" xr:uid="{00000000-0005-0000-0000-000050030000}"/>
    <cellStyle name="_99광통신네트워크 중구 연안지역 보강공사_한미케이블_통합국사전원선 2" xfId="824" xr:uid="{00000000-0005-0000-0000-000051030000}"/>
    <cellStyle name="_99광통신네트워크 중구 연안지역 보강공사_한미케이블_통합국사트레이" xfId="825" xr:uid="{00000000-0005-0000-0000-000052030000}"/>
    <cellStyle name="_99광통신네트워크 중구 연안지역 보강공사_한미케이블_통합국사트레이 2" xfId="826" xr:uid="{00000000-0005-0000-0000-000053030000}"/>
    <cellStyle name="_99광통신네트워크 중구 연안지역 보강공사_한미케이블_한미은행1" xfId="827" xr:uid="{00000000-0005-0000-0000-000054030000}"/>
    <cellStyle name="_99광통신네트워크 중구 연안지역 보강공사_한미케이블_한미은행1 2" xfId="828" xr:uid="{00000000-0005-0000-0000-000055030000}"/>
    <cellStyle name="_99광통신네트워크 중구 연안지역 보강공사_한미케이블_한미은행1_통합국사트레이" xfId="829" xr:uid="{00000000-0005-0000-0000-000056030000}"/>
    <cellStyle name="_99광통신네트워크 중구 연안지역 보강공사_한미케이블_한미은행1_통합국사트레이 2" xfId="830" xr:uid="{00000000-0005-0000-0000-000057030000}"/>
    <cellStyle name="_99광통신네트워크 중구 연안지역 보강공사_한미케이블_한미은행2" xfId="831" xr:uid="{00000000-0005-0000-0000-000058030000}"/>
    <cellStyle name="_99광통신네트워크 중구 연안지역 보강공사_한미케이블_한미은행2 2" xfId="832" xr:uid="{00000000-0005-0000-0000-000059030000}"/>
    <cellStyle name="_99광통신네트워크 중구 연안지역 보강공사_한미케이블_한미은행2_견적" xfId="833" xr:uid="{00000000-0005-0000-0000-00005A030000}"/>
    <cellStyle name="_99광통신네트워크 중구 연안지역 보강공사_한미케이블_한미은행2_견적 2" xfId="834" xr:uid="{00000000-0005-0000-0000-00005B030000}"/>
    <cellStyle name="_99광통신네트워크 중구 연안지역 보강공사_한미케이블_한미은행2_통합국사트레이" xfId="835" xr:uid="{00000000-0005-0000-0000-00005C030000}"/>
    <cellStyle name="_99광통신네트워크 중구 연안지역 보강공사_한미케이블_한미은행2_통합국사트레이 2" xfId="836" xr:uid="{00000000-0005-0000-0000-00005D030000}"/>
    <cellStyle name="_99광통신네트워크 중구 연안지역 보강공사_한미케이블_한미은행본사" xfId="837" xr:uid="{00000000-0005-0000-0000-00005E030000}"/>
    <cellStyle name="_99광통신네트워크 중구 연안지역 보강공사_한미케이블_한미은행본사 2" xfId="838" xr:uid="{00000000-0005-0000-0000-00005F030000}"/>
    <cellStyle name="_99광통신네트워크 중구 연안지역 보강공사_한미케이블_한미은행본사_견적" xfId="839" xr:uid="{00000000-0005-0000-0000-000060030000}"/>
    <cellStyle name="_99광통신네트워크 중구 연안지역 보강공사_한미케이블_한미은행본사_견적 2" xfId="840" xr:uid="{00000000-0005-0000-0000-000061030000}"/>
    <cellStyle name="_99광통신네트워크 중구 연안지역 보강공사_한미케이블_한미은행본사_통합국사트레이" xfId="841" xr:uid="{00000000-0005-0000-0000-000062030000}"/>
    <cellStyle name="_99광통신네트워크 중구 연안지역 보강공사_한미케이블_한미은행본사_통합국사트레이 2" xfId="842" xr:uid="{00000000-0005-0000-0000-000063030000}"/>
    <cellStyle name="_99광통신네트워크 중구 연안지역 보강공사_한미케이블_한미은행본사1" xfId="843" xr:uid="{00000000-0005-0000-0000-000064030000}"/>
    <cellStyle name="_99광통신네트워크 중구 연안지역 보강공사_한미케이블_한미은행본사1 2" xfId="844" xr:uid="{00000000-0005-0000-0000-000065030000}"/>
    <cellStyle name="_99광통신네트워크 중구 연안지역 보강공사_한미케이블_한미은행본사1_견적" xfId="845" xr:uid="{00000000-0005-0000-0000-000066030000}"/>
    <cellStyle name="_99광통신네트워크 중구 연안지역 보강공사_한미케이블_한미은행본사1_견적 2" xfId="846" xr:uid="{00000000-0005-0000-0000-000067030000}"/>
    <cellStyle name="_99광통신네트워크 중구 연안지역 보강공사_한미케이블_한미은행본사1_통합국사트레이" xfId="847" xr:uid="{00000000-0005-0000-0000-000068030000}"/>
    <cellStyle name="_99광통신네트워크 중구 연안지역 보강공사_한미케이블_한미은행본사1_통합국사트레이 2" xfId="848" xr:uid="{00000000-0005-0000-0000-000069030000}"/>
    <cellStyle name="_99광통신네트워크남구용현외1개소" xfId="849" xr:uid="{00000000-0005-0000-0000-00006A030000}"/>
    <cellStyle name="_99광통신네트워크남구용현외1개소 2" xfId="850" xr:uid="{00000000-0005-0000-0000-00006B030000}"/>
    <cellStyle name="_99광통신네트워크남구용현외1개소_1" xfId="851" xr:uid="{00000000-0005-0000-0000-00006C030000}"/>
    <cellStyle name="_99광통신네트워크남구용현외1개소_1 2" xfId="852" xr:uid="{00000000-0005-0000-0000-00006D030000}"/>
    <cellStyle name="_99광통신네트워크남구용현외1개소_1_견적" xfId="853" xr:uid="{00000000-0005-0000-0000-00006E030000}"/>
    <cellStyle name="_99광통신네트워크남구용현외1개소_1_견적 2" xfId="854" xr:uid="{00000000-0005-0000-0000-00006F030000}"/>
    <cellStyle name="_99광통신네트워크남구용현외1개소_1_용현한양외계약및준공관련" xfId="855" xr:uid="{00000000-0005-0000-0000-000070030000}"/>
    <cellStyle name="_99광통신네트워크남구용현외1개소_1_용현한양외계약및준공관련 2" xfId="856" xr:uid="{00000000-0005-0000-0000-000071030000}"/>
    <cellStyle name="_99광통신네트워크남구용현외1개소_1_통합국사트레이" xfId="857" xr:uid="{00000000-0005-0000-0000-000072030000}"/>
    <cellStyle name="_99광통신네트워크남구용현외1개소_1_통합국사트레이 2" xfId="858" xr:uid="{00000000-0005-0000-0000-000073030000}"/>
    <cellStyle name="_99광통신네트워크남구용현외1개소_1_파워콤간이공사관련" xfId="859" xr:uid="{00000000-0005-0000-0000-000074030000}"/>
    <cellStyle name="_99광통신네트워크남구용현외1개소_1_파워콤간이공사관련 2" xfId="860" xr:uid="{00000000-0005-0000-0000-000075030000}"/>
    <cellStyle name="_99광통신네트워크남구용현외1개소_1_한미우석" xfId="861" xr:uid="{00000000-0005-0000-0000-000076030000}"/>
    <cellStyle name="_99광통신네트워크남구용현외1개소_1_한미우석 2" xfId="862" xr:uid="{00000000-0005-0000-0000-000077030000}"/>
    <cellStyle name="_99광통신네트워크남구용현외1개소_1_한미우석_견적" xfId="863" xr:uid="{00000000-0005-0000-0000-000078030000}"/>
    <cellStyle name="_99광통신네트워크남구용현외1개소_1_한미우석_견적 2" xfId="864" xr:uid="{00000000-0005-0000-0000-000079030000}"/>
    <cellStyle name="_99광통신네트워크남구용현외1개소_1_한미우석_계양등7개소" xfId="865" xr:uid="{00000000-0005-0000-0000-00007A030000}"/>
    <cellStyle name="_99광통신네트워크남구용현외1개소_1_한미우석_계양등7개소 2" xfId="866" xr:uid="{00000000-0005-0000-0000-00007B030000}"/>
    <cellStyle name="_99광통신네트워크남구용현외1개소_1_한미우석_통합국사전원선" xfId="867" xr:uid="{00000000-0005-0000-0000-00007C030000}"/>
    <cellStyle name="_99광통신네트워크남구용현외1개소_1_한미우석_통합국사전원선 2" xfId="868" xr:uid="{00000000-0005-0000-0000-00007D030000}"/>
    <cellStyle name="_99광통신네트워크남구용현외1개소_1_한미우석_통합국사트레이" xfId="869" xr:uid="{00000000-0005-0000-0000-00007E030000}"/>
    <cellStyle name="_99광통신네트워크남구용현외1개소_1_한미우석_통합국사트레이 2" xfId="870" xr:uid="{00000000-0005-0000-0000-00007F030000}"/>
    <cellStyle name="_99광통신네트워크남구용현외1개소_1_한미우석_한미은행1" xfId="871" xr:uid="{00000000-0005-0000-0000-000080030000}"/>
    <cellStyle name="_99광통신네트워크남구용현외1개소_1_한미우석_한미은행1 2" xfId="872" xr:uid="{00000000-0005-0000-0000-000081030000}"/>
    <cellStyle name="_99광통신네트워크남구용현외1개소_1_한미우석_한미은행1_통합국사트레이" xfId="873" xr:uid="{00000000-0005-0000-0000-000082030000}"/>
    <cellStyle name="_99광통신네트워크남구용현외1개소_1_한미우석_한미은행1_통합국사트레이 2" xfId="874" xr:uid="{00000000-0005-0000-0000-000083030000}"/>
    <cellStyle name="_99광통신네트워크남구용현외1개소_1_한미우석_한미은행2" xfId="875" xr:uid="{00000000-0005-0000-0000-000084030000}"/>
    <cellStyle name="_99광통신네트워크남구용현외1개소_1_한미우석_한미은행2 2" xfId="876" xr:uid="{00000000-0005-0000-0000-000085030000}"/>
    <cellStyle name="_99광통신네트워크남구용현외1개소_1_한미우석_한미은행2_견적" xfId="877" xr:uid="{00000000-0005-0000-0000-000086030000}"/>
    <cellStyle name="_99광통신네트워크남구용현외1개소_1_한미우석_한미은행2_견적 2" xfId="878" xr:uid="{00000000-0005-0000-0000-000087030000}"/>
    <cellStyle name="_99광통신네트워크남구용현외1개소_1_한미우석_한미은행2_통합국사트레이" xfId="879" xr:uid="{00000000-0005-0000-0000-000088030000}"/>
    <cellStyle name="_99광통신네트워크남구용현외1개소_1_한미우석_한미은행2_통합국사트레이 2" xfId="880" xr:uid="{00000000-0005-0000-0000-000089030000}"/>
    <cellStyle name="_99광통신네트워크남구용현외1개소_1_한미우석_한미은행본사" xfId="881" xr:uid="{00000000-0005-0000-0000-00008A030000}"/>
    <cellStyle name="_99광통신네트워크남구용현외1개소_1_한미우석_한미은행본사 2" xfId="882" xr:uid="{00000000-0005-0000-0000-00008B030000}"/>
    <cellStyle name="_99광통신네트워크남구용현외1개소_1_한미우석_한미은행본사_견적" xfId="883" xr:uid="{00000000-0005-0000-0000-00008C030000}"/>
    <cellStyle name="_99광통신네트워크남구용현외1개소_1_한미우석_한미은행본사_견적 2" xfId="884" xr:uid="{00000000-0005-0000-0000-00008D030000}"/>
    <cellStyle name="_99광통신네트워크남구용현외1개소_1_한미우석_한미은행본사_통합국사트레이" xfId="885" xr:uid="{00000000-0005-0000-0000-00008E030000}"/>
    <cellStyle name="_99광통신네트워크남구용현외1개소_1_한미우석_한미은행본사_통합국사트레이 2" xfId="886" xr:uid="{00000000-0005-0000-0000-00008F030000}"/>
    <cellStyle name="_99광통신네트워크남구용현외1개소_1_한미우석_한미은행본사1" xfId="887" xr:uid="{00000000-0005-0000-0000-000090030000}"/>
    <cellStyle name="_99광통신네트워크남구용현외1개소_1_한미우석_한미은행본사1 2" xfId="888" xr:uid="{00000000-0005-0000-0000-000091030000}"/>
    <cellStyle name="_99광통신네트워크남구용현외1개소_1_한미우석_한미은행본사1_견적" xfId="889" xr:uid="{00000000-0005-0000-0000-000092030000}"/>
    <cellStyle name="_99광통신네트워크남구용현외1개소_1_한미우석_한미은행본사1_견적 2" xfId="890" xr:uid="{00000000-0005-0000-0000-000093030000}"/>
    <cellStyle name="_99광통신네트워크남구용현외1개소_1_한미우석_한미은행본사1_통합국사트레이" xfId="891" xr:uid="{00000000-0005-0000-0000-000094030000}"/>
    <cellStyle name="_99광통신네트워크남구용현외1개소_1_한미우석_한미은행본사1_통합국사트레이 2" xfId="892" xr:uid="{00000000-0005-0000-0000-000095030000}"/>
    <cellStyle name="_99광통신네트워크남구용현외1개소_1_한미은행본사" xfId="893" xr:uid="{00000000-0005-0000-0000-000096030000}"/>
    <cellStyle name="_99광통신네트워크남구용현외1개소_1_한미은행본사 2" xfId="894" xr:uid="{00000000-0005-0000-0000-000097030000}"/>
    <cellStyle name="_99광통신네트워크남구용현외1개소_1_한미은행본사_견적" xfId="895" xr:uid="{00000000-0005-0000-0000-000098030000}"/>
    <cellStyle name="_99광통신네트워크남구용현외1개소_1_한미은행본사_견적 2" xfId="896" xr:uid="{00000000-0005-0000-0000-000099030000}"/>
    <cellStyle name="_99광통신네트워크남구용현외1개소_1_한미은행본사_계양등7개소" xfId="897" xr:uid="{00000000-0005-0000-0000-00009A030000}"/>
    <cellStyle name="_99광통신네트워크남구용현외1개소_1_한미은행본사_계양등7개소 2" xfId="898" xr:uid="{00000000-0005-0000-0000-00009B030000}"/>
    <cellStyle name="_99광통신네트워크남구용현외1개소_1_한미은행본사_통합국사전원선" xfId="899" xr:uid="{00000000-0005-0000-0000-00009C030000}"/>
    <cellStyle name="_99광통신네트워크남구용현외1개소_1_한미은행본사_통합국사전원선 2" xfId="900" xr:uid="{00000000-0005-0000-0000-00009D030000}"/>
    <cellStyle name="_99광통신네트워크남구용현외1개소_1_한미은행본사_통합국사트레이" xfId="901" xr:uid="{00000000-0005-0000-0000-00009E030000}"/>
    <cellStyle name="_99광통신네트워크남구용현외1개소_1_한미은행본사_통합국사트레이 2" xfId="902" xr:uid="{00000000-0005-0000-0000-00009F030000}"/>
    <cellStyle name="_99광통신네트워크남구용현외1개소_1_한미은행본사_한미은행1" xfId="903" xr:uid="{00000000-0005-0000-0000-0000A0030000}"/>
    <cellStyle name="_99광통신네트워크남구용현외1개소_1_한미은행본사_한미은행1 2" xfId="904" xr:uid="{00000000-0005-0000-0000-0000A1030000}"/>
    <cellStyle name="_99광통신네트워크남구용현외1개소_1_한미은행본사_한미은행1_통합국사트레이" xfId="905" xr:uid="{00000000-0005-0000-0000-0000A2030000}"/>
    <cellStyle name="_99광통신네트워크남구용현외1개소_1_한미은행본사_한미은행1_통합국사트레이 2" xfId="906" xr:uid="{00000000-0005-0000-0000-0000A3030000}"/>
    <cellStyle name="_99광통신네트워크남구용현외1개소_1_한미은행본사_한미은행2" xfId="907" xr:uid="{00000000-0005-0000-0000-0000A4030000}"/>
    <cellStyle name="_99광통신네트워크남구용현외1개소_1_한미은행본사_한미은행2 2" xfId="908" xr:uid="{00000000-0005-0000-0000-0000A5030000}"/>
    <cellStyle name="_99광통신네트워크남구용현외1개소_1_한미은행본사_한미은행2_견적" xfId="909" xr:uid="{00000000-0005-0000-0000-0000A6030000}"/>
    <cellStyle name="_99광통신네트워크남구용현외1개소_1_한미은행본사_한미은행2_견적 2" xfId="910" xr:uid="{00000000-0005-0000-0000-0000A7030000}"/>
    <cellStyle name="_99광통신네트워크남구용현외1개소_1_한미은행본사_한미은행2_통합국사트레이" xfId="911" xr:uid="{00000000-0005-0000-0000-0000A8030000}"/>
    <cellStyle name="_99광통신네트워크남구용현외1개소_1_한미은행본사_한미은행2_통합국사트레이 2" xfId="912" xr:uid="{00000000-0005-0000-0000-0000A9030000}"/>
    <cellStyle name="_99광통신네트워크남구용현외1개소_1_한미은행본사_한미은행본사" xfId="913" xr:uid="{00000000-0005-0000-0000-0000AA030000}"/>
    <cellStyle name="_99광통신네트워크남구용현외1개소_1_한미은행본사_한미은행본사 2" xfId="914" xr:uid="{00000000-0005-0000-0000-0000AB030000}"/>
    <cellStyle name="_99광통신네트워크남구용현외1개소_1_한미은행본사_한미은행본사_견적" xfId="915" xr:uid="{00000000-0005-0000-0000-0000AC030000}"/>
    <cellStyle name="_99광통신네트워크남구용현외1개소_1_한미은행본사_한미은행본사_견적 2" xfId="916" xr:uid="{00000000-0005-0000-0000-0000AD030000}"/>
    <cellStyle name="_99광통신네트워크남구용현외1개소_1_한미은행본사_한미은행본사_통합국사트레이" xfId="917" xr:uid="{00000000-0005-0000-0000-0000AE030000}"/>
    <cellStyle name="_99광통신네트워크남구용현외1개소_1_한미은행본사_한미은행본사_통합국사트레이 2" xfId="918" xr:uid="{00000000-0005-0000-0000-0000AF030000}"/>
    <cellStyle name="_99광통신네트워크남구용현외1개소_1_한미은행본사_한미은행본사1" xfId="919" xr:uid="{00000000-0005-0000-0000-0000B0030000}"/>
    <cellStyle name="_99광통신네트워크남구용현외1개소_1_한미은행본사_한미은행본사1 2" xfId="920" xr:uid="{00000000-0005-0000-0000-0000B1030000}"/>
    <cellStyle name="_99광통신네트워크남구용현외1개소_1_한미은행본사_한미은행본사1_견적" xfId="921" xr:uid="{00000000-0005-0000-0000-0000B2030000}"/>
    <cellStyle name="_99광통신네트워크남구용현외1개소_1_한미은행본사_한미은행본사1_견적 2" xfId="922" xr:uid="{00000000-0005-0000-0000-0000B3030000}"/>
    <cellStyle name="_99광통신네트워크남구용현외1개소_1_한미은행본사_한미은행본사1_통합국사트레이" xfId="923" xr:uid="{00000000-0005-0000-0000-0000B4030000}"/>
    <cellStyle name="_99광통신네트워크남구용현외1개소_1_한미은행본사_한미은행본사1_통합국사트레이 2" xfId="924" xr:uid="{00000000-0005-0000-0000-0000B5030000}"/>
    <cellStyle name="_99광통신네트워크남구용현외1개소_1_한미케이블" xfId="925" xr:uid="{00000000-0005-0000-0000-0000B6030000}"/>
    <cellStyle name="_99광통신네트워크남구용현외1개소_1_한미케이블 2" xfId="926" xr:uid="{00000000-0005-0000-0000-0000B7030000}"/>
    <cellStyle name="_99광통신네트워크남구용현외1개소_1_한미케이블_견적" xfId="927" xr:uid="{00000000-0005-0000-0000-0000B8030000}"/>
    <cellStyle name="_99광통신네트워크남구용현외1개소_1_한미케이블_견적 2" xfId="928" xr:uid="{00000000-0005-0000-0000-0000B9030000}"/>
    <cellStyle name="_99광통신네트워크남구용현외1개소_1_한미케이블_계양등7개소" xfId="929" xr:uid="{00000000-0005-0000-0000-0000BA030000}"/>
    <cellStyle name="_99광통신네트워크남구용현외1개소_1_한미케이블_계양등7개소 2" xfId="930" xr:uid="{00000000-0005-0000-0000-0000BB030000}"/>
    <cellStyle name="_99광통신네트워크남구용현외1개소_1_한미케이블_통합국사전원선" xfId="931" xr:uid="{00000000-0005-0000-0000-0000BC030000}"/>
    <cellStyle name="_99광통신네트워크남구용현외1개소_1_한미케이블_통합국사전원선 2" xfId="932" xr:uid="{00000000-0005-0000-0000-0000BD030000}"/>
    <cellStyle name="_99광통신네트워크남구용현외1개소_1_한미케이블_통합국사트레이" xfId="933" xr:uid="{00000000-0005-0000-0000-0000BE030000}"/>
    <cellStyle name="_99광통신네트워크남구용현외1개소_1_한미케이블_통합국사트레이 2" xfId="934" xr:uid="{00000000-0005-0000-0000-0000BF030000}"/>
    <cellStyle name="_99광통신네트워크남구용현외1개소_1_한미케이블_한미은행1" xfId="935" xr:uid="{00000000-0005-0000-0000-0000C0030000}"/>
    <cellStyle name="_99광통신네트워크남구용현외1개소_1_한미케이블_한미은행1 2" xfId="936" xr:uid="{00000000-0005-0000-0000-0000C1030000}"/>
    <cellStyle name="_99광통신네트워크남구용현외1개소_1_한미케이블_한미은행1_통합국사트레이" xfId="937" xr:uid="{00000000-0005-0000-0000-0000C2030000}"/>
    <cellStyle name="_99광통신네트워크남구용현외1개소_1_한미케이블_한미은행1_통합국사트레이 2" xfId="938" xr:uid="{00000000-0005-0000-0000-0000C3030000}"/>
    <cellStyle name="_99광통신네트워크남구용현외1개소_1_한미케이블_한미은행2" xfId="939" xr:uid="{00000000-0005-0000-0000-0000C4030000}"/>
    <cellStyle name="_99광통신네트워크남구용현외1개소_1_한미케이블_한미은행2 2" xfId="940" xr:uid="{00000000-0005-0000-0000-0000C5030000}"/>
    <cellStyle name="_99광통신네트워크남구용현외1개소_1_한미케이블_한미은행2_견적" xfId="941" xr:uid="{00000000-0005-0000-0000-0000C6030000}"/>
    <cellStyle name="_99광통신네트워크남구용현외1개소_1_한미케이블_한미은행2_견적 2" xfId="942" xr:uid="{00000000-0005-0000-0000-0000C7030000}"/>
    <cellStyle name="_99광통신네트워크남구용현외1개소_1_한미케이블_한미은행2_통합국사트레이" xfId="943" xr:uid="{00000000-0005-0000-0000-0000C8030000}"/>
    <cellStyle name="_99광통신네트워크남구용현외1개소_1_한미케이블_한미은행2_통합국사트레이 2" xfId="944" xr:uid="{00000000-0005-0000-0000-0000C9030000}"/>
    <cellStyle name="_99광통신네트워크남구용현외1개소_1_한미케이블_한미은행본사" xfId="945" xr:uid="{00000000-0005-0000-0000-0000CA030000}"/>
    <cellStyle name="_99광통신네트워크남구용현외1개소_1_한미케이블_한미은행본사 2" xfId="946" xr:uid="{00000000-0005-0000-0000-0000CB030000}"/>
    <cellStyle name="_99광통신네트워크남구용현외1개소_1_한미케이블_한미은행본사_견적" xfId="947" xr:uid="{00000000-0005-0000-0000-0000CC030000}"/>
    <cellStyle name="_99광통신네트워크남구용현외1개소_1_한미케이블_한미은행본사_견적 2" xfId="948" xr:uid="{00000000-0005-0000-0000-0000CD030000}"/>
    <cellStyle name="_99광통신네트워크남구용현외1개소_1_한미케이블_한미은행본사_통합국사트레이" xfId="949" xr:uid="{00000000-0005-0000-0000-0000CE030000}"/>
    <cellStyle name="_99광통신네트워크남구용현외1개소_1_한미케이블_한미은행본사_통합국사트레이 2" xfId="950" xr:uid="{00000000-0005-0000-0000-0000CF030000}"/>
    <cellStyle name="_99광통신네트워크남구용현외1개소_1_한미케이블_한미은행본사1" xfId="951" xr:uid="{00000000-0005-0000-0000-0000D0030000}"/>
    <cellStyle name="_99광통신네트워크남구용현외1개소_1_한미케이블_한미은행본사1 2" xfId="952" xr:uid="{00000000-0005-0000-0000-0000D1030000}"/>
    <cellStyle name="_99광통신네트워크남구용현외1개소_1_한미케이블_한미은행본사1_견적" xfId="953" xr:uid="{00000000-0005-0000-0000-0000D2030000}"/>
    <cellStyle name="_99광통신네트워크남구용현외1개소_1_한미케이블_한미은행본사1_견적 2" xfId="954" xr:uid="{00000000-0005-0000-0000-0000D3030000}"/>
    <cellStyle name="_99광통신네트워크남구용현외1개소_1_한미케이블_한미은행본사1_통합국사트레이" xfId="955" xr:uid="{00000000-0005-0000-0000-0000D4030000}"/>
    <cellStyle name="_99광통신네트워크남구용현외1개소_1_한미케이블_한미은행본사1_통합국사트레이 2" xfId="956" xr:uid="{00000000-0005-0000-0000-0000D5030000}"/>
    <cellStyle name="_99광통신네트워크남구용현외1개소_용현한양외계약및준공관련" xfId="957" xr:uid="{00000000-0005-0000-0000-0000D6030000}"/>
    <cellStyle name="_99광통신네트워크남구용현외1개소_용현한양외계약및준공관련 2" xfId="958" xr:uid="{00000000-0005-0000-0000-0000D7030000}"/>
    <cellStyle name="_99광통신네트워크남구용현외1개소_용현한양외계약및준공관련_견적" xfId="959" xr:uid="{00000000-0005-0000-0000-0000D8030000}"/>
    <cellStyle name="_99광통신네트워크남구용현외1개소_용현한양외계약및준공관련_견적 2" xfId="960" xr:uid="{00000000-0005-0000-0000-0000D9030000}"/>
    <cellStyle name="_99광통신네트워크남구용현외1개소_용현한양외계약및준공관련_통합국사트레이" xfId="961" xr:uid="{00000000-0005-0000-0000-0000DA030000}"/>
    <cellStyle name="_99광통신네트워크남구용현외1개소_용현한양외계약및준공관련_통합국사트레이 2" xfId="962" xr:uid="{00000000-0005-0000-0000-0000DB030000}"/>
    <cellStyle name="_99광통신네트워크남구용현외1개소_용현한양외계약및준공관련_한미우석" xfId="963" xr:uid="{00000000-0005-0000-0000-0000DC030000}"/>
    <cellStyle name="_99광통신네트워크남구용현외1개소_용현한양외계약및준공관련_한미우석 2" xfId="964" xr:uid="{00000000-0005-0000-0000-0000DD030000}"/>
    <cellStyle name="_99광통신네트워크남구용현외1개소_용현한양외계약및준공관련_한미우석_견적" xfId="965" xr:uid="{00000000-0005-0000-0000-0000DE030000}"/>
    <cellStyle name="_99광통신네트워크남구용현외1개소_용현한양외계약및준공관련_한미우석_견적 2" xfId="966" xr:uid="{00000000-0005-0000-0000-0000DF030000}"/>
    <cellStyle name="_99광통신네트워크남구용현외1개소_용현한양외계약및준공관련_한미우석_계양등7개소" xfId="967" xr:uid="{00000000-0005-0000-0000-0000E0030000}"/>
    <cellStyle name="_99광통신네트워크남구용현외1개소_용현한양외계약및준공관련_한미우석_계양등7개소 2" xfId="968" xr:uid="{00000000-0005-0000-0000-0000E1030000}"/>
    <cellStyle name="_99광통신네트워크남구용현외1개소_용현한양외계약및준공관련_한미우석_통합국사전원선" xfId="969" xr:uid="{00000000-0005-0000-0000-0000E2030000}"/>
    <cellStyle name="_99광통신네트워크남구용현외1개소_용현한양외계약및준공관련_한미우석_통합국사전원선 2" xfId="970" xr:uid="{00000000-0005-0000-0000-0000E3030000}"/>
    <cellStyle name="_99광통신네트워크남구용현외1개소_용현한양외계약및준공관련_한미우석_통합국사트레이" xfId="971" xr:uid="{00000000-0005-0000-0000-0000E4030000}"/>
    <cellStyle name="_99광통신네트워크남구용현외1개소_용현한양외계약및준공관련_한미우석_통합국사트레이 2" xfId="972" xr:uid="{00000000-0005-0000-0000-0000E5030000}"/>
    <cellStyle name="_99광통신네트워크남구용현외1개소_용현한양외계약및준공관련_한미우석_한미은행1" xfId="973" xr:uid="{00000000-0005-0000-0000-0000E6030000}"/>
    <cellStyle name="_99광통신네트워크남구용현외1개소_용현한양외계약및준공관련_한미우석_한미은행1 2" xfId="974" xr:uid="{00000000-0005-0000-0000-0000E7030000}"/>
    <cellStyle name="_99광통신네트워크남구용현외1개소_용현한양외계약및준공관련_한미우석_한미은행1_통합국사트레이" xfId="975" xr:uid="{00000000-0005-0000-0000-0000E8030000}"/>
    <cellStyle name="_99광통신네트워크남구용현외1개소_용현한양외계약및준공관련_한미우석_한미은행1_통합국사트레이 2" xfId="976" xr:uid="{00000000-0005-0000-0000-0000E9030000}"/>
    <cellStyle name="_99광통신네트워크남구용현외1개소_용현한양외계약및준공관련_한미우석_한미은행2" xfId="977" xr:uid="{00000000-0005-0000-0000-0000EA030000}"/>
    <cellStyle name="_99광통신네트워크남구용현외1개소_용현한양외계약및준공관련_한미우석_한미은행2 2" xfId="978" xr:uid="{00000000-0005-0000-0000-0000EB030000}"/>
    <cellStyle name="_99광통신네트워크남구용현외1개소_용현한양외계약및준공관련_한미우석_한미은행2_견적" xfId="979" xr:uid="{00000000-0005-0000-0000-0000EC030000}"/>
    <cellStyle name="_99광통신네트워크남구용현외1개소_용현한양외계약및준공관련_한미우석_한미은행2_견적 2" xfId="980" xr:uid="{00000000-0005-0000-0000-0000ED030000}"/>
    <cellStyle name="_99광통신네트워크남구용현외1개소_용현한양외계약및준공관련_한미우석_한미은행2_통합국사트레이" xfId="981" xr:uid="{00000000-0005-0000-0000-0000EE030000}"/>
    <cellStyle name="_99광통신네트워크남구용현외1개소_용현한양외계약및준공관련_한미우석_한미은행2_통합국사트레이 2" xfId="982" xr:uid="{00000000-0005-0000-0000-0000EF030000}"/>
    <cellStyle name="_99광통신네트워크남구용현외1개소_용현한양외계약및준공관련_한미우석_한미은행본사" xfId="983" xr:uid="{00000000-0005-0000-0000-0000F0030000}"/>
    <cellStyle name="_99광통신네트워크남구용현외1개소_용현한양외계약및준공관련_한미우석_한미은행본사 2" xfId="984" xr:uid="{00000000-0005-0000-0000-0000F1030000}"/>
    <cellStyle name="_99광통신네트워크남구용현외1개소_용현한양외계약및준공관련_한미우석_한미은행본사_견적" xfId="985" xr:uid="{00000000-0005-0000-0000-0000F2030000}"/>
    <cellStyle name="_99광통신네트워크남구용현외1개소_용현한양외계약및준공관련_한미우석_한미은행본사_견적 2" xfId="986" xr:uid="{00000000-0005-0000-0000-0000F3030000}"/>
    <cellStyle name="_99광통신네트워크남구용현외1개소_용현한양외계약및준공관련_한미우석_한미은행본사_통합국사트레이" xfId="987" xr:uid="{00000000-0005-0000-0000-0000F4030000}"/>
    <cellStyle name="_99광통신네트워크남구용현외1개소_용현한양외계약및준공관련_한미우석_한미은행본사_통합국사트레이 2" xfId="988" xr:uid="{00000000-0005-0000-0000-0000F5030000}"/>
    <cellStyle name="_99광통신네트워크남구용현외1개소_용현한양외계약및준공관련_한미우석_한미은행본사1" xfId="989" xr:uid="{00000000-0005-0000-0000-0000F6030000}"/>
    <cellStyle name="_99광통신네트워크남구용현외1개소_용현한양외계약및준공관련_한미우석_한미은행본사1 2" xfId="990" xr:uid="{00000000-0005-0000-0000-0000F7030000}"/>
    <cellStyle name="_99광통신네트워크남구용현외1개소_용현한양외계약및준공관련_한미우석_한미은행본사1_견적" xfId="991" xr:uid="{00000000-0005-0000-0000-0000F8030000}"/>
    <cellStyle name="_99광통신네트워크남구용현외1개소_용현한양외계약및준공관련_한미우석_한미은행본사1_견적 2" xfId="992" xr:uid="{00000000-0005-0000-0000-0000F9030000}"/>
    <cellStyle name="_99광통신네트워크남구용현외1개소_용현한양외계약및준공관련_한미우석_한미은행본사1_통합국사트레이" xfId="993" xr:uid="{00000000-0005-0000-0000-0000FA030000}"/>
    <cellStyle name="_99광통신네트워크남구용현외1개소_용현한양외계약및준공관련_한미우석_한미은행본사1_통합국사트레이 2" xfId="994" xr:uid="{00000000-0005-0000-0000-0000FB030000}"/>
    <cellStyle name="_99광통신네트워크남구용현외1개소_용현한양외계약및준공관련_한미은행본사" xfId="995" xr:uid="{00000000-0005-0000-0000-0000FC030000}"/>
    <cellStyle name="_99광통신네트워크남구용현외1개소_용현한양외계약및준공관련_한미은행본사 2" xfId="996" xr:uid="{00000000-0005-0000-0000-0000FD030000}"/>
    <cellStyle name="_99광통신네트워크남구용현외1개소_용현한양외계약및준공관련_한미은행본사_견적" xfId="997" xr:uid="{00000000-0005-0000-0000-0000FE030000}"/>
    <cellStyle name="_99광통신네트워크남구용현외1개소_용현한양외계약및준공관련_한미은행본사_견적 2" xfId="998" xr:uid="{00000000-0005-0000-0000-0000FF030000}"/>
    <cellStyle name="_99광통신네트워크남구용현외1개소_용현한양외계약및준공관련_한미은행본사_계양등7개소" xfId="999" xr:uid="{00000000-0005-0000-0000-000000040000}"/>
    <cellStyle name="_99광통신네트워크남구용현외1개소_용현한양외계약및준공관련_한미은행본사_계양등7개소 2" xfId="1000" xr:uid="{00000000-0005-0000-0000-000001040000}"/>
    <cellStyle name="_99광통신네트워크남구용현외1개소_용현한양외계약및준공관련_한미은행본사_통합국사전원선" xfId="1001" xr:uid="{00000000-0005-0000-0000-000002040000}"/>
    <cellStyle name="_99광통신네트워크남구용현외1개소_용현한양외계약및준공관련_한미은행본사_통합국사전원선 2" xfId="1002" xr:uid="{00000000-0005-0000-0000-000003040000}"/>
    <cellStyle name="_99광통신네트워크남구용현외1개소_용현한양외계약및준공관련_한미은행본사_통합국사트레이" xfId="1003" xr:uid="{00000000-0005-0000-0000-000004040000}"/>
    <cellStyle name="_99광통신네트워크남구용현외1개소_용현한양외계약및준공관련_한미은행본사_통합국사트레이 2" xfId="1004" xr:uid="{00000000-0005-0000-0000-000005040000}"/>
    <cellStyle name="_99광통신네트워크남구용현외1개소_용현한양외계약및준공관련_한미은행본사_한미은행1" xfId="1005" xr:uid="{00000000-0005-0000-0000-000006040000}"/>
    <cellStyle name="_99광통신네트워크남구용현외1개소_용현한양외계약및준공관련_한미은행본사_한미은행1 2" xfId="1006" xr:uid="{00000000-0005-0000-0000-000007040000}"/>
    <cellStyle name="_99광통신네트워크남구용현외1개소_용현한양외계약및준공관련_한미은행본사_한미은행1_통합국사트레이" xfId="1007" xr:uid="{00000000-0005-0000-0000-000008040000}"/>
    <cellStyle name="_99광통신네트워크남구용현외1개소_용현한양외계약및준공관련_한미은행본사_한미은행1_통합국사트레이 2" xfId="1008" xr:uid="{00000000-0005-0000-0000-000009040000}"/>
    <cellStyle name="_99광통신네트워크남구용현외1개소_용현한양외계약및준공관련_한미은행본사_한미은행2" xfId="1009" xr:uid="{00000000-0005-0000-0000-00000A040000}"/>
    <cellStyle name="_99광통신네트워크남구용현외1개소_용현한양외계약및준공관련_한미은행본사_한미은행2 2" xfId="1010" xr:uid="{00000000-0005-0000-0000-00000B040000}"/>
    <cellStyle name="_99광통신네트워크남구용현외1개소_용현한양외계약및준공관련_한미은행본사_한미은행2_견적" xfId="1011" xr:uid="{00000000-0005-0000-0000-00000C040000}"/>
    <cellStyle name="_99광통신네트워크남구용현외1개소_용현한양외계약및준공관련_한미은행본사_한미은행2_견적 2" xfId="1012" xr:uid="{00000000-0005-0000-0000-00000D040000}"/>
    <cellStyle name="_99광통신네트워크남구용현외1개소_용현한양외계약및준공관련_한미은행본사_한미은행2_통합국사트레이" xfId="1013" xr:uid="{00000000-0005-0000-0000-00000E040000}"/>
    <cellStyle name="_99광통신네트워크남구용현외1개소_용현한양외계약및준공관련_한미은행본사_한미은행2_통합국사트레이 2" xfId="1014" xr:uid="{00000000-0005-0000-0000-00000F040000}"/>
    <cellStyle name="_99광통신네트워크남구용현외1개소_용현한양외계약및준공관련_한미은행본사_한미은행본사" xfId="1015" xr:uid="{00000000-0005-0000-0000-000010040000}"/>
    <cellStyle name="_99광통신네트워크남구용현외1개소_용현한양외계약및준공관련_한미은행본사_한미은행본사 2" xfId="1016" xr:uid="{00000000-0005-0000-0000-000011040000}"/>
    <cellStyle name="_99광통신네트워크남구용현외1개소_용현한양외계약및준공관련_한미은행본사_한미은행본사_견적" xfId="1017" xr:uid="{00000000-0005-0000-0000-000012040000}"/>
    <cellStyle name="_99광통신네트워크남구용현외1개소_용현한양외계약및준공관련_한미은행본사_한미은행본사_견적 2" xfId="1018" xr:uid="{00000000-0005-0000-0000-000013040000}"/>
    <cellStyle name="_99광통신네트워크남구용현외1개소_용현한양외계약및준공관련_한미은행본사_한미은행본사_통합국사트레이" xfId="1019" xr:uid="{00000000-0005-0000-0000-000014040000}"/>
    <cellStyle name="_99광통신네트워크남구용현외1개소_용현한양외계약및준공관련_한미은행본사_한미은행본사_통합국사트레이 2" xfId="1020" xr:uid="{00000000-0005-0000-0000-000015040000}"/>
    <cellStyle name="_99광통신네트워크남구용현외1개소_용현한양외계약및준공관련_한미은행본사_한미은행본사1" xfId="1021" xr:uid="{00000000-0005-0000-0000-000016040000}"/>
    <cellStyle name="_99광통신네트워크남구용현외1개소_용현한양외계약및준공관련_한미은행본사_한미은행본사1 2" xfId="1022" xr:uid="{00000000-0005-0000-0000-000017040000}"/>
    <cellStyle name="_99광통신네트워크남구용현외1개소_용현한양외계약및준공관련_한미은행본사_한미은행본사1_견적" xfId="1023" xr:uid="{00000000-0005-0000-0000-000018040000}"/>
    <cellStyle name="_99광통신네트워크남구용현외1개소_용현한양외계약및준공관련_한미은행본사_한미은행본사1_견적 2" xfId="1024" xr:uid="{00000000-0005-0000-0000-000019040000}"/>
    <cellStyle name="_99광통신네트워크남구용현외1개소_용현한양외계약및준공관련_한미은행본사_한미은행본사1_통합국사트레이" xfId="1025" xr:uid="{00000000-0005-0000-0000-00001A040000}"/>
    <cellStyle name="_99광통신네트워크남구용현외1개소_용현한양외계약및준공관련_한미은행본사_한미은행본사1_통합국사트레이 2" xfId="1026" xr:uid="{00000000-0005-0000-0000-00001B040000}"/>
    <cellStyle name="_99광통신네트워크남구용현외1개소_용현한양외계약및준공관련_한미케이블" xfId="1027" xr:uid="{00000000-0005-0000-0000-00001C040000}"/>
    <cellStyle name="_99광통신네트워크남구용현외1개소_용현한양외계약및준공관련_한미케이블 2" xfId="1028" xr:uid="{00000000-0005-0000-0000-00001D040000}"/>
    <cellStyle name="_99광통신네트워크남구용현외1개소_용현한양외계약및준공관련_한미케이블_견적" xfId="1029" xr:uid="{00000000-0005-0000-0000-00001E040000}"/>
    <cellStyle name="_99광통신네트워크남구용현외1개소_용현한양외계약및준공관련_한미케이블_견적 2" xfId="1030" xr:uid="{00000000-0005-0000-0000-00001F040000}"/>
    <cellStyle name="_99광통신네트워크남구용현외1개소_용현한양외계약및준공관련_한미케이블_계양등7개소" xfId="1031" xr:uid="{00000000-0005-0000-0000-000020040000}"/>
    <cellStyle name="_99광통신네트워크남구용현외1개소_용현한양외계약및준공관련_한미케이블_계양등7개소 2" xfId="1032" xr:uid="{00000000-0005-0000-0000-000021040000}"/>
    <cellStyle name="_99광통신네트워크남구용현외1개소_용현한양외계약및준공관련_한미케이블_통합국사전원선" xfId="1033" xr:uid="{00000000-0005-0000-0000-000022040000}"/>
    <cellStyle name="_99광통신네트워크남구용현외1개소_용현한양외계약및준공관련_한미케이블_통합국사전원선 2" xfId="1034" xr:uid="{00000000-0005-0000-0000-000023040000}"/>
    <cellStyle name="_99광통신네트워크남구용현외1개소_용현한양외계약및준공관련_한미케이블_통합국사트레이" xfId="1035" xr:uid="{00000000-0005-0000-0000-000024040000}"/>
    <cellStyle name="_99광통신네트워크남구용현외1개소_용현한양외계약및준공관련_한미케이블_통합국사트레이 2" xfId="1036" xr:uid="{00000000-0005-0000-0000-000025040000}"/>
    <cellStyle name="_99광통신네트워크남구용현외1개소_용현한양외계약및준공관련_한미케이블_한미은행1" xfId="1037" xr:uid="{00000000-0005-0000-0000-000026040000}"/>
    <cellStyle name="_99광통신네트워크남구용현외1개소_용현한양외계약및준공관련_한미케이블_한미은행1 2" xfId="1038" xr:uid="{00000000-0005-0000-0000-000027040000}"/>
    <cellStyle name="_99광통신네트워크남구용현외1개소_용현한양외계약및준공관련_한미케이블_한미은행1_통합국사트레이" xfId="1039" xr:uid="{00000000-0005-0000-0000-000028040000}"/>
    <cellStyle name="_99광통신네트워크남구용현외1개소_용현한양외계약및준공관련_한미케이블_한미은행1_통합국사트레이 2" xfId="1040" xr:uid="{00000000-0005-0000-0000-000029040000}"/>
    <cellStyle name="_99광통신네트워크남구용현외1개소_용현한양외계약및준공관련_한미케이블_한미은행2" xfId="1041" xr:uid="{00000000-0005-0000-0000-00002A040000}"/>
    <cellStyle name="_99광통신네트워크남구용현외1개소_용현한양외계약및준공관련_한미케이블_한미은행2 2" xfId="1042" xr:uid="{00000000-0005-0000-0000-00002B040000}"/>
    <cellStyle name="_99광통신네트워크남구용현외1개소_용현한양외계약및준공관련_한미케이블_한미은행2_견적" xfId="1043" xr:uid="{00000000-0005-0000-0000-00002C040000}"/>
    <cellStyle name="_99광통신네트워크남구용현외1개소_용현한양외계약및준공관련_한미케이블_한미은행2_견적 2" xfId="1044" xr:uid="{00000000-0005-0000-0000-00002D040000}"/>
    <cellStyle name="_99광통신네트워크남구용현외1개소_용현한양외계약및준공관련_한미케이블_한미은행2_통합국사트레이" xfId="1045" xr:uid="{00000000-0005-0000-0000-00002E040000}"/>
    <cellStyle name="_99광통신네트워크남구용현외1개소_용현한양외계약및준공관련_한미케이블_한미은행2_통합국사트레이 2" xfId="1046" xr:uid="{00000000-0005-0000-0000-00002F040000}"/>
    <cellStyle name="_99광통신네트워크남구용현외1개소_용현한양외계약및준공관련_한미케이블_한미은행본사" xfId="1047" xr:uid="{00000000-0005-0000-0000-000030040000}"/>
    <cellStyle name="_99광통신네트워크남구용현외1개소_용현한양외계약및준공관련_한미케이블_한미은행본사 2" xfId="1048" xr:uid="{00000000-0005-0000-0000-000031040000}"/>
    <cellStyle name="_99광통신네트워크남구용현외1개소_용현한양외계약및준공관련_한미케이블_한미은행본사_견적" xfId="1049" xr:uid="{00000000-0005-0000-0000-000032040000}"/>
    <cellStyle name="_99광통신네트워크남구용현외1개소_용현한양외계약및준공관련_한미케이블_한미은행본사_견적 2" xfId="1050" xr:uid="{00000000-0005-0000-0000-000033040000}"/>
    <cellStyle name="_99광통신네트워크남구용현외1개소_용현한양외계약및준공관련_한미케이블_한미은행본사_통합국사트레이" xfId="1051" xr:uid="{00000000-0005-0000-0000-000034040000}"/>
    <cellStyle name="_99광통신네트워크남구용현외1개소_용현한양외계약및준공관련_한미케이블_한미은행본사_통합국사트레이 2" xfId="1052" xr:uid="{00000000-0005-0000-0000-000035040000}"/>
    <cellStyle name="_99광통신네트워크남구용현외1개소_용현한양외계약및준공관련_한미케이블_한미은행본사1" xfId="1053" xr:uid="{00000000-0005-0000-0000-000036040000}"/>
    <cellStyle name="_99광통신네트워크남구용현외1개소_용현한양외계약및준공관련_한미케이블_한미은행본사1 2" xfId="1054" xr:uid="{00000000-0005-0000-0000-000037040000}"/>
    <cellStyle name="_99광통신네트워크남구용현외1개소_용현한양외계약및준공관련_한미케이블_한미은행본사1_견적" xfId="1055" xr:uid="{00000000-0005-0000-0000-000038040000}"/>
    <cellStyle name="_99광통신네트워크남구용현외1개소_용현한양외계약및준공관련_한미케이블_한미은행본사1_견적 2" xfId="1056" xr:uid="{00000000-0005-0000-0000-000039040000}"/>
    <cellStyle name="_99광통신네트워크남구용현외1개소_용현한양외계약및준공관련_한미케이블_한미은행본사1_통합국사트레이" xfId="1057" xr:uid="{00000000-0005-0000-0000-00003A040000}"/>
    <cellStyle name="_99광통신네트워크남구용현외1개소_용현한양외계약및준공관련_한미케이블_한미은행본사1_통합국사트레이 2" xfId="1058" xr:uid="{00000000-0005-0000-0000-00003B040000}"/>
    <cellStyle name="_99광통신네트워크남구용현외1개소_파워콤간이공사관련" xfId="1059" xr:uid="{00000000-0005-0000-0000-00003C040000}"/>
    <cellStyle name="_99광통신네트워크남구용현외1개소_파워콤간이공사관련 2" xfId="1060" xr:uid="{00000000-0005-0000-0000-00003D040000}"/>
    <cellStyle name="_99광통신네트워크남구용현외1개소_파워콤간이공사관련_견적" xfId="1061" xr:uid="{00000000-0005-0000-0000-00003E040000}"/>
    <cellStyle name="_99광통신네트워크남구용현외1개소_파워콤간이공사관련_견적 2" xfId="1062" xr:uid="{00000000-0005-0000-0000-00003F040000}"/>
    <cellStyle name="_99광통신네트워크남구용현외1개소_파워콤간이공사관련_통합국사트레이" xfId="1063" xr:uid="{00000000-0005-0000-0000-000040040000}"/>
    <cellStyle name="_99광통신네트워크남구용현외1개소_파워콤간이공사관련_통합국사트레이 2" xfId="1064" xr:uid="{00000000-0005-0000-0000-000041040000}"/>
    <cellStyle name="_99광통신네트워크남구용현외1개소_파워콤간이공사관련_한미우석" xfId="1065" xr:uid="{00000000-0005-0000-0000-000042040000}"/>
    <cellStyle name="_99광통신네트워크남구용현외1개소_파워콤간이공사관련_한미우석 2" xfId="1066" xr:uid="{00000000-0005-0000-0000-000043040000}"/>
    <cellStyle name="_99광통신네트워크남구용현외1개소_파워콤간이공사관련_한미우석_견적" xfId="1067" xr:uid="{00000000-0005-0000-0000-000044040000}"/>
    <cellStyle name="_99광통신네트워크남구용현외1개소_파워콤간이공사관련_한미우석_견적 2" xfId="1068" xr:uid="{00000000-0005-0000-0000-000045040000}"/>
    <cellStyle name="_99광통신네트워크남구용현외1개소_파워콤간이공사관련_한미우석_계양등7개소" xfId="1069" xr:uid="{00000000-0005-0000-0000-000046040000}"/>
    <cellStyle name="_99광통신네트워크남구용현외1개소_파워콤간이공사관련_한미우석_계양등7개소 2" xfId="1070" xr:uid="{00000000-0005-0000-0000-000047040000}"/>
    <cellStyle name="_99광통신네트워크남구용현외1개소_파워콤간이공사관련_한미우석_통합국사전원선" xfId="1071" xr:uid="{00000000-0005-0000-0000-000048040000}"/>
    <cellStyle name="_99광통신네트워크남구용현외1개소_파워콤간이공사관련_한미우석_통합국사전원선 2" xfId="1072" xr:uid="{00000000-0005-0000-0000-000049040000}"/>
    <cellStyle name="_99광통신네트워크남구용현외1개소_파워콤간이공사관련_한미우석_통합국사트레이" xfId="1073" xr:uid="{00000000-0005-0000-0000-00004A040000}"/>
    <cellStyle name="_99광통신네트워크남구용현외1개소_파워콤간이공사관련_한미우석_통합국사트레이 2" xfId="1074" xr:uid="{00000000-0005-0000-0000-00004B040000}"/>
    <cellStyle name="_99광통신네트워크남구용현외1개소_파워콤간이공사관련_한미우석_한미은행1" xfId="1075" xr:uid="{00000000-0005-0000-0000-00004C040000}"/>
    <cellStyle name="_99광통신네트워크남구용현외1개소_파워콤간이공사관련_한미우석_한미은행1 2" xfId="1076" xr:uid="{00000000-0005-0000-0000-00004D040000}"/>
    <cellStyle name="_99광통신네트워크남구용현외1개소_파워콤간이공사관련_한미우석_한미은행1_통합국사트레이" xfId="1077" xr:uid="{00000000-0005-0000-0000-00004E040000}"/>
    <cellStyle name="_99광통신네트워크남구용현외1개소_파워콤간이공사관련_한미우석_한미은행1_통합국사트레이 2" xfId="1078" xr:uid="{00000000-0005-0000-0000-00004F040000}"/>
    <cellStyle name="_99광통신네트워크남구용현외1개소_파워콤간이공사관련_한미우석_한미은행2" xfId="1079" xr:uid="{00000000-0005-0000-0000-000050040000}"/>
    <cellStyle name="_99광통신네트워크남구용현외1개소_파워콤간이공사관련_한미우석_한미은행2 2" xfId="1080" xr:uid="{00000000-0005-0000-0000-000051040000}"/>
    <cellStyle name="_99광통신네트워크남구용현외1개소_파워콤간이공사관련_한미우석_한미은행2_견적" xfId="1081" xr:uid="{00000000-0005-0000-0000-000052040000}"/>
    <cellStyle name="_99광통신네트워크남구용현외1개소_파워콤간이공사관련_한미우석_한미은행2_견적 2" xfId="1082" xr:uid="{00000000-0005-0000-0000-000053040000}"/>
    <cellStyle name="_99광통신네트워크남구용현외1개소_파워콤간이공사관련_한미우석_한미은행2_통합국사트레이" xfId="1083" xr:uid="{00000000-0005-0000-0000-000054040000}"/>
    <cellStyle name="_99광통신네트워크남구용현외1개소_파워콤간이공사관련_한미우석_한미은행2_통합국사트레이 2" xfId="1084" xr:uid="{00000000-0005-0000-0000-000055040000}"/>
    <cellStyle name="_99광통신네트워크남구용현외1개소_파워콤간이공사관련_한미우석_한미은행본사" xfId="1085" xr:uid="{00000000-0005-0000-0000-000056040000}"/>
    <cellStyle name="_99광통신네트워크남구용현외1개소_파워콤간이공사관련_한미우석_한미은행본사 2" xfId="1086" xr:uid="{00000000-0005-0000-0000-000057040000}"/>
    <cellStyle name="_99광통신네트워크남구용현외1개소_파워콤간이공사관련_한미우석_한미은행본사_견적" xfId="1087" xr:uid="{00000000-0005-0000-0000-000058040000}"/>
    <cellStyle name="_99광통신네트워크남구용현외1개소_파워콤간이공사관련_한미우석_한미은행본사_견적 2" xfId="1088" xr:uid="{00000000-0005-0000-0000-000059040000}"/>
    <cellStyle name="_99광통신네트워크남구용현외1개소_파워콤간이공사관련_한미우석_한미은행본사_통합국사트레이" xfId="1089" xr:uid="{00000000-0005-0000-0000-00005A040000}"/>
    <cellStyle name="_99광통신네트워크남구용현외1개소_파워콤간이공사관련_한미우석_한미은행본사_통합국사트레이 2" xfId="1090" xr:uid="{00000000-0005-0000-0000-00005B040000}"/>
    <cellStyle name="_99광통신네트워크남구용현외1개소_파워콤간이공사관련_한미우석_한미은행본사1" xfId="1091" xr:uid="{00000000-0005-0000-0000-00005C040000}"/>
    <cellStyle name="_99광통신네트워크남구용현외1개소_파워콤간이공사관련_한미우석_한미은행본사1 2" xfId="1092" xr:uid="{00000000-0005-0000-0000-00005D040000}"/>
    <cellStyle name="_99광통신네트워크남구용현외1개소_파워콤간이공사관련_한미우석_한미은행본사1_견적" xfId="1093" xr:uid="{00000000-0005-0000-0000-00005E040000}"/>
    <cellStyle name="_99광통신네트워크남구용현외1개소_파워콤간이공사관련_한미우석_한미은행본사1_견적 2" xfId="1094" xr:uid="{00000000-0005-0000-0000-00005F040000}"/>
    <cellStyle name="_99광통신네트워크남구용현외1개소_파워콤간이공사관련_한미우석_한미은행본사1_통합국사트레이" xfId="1095" xr:uid="{00000000-0005-0000-0000-000060040000}"/>
    <cellStyle name="_99광통신네트워크남구용현외1개소_파워콤간이공사관련_한미우석_한미은행본사1_통합국사트레이 2" xfId="1096" xr:uid="{00000000-0005-0000-0000-000061040000}"/>
    <cellStyle name="_99광통신네트워크남구용현외1개소_파워콤간이공사관련_한미은행본사" xfId="1097" xr:uid="{00000000-0005-0000-0000-000062040000}"/>
    <cellStyle name="_99광통신네트워크남구용현외1개소_파워콤간이공사관련_한미은행본사 2" xfId="1098" xr:uid="{00000000-0005-0000-0000-000063040000}"/>
    <cellStyle name="_99광통신네트워크남구용현외1개소_파워콤간이공사관련_한미은행본사_견적" xfId="1099" xr:uid="{00000000-0005-0000-0000-000064040000}"/>
    <cellStyle name="_99광통신네트워크남구용현외1개소_파워콤간이공사관련_한미은행본사_견적 2" xfId="1100" xr:uid="{00000000-0005-0000-0000-000065040000}"/>
    <cellStyle name="_99광통신네트워크남구용현외1개소_파워콤간이공사관련_한미은행본사_계양등7개소" xfId="1101" xr:uid="{00000000-0005-0000-0000-000066040000}"/>
    <cellStyle name="_99광통신네트워크남구용현외1개소_파워콤간이공사관련_한미은행본사_계양등7개소 2" xfId="1102" xr:uid="{00000000-0005-0000-0000-000067040000}"/>
    <cellStyle name="_99광통신네트워크남구용현외1개소_파워콤간이공사관련_한미은행본사_통합국사전원선" xfId="1103" xr:uid="{00000000-0005-0000-0000-000068040000}"/>
    <cellStyle name="_99광통신네트워크남구용현외1개소_파워콤간이공사관련_한미은행본사_통합국사전원선 2" xfId="1104" xr:uid="{00000000-0005-0000-0000-000069040000}"/>
    <cellStyle name="_99광통신네트워크남구용현외1개소_파워콤간이공사관련_한미은행본사_통합국사트레이" xfId="1105" xr:uid="{00000000-0005-0000-0000-00006A040000}"/>
    <cellStyle name="_99광통신네트워크남구용현외1개소_파워콤간이공사관련_한미은행본사_통합국사트레이 2" xfId="1106" xr:uid="{00000000-0005-0000-0000-00006B040000}"/>
    <cellStyle name="_99광통신네트워크남구용현외1개소_파워콤간이공사관련_한미은행본사_한미은행1" xfId="1107" xr:uid="{00000000-0005-0000-0000-00006C040000}"/>
    <cellStyle name="_99광통신네트워크남구용현외1개소_파워콤간이공사관련_한미은행본사_한미은행1 2" xfId="1108" xr:uid="{00000000-0005-0000-0000-00006D040000}"/>
    <cellStyle name="_99광통신네트워크남구용현외1개소_파워콤간이공사관련_한미은행본사_한미은행1_통합국사트레이" xfId="1109" xr:uid="{00000000-0005-0000-0000-00006E040000}"/>
    <cellStyle name="_99광통신네트워크남구용현외1개소_파워콤간이공사관련_한미은행본사_한미은행1_통합국사트레이 2" xfId="1110" xr:uid="{00000000-0005-0000-0000-00006F040000}"/>
    <cellStyle name="_99광통신네트워크남구용현외1개소_파워콤간이공사관련_한미은행본사_한미은행2" xfId="1111" xr:uid="{00000000-0005-0000-0000-000070040000}"/>
    <cellStyle name="_99광통신네트워크남구용현외1개소_파워콤간이공사관련_한미은행본사_한미은행2 2" xfId="1112" xr:uid="{00000000-0005-0000-0000-000071040000}"/>
    <cellStyle name="_99광통신네트워크남구용현외1개소_파워콤간이공사관련_한미은행본사_한미은행2_견적" xfId="1113" xr:uid="{00000000-0005-0000-0000-000072040000}"/>
    <cellStyle name="_99광통신네트워크남구용현외1개소_파워콤간이공사관련_한미은행본사_한미은행2_견적 2" xfId="1114" xr:uid="{00000000-0005-0000-0000-000073040000}"/>
    <cellStyle name="_99광통신네트워크남구용현외1개소_파워콤간이공사관련_한미은행본사_한미은행2_통합국사트레이" xfId="1115" xr:uid="{00000000-0005-0000-0000-000074040000}"/>
    <cellStyle name="_99광통신네트워크남구용현외1개소_파워콤간이공사관련_한미은행본사_한미은행2_통합국사트레이 2" xfId="1116" xr:uid="{00000000-0005-0000-0000-000075040000}"/>
    <cellStyle name="_99광통신네트워크남구용현외1개소_파워콤간이공사관련_한미은행본사_한미은행본사" xfId="1117" xr:uid="{00000000-0005-0000-0000-000076040000}"/>
    <cellStyle name="_99광통신네트워크남구용현외1개소_파워콤간이공사관련_한미은행본사_한미은행본사 2" xfId="1118" xr:uid="{00000000-0005-0000-0000-000077040000}"/>
    <cellStyle name="_99광통신네트워크남구용현외1개소_파워콤간이공사관련_한미은행본사_한미은행본사_견적" xfId="1119" xr:uid="{00000000-0005-0000-0000-000078040000}"/>
    <cellStyle name="_99광통신네트워크남구용현외1개소_파워콤간이공사관련_한미은행본사_한미은행본사_견적 2" xfId="1120" xr:uid="{00000000-0005-0000-0000-000079040000}"/>
    <cellStyle name="_99광통신네트워크남구용현외1개소_파워콤간이공사관련_한미은행본사_한미은행본사_통합국사트레이" xfId="1121" xr:uid="{00000000-0005-0000-0000-00007A040000}"/>
    <cellStyle name="_99광통신네트워크남구용현외1개소_파워콤간이공사관련_한미은행본사_한미은행본사_통합국사트레이 2" xfId="1122" xr:uid="{00000000-0005-0000-0000-00007B040000}"/>
    <cellStyle name="_99광통신네트워크남구용현외1개소_파워콤간이공사관련_한미은행본사_한미은행본사1" xfId="1123" xr:uid="{00000000-0005-0000-0000-00007C040000}"/>
    <cellStyle name="_99광통신네트워크남구용현외1개소_파워콤간이공사관련_한미은행본사_한미은행본사1 2" xfId="1124" xr:uid="{00000000-0005-0000-0000-00007D040000}"/>
    <cellStyle name="_99광통신네트워크남구용현외1개소_파워콤간이공사관련_한미은행본사_한미은행본사1_견적" xfId="1125" xr:uid="{00000000-0005-0000-0000-00007E040000}"/>
    <cellStyle name="_99광통신네트워크남구용현외1개소_파워콤간이공사관련_한미은행본사_한미은행본사1_견적 2" xfId="1126" xr:uid="{00000000-0005-0000-0000-00007F040000}"/>
    <cellStyle name="_99광통신네트워크남구용현외1개소_파워콤간이공사관련_한미은행본사_한미은행본사1_통합국사트레이" xfId="1127" xr:uid="{00000000-0005-0000-0000-000080040000}"/>
    <cellStyle name="_99광통신네트워크남구용현외1개소_파워콤간이공사관련_한미은행본사_한미은행본사1_통합국사트레이 2" xfId="1128" xr:uid="{00000000-0005-0000-0000-000081040000}"/>
    <cellStyle name="_99광통신네트워크남구용현외1개소_파워콤간이공사관련_한미케이블" xfId="1129" xr:uid="{00000000-0005-0000-0000-000082040000}"/>
    <cellStyle name="_99광통신네트워크남구용현외1개소_파워콤간이공사관련_한미케이블 2" xfId="1130" xr:uid="{00000000-0005-0000-0000-000083040000}"/>
    <cellStyle name="_99광통신네트워크남구용현외1개소_파워콤간이공사관련_한미케이블_견적" xfId="1131" xr:uid="{00000000-0005-0000-0000-000084040000}"/>
    <cellStyle name="_99광통신네트워크남구용현외1개소_파워콤간이공사관련_한미케이블_견적 2" xfId="1132" xr:uid="{00000000-0005-0000-0000-000085040000}"/>
    <cellStyle name="_99광통신네트워크남구용현외1개소_파워콤간이공사관련_한미케이블_계양등7개소" xfId="1133" xr:uid="{00000000-0005-0000-0000-000086040000}"/>
    <cellStyle name="_99광통신네트워크남구용현외1개소_파워콤간이공사관련_한미케이블_계양등7개소 2" xfId="1134" xr:uid="{00000000-0005-0000-0000-000087040000}"/>
    <cellStyle name="_99광통신네트워크남구용현외1개소_파워콤간이공사관련_한미케이블_통합국사전원선" xfId="1135" xr:uid="{00000000-0005-0000-0000-000088040000}"/>
    <cellStyle name="_99광통신네트워크남구용현외1개소_파워콤간이공사관련_한미케이블_통합국사전원선 2" xfId="1136" xr:uid="{00000000-0005-0000-0000-000089040000}"/>
    <cellStyle name="_99광통신네트워크남구용현외1개소_파워콤간이공사관련_한미케이블_통합국사트레이" xfId="1137" xr:uid="{00000000-0005-0000-0000-00008A040000}"/>
    <cellStyle name="_99광통신네트워크남구용현외1개소_파워콤간이공사관련_한미케이블_통합국사트레이 2" xfId="1138" xr:uid="{00000000-0005-0000-0000-00008B040000}"/>
    <cellStyle name="_99광통신네트워크남구용현외1개소_파워콤간이공사관련_한미케이블_한미은행1" xfId="1139" xr:uid="{00000000-0005-0000-0000-00008C040000}"/>
    <cellStyle name="_99광통신네트워크남구용현외1개소_파워콤간이공사관련_한미케이블_한미은행1 2" xfId="1140" xr:uid="{00000000-0005-0000-0000-00008D040000}"/>
    <cellStyle name="_99광통신네트워크남구용현외1개소_파워콤간이공사관련_한미케이블_한미은행1_통합국사트레이" xfId="1141" xr:uid="{00000000-0005-0000-0000-00008E040000}"/>
    <cellStyle name="_99광통신네트워크남구용현외1개소_파워콤간이공사관련_한미케이블_한미은행1_통합국사트레이 2" xfId="1142" xr:uid="{00000000-0005-0000-0000-00008F040000}"/>
    <cellStyle name="_99광통신네트워크남구용현외1개소_파워콤간이공사관련_한미케이블_한미은행2" xfId="1143" xr:uid="{00000000-0005-0000-0000-000090040000}"/>
    <cellStyle name="_99광통신네트워크남구용현외1개소_파워콤간이공사관련_한미케이블_한미은행2 2" xfId="1144" xr:uid="{00000000-0005-0000-0000-000091040000}"/>
    <cellStyle name="_99광통신네트워크남구용현외1개소_파워콤간이공사관련_한미케이블_한미은행2_견적" xfId="1145" xr:uid="{00000000-0005-0000-0000-000092040000}"/>
    <cellStyle name="_99광통신네트워크남구용현외1개소_파워콤간이공사관련_한미케이블_한미은행2_견적 2" xfId="1146" xr:uid="{00000000-0005-0000-0000-000093040000}"/>
    <cellStyle name="_99광통신네트워크남구용현외1개소_파워콤간이공사관련_한미케이블_한미은행2_통합국사트레이" xfId="1147" xr:uid="{00000000-0005-0000-0000-000094040000}"/>
    <cellStyle name="_99광통신네트워크남구용현외1개소_파워콤간이공사관련_한미케이블_한미은행2_통합국사트레이 2" xfId="1148" xr:uid="{00000000-0005-0000-0000-000095040000}"/>
    <cellStyle name="_99광통신네트워크남구용현외1개소_파워콤간이공사관련_한미케이블_한미은행본사" xfId="1149" xr:uid="{00000000-0005-0000-0000-000096040000}"/>
    <cellStyle name="_99광통신네트워크남구용현외1개소_파워콤간이공사관련_한미케이블_한미은행본사 2" xfId="1150" xr:uid="{00000000-0005-0000-0000-000097040000}"/>
    <cellStyle name="_99광통신네트워크남구용현외1개소_파워콤간이공사관련_한미케이블_한미은행본사_견적" xfId="1151" xr:uid="{00000000-0005-0000-0000-000098040000}"/>
    <cellStyle name="_99광통신네트워크남구용현외1개소_파워콤간이공사관련_한미케이블_한미은행본사_견적 2" xfId="1152" xr:uid="{00000000-0005-0000-0000-000099040000}"/>
    <cellStyle name="_99광통신네트워크남구용현외1개소_파워콤간이공사관련_한미케이블_한미은행본사_통합국사트레이" xfId="1153" xr:uid="{00000000-0005-0000-0000-00009A040000}"/>
    <cellStyle name="_99광통신네트워크남구용현외1개소_파워콤간이공사관련_한미케이블_한미은행본사_통합국사트레이 2" xfId="1154" xr:uid="{00000000-0005-0000-0000-00009B040000}"/>
    <cellStyle name="_99광통신네트워크남구용현외1개소_파워콤간이공사관련_한미케이블_한미은행본사1" xfId="1155" xr:uid="{00000000-0005-0000-0000-00009C040000}"/>
    <cellStyle name="_99광통신네트워크남구용현외1개소_파워콤간이공사관련_한미케이블_한미은행본사1 2" xfId="1156" xr:uid="{00000000-0005-0000-0000-00009D040000}"/>
    <cellStyle name="_99광통신네트워크남구용현외1개소_파워콤간이공사관련_한미케이블_한미은행본사1_견적" xfId="1157" xr:uid="{00000000-0005-0000-0000-00009E040000}"/>
    <cellStyle name="_99광통신네트워크남구용현외1개소_파워콤간이공사관련_한미케이블_한미은행본사1_견적 2" xfId="1158" xr:uid="{00000000-0005-0000-0000-00009F040000}"/>
    <cellStyle name="_99광통신네트워크남구용현외1개소_파워콤간이공사관련_한미케이블_한미은행본사1_통합국사트레이" xfId="1159" xr:uid="{00000000-0005-0000-0000-0000A0040000}"/>
    <cellStyle name="_99광통신네트워크남구용현외1개소_파워콤간이공사관련_한미케이블_한미은행본사1_통합국사트레이 2" xfId="1160" xr:uid="{00000000-0005-0000-0000-0000A1040000}"/>
    <cellStyle name="_99광통신시흥방산" xfId="1161" xr:uid="{00000000-0005-0000-0000-0000A2040000}"/>
    <cellStyle name="_99광통신시흥방산 2" xfId="1162" xr:uid="{00000000-0005-0000-0000-0000A3040000}"/>
    <cellStyle name="_99광통신시흥방산_1" xfId="1163" xr:uid="{00000000-0005-0000-0000-0000A4040000}"/>
    <cellStyle name="_99광통신시흥방산_1 2" xfId="1164" xr:uid="{00000000-0005-0000-0000-0000A5040000}"/>
    <cellStyle name="_99광통신시흥방산_1_견적" xfId="1165" xr:uid="{00000000-0005-0000-0000-0000A6040000}"/>
    <cellStyle name="_99광통신시흥방산_1_견적 2" xfId="1166" xr:uid="{00000000-0005-0000-0000-0000A7040000}"/>
    <cellStyle name="_99광통신시흥방산_1_통합국사트레이" xfId="1167" xr:uid="{00000000-0005-0000-0000-0000A8040000}"/>
    <cellStyle name="_99광통신시흥방산_1_통합국사트레이 2" xfId="1168" xr:uid="{00000000-0005-0000-0000-0000A9040000}"/>
    <cellStyle name="_99광통신시흥방산_1_한미우석" xfId="1169" xr:uid="{00000000-0005-0000-0000-0000AA040000}"/>
    <cellStyle name="_99광통신시흥방산_1_한미우석 2" xfId="1170" xr:uid="{00000000-0005-0000-0000-0000AB040000}"/>
    <cellStyle name="_99광통신시흥방산_1_한미우석_견적" xfId="1171" xr:uid="{00000000-0005-0000-0000-0000AC040000}"/>
    <cellStyle name="_99광통신시흥방산_1_한미우석_견적 2" xfId="1172" xr:uid="{00000000-0005-0000-0000-0000AD040000}"/>
    <cellStyle name="_99광통신시흥방산_1_한미우석_계양등7개소" xfId="1173" xr:uid="{00000000-0005-0000-0000-0000AE040000}"/>
    <cellStyle name="_99광통신시흥방산_1_한미우석_계양등7개소 2" xfId="1174" xr:uid="{00000000-0005-0000-0000-0000AF040000}"/>
    <cellStyle name="_99광통신시흥방산_1_한미우석_통합국사전원선" xfId="1175" xr:uid="{00000000-0005-0000-0000-0000B0040000}"/>
    <cellStyle name="_99광통신시흥방산_1_한미우석_통합국사전원선 2" xfId="1176" xr:uid="{00000000-0005-0000-0000-0000B1040000}"/>
    <cellStyle name="_99광통신시흥방산_1_한미우석_통합국사트레이" xfId="1177" xr:uid="{00000000-0005-0000-0000-0000B2040000}"/>
    <cellStyle name="_99광통신시흥방산_1_한미우석_통합국사트레이 2" xfId="1178" xr:uid="{00000000-0005-0000-0000-0000B3040000}"/>
    <cellStyle name="_99광통신시흥방산_1_한미우석_한미은행1" xfId="1179" xr:uid="{00000000-0005-0000-0000-0000B4040000}"/>
    <cellStyle name="_99광통신시흥방산_1_한미우석_한미은행1 2" xfId="1180" xr:uid="{00000000-0005-0000-0000-0000B5040000}"/>
    <cellStyle name="_99광통신시흥방산_1_한미우석_한미은행1_통합국사트레이" xfId="1181" xr:uid="{00000000-0005-0000-0000-0000B6040000}"/>
    <cellStyle name="_99광통신시흥방산_1_한미우석_한미은행1_통합국사트레이 2" xfId="1182" xr:uid="{00000000-0005-0000-0000-0000B7040000}"/>
    <cellStyle name="_99광통신시흥방산_1_한미우석_한미은행2" xfId="1183" xr:uid="{00000000-0005-0000-0000-0000B8040000}"/>
    <cellStyle name="_99광통신시흥방산_1_한미우석_한미은행2 2" xfId="1184" xr:uid="{00000000-0005-0000-0000-0000B9040000}"/>
    <cellStyle name="_99광통신시흥방산_1_한미우석_한미은행2_견적" xfId="1185" xr:uid="{00000000-0005-0000-0000-0000BA040000}"/>
    <cellStyle name="_99광통신시흥방산_1_한미우석_한미은행2_견적 2" xfId="1186" xr:uid="{00000000-0005-0000-0000-0000BB040000}"/>
    <cellStyle name="_99광통신시흥방산_1_한미우석_한미은행2_통합국사트레이" xfId="1187" xr:uid="{00000000-0005-0000-0000-0000BC040000}"/>
    <cellStyle name="_99광통신시흥방산_1_한미우석_한미은행2_통합국사트레이 2" xfId="1188" xr:uid="{00000000-0005-0000-0000-0000BD040000}"/>
    <cellStyle name="_99광통신시흥방산_1_한미우석_한미은행본사" xfId="1189" xr:uid="{00000000-0005-0000-0000-0000BE040000}"/>
    <cellStyle name="_99광통신시흥방산_1_한미우석_한미은행본사 2" xfId="1190" xr:uid="{00000000-0005-0000-0000-0000BF040000}"/>
    <cellStyle name="_99광통신시흥방산_1_한미우석_한미은행본사_견적" xfId="1191" xr:uid="{00000000-0005-0000-0000-0000C0040000}"/>
    <cellStyle name="_99광통신시흥방산_1_한미우석_한미은행본사_견적 2" xfId="1192" xr:uid="{00000000-0005-0000-0000-0000C1040000}"/>
    <cellStyle name="_99광통신시흥방산_1_한미우석_한미은행본사_통합국사트레이" xfId="1193" xr:uid="{00000000-0005-0000-0000-0000C2040000}"/>
    <cellStyle name="_99광통신시흥방산_1_한미우석_한미은행본사_통합국사트레이 2" xfId="1194" xr:uid="{00000000-0005-0000-0000-0000C3040000}"/>
    <cellStyle name="_99광통신시흥방산_1_한미우석_한미은행본사1" xfId="1195" xr:uid="{00000000-0005-0000-0000-0000C4040000}"/>
    <cellStyle name="_99광통신시흥방산_1_한미우석_한미은행본사1 2" xfId="1196" xr:uid="{00000000-0005-0000-0000-0000C5040000}"/>
    <cellStyle name="_99광통신시흥방산_1_한미우석_한미은행본사1_견적" xfId="1197" xr:uid="{00000000-0005-0000-0000-0000C6040000}"/>
    <cellStyle name="_99광통신시흥방산_1_한미우석_한미은행본사1_견적 2" xfId="1198" xr:uid="{00000000-0005-0000-0000-0000C7040000}"/>
    <cellStyle name="_99광통신시흥방산_1_한미우석_한미은행본사1_통합국사트레이" xfId="1199" xr:uid="{00000000-0005-0000-0000-0000C8040000}"/>
    <cellStyle name="_99광통신시흥방산_1_한미우석_한미은행본사1_통합국사트레이 2" xfId="1200" xr:uid="{00000000-0005-0000-0000-0000C9040000}"/>
    <cellStyle name="_99광통신시흥방산_1_한미은행본사" xfId="1201" xr:uid="{00000000-0005-0000-0000-0000CA040000}"/>
    <cellStyle name="_99광통신시흥방산_1_한미은행본사 2" xfId="1202" xr:uid="{00000000-0005-0000-0000-0000CB040000}"/>
    <cellStyle name="_99광통신시흥방산_1_한미은행본사_견적" xfId="1203" xr:uid="{00000000-0005-0000-0000-0000CC040000}"/>
    <cellStyle name="_99광통신시흥방산_1_한미은행본사_견적 2" xfId="1204" xr:uid="{00000000-0005-0000-0000-0000CD040000}"/>
    <cellStyle name="_99광통신시흥방산_1_한미은행본사_계양등7개소" xfId="1205" xr:uid="{00000000-0005-0000-0000-0000CE040000}"/>
    <cellStyle name="_99광통신시흥방산_1_한미은행본사_계양등7개소 2" xfId="1206" xr:uid="{00000000-0005-0000-0000-0000CF040000}"/>
    <cellStyle name="_99광통신시흥방산_1_한미은행본사_통합국사전원선" xfId="1207" xr:uid="{00000000-0005-0000-0000-0000D0040000}"/>
    <cellStyle name="_99광통신시흥방산_1_한미은행본사_통합국사전원선 2" xfId="1208" xr:uid="{00000000-0005-0000-0000-0000D1040000}"/>
    <cellStyle name="_99광통신시흥방산_1_한미은행본사_통합국사트레이" xfId="1209" xr:uid="{00000000-0005-0000-0000-0000D2040000}"/>
    <cellStyle name="_99광통신시흥방산_1_한미은행본사_통합국사트레이 2" xfId="1210" xr:uid="{00000000-0005-0000-0000-0000D3040000}"/>
    <cellStyle name="_99광통신시흥방산_1_한미은행본사_한미은행1" xfId="1211" xr:uid="{00000000-0005-0000-0000-0000D4040000}"/>
    <cellStyle name="_99광통신시흥방산_1_한미은행본사_한미은행1 2" xfId="1212" xr:uid="{00000000-0005-0000-0000-0000D5040000}"/>
    <cellStyle name="_99광통신시흥방산_1_한미은행본사_한미은행1_통합국사트레이" xfId="1213" xr:uid="{00000000-0005-0000-0000-0000D6040000}"/>
    <cellStyle name="_99광통신시흥방산_1_한미은행본사_한미은행1_통합국사트레이 2" xfId="1214" xr:uid="{00000000-0005-0000-0000-0000D7040000}"/>
    <cellStyle name="_99광통신시흥방산_1_한미은행본사_한미은행2" xfId="1215" xr:uid="{00000000-0005-0000-0000-0000D8040000}"/>
    <cellStyle name="_99광통신시흥방산_1_한미은행본사_한미은행2 2" xfId="1216" xr:uid="{00000000-0005-0000-0000-0000D9040000}"/>
    <cellStyle name="_99광통신시흥방산_1_한미은행본사_한미은행2_견적" xfId="1217" xr:uid="{00000000-0005-0000-0000-0000DA040000}"/>
    <cellStyle name="_99광통신시흥방산_1_한미은행본사_한미은행2_견적 2" xfId="1218" xr:uid="{00000000-0005-0000-0000-0000DB040000}"/>
    <cellStyle name="_99광통신시흥방산_1_한미은행본사_한미은행2_통합국사트레이" xfId="1219" xr:uid="{00000000-0005-0000-0000-0000DC040000}"/>
    <cellStyle name="_99광통신시흥방산_1_한미은행본사_한미은행2_통합국사트레이 2" xfId="1220" xr:uid="{00000000-0005-0000-0000-0000DD040000}"/>
    <cellStyle name="_99광통신시흥방산_1_한미은행본사_한미은행본사" xfId="1221" xr:uid="{00000000-0005-0000-0000-0000DE040000}"/>
    <cellStyle name="_99광통신시흥방산_1_한미은행본사_한미은행본사 2" xfId="1222" xr:uid="{00000000-0005-0000-0000-0000DF040000}"/>
    <cellStyle name="_99광통신시흥방산_1_한미은행본사_한미은행본사_견적" xfId="1223" xr:uid="{00000000-0005-0000-0000-0000E0040000}"/>
    <cellStyle name="_99광통신시흥방산_1_한미은행본사_한미은행본사_견적 2" xfId="1224" xr:uid="{00000000-0005-0000-0000-0000E1040000}"/>
    <cellStyle name="_99광통신시흥방산_1_한미은행본사_한미은행본사_통합국사트레이" xfId="1225" xr:uid="{00000000-0005-0000-0000-0000E2040000}"/>
    <cellStyle name="_99광통신시흥방산_1_한미은행본사_한미은행본사_통합국사트레이 2" xfId="1226" xr:uid="{00000000-0005-0000-0000-0000E3040000}"/>
    <cellStyle name="_99광통신시흥방산_1_한미은행본사_한미은행본사1" xfId="1227" xr:uid="{00000000-0005-0000-0000-0000E4040000}"/>
    <cellStyle name="_99광통신시흥방산_1_한미은행본사_한미은행본사1 2" xfId="1228" xr:uid="{00000000-0005-0000-0000-0000E5040000}"/>
    <cellStyle name="_99광통신시흥방산_1_한미은행본사_한미은행본사1_견적" xfId="1229" xr:uid="{00000000-0005-0000-0000-0000E6040000}"/>
    <cellStyle name="_99광통신시흥방산_1_한미은행본사_한미은행본사1_견적 2" xfId="1230" xr:uid="{00000000-0005-0000-0000-0000E7040000}"/>
    <cellStyle name="_99광통신시흥방산_1_한미은행본사_한미은행본사1_통합국사트레이" xfId="1231" xr:uid="{00000000-0005-0000-0000-0000E8040000}"/>
    <cellStyle name="_99광통신시흥방산_1_한미은행본사_한미은행본사1_통합국사트레이 2" xfId="1232" xr:uid="{00000000-0005-0000-0000-0000E9040000}"/>
    <cellStyle name="_99광통신시흥방산_1_한미케이블" xfId="1233" xr:uid="{00000000-0005-0000-0000-0000EA040000}"/>
    <cellStyle name="_99광통신시흥방산_1_한미케이블 2" xfId="1234" xr:uid="{00000000-0005-0000-0000-0000EB040000}"/>
    <cellStyle name="_99광통신시흥방산_1_한미케이블_견적" xfId="1235" xr:uid="{00000000-0005-0000-0000-0000EC040000}"/>
    <cellStyle name="_99광통신시흥방산_1_한미케이블_견적 2" xfId="1236" xr:uid="{00000000-0005-0000-0000-0000ED040000}"/>
    <cellStyle name="_99광통신시흥방산_1_한미케이블_계양등7개소" xfId="1237" xr:uid="{00000000-0005-0000-0000-0000EE040000}"/>
    <cellStyle name="_99광통신시흥방산_1_한미케이블_계양등7개소 2" xfId="1238" xr:uid="{00000000-0005-0000-0000-0000EF040000}"/>
    <cellStyle name="_99광통신시흥방산_1_한미케이블_통합국사전원선" xfId="1239" xr:uid="{00000000-0005-0000-0000-0000F0040000}"/>
    <cellStyle name="_99광통신시흥방산_1_한미케이블_통합국사전원선 2" xfId="1240" xr:uid="{00000000-0005-0000-0000-0000F1040000}"/>
    <cellStyle name="_99광통신시흥방산_1_한미케이블_통합국사트레이" xfId="1241" xr:uid="{00000000-0005-0000-0000-0000F2040000}"/>
    <cellStyle name="_99광통신시흥방산_1_한미케이블_통합국사트레이 2" xfId="1242" xr:uid="{00000000-0005-0000-0000-0000F3040000}"/>
    <cellStyle name="_99광통신시흥방산_1_한미케이블_한미은행1" xfId="1243" xr:uid="{00000000-0005-0000-0000-0000F4040000}"/>
    <cellStyle name="_99광통신시흥방산_1_한미케이블_한미은행1 2" xfId="1244" xr:uid="{00000000-0005-0000-0000-0000F5040000}"/>
    <cellStyle name="_99광통신시흥방산_1_한미케이블_한미은행1_통합국사트레이" xfId="1245" xr:uid="{00000000-0005-0000-0000-0000F6040000}"/>
    <cellStyle name="_99광통신시흥방산_1_한미케이블_한미은행1_통합국사트레이 2" xfId="1246" xr:uid="{00000000-0005-0000-0000-0000F7040000}"/>
    <cellStyle name="_99광통신시흥방산_1_한미케이블_한미은행2" xfId="1247" xr:uid="{00000000-0005-0000-0000-0000F8040000}"/>
    <cellStyle name="_99광통신시흥방산_1_한미케이블_한미은행2 2" xfId="1248" xr:uid="{00000000-0005-0000-0000-0000F9040000}"/>
    <cellStyle name="_99광통신시흥방산_1_한미케이블_한미은행2_견적" xfId="1249" xr:uid="{00000000-0005-0000-0000-0000FA040000}"/>
    <cellStyle name="_99광통신시흥방산_1_한미케이블_한미은행2_견적 2" xfId="1250" xr:uid="{00000000-0005-0000-0000-0000FB040000}"/>
    <cellStyle name="_99광통신시흥방산_1_한미케이블_한미은행2_통합국사트레이" xfId="1251" xr:uid="{00000000-0005-0000-0000-0000FC040000}"/>
    <cellStyle name="_99광통신시흥방산_1_한미케이블_한미은행2_통합국사트레이 2" xfId="1252" xr:uid="{00000000-0005-0000-0000-0000FD040000}"/>
    <cellStyle name="_99광통신시흥방산_1_한미케이블_한미은행본사" xfId="1253" xr:uid="{00000000-0005-0000-0000-0000FE040000}"/>
    <cellStyle name="_99광통신시흥방산_1_한미케이블_한미은행본사 2" xfId="1254" xr:uid="{00000000-0005-0000-0000-0000FF040000}"/>
    <cellStyle name="_99광통신시흥방산_1_한미케이블_한미은행본사_견적" xfId="1255" xr:uid="{00000000-0005-0000-0000-000000050000}"/>
    <cellStyle name="_99광통신시흥방산_1_한미케이블_한미은행본사_견적 2" xfId="1256" xr:uid="{00000000-0005-0000-0000-000001050000}"/>
    <cellStyle name="_99광통신시흥방산_1_한미케이블_한미은행본사_통합국사트레이" xfId="1257" xr:uid="{00000000-0005-0000-0000-000002050000}"/>
    <cellStyle name="_99광통신시흥방산_1_한미케이블_한미은행본사_통합국사트레이 2" xfId="1258" xr:uid="{00000000-0005-0000-0000-000003050000}"/>
    <cellStyle name="_99광통신시흥방산_1_한미케이블_한미은행본사1" xfId="1259" xr:uid="{00000000-0005-0000-0000-000004050000}"/>
    <cellStyle name="_99광통신시흥방산_1_한미케이블_한미은행본사1 2" xfId="1260" xr:uid="{00000000-0005-0000-0000-000005050000}"/>
    <cellStyle name="_99광통신시흥방산_1_한미케이블_한미은행본사1_견적" xfId="1261" xr:uid="{00000000-0005-0000-0000-000006050000}"/>
    <cellStyle name="_99광통신시흥방산_1_한미케이블_한미은행본사1_견적 2" xfId="1262" xr:uid="{00000000-0005-0000-0000-000007050000}"/>
    <cellStyle name="_99광통신시흥방산_1_한미케이블_한미은행본사1_통합국사트레이" xfId="1263" xr:uid="{00000000-0005-0000-0000-000008050000}"/>
    <cellStyle name="_99광통신시흥방산_1_한미케이블_한미은행본사1_통합국사트레이 2" xfId="1264" xr:uid="{00000000-0005-0000-0000-000009050000}"/>
    <cellStyle name="_99광통신시흥방산_2" xfId="1265" xr:uid="{00000000-0005-0000-0000-00000A050000}"/>
    <cellStyle name="_99광통신시흥방산_2 2" xfId="1266" xr:uid="{00000000-0005-0000-0000-00000B050000}"/>
    <cellStyle name="_99신현외1개소보강" xfId="1267" xr:uid="{00000000-0005-0000-0000-00000C050000}"/>
    <cellStyle name="_99신현외1개소보강 2" xfId="1268" xr:uid="{00000000-0005-0000-0000-00000D050000}"/>
    <cellStyle name="_9월소장단회의" xfId="16030" xr:uid="{00000000-0005-0000-0000-00000E050000}"/>
    <cellStyle name="_A,C부지 예산서" xfId="16031" xr:uid="{00000000-0005-0000-0000-00000F050000}"/>
    <cellStyle name="_acrovista 제출(검토)" xfId="1269" xr:uid="{00000000-0005-0000-0000-000010050000}"/>
    <cellStyle name="_acrovista 제출(검토) 2" xfId="1270" xr:uid="{00000000-0005-0000-0000-000011050000}"/>
    <cellStyle name="_AIG 본사 8층 07(1).04.05 3시" xfId="16032" xr:uid="{00000000-0005-0000-0000-000012050000}"/>
    <cellStyle name="_AIG 생명보험 대전지점 인테리어공사 (1028)" xfId="16033" xr:uid="{00000000-0005-0000-0000-000013050000}"/>
    <cellStyle name="_AIG 생명보험 분당지점 인테리어공사 (0822)-제출" xfId="16034" xr:uid="{00000000-0005-0000-0000-000014050000}"/>
    <cellStyle name="_AIG 생명보험 순천지점 인테리어공사 (1019)" xfId="16035" xr:uid="{00000000-0005-0000-0000-000015050000}"/>
    <cellStyle name="_AIG생명보험 강남#3 OFFICE 인테리어공사(1025)- 제출" xfId="16036" xr:uid="{00000000-0005-0000-0000-000016050000}"/>
    <cellStyle name="_AIG생명보험 강남지점 인테리어공사 - 제출(0822)" xfId="16037" xr:uid="{00000000-0005-0000-0000-000017050000}"/>
    <cellStyle name="_AIG생명보험 김해지점 인테리어공사(1028)" xfId="16038" xr:uid="{00000000-0005-0000-0000-000018050000}"/>
    <cellStyle name="_AIG생명보험 일산지점 인테리어공사(0526)" xfId="16039" xr:uid="{00000000-0005-0000-0000-000019050000}"/>
    <cellStyle name="_AV-1" xfId="1271" xr:uid="{00000000-0005-0000-0000-00001A050000}"/>
    <cellStyle name="_AV-1 2" xfId="1272" xr:uid="{00000000-0005-0000-0000-00001B050000}"/>
    <cellStyle name="_B&amp;S미디어(인하대)" xfId="1273" xr:uid="{00000000-0005-0000-0000-00001C050000}"/>
    <cellStyle name="_B&amp;S미디어(인하대) 2" xfId="1274" xr:uid="{00000000-0005-0000-0000-00001D050000}"/>
    <cellStyle name="_B(1).OQ 70402 AIG 서비스 임시사무실 파티션 전열공사." xfId="16040" xr:uid="{00000000-0005-0000-0000-00001E050000}"/>
    <cellStyle name="_Bid Form for GE1(Dawon) 050912" xfId="16041" xr:uid="{00000000-0005-0000-0000-00001F050000}"/>
    <cellStyle name="_Book1" xfId="1275" xr:uid="{00000000-0005-0000-0000-000020050000}"/>
    <cellStyle name="_Book1 2" xfId="1276" xr:uid="{00000000-0005-0000-0000-000021050000}"/>
    <cellStyle name="_Book2" xfId="1277" xr:uid="{00000000-0005-0000-0000-000022050000}"/>
    <cellStyle name="_Book2 2" xfId="1278" xr:uid="{00000000-0005-0000-0000-000023050000}"/>
    <cellStyle name="_Book3" xfId="16042" xr:uid="{00000000-0005-0000-0000-000024050000}"/>
    <cellStyle name="_BOQ-AIG 생명보험 순천지점 인테리어공사 (1009)" xfId="16043" xr:uid="{00000000-0005-0000-0000-000025050000}"/>
    <cellStyle name="_Cisco_spec(To_LGCNS) 견적" xfId="1279" xr:uid="{00000000-0005-0000-0000-000026050000}"/>
    <cellStyle name="_Cisco_spec(To_LGCNS) 견적 2" xfId="1280" xr:uid="{00000000-0005-0000-0000-000027050000}"/>
    <cellStyle name="_cover" xfId="16044" xr:uid="{00000000-0005-0000-0000-000028050000}"/>
    <cellStyle name="_DATA저장시스템물량내역서_광암06" xfId="1281" xr:uid="{00000000-0005-0000-0000-000029050000}"/>
    <cellStyle name="_DATA저장시스템물량내역서_광암06 2" xfId="1282" xr:uid="{00000000-0005-0000-0000-00002A050000}"/>
    <cellStyle name="_DATA저장시스템물량내역서_광암06_3_DATA 통합운영 시스템 내역서_421" xfId="1283" xr:uid="{00000000-0005-0000-0000-00002B050000}"/>
    <cellStyle name="_DATA저장시스템물량내역서_광암06_3_DATA 통합운영 시스템 내역서_421 2" xfId="1284" xr:uid="{00000000-0005-0000-0000-00002C050000}"/>
    <cellStyle name="_DATA저장시스템물량내역서_광암06_3_DATA 통합운영 시스템 내역서_421_계약내역-관급-총괄" xfId="1285" xr:uid="{00000000-0005-0000-0000-00002D050000}"/>
    <cellStyle name="_DATA저장시스템물량내역서_광암06_3_DATA 통합운영 시스템 내역서_421_계약내역-관급-총괄 2" xfId="1286" xr:uid="{00000000-0005-0000-0000-00002E050000}"/>
    <cellStyle name="_DATA저장시스템물량내역서_광암06_3_자양취수장 내역서3" xfId="1287" xr:uid="{00000000-0005-0000-0000-00002F050000}"/>
    <cellStyle name="_DATA저장시스템물량내역서_광암06_3_자양취수장 내역서3 2" xfId="1288" xr:uid="{00000000-0005-0000-0000-000030050000}"/>
    <cellStyle name="_DATA저장시스템물량내역서_광암06_3_자양취수장 내역서3_계약내역-관급-총괄" xfId="1289" xr:uid="{00000000-0005-0000-0000-000031050000}"/>
    <cellStyle name="_DATA저장시스템물량내역서_광암06_3_자양취수장 내역서3_계약내역-관급-총괄 2" xfId="1290" xr:uid="{00000000-0005-0000-0000-000032050000}"/>
    <cellStyle name="_DATA저장시스템물량내역서_광암06_계약내역-관급-총괄" xfId="1291" xr:uid="{00000000-0005-0000-0000-000033050000}"/>
    <cellStyle name="_DATA저장시스템물량내역서_광암06_계약내역-관급-총괄 2" xfId="1292" xr:uid="{00000000-0005-0000-0000-000034050000}"/>
    <cellStyle name="_EL" xfId="1293" xr:uid="{00000000-0005-0000-0000-000035050000}"/>
    <cellStyle name="_EL 2" xfId="1294" xr:uid="{00000000-0005-0000-0000-000036050000}"/>
    <cellStyle name="_fax양식" xfId="1295" xr:uid="{00000000-0005-0000-0000-000037050000}"/>
    <cellStyle name="_fax양식 2" xfId="1296" xr:uid="{00000000-0005-0000-0000-000038050000}"/>
    <cellStyle name="_FCST (2)" xfId="16045" xr:uid="{00000000-0005-0000-0000-000039050000}"/>
    <cellStyle name="_IM-1" xfId="1297" xr:uid="{00000000-0005-0000-0000-00003A050000}"/>
    <cellStyle name="_IM-1 2" xfId="1298" xr:uid="{00000000-0005-0000-0000-00003B050000}"/>
    <cellStyle name="_KBS홀(전동마이크교체)예산안" xfId="1299" xr:uid="{00000000-0005-0000-0000-00003C050000}"/>
    <cellStyle name="_LG전자 가산종합연구단지 시스템통합산출내역서-도면 변경에 따른 내역 변경에 의함(2005.10.31)" xfId="1300" xr:uid="{00000000-0005-0000-0000-00003D050000}"/>
    <cellStyle name="_LG전자 가산종합연구단지 시스템통합산출내역서-도면 변경에 따른 내역 변경에 의함(2005.10.31) 2" xfId="1301" xr:uid="{00000000-0005-0000-0000-00003E050000}"/>
    <cellStyle name="_LG전자 가산종합연구단지 통합SI 견적_실행" xfId="1302" xr:uid="{00000000-0005-0000-0000-00003F050000}"/>
    <cellStyle name="_LG전자 가산종합연구단지 통합SI 견적_실행 2" xfId="1303" xr:uid="{00000000-0005-0000-0000-000040050000}"/>
    <cellStyle name="_MCC및분전반" xfId="1304" xr:uid="{00000000-0005-0000-0000-000041050000}"/>
    <cellStyle name="_MCC및분전반 2" xfId="1305" xr:uid="{00000000-0005-0000-0000-000042050000}"/>
    <cellStyle name="_mw" xfId="1306" xr:uid="{00000000-0005-0000-0000-000043050000}"/>
    <cellStyle name="_mw 2" xfId="1307" xr:uid="{00000000-0005-0000-0000-000044050000}"/>
    <cellStyle name="_port" xfId="1308" xr:uid="{00000000-0005-0000-0000-000045050000}"/>
    <cellStyle name="_port 2" xfId="1309" xr:uid="{00000000-0005-0000-0000-000046050000}"/>
    <cellStyle name="_R3VOD_공사_추가견적서_SMT061010" xfId="1310" xr:uid="{00000000-0005-0000-0000-000047050000}"/>
    <cellStyle name="_R3VOD_공사_추가견적서_SMT061010 2" xfId="1311" xr:uid="{00000000-0005-0000-0000-000048050000}"/>
    <cellStyle name="_R3VOD_시스템_견적서_SMT060615" xfId="1312" xr:uid="{00000000-0005-0000-0000-000049050000}"/>
    <cellStyle name="_R3VOD_시스템_견적서_SMT060615 2" xfId="1313" xr:uid="{00000000-0005-0000-0000-00004A050000}"/>
    <cellStyle name="_RESULTS" xfId="1314" xr:uid="{00000000-0005-0000-0000-00004B050000}"/>
    <cellStyle name="_RESULTS 2" xfId="1315" xr:uid="{00000000-0005-0000-0000-00004C050000}"/>
    <cellStyle name="_Sheet1" xfId="1316" xr:uid="{00000000-0005-0000-0000-00004D050000}"/>
    <cellStyle name="_Sheet1 2" xfId="1317" xr:uid="{00000000-0005-0000-0000-00004E050000}"/>
    <cellStyle name="_Sheet1_1" xfId="1318" xr:uid="{00000000-0005-0000-0000-00004F050000}"/>
    <cellStyle name="_Sheet1_1 2" xfId="1319" xr:uid="{00000000-0005-0000-0000-000050050000}"/>
    <cellStyle name="_Sheet2" xfId="1320" xr:uid="{00000000-0005-0000-0000-000051050000}"/>
    <cellStyle name="_Sheet2 2" xfId="1321" xr:uid="{00000000-0005-0000-0000-000052050000}"/>
    <cellStyle name="_Sheet2_1" xfId="1322" xr:uid="{00000000-0005-0000-0000-000053050000}"/>
    <cellStyle name="_Sheet2_1 2" xfId="1323" xr:uid="{00000000-0005-0000-0000-000054050000}"/>
    <cellStyle name="_Sheet3" xfId="1324" xr:uid="{00000000-0005-0000-0000-000055050000}"/>
    <cellStyle name="_Sheet3 2" xfId="1325" xr:uid="{00000000-0005-0000-0000-000056050000}"/>
    <cellStyle name="_Sheet3_1" xfId="1326" xr:uid="{00000000-0005-0000-0000-000057050000}"/>
    <cellStyle name="_Sheet3_1 2" xfId="1327" xr:uid="{00000000-0005-0000-0000-000058050000}"/>
    <cellStyle name="_SK 판교탈레시스 CCTV 견적서(명신원본_080820)" xfId="1328" xr:uid="{00000000-0005-0000-0000-000059050000}"/>
    <cellStyle name="_SK건설추정견적" xfId="1329" xr:uid="{00000000-0005-0000-0000-00005A050000}"/>
    <cellStyle name="_SK건설추정견적 2" xfId="1330" xr:uid="{00000000-0005-0000-0000-00005B050000}"/>
    <cellStyle name="_ss" xfId="1331" xr:uid="{00000000-0005-0000-0000-00005C050000}"/>
    <cellStyle name="_ss 2" xfId="1332" xr:uid="{00000000-0005-0000-0000-00005D050000}"/>
    <cellStyle name="_tm견적" xfId="1333" xr:uid="{00000000-0005-0000-0000-00005E050000}"/>
    <cellStyle name="_tm견적 2" xfId="1334" xr:uid="{00000000-0005-0000-0000-00005F050000}"/>
    <cellStyle name="_utla 대전1-2" xfId="1335" xr:uid="{00000000-0005-0000-0000-000060050000}"/>
    <cellStyle name="_Virus" xfId="1336" xr:uid="{00000000-0005-0000-0000-000061050000}"/>
    <cellStyle name="_Virus 2" xfId="1337" xr:uid="{00000000-0005-0000-0000-000062050000}"/>
    <cellStyle name="_X" xfId="16046" xr:uid="{00000000-0005-0000-0000-000063050000}"/>
    <cellStyle name="_가로등+점검등산출" xfId="16047" xr:uid="{00000000-0005-0000-0000-000064050000}"/>
    <cellStyle name="_가산동" xfId="1338" xr:uid="{00000000-0005-0000-0000-000065050000}"/>
    <cellStyle name="_가산동 2" xfId="1339" xr:uid="{00000000-0005-0000-0000-000066050000}"/>
    <cellStyle name="_갑지(1221)" xfId="16048" xr:uid="{00000000-0005-0000-0000-000067050000}"/>
    <cellStyle name="_갑지(총)" xfId="16049" xr:uid="{00000000-0005-0000-0000-000068050000}"/>
    <cellStyle name="_갑지양식" xfId="1340" xr:uid="{00000000-0005-0000-0000-000069050000}"/>
    <cellStyle name="_갑지양식 2" xfId="1341" xr:uid="{00000000-0005-0000-0000-00006A050000}"/>
    <cellStyle name="_강과장(Fronnix,설계가1126)" xfId="16050" xr:uid="{00000000-0005-0000-0000-00006B050000}"/>
    <cellStyle name="_강릉e-mart" xfId="1342" xr:uid="{00000000-0005-0000-0000-00006C050000}"/>
    <cellStyle name="_강릉e-mart 2" xfId="1343" xr:uid="{00000000-0005-0000-0000-00006D050000}"/>
    <cellStyle name="_강릉남산교-제출본" xfId="1344" xr:uid="{00000000-0005-0000-0000-00006E050000}"/>
    <cellStyle name="_강릉남산교-제출본 2" xfId="1345" xr:uid="{00000000-0005-0000-0000-00006F050000}"/>
    <cellStyle name="_개소별(본설계신설 익산~초강)-01준공" xfId="16051" xr:uid="{00000000-0005-0000-0000-000070050000}"/>
    <cellStyle name="_개신초등학교 다목적강당 방송설비" xfId="1346" xr:uid="{00000000-0005-0000-0000-000071050000}"/>
    <cellStyle name="_개요" xfId="16052" xr:uid="{00000000-0005-0000-0000-000072050000}"/>
    <cellStyle name="_개요(봉림)-참고용" xfId="16053" xr:uid="{00000000-0005-0000-0000-000073050000}"/>
    <cellStyle name="_개요(봉림)-최종" xfId="16054" xr:uid="{00000000-0005-0000-0000-000074050000}"/>
    <cellStyle name="_개요(주안-인천)" xfId="16055" xr:uid="{00000000-0005-0000-0000-000075050000}"/>
    <cellStyle name="_거게관광호텔 일위대가" xfId="1347" xr:uid="{00000000-0005-0000-0000-000076050000}"/>
    <cellStyle name="_거창군공설운동장1203" xfId="1348" xr:uid="{00000000-0005-0000-0000-000077050000}"/>
    <cellStyle name="_건물내역비교" xfId="1349" xr:uid="{00000000-0005-0000-0000-000078050000}"/>
    <cellStyle name="_건물내역비교 2" xfId="1350" xr:uid="{00000000-0005-0000-0000-000079050000}"/>
    <cellStyle name="_견적" xfId="1351" xr:uid="{00000000-0005-0000-0000-00007A050000}"/>
    <cellStyle name="_견적 - T-PROJECT 홍보관_071019-최종-1" xfId="16056" xr:uid="{00000000-0005-0000-0000-00007B050000}"/>
    <cellStyle name="_견적 2" xfId="1352" xr:uid="{00000000-0005-0000-0000-00007C050000}"/>
    <cellStyle name="_견적(LAN_양동)_060302T" xfId="1353" xr:uid="{00000000-0005-0000-0000-00007D050000}"/>
    <cellStyle name="_견적(LAN_양동)_060302T 2" xfId="1354" xr:uid="{00000000-0005-0000-0000-00007E050000}"/>
    <cellStyle name="_견적(LAN-Cisco외_LGE서초R&amp;D)_060913T" xfId="1355" xr:uid="{00000000-0005-0000-0000-00007F050000}"/>
    <cellStyle name="_견적(LAN-Cisco외_LGE서초R&amp;D)_060913T 2" xfId="1356" xr:uid="{00000000-0005-0000-0000-000080050000}"/>
    <cellStyle name="_견적_요청서" xfId="1357" xr:uid="{00000000-0005-0000-0000-000081050000}"/>
    <cellStyle name="_견적_요청서 2" xfId="1358" xr:uid="{00000000-0005-0000-0000-000082050000}"/>
    <cellStyle name="_견적비교" xfId="1359" xr:uid="{00000000-0005-0000-0000-000083050000}"/>
    <cellStyle name="_견적비교 2" xfId="1360" xr:uid="{00000000-0005-0000-0000-000084050000}"/>
    <cellStyle name="_견적샘플" xfId="1361" xr:uid="{00000000-0005-0000-0000-000085050000}"/>
    <cellStyle name="_견적서 Cable(울산대병원_한국네트워크)" xfId="1362" xr:uid="{00000000-0005-0000-0000-000086050000}"/>
    <cellStyle name="_견적서 Cable(울산대병원_한국네트워크) 2" xfId="1363" xr:uid="{00000000-0005-0000-0000-000087050000}"/>
    <cellStyle name="_견적서 Cable(울산대병원_한국네트워크)2" xfId="1364" xr:uid="{00000000-0005-0000-0000-000088050000}"/>
    <cellStyle name="_견적서 Cable(울산대병원_한국네트워크)2 2" xfId="1365" xr:uid="{00000000-0005-0000-0000-000089050000}"/>
    <cellStyle name="_견적서 양식" xfId="1366" xr:uid="{00000000-0005-0000-0000-00008A050000}"/>
    <cellStyle name="_견적서 양식 2" xfId="1367" xr:uid="{00000000-0005-0000-0000-00008B050000}"/>
    <cellStyle name="_견적서 케이블공사(서울대병원_포어링크)" xfId="1368" xr:uid="{00000000-0005-0000-0000-00008C050000}"/>
    <cellStyle name="_견적서 케이블공사(서울대병원_포어링크) 2" xfId="1369" xr:uid="{00000000-0005-0000-0000-00008D050000}"/>
    <cellStyle name="_견적서 케이블공사(서울대병원2_포어링크_517Node)" xfId="1370" xr:uid="{00000000-0005-0000-0000-00008E050000}"/>
    <cellStyle name="_견적서 케이블공사(서울대병원2_포어링크_517Node) 2" xfId="1371" xr:uid="{00000000-0005-0000-0000-00008F050000}"/>
    <cellStyle name="_견적서(1014)" xfId="16057" xr:uid="{00000000-0005-0000-0000-000090050000}"/>
    <cellStyle name="_견적서(5월14일)" xfId="1372" xr:uid="{00000000-0005-0000-0000-000091050000}"/>
    <cellStyle name="_견적서(5월14일) 2" xfId="1373" xr:uid="{00000000-0005-0000-0000-000092050000}"/>
    <cellStyle name="_견적서(한국경제정책연구소)-20050128" xfId="16058" xr:uid="{00000000-0005-0000-0000-000093050000}"/>
    <cellStyle name="_견적서-0213-CACC" xfId="16059" xr:uid="{00000000-0005-0000-0000-000094050000}"/>
    <cellStyle name="_견적서갑지양식" xfId="1374" xr:uid="{00000000-0005-0000-0000-000095050000}"/>
    <cellStyle name="_견적서갑지양식 2" xfId="1375" xr:uid="{00000000-0005-0000-0000-000096050000}"/>
    <cellStyle name="_견적서양식" xfId="1376" xr:uid="{00000000-0005-0000-0000-000097050000}"/>
    <cellStyle name="_견적서양식 2" xfId="1377" xr:uid="{00000000-0005-0000-0000-000098050000}"/>
    <cellStyle name="_견적서-제출용0325-서울시" xfId="16061" xr:uid="{00000000-0005-0000-0000-000099050000}"/>
    <cellStyle name="_경북031002" xfId="16062" xr:uid="{00000000-0005-0000-0000-00009A050000}"/>
    <cellStyle name="_계량기내역서" xfId="1378" xr:uid="{00000000-0005-0000-0000-00009B050000}"/>
    <cellStyle name="_계량기내역서 2" xfId="1379" xr:uid="{00000000-0005-0000-0000-00009C050000}"/>
    <cellStyle name="_계약내역" xfId="1380" xr:uid="{00000000-0005-0000-0000-00009D050000}"/>
    <cellStyle name="_계약내역 2" xfId="1381" xr:uid="{00000000-0005-0000-0000-00009E050000}"/>
    <cellStyle name="_계약내역-관급-총괄" xfId="1382" xr:uid="{00000000-0005-0000-0000-00009F050000}"/>
    <cellStyle name="_계약내역-관급-총괄 2" xfId="1383" xr:uid="{00000000-0005-0000-0000-0000A0050000}"/>
    <cellStyle name="_계원정산건(최종)" xfId="1384" xr:uid="{00000000-0005-0000-0000-0000A1050000}"/>
    <cellStyle name="_계원정산건(최종) 2" xfId="1385" xr:uid="{00000000-0005-0000-0000-0000A2050000}"/>
    <cellStyle name="_계장(SK)" xfId="1386" xr:uid="{00000000-0005-0000-0000-0000A3050000}"/>
    <cellStyle name="_계장(SK) 2" xfId="1387" xr:uid="{00000000-0005-0000-0000-0000A4050000}"/>
    <cellStyle name="_고대100주년(산출)" xfId="1388" xr:uid="{00000000-0005-0000-0000-0000A5050000}"/>
    <cellStyle name="_고대100주년(산출) 2" xfId="1389" xr:uid="{00000000-0005-0000-0000-0000A6050000}"/>
    <cellStyle name="_고려-수원미네시티(작업)" xfId="1390" xr:uid="{00000000-0005-0000-0000-0000A7050000}"/>
    <cellStyle name="_고려-수원미네시티(작업) 2" xfId="1391" xr:uid="{00000000-0005-0000-0000-0000A8050000}"/>
    <cellStyle name="_공내역서(금오)R1" xfId="1392" xr:uid="{00000000-0005-0000-0000-0000A9050000}"/>
    <cellStyle name="_공내역서(금오)R1 2" xfId="1393" xr:uid="{00000000-0005-0000-0000-0000AA050000}"/>
    <cellStyle name="_공량산출1105" xfId="1394" xr:uid="{00000000-0005-0000-0000-0000AB050000}"/>
    <cellStyle name="_공량산출양식_2003.11" xfId="1395" xr:uid="{00000000-0005-0000-0000-0000AC050000}"/>
    <cellStyle name="_공량산출양식_2003.11 2" xfId="1396" xr:uid="{00000000-0005-0000-0000-0000AD050000}"/>
    <cellStyle name="_공무월간보고" xfId="16063" xr:uid="{00000000-0005-0000-0000-0000AE050000}"/>
    <cellStyle name="_공무월간보고_공무정산양식(10월초)" xfId="16064" xr:uid="{00000000-0005-0000-0000-0000AF050000}"/>
    <cellStyle name="_공무월간보고_공무정산양식(10월초)_기성내역서" xfId="16065" xr:uid="{00000000-0005-0000-0000-0000B0050000}"/>
    <cellStyle name="_공무월간보고_공무정산양식(10월초)_기성내역서_전체계약변경(03)" xfId="16066" xr:uid="{00000000-0005-0000-0000-0000B1050000}"/>
    <cellStyle name="_공무월간보고_공무정산양식(10월초)_전체계약변경(03)" xfId="16067" xr:uid="{00000000-0005-0000-0000-0000B2050000}"/>
    <cellStyle name="_공무월간보고_공무정산양식(10월초)_포장외건(최종)" xfId="16068" xr:uid="{00000000-0005-0000-0000-0000B3050000}"/>
    <cellStyle name="_공무월간보고_기성내역서" xfId="16069" xr:uid="{00000000-0005-0000-0000-0000B4050000}"/>
    <cellStyle name="_공무월간보고_기성내역서_전체계약변경(03)" xfId="16070" xr:uid="{00000000-0005-0000-0000-0000B5050000}"/>
    <cellStyle name="_공무월간보고_전체계약변경(03)" xfId="16071" xr:uid="{00000000-0005-0000-0000-0000B6050000}"/>
    <cellStyle name="_공무월간보고_포장외건(최종)" xfId="16072" xr:uid="{00000000-0005-0000-0000-0000B7050000}"/>
    <cellStyle name="_공무정산0104" xfId="16073" xr:uid="{00000000-0005-0000-0000-0000B8050000}"/>
    <cellStyle name="_공무정산0104_공무정산양식(10월초)" xfId="16074" xr:uid="{00000000-0005-0000-0000-0000B9050000}"/>
    <cellStyle name="_공무정산0104_공무정산양식(10월초)_기성내역서" xfId="16075" xr:uid="{00000000-0005-0000-0000-0000BA050000}"/>
    <cellStyle name="_공무정산0104_공무정산양식(10월초)_기성내역서_전체계약변경(03)" xfId="16076" xr:uid="{00000000-0005-0000-0000-0000BB050000}"/>
    <cellStyle name="_공무정산0104_공무정산양식(10월초)_전체계약변경(03)" xfId="16077" xr:uid="{00000000-0005-0000-0000-0000BC050000}"/>
    <cellStyle name="_공무정산0104_공무정산양식(10월초)_포장외건(최종)" xfId="16078" xr:uid="{00000000-0005-0000-0000-0000BD050000}"/>
    <cellStyle name="_공무정산0104_기성내역서" xfId="16079" xr:uid="{00000000-0005-0000-0000-0000BE050000}"/>
    <cellStyle name="_공무정산0104_기성내역서_전체계약변경(03)" xfId="16080" xr:uid="{00000000-0005-0000-0000-0000BF050000}"/>
    <cellStyle name="_공무정산0104_전체계약변경(03)" xfId="16081" xr:uid="{00000000-0005-0000-0000-0000C0050000}"/>
    <cellStyle name="_공무정산0104_포장외건(최종)" xfId="16082" xr:uid="{00000000-0005-0000-0000-0000C1050000}"/>
    <cellStyle name="_공문" xfId="16083" xr:uid="{00000000-0005-0000-0000-0000C2050000}"/>
    <cellStyle name="_공문 " xfId="1397" xr:uid="{00000000-0005-0000-0000-0000C3050000}"/>
    <cellStyle name="_공사비산출" xfId="1398" xr:uid="{00000000-0005-0000-0000-0000C4050000}"/>
    <cellStyle name="_공사원가계산서_06.09.23_3개소" xfId="1399" xr:uid="{00000000-0005-0000-0000-0000C5050000}"/>
    <cellStyle name="_공사원가계산서_06.09.23_3개소 2" xfId="1400" xr:uid="{00000000-0005-0000-0000-0000C6050000}"/>
    <cellStyle name="_공연장내역(0511)_제출가격" xfId="1401" xr:uid="{00000000-0005-0000-0000-0000C7050000}"/>
    <cellStyle name="_공정표" xfId="1402" xr:uid="{00000000-0005-0000-0000-0000C8050000}"/>
    <cellStyle name="_공정표 2" xfId="1403" xr:uid="{00000000-0005-0000-0000-0000C9050000}"/>
    <cellStyle name="_관급서류(재출용)" xfId="1404" xr:uid="{00000000-0005-0000-0000-0000CA050000}"/>
    <cellStyle name="_관급서류(재출용) 2" xfId="1405" xr:uid="{00000000-0005-0000-0000-0000CB050000}"/>
    <cellStyle name="_관리비&amp; 공통부대공(원덕)" xfId="16084" xr:uid="{00000000-0005-0000-0000-0000CC050000}"/>
    <cellStyle name="_광교내역서_06.08.30_2차" xfId="1406" xr:uid="{00000000-0005-0000-0000-0000CD050000}"/>
    <cellStyle name="_광교내역서_06.08.30_2차 2" xfId="1407" xr:uid="{00000000-0005-0000-0000-0000CE050000}"/>
    <cellStyle name="_광교정수장 및 배수지 원격제어 시스템 설치공사 내역서" xfId="1408" xr:uid="{00000000-0005-0000-0000-0000CF050000}"/>
    <cellStyle name="_광교정수장 및 배수지 원격제어 시스템 설치공사 내역서 2" xfId="1409" xr:uid="{00000000-0005-0000-0000-0000D0050000}"/>
    <cellStyle name="_광교정수장 및 배수지 유량계 교체공사_1억5천6백" xfId="1410" xr:uid="{00000000-0005-0000-0000-0000D1050000}"/>
    <cellStyle name="_광교정수장 및 배수지 유량계 교체공사_1억5천6백 2" xfId="1411" xr:uid="{00000000-0005-0000-0000-0000D2050000}"/>
    <cellStyle name="_광암변전실탈수기동_물량내역서" xfId="1412" xr:uid="{00000000-0005-0000-0000-0000D3050000}"/>
    <cellStyle name="_광암변전실탈수기동_물량내역서 2" xfId="1413" xr:uid="{00000000-0005-0000-0000-0000D4050000}"/>
    <cellStyle name="_광암변전실탈수기동_물량내역서_3_DATA 통합운영 시스템 내역서_421" xfId="1414" xr:uid="{00000000-0005-0000-0000-0000D5050000}"/>
    <cellStyle name="_광암변전실탈수기동_물량내역서_3_DATA 통합운영 시스템 내역서_421 2" xfId="1415" xr:uid="{00000000-0005-0000-0000-0000D6050000}"/>
    <cellStyle name="_광암변전실탈수기동_물량내역서_3_DATA 통합운영 시스템 내역서_421_계약내역-관급-총괄" xfId="1416" xr:uid="{00000000-0005-0000-0000-0000D7050000}"/>
    <cellStyle name="_광암변전실탈수기동_물량내역서_3_DATA 통합운영 시스템 내역서_421_계약내역-관급-총괄 2" xfId="1417" xr:uid="{00000000-0005-0000-0000-0000D8050000}"/>
    <cellStyle name="_광암변전실탈수기동_물량내역서_3_자양취수장 내역서3" xfId="1418" xr:uid="{00000000-0005-0000-0000-0000D9050000}"/>
    <cellStyle name="_광암변전실탈수기동_물량내역서_3_자양취수장 내역서3 2" xfId="1419" xr:uid="{00000000-0005-0000-0000-0000DA050000}"/>
    <cellStyle name="_광암변전실탈수기동_물량내역서_3_자양취수장 내역서3_계약내역-관급-총괄" xfId="1420" xr:uid="{00000000-0005-0000-0000-0000DB050000}"/>
    <cellStyle name="_광암변전실탈수기동_물량내역서_3_자양취수장 내역서3_계약내역-관급-총괄 2" xfId="1421" xr:uid="{00000000-0005-0000-0000-0000DC050000}"/>
    <cellStyle name="_광암변전실탈수기동_물량내역서_계약내역-관급-총괄" xfId="1422" xr:uid="{00000000-0005-0000-0000-0000DD050000}"/>
    <cellStyle name="_광암변전실탈수기동_물량내역서_계약내역-관급-총괄 2" xfId="1423" xr:uid="{00000000-0005-0000-0000-0000DE050000}"/>
    <cellStyle name="_광암변전실탈수기동_물량내역서02" xfId="1424" xr:uid="{00000000-0005-0000-0000-0000DF050000}"/>
    <cellStyle name="_광암변전실탈수기동_물량내역서02 2" xfId="1425" xr:uid="{00000000-0005-0000-0000-0000E0050000}"/>
    <cellStyle name="_광암변전실탈수기동_물량내역서02_3_DATA 통합운영 시스템 내역서_421" xfId="1426" xr:uid="{00000000-0005-0000-0000-0000E1050000}"/>
    <cellStyle name="_광암변전실탈수기동_물량내역서02_3_DATA 통합운영 시스템 내역서_421 2" xfId="1427" xr:uid="{00000000-0005-0000-0000-0000E2050000}"/>
    <cellStyle name="_광암변전실탈수기동_물량내역서02_3_DATA 통합운영 시스템 내역서_421_계약내역-관급-총괄" xfId="1428" xr:uid="{00000000-0005-0000-0000-0000E3050000}"/>
    <cellStyle name="_광암변전실탈수기동_물량내역서02_3_DATA 통합운영 시스템 내역서_421_계약내역-관급-총괄 2" xfId="1429" xr:uid="{00000000-0005-0000-0000-0000E4050000}"/>
    <cellStyle name="_광암변전실탈수기동_물량내역서02_3_자양취수장 내역서3" xfId="1430" xr:uid="{00000000-0005-0000-0000-0000E5050000}"/>
    <cellStyle name="_광암변전실탈수기동_물량내역서02_3_자양취수장 내역서3 2" xfId="1431" xr:uid="{00000000-0005-0000-0000-0000E6050000}"/>
    <cellStyle name="_광암변전실탈수기동_물량내역서02_3_자양취수장 내역서3_계약내역-관급-총괄" xfId="1432" xr:uid="{00000000-0005-0000-0000-0000E7050000}"/>
    <cellStyle name="_광암변전실탈수기동_물량내역서02_3_자양취수장 내역서3_계약내역-관급-총괄 2" xfId="1433" xr:uid="{00000000-0005-0000-0000-0000E8050000}"/>
    <cellStyle name="_광암변전실탈수기동_물량내역서02_계약내역-관급-총괄" xfId="1434" xr:uid="{00000000-0005-0000-0000-0000E9050000}"/>
    <cellStyle name="_광암변전실탈수기동_물량내역서02_계약내역-관급-총괄 2" xfId="1435" xr:uid="{00000000-0005-0000-0000-0000EA050000}"/>
    <cellStyle name="_광주점 리뉴얼 약전설비계약내역서(갱신본)" xfId="1436" xr:uid="{00000000-0005-0000-0000-0000EB050000}"/>
    <cellStyle name="_광주점 리뉴얼 약전설비계약내역서(갱신본) 2" xfId="1437" xr:uid="{00000000-0005-0000-0000-0000EC050000}"/>
    <cellStyle name="_광주증설교체" xfId="16085" xr:uid="{00000000-0005-0000-0000-0000ED050000}"/>
    <cellStyle name="_광주퇴촌면주택" xfId="1438" xr:uid="{00000000-0005-0000-0000-0000EE050000}"/>
    <cellStyle name="_광주퇴촌면주택 2" xfId="1439" xr:uid="{00000000-0005-0000-0000-0000EF050000}"/>
    <cellStyle name="_광탄내역서(050722)" xfId="1440" xr:uid="{00000000-0005-0000-0000-0000F0050000}"/>
    <cellStyle name="_광탄내역서(050722) 2" xfId="1441" xr:uid="{00000000-0005-0000-0000-0000F1050000}"/>
    <cellStyle name="_교원그룹 낙산 숙박시설 신축공사" xfId="1442" xr:uid="{00000000-0005-0000-0000-0000F2050000}"/>
    <cellStyle name="_교원그룹 낙산 숙박시설 신축공사 2" xfId="1443" xr:uid="{00000000-0005-0000-0000-0000F3050000}"/>
    <cellStyle name="_구조물적산(안양지청)-20080501" xfId="16086" xr:uid="{00000000-0005-0000-0000-0000F4050000}"/>
    <cellStyle name="_국립극장_0622" xfId="1444" xr:uid="{00000000-0005-0000-0000-0000F5050000}"/>
    <cellStyle name="_궁안교시행구분" xfId="16087" xr:uid="{00000000-0005-0000-0000-0000F6050000}"/>
    <cellStyle name="_궁안교用" xfId="16088" xr:uid="{00000000-0005-0000-0000-0000F7050000}"/>
    <cellStyle name="_금감원_통신공사 공내역_030808(윈미디제출)" xfId="1445" xr:uid="{00000000-0005-0000-0000-0000F8050000}"/>
    <cellStyle name="_금감원_통신공사 공내역_030808(윈미디제출) 2" xfId="1446" xr:uid="{00000000-0005-0000-0000-0000F9050000}"/>
    <cellStyle name="_금융감독원 업체견적(통신공사)-윈미디텍" xfId="1447" xr:uid="{00000000-0005-0000-0000-0000FA050000}"/>
    <cellStyle name="_금융감독원 업체견적(통신공사)-윈미디텍 2" xfId="1448" xr:uid="{00000000-0005-0000-0000-0000FB050000}"/>
    <cellStyle name="_금호_총괄내역서" xfId="1449" xr:uid="{00000000-0005-0000-0000-0000FC050000}"/>
    <cellStyle name="_금호_총괄내역서 2" xfId="1450" xr:uid="{00000000-0005-0000-0000-0000FD050000}"/>
    <cellStyle name="_기계약대비" xfId="1451" xr:uid="{00000000-0005-0000-0000-0000FE050000}"/>
    <cellStyle name="_기계약대비 2" xfId="1452" xr:uid="{00000000-0005-0000-0000-0000FF050000}"/>
    <cellStyle name="_기별명세서(견본양식)" xfId="1453" xr:uid="{00000000-0005-0000-0000-000000060000}"/>
    <cellStyle name="_기별명세서(견본양식) 2" xfId="1454" xr:uid="{00000000-0005-0000-0000-000001060000}"/>
    <cellStyle name="_기본설계1" xfId="1455" xr:uid="{00000000-0005-0000-0000-000002060000}"/>
    <cellStyle name="_기본설계1 2" xfId="1456" xr:uid="{00000000-0005-0000-0000-000003060000}"/>
    <cellStyle name="_기타경비" xfId="16089" xr:uid="{00000000-0005-0000-0000-000004060000}"/>
    <cellStyle name="_기흥14라인_071231" xfId="1457" xr:uid="{00000000-0005-0000-0000-000005060000}"/>
    <cellStyle name="_기흥14라인_071231 2" xfId="1458" xr:uid="{00000000-0005-0000-0000-000006060000}"/>
    <cellStyle name="_김포ER(세종)" xfId="16090" xr:uid="{00000000-0005-0000-0000-000007060000}"/>
    <cellStyle name="_난계국악당일위대가" xfId="1459" xr:uid="{00000000-0005-0000-0000-000008060000}"/>
    <cellStyle name="_난계국악당일위대가 2" xfId="1460" xr:uid="{00000000-0005-0000-0000-000009060000}"/>
    <cellStyle name="_난계국악당일위대가_1" xfId="1461" xr:uid="{00000000-0005-0000-0000-00000A060000}"/>
    <cellStyle name="_난계국악당일위대가_1 2" xfId="1462" xr:uid="{00000000-0005-0000-0000-00000B060000}"/>
    <cellStyle name="_난계국악당일위대가_2" xfId="1463" xr:uid="{00000000-0005-0000-0000-00000C060000}"/>
    <cellStyle name="_난계국악당일위대가_2 2" xfId="1464" xr:uid="{00000000-0005-0000-0000-00000D060000}"/>
    <cellStyle name="_남양계전" xfId="1465" xr:uid="{00000000-0005-0000-0000-00000E060000}"/>
    <cellStyle name="_남양계전 2" xfId="1466" xr:uid="{00000000-0005-0000-0000-00000F060000}"/>
    <cellStyle name="_남양-팔탄(+0%)" xfId="16091" xr:uid="{00000000-0005-0000-0000-000010060000}"/>
    <cellStyle name="_남양-팔탄(+0%)_(가)실행" xfId="16092" xr:uid="{00000000-0005-0000-0000-000011060000}"/>
    <cellStyle name="_남양-팔탄(+0%)_(가)실행_(가)실행" xfId="16093" xr:uid="{00000000-0005-0000-0000-000012060000}"/>
    <cellStyle name="_남양-팔탄(+0%)_(가)실행_(가)실행2" xfId="16094" xr:uid="{00000000-0005-0000-0000-000013060000}"/>
    <cellStyle name="_남양-팔탄(+0%)_(가)실행_중동성황(가)실행" xfId="16095" xr:uid="{00000000-0005-0000-0000-000014060000}"/>
    <cellStyle name="_남양-팔탄(+0%)_가실행(공설운동장)" xfId="16096" xr:uid="{00000000-0005-0000-0000-000015060000}"/>
    <cellStyle name="_남양-팔탄(+0%)_가실행(공설운동장)_(가)실행" xfId="16097" xr:uid="{00000000-0005-0000-0000-000016060000}"/>
    <cellStyle name="_남양-팔탄(+0%)_가실행(공설운동장)_(가)실행2" xfId="16098" xr:uid="{00000000-0005-0000-0000-000017060000}"/>
    <cellStyle name="_남양-팔탄(+0%)_가실행(공설운동장)_중동성황(가)실행" xfId="16099" xr:uid="{00000000-0005-0000-0000-000018060000}"/>
    <cellStyle name="_남양-팔탄(+0%)_가실행(송탄IC)" xfId="16100" xr:uid="{00000000-0005-0000-0000-000019060000}"/>
    <cellStyle name="_남양-팔탄(+0%)_가실행(송탄IC)_(가)실행" xfId="16101" xr:uid="{00000000-0005-0000-0000-00001A060000}"/>
    <cellStyle name="_남양-팔탄(+0%)_가실행(송탄IC)_(가)실행2" xfId="16102" xr:uid="{00000000-0005-0000-0000-00001B060000}"/>
    <cellStyle name="_남양-팔탄(+0%)_가실행(송탄IC)_중동성황(가)실행" xfId="16103" xr:uid="{00000000-0005-0000-0000-00001C060000}"/>
    <cellStyle name="_남양-팔탄(+0%)_중동성황(가)실행" xfId="16104" xr:uid="{00000000-0005-0000-0000-00001D060000}"/>
    <cellStyle name="_남양-팔탄(+0%)_중동성황(가)실행_(가)실행" xfId="16105" xr:uid="{00000000-0005-0000-0000-00001E060000}"/>
    <cellStyle name="_남양-팔탄(+0%)_중동성황(가)실행_(가)실행2" xfId="16106" xr:uid="{00000000-0005-0000-0000-00001F060000}"/>
    <cellStyle name="_남양-팔탄(+0%)_중동성황(가)실행_중동성황(가)실행" xfId="16107" xr:uid="{00000000-0005-0000-0000-000020060000}"/>
    <cellStyle name="_남양-팔탄(+0%)_중동-성황투찰(new)(발주자변경)" xfId="16108" xr:uid="{00000000-0005-0000-0000-000021060000}"/>
    <cellStyle name="_남양-팔탄(+0%)_중동-성황투찰(new)(발주자변경)_(가)실행" xfId="16109" xr:uid="{00000000-0005-0000-0000-000022060000}"/>
    <cellStyle name="_남양-팔탄(+0%)_중동-성황투찰(new)(발주자변경)_(가)실행2" xfId="16110" xr:uid="{00000000-0005-0000-0000-000023060000}"/>
    <cellStyle name="_남양-팔탄(+0%)_중동-성황투찰(new)(발주자변경)_중동성황(가)실행" xfId="16111" xr:uid="{00000000-0005-0000-0000-000024060000}"/>
    <cellStyle name="_남양-팔탄(+0%)_토공및구조물" xfId="16112" xr:uid="{00000000-0005-0000-0000-000025060000}"/>
    <cellStyle name="_남양-팔탄(+0%)_토공및구조물_(가)실행" xfId="16113" xr:uid="{00000000-0005-0000-0000-000026060000}"/>
    <cellStyle name="_남양-팔탄(+0%)_토공및구조물_(가)실행2" xfId="16114" xr:uid="{00000000-0005-0000-0000-000027060000}"/>
    <cellStyle name="_남양-팔탄(+0%)_토공및구조물_중동성황(가)실행" xfId="16115" xr:uid="{00000000-0005-0000-0000-000028060000}"/>
    <cellStyle name="_남양-팔탄(공무)" xfId="16116" xr:uid="{00000000-0005-0000-0000-000029060000}"/>
    <cellStyle name="_남양-팔탄(공무)_(가)실행" xfId="16117" xr:uid="{00000000-0005-0000-0000-00002A060000}"/>
    <cellStyle name="_남양-팔탄(공무)_(가)실행2" xfId="16118" xr:uid="{00000000-0005-0000-0000-00002B060000}"/>
    <cellStyle name="_남양-팔탄(공무)_중동성황(가)실행" xfId="16119" xr:uid="{00000000-0005-0000-0000-00002C060000}"/>
    <cellStyle name="_내역(02.04.16)선우대교" xfId="1467" xr:uid="{00000000-0005-0000-0000-00002D060000}"/>
    <cellStyle name="_내역(02.04.16)선우대교_☆남악2-3공구가실행" xfId="1468" xr:uid="{00000000-0005-0000-0000-00002E060000}"/>
    <cellStyle name="_내역(02.04.17)선우대교" xfId="1469" xr:uid="{00000000-0005-0000-0000-00002F060000}"/>
    <cellStyle name="_내역(02.04.17)선우대교_☆남악2-3공구가실행" xfId="1470" xr:uid="{00000000-0005-0000-0000-000030060000}"/>
    <cellStyle name="_내역(02.04.17)추모공원" xfId="1471" xr:uid="{00000000-0005-0000-0000-000031060000}"/>
    <cellStyle name="_내역(02.04.17)추모공원_☆남악2-3공구가실행" xfId="1472" xr:uid="{00000000-0005-0000-0000-000032060000}"/>
    <cellStyle name="_내역(02.09.30)신령-영천(2공구)" xfId="1473" xr:uid="{00000000-0005-0000-0000-000033060000}"/>
    <cellStyle name="_내역(02.09.30)신령-영천(2공구)_☆남악2-3공구가실행" xfId="1474" xr:uid="{00000000-0005-0000-0000-000034060000}"/>
    <cellStyle name="_내역(02.10.14)신령-영천(2공구)-0.3312" xfId="1475" xr:uid="{00000000-0005-0000-0000-000035060000}"/>
    <cellStyle name="_내역(02.10.14)신령-영천(2공구)-0.3312_☆남악2-3공구가실행" xfId="1476" xr:uid="{00000000-0005-0000-0000-000036060000}"/>
    <cellStyle name="_내역(02.11.07)강변북로(청담대교-성수대교)확장공사" xfId="1477" xr:uid="{00000000-0005-0000-0000-000037060000}"/>
    <cellStyle name="_내역(02.11.07)강변북로(청담대교-성수대교)확장공사_☆남악2-3공구가실행" xfId="1478" xr:uid="{00000000-0005-0000-0000-000038060000}"/>
    <cellStyle name="_내역(02.11.27)무안~광주간 건설공사(제2공구)투찰" xfId="1479" xr:uid="{00000000-0005-0000-0000-000039060000}"/>
    <cellStyle name="_내역(02.11.27)무안~광주간 건설공사(제2공구)투찰_☆남악2-3공구가실행" xfId="1480" xr:uid="{00000000-0005-0000-0000-00003A060000}"/>
    <cellStyle name="_내역(991895-7)" xfId="16120" xr:uid="{00000000-0005-0000-0000-00003B060000}"/>
    <cellStyle name="_내역(991895-7)-01" xfId="16121" xr:uid="{00000000-0005-0000-0000-00003C060000}"/>
    <cellStyle name="_내역(991895-7)-12-3일작업" xfId="16122" xr:uid="{00000000-0005-0000-0000-00003D060000}"/>
    <cellStyle name="_내역서" xfId="1481" xr:uid="{00000000-0005-0000-0000-00003E060000}"/>
    <cellStyle name="_내역서 2" xfId="1482" xr:uid="{00000000-0005-0000-0000-00003F060000}"/>
    <cellStyle name="_내역서(LAN_LGE서초R&amp;D)_060913T" xfId="1483" xr:uid="{00000000-0005-0000-0000-000040060000}"/>
    <cellStyle name="_내역서(LAN_LGE서초R&amp;D)_060913T 2" xfId="1484" xr:uid="{00000000-0005-0000-0000-000041060000}"/>
    <cellStyle name="_내역서(계약기준)" xfId="16123" xr:uid="{00000000-0005-0000-0000-000042060000}"/>
    <cellStyle name="_내역서(밀양교육청051004)" xfId="1485" xr:uid="{00000000-0005-0000-0000-000043060000}"/>
    <cellStyle name="_내역서(밀양교육청051004) 2" xfId="1486" xr:uid="{00000000-0005-0000-0000-000044060000}"/>
    <cellStyle name="_내역서(밀양시)" xfId="16124" xr:uid="{00000000-0005-0000-0000-000045060000}"/>
    <cellStyle name="_내역서(세미나실)" xfId="1487" xr:uid="{00000000-0005-0000-0000-000046060000}"/>
    <cellStyle name="_내역서(세미나실) 2" xfId="1488" xr:uid="{00000000-0005-0000-0000-000047060000}"/>
    <cellStyle name="_내역서(연무체육센터050926)" xfId="1489" xr:uid="{00000000-0005-0000-0000-000048060000}"/>
    <cellStyle name="_내역서(연무체육센터050926) 2" xfId="1490" xr:uid="{00000000-0005-0000-0000-000049060000}"/>
    <cellStyle name="_내역서(전광판)-1" xfId="1491" xr:uid="{00000000-0005-0000-0000-00004A060000}"/>
    <cellStyle name="_내역서(전광판)-1 2" xfId="1492" xr:uid="{00000000-0005-0000-0000-00004B060000}"/>
    <cellStyle name="_내역서_1" xfId="1493" xr:uid="{00000000-0005-0000-0000-00004C060000}"/>
    <cellStyle name="_내역서_1 2" xfId="1494" xr:uid="{00000000-0005-0000-0000-00004D060000}"/>
    <cellStyle name="_내역서+개요(월배통신)" xfId="16125" xr:uid="{00000000-0005-0000-0000-00004E060000}"/>
    <cellStyle name="_내역서+개요(전기)-6.7(최종)" xfId="16126" xr:uid="{00000000-0005-0000-0000-00004F060000}"/>
    <cellStyle name="_내역서+개요(통신)" xfId="16127" xr:uid="{00000000-0005-0000-0000-000050060000}"/>
    <cellStyle name="_내역서1작업" xfId="1495" xr:uid="{00000000-0005-0000-0000-000051060000}"/>
    <cellStyle name="_내역서1작업 2" xfId="1496" xr:uid="{00000000-0005-0000-0000-000052060000}"/>
    <cellStyle name="_내역서및산출근거(변경전안양지청)" xfId="16128" xr:uid="{00000000-0005-0000-0000-000053060000}"/>
    <cellStyle name="_내역서및설계서" xfId="16129" xr:uid="{00000000-0005-0000-0000-000054060000}"/>
    <cellStyle name="_내역서최종" xfId="1497" xr:uid="{00000000-0005-0000-0000-000055060000}"/>
    <cellStyle name="_내역서최종 2" xfId="1498" xr:uid="{00000000-0005-0000-0000-000056060000}"/>
    <cellStyle name="_단가 산출조서" xfId="1499" xr:uid="{00000000-0005-0000-0000-000057060000}"/>
    <cellStyle name="_단가견적비교표-1" xfId="1500" xr:uid="{00000000-0005-0000-0000-000058060000}"/>
    <cellStyle name="_단가견적비교표-1 2" xfId="1501" xr:uid="{00000000-0005-0000-0000-000059060000}"/>
    <cellStyle name="_단가견적서(광탄)" xfId="1502" xr:uid="{00000000-0005-0000-0000-00005A060000}"/>
    <cellStyle name="_단가견적서(광탄) 2" xfId="1503" xr:uid="{00000000-0005-0000-0000-00005B060000}"/>
    <cellStyle name="_단가산출서(합)" xfId="16130" xr:uid="{00000000-0005-0000-0000-00005C060000}"/>
    <cellStyle name="_단가조사표" xfId="1504" xr:uid="{00000000-0005-0000-0000-00005D060000}"/>
    <cellStyle name="_단가조사표 2" xfId="1505" xr:uid="{00000000-0005-0000-0000-00005E060000}"/>
    <cellStyle name="_단가조사표 3" xfId="16131" xr:uid="{00000000-0005-0000-0000-00005F060000}"/>
    <cellStyle name="_달산대학用" xfId="16132" xr:uid="{00000000-0005-0000-0000-000060060000}"/>
    <cellStyle name="_대구박물관_내역서" xfId="16133" xr:uid="{00000000-0005-0000-0000-000061060000}"/>
    <cellStyle name="_대구백화점제출견적(2001년5월22일)" xfId="1506" xr:uid="{00000000-0005-0000-0000-000062060000}"/>
    <cellStyle name="_대구백화점제출견적(2001년5월22일) 2" xfId="1507" xr:uid="{00000000-0005-0000-0000-000063060000}"/>
    <cellStyle name="_대구산업정보대방송설비견적(0409)" xfId="1508" xr:uid="{00000000-0005-0000-0000-000064060000}"/>
    <cellStyle name="_대구산업정보대방송설비견적(0409) 2" xfId="1509" xr:uid="{00000000-0005-0000-0000-000065060000}"/>
    <cellStyle name="_대구역사약전내역(자재부제출)" xfId="1510" xr:uid="{00000000-0005-0000-0000-000066060000}"/>
    <cellStyle name="_대구역사약전내역(자재부제출) 2" xfId="1511" xr:uid="{00000000-0005-0000-0000-000067060000}"/>
    <cellStyle name="_대구점" xfId="1512" xr:uid="{00000000-0005-0000-0000-000068060000}"/>
    <cellStyle name="_대구점 2" xfId="1513" xr:uid="{00000000-0005-0000-0000-000069060000}"/>
    <cellStyle name="_대구점 역사" xfId="1514" xr:uid="{00000000-0005-0000-0000-00006A060000}"/>
    <cellStyle name="_대구점 역사 2" xfId="1515" xr:uid="{00000000-0005-0000-0000-00006B060000}"/>
    <cellStyle name="_대안투찰내역(0221)" xfId="1516" xr:uid="{00000000-0005-0000-0000-00006C060000}"/>
    <cellStyle name="_대안투찰내역(0223)" xfId="1517" xr:uid="{00000000-0005-0000-0000-00006D060000}"/>
    <cellStyle name="_대안투찰내역(확정본0226)" xfId="1518" xr:uid="{00000000-0005-0000-0000-00006E060000}"/>
    <cellStyle name="_대야늘푸른벽산 보강설계" xfId="1519" xr:uid="{00000000-0005-0000-0000-00006F060000}"/>
    <cellStyle name="_대야늘푸른벽산 보강설계 2" xfId="1520" xr:uid="{00000000-0005-0000-0000-000070060000}"/>
    <cellStyle name="_대전망운용국 대수선 전기공사+개요" xfId="16134" xr:uid="{00000000-0005-0000-0000-000071060000}"/>
    <cellStyle name="_대호전기" xfId="1521" xr:uid="{00000000-0005-0000-0000-000072060000}"/>
    <cellStyle name="_대호전기 2" xfId="1522" xr:uid="{00000000-0005-0000-0000-000073060000}"/>
    <cellStyle name="_도급실행0211" xfId="1523" xr:uid="{00000000-0005-0000-0000-000074060000}"/>
    <cellStyle name="_동래점" xfId="1524" xr:uid="{00000000-0005-0000-0000-000075060000}"/>
    <cellStyle name="_동래점 2" xfId="1525" xr:uid="{00000000-0005-0000-0000-000076060000}"/>
    <cellStyle name="_동래점 일반전기 3공구" xfId="1526" xr:uid="{00000000-0005-0000-0000-000077060000}"/>
    <cellStyle name="_동래점 일반전기 3공구 2" xfId="1527" xr:uid="{00000000-0005-0000-0000-000078060000}"/>
    <cellStyle name="_동목포전화국제4회기성청구서" xfId="16135" xr:uid="{00000000-0005-0000-0000-000079060000}"/>
    <cellStyle name="_동부 조계사 견적서 (제출)" xfId="1528" xr:uid="{00000000-0005-0000-0000-00007A060000}"/>
    <cellStyle name="_동부 조계사 견적서 (제출) 2" xfId="1529" xr:uid="{00000000-0005-0000-0000-00007B060000}"/>
    <cellStyle name="_두원전설" xfId="1530" xr:uid="{00000000-0005-0000-0000-00007C060000}"/>
    <cellStyle name="_두원전설 2" xfId="1531" xr:uid="{00000000-0005-0000-0000-00007D060000}"/>
    <cellStyle name="_둔전~삼계리내역서(가로등)-수정" xfId="16136" xr:uid="{00000000-0005-0000-0000-00007E060000}"/>
    <cellStyle name="_라이나 대구 (8차)" xfId="16137" xr:uid="{00000000-0005-0000-0000-00007F060000}"/>
    <cellStyle name="_롯데 마그넷 목포점 전기공사" xfId="1532" xr:uid="{00000000-0005-0000-0000-000080060000}"/>
    <cellStyle name="_롯데 마그넷 목포점 전기공사 2" xfId="1533" xr:uid="{00000000-0005-0000-0000-000081060000}"/>
    <cellStyle name="_롯데2층일위대가-1" xfId="1534" xr:uid="{00000000-0005-0000-0000-000082060000}"/>
    <cellStyle name="_롯데2층일위대가-1 2" xfId="1535" xr:uid="{00000000-0005-0000-0000-000083060000}"/>
    <cellStyle name="_롯데2층일위대가-1_1" xfId="1536" xr:uid="{00000000-0005-0000-0000-000084060000}"/>
    <cellStyle name="_롯데2층일위대가-1_1 2" xfId="1537" xr:uid="{00000000-0005-0000-0000-000085060000}"/>
    <cellStyle name="_롯데본점 신관지하1층" xfId="1538" xr:uid="{00000000-0005-0000-0000-000086060000}"/>
    <cellStyle name="_롯데본점 신관지하1층 2" xfId="1539" xr:uid="{00000000-0005-0000-0000-000087060000}"/>
    <cellStyle name="_롯데쇼핑(주) 롯데 마그넷 영등포점 신축공사" xfId="1540" xr:uid="{00000000-0005-0000-0000-000088060000}"/>
    <cellStyle name="_롯데쇼핑(주) 롯데 마그넷 영등포점 신축공사 2" xfId="1541" xr:uid="{00000000-0005-0000-0000-000089060000}"/>
    <cellStyle name="_롯데쇼핑(주)소공동호텔분전반제작납품공사" xfId="1542" xr:uid="{00000000-0005-0000-0000-00008A060000}"/>
    <cellStyle name="_롯데쇼핑(주)소공동호텔분전반제작납품공사 2" xfId="1543" xr:uid="{00000000-0005-0000-0000-00008B060000}"/>
    <cellStyle name="_리뉴얼일반전기(이전)" xfId="1544" xr:uid="{00000000-0005-0000-0000-00008C060000}"/>
    <cellStyle name="_리뉴얼일반전기(이전) 2" xfId="1545" xr:uid="{00000000-0005-0000-0000-00008D060000}"/>
    <cellStyle name="_마가레트 호텔" xfId="1546" xr:uid="{00000000-0005-0000-0000-00008E060000}"/>
    <cellStyle name="_마가레트 호텔 2" xfId="1547" xr:uid="{00000000-0005-0000-0000-00008F060000}"/>
    <cellStyle name="_마그넷 도봉점" xfId="1548" xr:uid="{00000000-0005-0000-0000-000090060000}"/>
    <cellStyle name="_마그넷 도봉점 2" xfId="1549" xr:uid="{00000000-0005-0000-0000-000091060000}"/>
    <cellStyle name="_마그넷 도봉점(전력)" xfId="1550" xr:uid="{00000000-0005-0000-0000-000092060000}"/>
    <cellStyle name="_마그넷 도봉점(전력) 2" xfId="1551" xr:uid="{00000000-0005-0000-0000-000093060000}"/>
    <cellStyle name="_마그넷 도봉점_1" xfId="1552" xr:uid="{00000000-0005-0000-0000-000094060000}"/>
    <cellStyle name="_마그넷 도봉점_1 2" xfId="1553" xr:uid="{00000000-0005-0000-0000-000095060000}"/>
    <cellStyle name="_마그넷 도봉점_광주점 리뉴얼 약전설비계약내역서(갱신본)" xfId="1554" xr:uid="{00000000-0005-0000-0000-000096060000}"/>
    <cellStyle name="_마그넷 도봉점_광주점 리뉴얼 약전설비계약내역서(갱신본) 2" xfId="1555" xr:uid="{00000000-0005-0000-0000-000097060000}"/>
    <cellStyle name="_마그넷 도봉점_마그넷 도봉점" xfId="1556" xr:uid="{00000000-0005-0000-0000-000098060000}"/>
    <cellStyle name="_마그넷 도봉점_마그넷 도봉점 2" xfId="1557" xr:uid="{00000000-0005-0000-0000-000099060000}"/>
    <cellStyle name="_마그넷 도봉점_마그넷 첨단점" xfId="1558" xr:uid="{00000000-0005-0000-0000-00009A060000}"/>
    <cellStyle name="_마그넷 도봉점_마그넷 첨단점 2" xfId="1559" xr:uid="{00000000-0005-0000-0000-00009B060000}"/>
    <cellStyle name="_마그넷 도봉점_마그넷 포항점" xfId="1560" xr:uid="{00000000-0005-0000-0000-00009C060000}"/>
    <cellStyle name="_마그넷 도봉점_마그넷 포항점 2" xfId="1561" xr:uid="{00000000-0005-0000-0000-00009D060000}"/>
    <cellStyle name="_마그넷 마산점" xfId="1562" xr:uid="{00000000-0005-0000-0000-00009E060000}"/>
    <cellStyle name="_마그넷 마산점 2" xfId="1563" xr:uid="{00000000-0005-0000-0000-00009F060000}"/>
    <cellStyle name="_마그넷 마산-총괄" xfId="1564" xr:uid="{00000000-0005-0000-0000-0000A0060000}"/>
    <cellStyle name="_마그넷 마산-총괄 2" xfId="1565" xr:uid="{00000000-0005-0000-0000-0000A1060000}"/>
    <cellStyle name="_마그넷 영등포점" xfId="1566" xr:uid="{00000000-0005-0000-0000-0000A2060000}"/>
    <cellStyle name="_마그넷 영등포점 2" xfId="1567" xr:uid="{00000000-0005-0000-0000-0000A3060000}"/>
    <cellStyle name="_마그넷 오산점" xfId="1568" xr:uid="{00000000-0005-0000-0000-0000A4060000}"/>
    <cellStyle name="_마그넷 오산점 2" xfId="1569" xr:uid="{00000000-0005-0000-0000-0000A5060000}"/>
    <cellStyle name="_마그넷 오산점_1" xfId="1570" xr:uid="{00000000-0005-0000-0000-0000A6060000}"/>
    <cellStyle name="_마그넷 오산점_1 2" xfId="1571" xr:uid="{00000000-0005-0000-0000-0000A7060000}"/>
    <cellStyle name="_마그넷 의왕점(최종)" xfId="1572" xr:uid="{00000000-0005-0000-0000-0000A8060000}"/>
    <cellStyle name="_마그넷 의왕점(최종) 2" xfId="1573" xr:uid="{00000000-0005-0000-0000-0000A9060000}"/>
    <cellStyle name="_마그넷 중계점" xfId="1574" xr:uid="{00000000-0005-0000-0000-0000AA060000}"/>
    <cellStyle name="_마그넷 중계점 2" xfId="1575" xr:uid="{00000000-0005-0000-0000-0000AB060000}"/>
    <cellStyle name="_마그넷 첨단점" xfId="1576" xr:uid="{00000000-0005-0000-0000-0000AC060000}"/>
    <cellStyle name="_마그넷 첨단점 2" xfId="1577" xr:uid="{00000000-0005-0000-0000-0000AD060000}"/>
    <cellStyle name="_마그넷 포항점" xfId="1578" xr:uid="{00000000-0005-0000-0000-0000AE060000}"/>
    <cellStyle name="_마그넷 포항점 2" xfId="1579" xr:uid="{00000000-0005-0000-0000-0000AF060000}"/>
    <cellStyle name="_마그넷마산점" xfId="1580" xr:uid="{00000000-0005-0000-0000-0000B0060000}"/>
    <cellStyle name="_마그넷마산점 2" xfId="1581" xr:uid="{00000000-0005-0000-0000-0000B1060000}"/>
    <cellStyle name="_마그넷마산점소방전기공사" xfId="1582" xr:uid="{00000000-0005-0000-0000-0000B2060000}"/>
    <cellStyle name="_마그넷마산점소방전기공사 2" xfId="1583" xr:uid="{00000000-0005-0000-0000-0000B3060000}"/>
    <cellStyle name="_마그넷서산점전력간선공사" xfId="1584" xr:uid="{00000000-0005-0000-0000-0000B4060000}"/>
    <cellStyle name="_마그넷서산점전력간선공사 2" xfId="1585" xr:uid="{00000000-0005-0000-0000-0000B5060000}"/>
    <cellStyle name="_마그넷의왕점(소방)" xfId="1586" xr:uid="{00000000-0005-0000-0000-0000B6060000}"/>
    <cellStyle name="_마그넷의왕점(소방) 2" xfId="1587" xr:uid="{00000000-0005-0000-0000-0000B7060000}"/>
    <cellStyle name="_마그넷전력간선연간단가(2001년 BM)" xfId="1588" xr:uid="{00000000-0005-0000-0000-0000B8060000}"/>
    <cellStyle name="_마그넷전력간선연간단가(2001년 BM) 2" xfId="1589" xr:uid="{00000000-0005-0000-0000-0000B9060000}"/>
    <cellStyle name="_마산점시가로등" xfId="1590" xr:uid="{00000000-0005-0000-0000-0000BA060000}"/>
    <cellStyle name="_마산점시가로등 2" xfId="1591" xr:uid="{00000000-0005-0000-0000-0000BB060000}"/>
    <cellStyle name="_만나교회도매가 NEGO합계표(0515)" xfId="1592" xr:uid="{00000000-0005-0000-0000-0000BC060000}"/>
    <cellStyle name="_만나교회도매가 NEGO합계표(최종)" xfId="1593" xr:uid="{00000000-0005-0000-0000-0000BD060000}"/>
    <cellStyle name="_말띠고개(수정)" xfId="16138" xr:uid="{00000000-0005-0000-0000-0000BE060000}"/>
    <cellStyle name="_명품가약전" xfId="1594" xr:uid="{00000000-0005-0000-0000-0000BF060000}"/>
    <cellStyle name="_명품가약전 2" xfId="1595" xr:uid="{00000000-0005-0000-0000-0000C0060000}"/>
    <cellStyle name="_명품가조명제어" xfId="1596" xr:uid="{00000000-0005-0000-0000-0000C1060000}"/>
    <cellStyle name="_명품가조명제어 2" xfId="1597" xr:uid="{00000000-0005-0000-0000-0000C2060000}"/>
    <cellStyle name="_모형-내역서(12)" xfId="16139" xr:uid="{00000000-0005-0000-0000-0000C3060000}"/>
    <cellStyle name="_목천물류" xfId="1598" xr:uid="{00000000-0005-0000-0000-0000C4060000}"/>
    <cellStyle name="_목천물류 2" xfId="1599" xr:uid="{00000000-0005-0000-0000-0000C5060000}"/>
    <cellStyle name="_목포약전계약내역" xfId="1600" xr:uid="{00000000-0005-0000-0000-0000C6060000}"/>
    <cellStyle name="_목포약전계약내역 2" xfId="1601" xr:uid="{00000000-0005-0000-0000-0000C7060000}"/>
    <cellStyle name="_물량산출-호암관(CA,PA)(20050616)-1" xfId="1602" xr:uid="{00000000-0005-0000-0000-0000C8060000}"/>
    <cellStyle name="_물량산출-호암관(CA,PA)(20050616)-1 2" xfId="1603" xr:uid="{00000000-0005-0000-0000-0000C9060000}"/>
    <cellStyle name="_발산지구내역서" xfId="16140" xr:uid="{00000000-0005-0000-0000-0000CA060000}"/>
    <cellStyle name="_방배동 센트레빌 물량산출" xfId="1604" xr:uid="{00000000-0005-0000-0000-0000CB060000}"/>
    <cellStyle name="_방배동 센트레빌 물량산출 2" xfId="1605" xr:uid="{00000000-0005-0000-0000-0000CC060000}"/>
    <cellStyle name="_방송및cctv" xfId="1606" xr:uid="{00000000-0005-0000-0000-0000CD060000}"/>
    <cellStyle name="_방송및cctv 2" xfId="1607" xr:uid="{00000000-0005-0000-0000-0000CE060000}"/>
    <cellStyle name="_배관배선" xfId="1608" xr:uid="{00000000-0005-0000-0000-0000CF060000}"/>
    <cellStyle name="_배관배선 2" xfId="1609" xr:uid="{00000000-0005-0000-0000-0000D0060000}"/>
    <cellStyle name="_배관배선산출서&amp;일위대가" xfId="1610" xr:uid="{00000000-0005-0000-0000-0000D1060000}"/>
    <cellStyle name="_배관배선산출서&amp;일위대가 2" xfId="1611" xr:uid="{00000000-0005-0000-0000-0000D2060000}"/>
    <cellStyle name="_배관배선산출서_070707" xfId="1612" xr:uid="{00000000-0005-0000-0000-0000D3060000}"/>
    <cellStyle name="_배관배선산출서_070707 2" xfId="1613" xr:uid="{00000000-0005-0000-0000-0000D4060000}"/>
    <cellStyle name="_배수펌프설계서(최종)수정" xfId="1614" xr:uid="{00000000-0005-0000-0000-0000D5060000}"/>
    <cellStyle name="_배수펌프설계서(최종)수정 2" xfId="1615" xr:uid="{00000000-0005-0000-0000-0000D6060000}"/>
    <cellStyle name="_배출수동설계" xfId="1616" xr:uid="{00000000-0005-0000-0000-0000D7060000}"/>
    <cellStyle name="_배출수동설계 2" xfId="1617" xr:uid="{00000000-0005-0000-0000-0000D8060000}"/>
    <cellStyle name="_백석대내역서" xfId="1618" xr:uid="{00000000-0005-0000-0000-0000D9060000}"/>
    <cellStyle name="_백석대학교 백석홀 견적서-20070124" xfId="1619" xr:uid="{00000000-0005-0000-0000-0000DA060000}"/>
    <cellStyle name="_백석홀-디지털060927" xfId="1620" xr:uid="{00000000-0005-0000-0000-0000DB060000}"/>
    <cellStyle name="_백화점 일반전기 1공구" xfId="1621" xr:uid="{00000000-0005-0000-0000-0000DC060000}"/>
    <cellStyle name="_백화점 일반전기 1공구 2" xfId="1622" xr:uid="{00000000-0005-0000-0000-0000DD060000}"/>
    <cellStyle name="_백화점동래점소방전기공사" xfId="1623" xr:uid="{00000000-0005-0000-0000-0000DE060000}"/>
    <cellStyle name="_백화점동래점소방전기공사 2" xfId="1624" xr:uid="{00000000-0005-0000-0000-0000DF060000}"/>
    <cellStyle name="_백화점동래점승강설비" xfId="1625" xr:uid="{00000000-0005-0000-0000-0000E0060000}"/>
    <cellStyle name="_백화점동래점승강설비 2" xfId="1626" xr:uid="{00000000-0005-0000-0000-0000E1060000}"/>
    <cellStyle name="_백화점품의 확인완료(발전기 - STX)" xfId="1627" xr:uid="{00000000-0005-0000-0000-0000E2060000}"/>
    <cellStyle name="_백화점품의 확인완료(발전기 - STX) 2" xfId="1628" xr:uid="{00000000-0005-0000-0000-0000E3060000}"/>
    <cellStyle name="_백화점품의(일반전기2공구-신안전기)감리" xfId="1629" xr:uid="{00000000-0005-0000-0000-0000E4060000}"/>
    <cellStyle name="_백화점품의(일반전기2공구-신안전기)감리 2" xfId="1630" xr:uid="{00000000-0005-0000-0000-0000E5060000}"/>
    <cellStyle name="_베관배선산출&amp;일위대가(051029)" xfId="1631" xr:uid="{00000000-0005-0000-0000-0000E6060000}"/>
    <cellStyle name="_베관배선산출&amp;일위대가(051029) 2" xfId="1632" xr:uid="{00000000-0005-0000-0000-0000E7060000}"/>
    <cellStyle name="_변경계약분실행및2001년실행(견적비교포함)" xfId="16141" xr:uid="{00000000-0005-0000-0000-0000E8060000}"/>
    <cellStyle name="_변경계약분실행및2001년실행(견적비교포함)_공무정산양식(10월초)" xfId="16142" xr:uid="{00000000-0005-0000-0000-0000E9060000}"/>
    <cellStyle name="_변경계약분실행및2001년실행(견적비교포함)_공무정산양식(10월초)_기성내역서" xfId="16143" xr:uid="{00000000-0005-0000-0000-0000EA060000}"/>
    <cellStyle name="_변경계약분실행및2001년실행(견적비교포함)_공무정산양식(10월초)_기성내역서_전체계약변경(03)" xfId="16144" xr:uid="{00000000-0005-0000-0000-0000EB060000}"/>
    <cellStyle name="_변경계약분실행및2001년실행(견적비교포함)_공무정산양식(10월초)_전체계약변경(03)" xfId="16145" xr:uid="{00000000-0005-0000-0000-0000EC060000}"/>
    <cellStyle name="_변경계약분실행및2001년실행(견적비교포함)_공무정산양식(10월초)_포장외건(최종)" xfId="16146" xr:uid="{00000000-0005-0000-0000-0000ED060000}"/>
    <cellStyle name="_변경계약분실행및2001년실행(견적비교포함)_기성내역서" xfId="16147" xr:uid="{00000000-0005-0000-0000-0000EE060000}"/>
    <cellStyle name="_변경계약분실행및2001년실행(견적비교포함)_기성내역서_전체계약변경(03)" xfId="16148" xr:uid="{00000000-0005-0000-0000-0000EF060000}"/>
    <cellStyle name="_변경계약분실행및2001년실행(견적비교포함)_전체계약변경(03)" xfId="16149" xr:uid="{00000000-0005-0000-0000-0000F0060000}"/>
    <cellStyle name="_변경계약분실행및2001년실행(견적비교포함)_포장외건(최종)" xfId="16150" xr:uid="{00000000-0005-0000-0000-0000F1060000}"/>
    <cellStyle name="_변경내역서 -3" xfId="16151" xr:uid="{00000000-0005-0000-0000-0000F2060000}"/>
    <cellStyle name="_변경물량산출(최종)-" xfId="16152" xr:uid="{00000000-0005-0000-0000-0000F3060000}"/>
    <cellStyle name="_보건소(상부)" xfId="1633" xr:uid="{00000000-0005-0000-0000-0000F4060000}"/>
    <cellStyle name="_보건소(상부) 2" xfId="1634" xr:uid="{00000000-0005-0000-0000-0000F5060000}"/>
    <cellStyle name="_보고서 cover" xfId="16153" xr:uid="{00000000-0005-0000-0000-0000F6060000}"/>
    <cellStyle name="_보성우회도로(투찰)" xfId="1635" xr:uid="{00000000-0005-0000-0000-0000F7060000}"/>
    <cellStyle name="_보성우회도로(투찰)_조0203(1000억이상)" xfId="1636" xr:uid="{00000000-0005-0000-0000-0000F8060000}"/>
    <cellStyle name="_복사본 The Gale Company Renovation Work (0202)" xfId="16154" xr:uid="{00000000-0005-0000-0000-0000F9060000}"/>
    <cellStyle name="_본사용(원가분석)" xfId="1637" xr:uid="{00000000-0005-0000-0000-0000FA060000}"/>
    <cellStyle name="_본사용(원가분석) 2" xfId="1638" xr:uid="{00000000-0005-0000-0000-0000FB060000}"/>
    <cellStyle name="_본점(최종)" xfId="1639" xr:uid="{00000000-0005-0000-0000-0000FC060000}"/>
    <cellStyle name="_본점(최종) 2" xfId="1640" xr:uid="{00000000-0005-0000-0000-0000FD060000}"/>
    <cellStyle name="_본점본관" xfId="1641" xr:uid="{00000000-0005-0000-0000-0000FE060000}"/>
    <cellStyle name="_본점본관 2" xfId="1642" xr:uid="{00000000-0005-0000-0000-0000FF060000}"/>
    <cellStyle name="_봉림고교 교사신축(최종)" xfId="16155" xr:uid="{00000000-0005-0000-0000-000000070000}"/>
    <cellStyle name="_봉림고교 교사신축(최종)-참고용" xfId="16156" xr:uid="{00000000-0005-0000-0000-000001070000}"/>
    <cellStyle name="_부경대학교-견적" xfId="1643" xr:uid="{00000000-0005-0000-0000-000002070000}"/>
    <cellStyle name="_부경대학교-견적 2" xfId="1644" xr:uid="{00000000-0005-0000-0000-000003070000}"/>
    <cellStyle name="_부안지구투찰2" xfId="16157" xr:uid="{00000000-0005-0000-0000-000004070000}"/>
    <cellStyle name="_부에나비스타 빌라 설계견적" xfId="1645" xr:uid="{00000000-0005-0000-0000-000005070000}"/>
    <cellStyle name="_부에나비스타 빌라 설계견적 2" xfId="1646" xr:uid="{00000000-0005-0000-0000-000006070000}"/>
    <cellStyle name="_부용전기" xfId="1647" xr:uid="{00000000-0005-0000-0000-000007070000}"/>
    <cellStyle name="_부용전기 2" xfId="1648" xr:uid="{00000000-0005-0000-0000-000008070000}"/>
    <cellStyle name="_부천범박동" xfId="1649" xr:uid="{00000000-0005-0000-0000-000009070000}"/>
    <cellStyle name="_부천범박동 2" xfId="1650" xr:uid="{00000000-0005-0000-0000-00000A070000}"/>
    <cellStyle name="_부평점정산내역" xfId="1651" xr:uid="{00000000-0005-0000-0000-00000B070000}"/>
    <cellStyle name="_부평점정산내역 2" xfId="1652" xr:uid="{00000000-0005-0000-0000-00000C070000}"/>
    <cellStyle name="_북한산I'PARK1공구_일반전기  견적서" xfId="1653" xr:uid="{00000000-0005-0000-0000-00000D070000}"/>
    <cellStyle name="_북한산I'PARK1공구_일반전기  견적서 2" xfId="1654" xr:uid="{00000000-0005-0000-0000-00000E070000}"/>
    <cellStyle name="_분당E마트bm" xfId="1655" xr:uid="{00000000-0005-0000-0000-00000F070000}"/>
    <cellStyle name="_분당E마트bm 2" xfId="1656" xr:uid="{00000000-0005-0000-0000-000010070000}"/>
    <cellStyle name="_분전반~1" xfId="1657" xr:uid="{00000000-0005-0000-0000-000011070000}"/>
    <cellStyle name="_분전반~1 2" xfId="1658" xr:uid="{00000000-0005-0000-0000-000012070000}"/>
    <cellStyle name="_비교표" xfId="1659" xr:uid="{00000000-0005-0000-0000-000013070000}"/>
    <cellStyle name="_비교표 2" xfId="1660" xr:uid="{00000000-0005-0000-0000-000014070000}"/>
    <cellStyle name="_비상발전기(현대중공업)" xfId="1661" xr:uid="{00000000-0005-0000-0000-000015070000}"/>
    <cellStyle name="_비상발전기(현대중공업) 2" xfId="1662" xr:uid="{00000000-0005-0000-0000-000016070000}"/>
    <cellStyle name="_비컴견적" xfId="1663" xr:uid="{00000000-0005-0000-0000-000017070000}"/>
    <cellStyle name="_비컴견적 2" xfId="1664" xr:uid="{00000000-0005-0000-0000-000018070000}"/>
    <cellStyle name="_산동 농협동로지소 청사 신축공사-1" xfId="1665" xr:uid="{00000000-0005-0000-0000-000019070000}"/>
    <cellStyle name="_산동 농협동로지소 청사 신축공사-1 2" xfId="1666" xr:uid="{00000000-0005-0000-0000-00001A070000}"/>
    <cellStyle name="_산동 농협동로지소 청사 신축공사-1_1" xfId="1667" xr:uid="{00000000-0005-0000-0000-00001B070000}"/>
    <cellStyle name="_산동 농협동로지소 청사 신축공사-1_1 2" xfId="1668" xr:uid="{00000000-0005-0000-0000-00001C070000}"/>
    <cellStyle name="_산출(신현터널 일운)" xfId="16158" xr:uid="{00000000-0005-0000-0000-00001D070000}"/>
    <cellStyle name="_삼미디텍(강당)수정" xfId="1669" xr:uid="{00000000-0005-0000-0000-00001E070000}"/>
    <cellStyle name="_삼미디텍(강당)수정 2" xfId="1670" xr:uid="{00000000-0005-0000-0000-00001F070000}"/>
    <cellStyle name="_삼미디텍(강당)수정_1" xfId="1671" xr:uid="{00000000-0005-0000-0000-000020070000}"/>
    <cellStyle name="_삼미디텍(강당)수정_1 2" xfId="1672" xr:uid="{00000000-0005-0000-0000-000021070000}"/>
    <cellStyle name="_삼미디텍(강당)수정-2(배관수정)" xfId="1673" xr:uid="{00000000-0005-0000-0000-000022070000}"/>
    <cellStyle name="_삼미디텍(강당)수정-2(배관수정) 2" xfId="1674" xr:uid="{00000000-0005-0000-0000-000023070000}"/>
    <cellStyle name="_삼미디텍(식당조명설비)수정-2(배관수정)" xfId="1675" xr:uid="{00000000-0005-0000-0000-000024070000}"/>
    <cellStyle name="_삼미디텍(식당조명설비)수정-2(배관수정) 2" xfId="1676" xr:uid="{00000000-0005-0000-0000-000025070000}"/>
    <cellStyle name="_서대전일반전기정산내역서" xfId="1677" xr:uid="{00000000-0005-0000-0000-000026070000}"/>
    <cellStyle name="_서대전일반전기정산내역서 2" xfId="1678" xr:uid="{00000000-0005-0000-0000-000027070000}"/>
    <cellStyle name="_서대전정산내역서(MCC)" xfId="1679" xr:uid="{00000000-0005-0000-0000-000028070000}"/>
    <cellStyle name="_서대전정산내역서(MCC) 2" xfId="1680" xr:uid="{00000000-0005-0000-0000-000029070000}"/>
    <cellStyle name="_서대전정산내역서(전력제어)" xfId="1681" xr:uid="{00000000-0005-0000-0000-00002A070000}"/>
    <cellStyle name="_서대전정산내역서(전력제어) 2" xfId="1682" xr:uid="{00000000-0005-0000-0000-00002B070000}"/>
    <cellStyle name="_서산점" xfId="1683" xr:uid="{00000000-0005-0000-0000-00002C070000}"/>
    <cellStyle name="_서산점 2" xfId="1684" xr:uid="{00000000-0005-0000-0000-00002D070000}"/>
    <cellStyle name="_서산점 mcc" xfId="1685" xr:uid="{00000000-0005-0000-0000-00002E070000}"/>
    <cellStyle name="_서산점 mcc 2" xfId="1686" xr:uid="{00000000-0005-0000-0000-00002F070000}"/>
    <cellStyle name="_서산점(약전)자재부최종확정" xfId="1687" xr:uid="{00000000-0005-0000-0000-000030070000}"/>
    <cellStyle name="_서산점(약전)자재부최종확정 2" xfId="1688" xr:uid="{00000000-0005-0000-0000-000031070000}"/>
    <cellStyle name="_서산점약전내역(자재부확정)" xfId="1689" xr:uid="{00000000-0005-0000-0000-000032070000}"/>
    <cellStyle name="_서산점약전내역(자재부확정) 2" xfId="1690" xr:uid="{00000000-0005-0000-0000-000033070000}"/>
    <cellStyle name="_서산점정산내역" xfId="1691" xr:uid="{00000000-0005-0000-0000-000034070000}"/>
    <cellStyle name="_서산점정산내역 2" xfId="1692" xr:uid="{00000000-0005-0000-0000-000035070000}"/>
    <cellStyle name="_서울 지하철 7호선 연장 내역서" xfId="16159" xr:uid="{00000000-0005-0000-0000-000036070000}"/>
    <cellStyle name="_서울보훈병원견적_Alcatel" xfId="1693" xr:uid="{00000000-0005-0000-0000-000037070000}"/>
    <cellStyle name="_서울보훈병원견적_Alcatel 2" xfId="1694" xr:uid="{00000000-0005-0000-0000-000038070000}"/>
    <cellStyle name="_서울여대(20020516)" xfId="16160" xr:uid="{00000000-0005-0000-0000-000039070000}"/>
    <cellStyle name="_서초C블럭_홍보관_설치공사_내역서_SMT071214" xfId="1695" xr:uid="{00000000-0005-0000-0000-00003A070000}"/>
    <cellStyle name="_서초C블럭_홍보관_설치공사_내역서_SMT071214 2" xfId="1696" xr:uid="{00000000-0005-0000-0000-00003B070000}"/>
    <cellStyle name="_서초C블럭_홍보관_일위대가_080131_삼미디어텍" xfId="1697" xr:uid="{00000000-0005-0000-0000-00003C070000}"/>
    <cellStyle name="_서초C블럭_홍보관_일위대가_080131_삼미디어텍 2" xfId="1698" xr:uid="{00000000-0005-0000-0000-00003D070000}"/>
    <cellStyle name="_서호천-계측감시제어내역서(현장제출0706)" xfId="1699" xr:uid="{00000000-0005-0000-0000-00003E070000}"/>
    <cellStyle name="_석고보드-차음시트" xfId="1700" xr:uid="{00000000-0005-0000-0000-00003F070000}"/>
    <cellStyle name="_석고보드-차음시트 2" xfId="1701" xr:uid="{00000000-0005-0000-0000-000040070000}"/>
    <cellStyle name="_설계변경0913" xfId="1702" xr:uid="{00000000-0005-0000-0000-000041070000}"/>
    <cellStyle name="_설계변경0913 2" xfId="1703" xr:uid="{00000000-0005-0000-0000-000042070000}"/>
    <cellStyle name="_설계변경내역(최종)-" xfId="16161" xr:uid="{00000000-0005-0000-0000-000043070000}"/>
    <cellStyle name="_설계서갑지" xfId="16162" xr:uid="{00000000-0005-0000-0000-000044070000}"/>
    <cellStyle name="_설계원가 및 손익계산서(극장)" xfId="16163" xr:uid="{00000000-0005-0000-0000-000045070000}"/>
    <cellStyle name="_설계원가 및 손익계산서(백화점)" xfId="16164" xr:uid="{00000000-0005-0000-0000-000046070000}"/>
    <cellStyle name="_설계원가 및 손익계산서(이광환)" xfId="16165" xr:uid="{00000000-0005-0000-0000-000047070000}"/>
    <cellStyle name="_설비(1218)" xfId="16166" xr:uid="{00000000-0005-0000-0000-000048070000}"/>
    <cellStyle name="_성남" xfId="1704" xr:uid="{00000000-0005-0000-0000-000049070000}"/>
    <cellStyle name="_성남 2" xfId="1705" xr:uid="{00000000-0005-0000-0000-00004A070000}"/>
    <cellStyle name="_성남 실내체육관 영상,음향 장비 설치구매 내역서" xfId="1706" xr:uid="{00000000-0005-0000-0000-00004B070000}"/>
    <cellStyle name="_성남 전관방송 공사_final(05.06.24)" xfId="1707" xr:uid="{00000000-0005-0000-0000-00004C070000}"/>
    <cellStyle name="_성남분기점계측설비설계" xfId="1708" xr:uid="{00000000-0005-0000-0000-00004D070000}"/>
    <cellStyle name="_성남분기점계측설비설계 2" xfId="1709" xr:uid="{00000000-0005-0000-0000-00004E070000}"/>
    <cellStyle name="_세기기전" xfId="1710" xr:uid="{00000000-0005-0000-0000-00004F070000}"/>
    <cellStyle name="_세기기전 2" xfId="1711" xr:uid="{00000000-0005-0000-0000-000050070000}"/>
    <cellStyle name="_세원IBS-한림대학교" xfId="1712" xr:uid="{00000000-0005-0000-0000-000051070000}"/>
    <cellStyle name="_소방전기(최종)" xfId="1713" xr:uid="{00000000-0005-0000-0000-000052070000}"/>
    <cellStyle name="_소방전기(최종) 2" xfId="1714" xr:uid="{00000000-0005-0000-0000-000053070000}"/>
    <cellStyle name="_소프트웨어산출(05년기준)" xfId="1715" xr:uid="{00000000-0005-0000-0000-000054070000}"/>
    <cellStyle name="_소프트웨어산출(05년기준) 2" xfId="1716" xr:uid="{00000000-0005-0000-0000-000055070000}"/>
    <cellStyle name="_송도국제학교_신축(내역서)(060420)" xfId="1717" xr:uid="{00000000-0005-0000-0000-000056070000}"/>
    <cellStyle name="_송도국제학교_신축(내역서)(060420) 2" xfId="1718" xr:uid="{00000000-0005-0000-0000-000057070000}"/>
    <cellStyle name="_송현실행내역" xfId="1719" xr:uid="{00000000-0005-0000-0000-000058070000}"/>
    <cellStyle name="_송현실행내역 2" xfId="1720" xr:uid="{00000000-0005-0000-0000-000059070000}"/>
    <cellStyle name="_수도권1~6계측설비설계" xfId="1721" xr:uid="{00000000-0005-0000-0000-00005A070000}"/>
    <cellStyle name="_수도권1~6계측설비설계 2" xfId="1722" xr:uid="{00000000-0005-0000-0000-00005B070000}"/>
    <cellStyle name="_수도권1~6계측설비설계(수정)" xfId="1723" xr:uid="{00000000-0005-0000-0000-00005C070000}"/>
    <cellStyle name="_수도권1~6계측설비설계(수정) 2" xfId="1724" xr:uid="{00000000-0005-0000-0000-00005D070000}"/>
    <cellStyle name="_수락설계변경내역(감리검토)" xfId="16167" xr:uid="{00000000-0005-0000-0000-00005E070000}"/>
    <cellStyle name="_수량표(아주포함)" xfId="16168" xr:uid="{00000000-0005-0000-0000-00005F070000}"/>
    <cellStyle name="_수원시_견적서_2222" xfId="1725" xr:uid="{00000000-0005-0000-0000-000060070000}"/>
    <cellStyle name="_수원시_견적서_2222 2" xfId="1726" xr:uid="{00000000-0005-0000-0000-000061070000}"/>
    <cellStyle name="_수정본 - 배출수동설계" xfId="1727" xr:uid="{00000000-0005-0000-0000-000062070000}"/>
    <cellStyle name="_수정본 - 배출수동설계 2" xfId="1728" xr:uid="{00000000-0005-0000-0000-000063070000}"/>
    <cellStyle name="_수지점 준공정산확인서(CM전기팀표준양식)-1" xfId="1729" xr:uid="{00000000-0005-0000-0000-000064070000}"/>
    <cellStyle name="_수지점 준공정산확인서(CM전기팀표준양식)-1 2" xfId="1730" xr:uid="{00000000-0005-0000-0000-000065070000}"/>
    <cellStyle name="_수통압력설계서최종" xfId="1731" xr:uid="{00000000-0005-0000-0000-000066070000}"/>
    <cellStyle name="_수통압력설계서최종 2" xfId="1732" xr:uid="{00000000-0005-0000-0000-000067070000}"/>
    <cellStyle name="_스노멜팅(미사엔지니어링)" xfId="1733" xr:uid="{00000000-0005-0000-0000-000068070000}"/>
    <cellStyle name="_스노멜팅(미사엔지니어링) 2" xfId="1734" xr:uid="{00000000-0005-0000-0000-000069070000}"/>
    <cellStyle name="_스케쥴 프로세스" xfId="15954" xr:uid="{00000000-0005-0000-0000-00006A070000}"/>
    <cellStyle name="_스튜디오" xfId="1735" xr:uid="{00000000-0005-0000-0000-00006B070000}"/>
    <cellStyle name="_스튜디오 2" xfId="1736" xr:uid="{00000000-0005-0000-0000-00006C070000}"/>
    <cellStyle name="_시설 언더패스 견적-40202" xfId="16169" xr:uid="{00000000-0005-0000-0000-00006D070000}"/>
    <cellStyle name="_시설 언더패스 견적-40204" xfId="16170" xr:uid="{00000000-0005-0000-0000-00006E070000}"/>
    <cellStyle name="_시설 언더패스 견적-40225" xfId="16171" xr:uid="{00000000-0005-0000-0000-00006F070000}"/>
    <cellStyle name="_시중노임단가표" xfId="1737" xr:uid="{00000000-0005-0000-0000-000070070000}"/>
    <cellStyle name="_시중노임단가표 2" xfId="1738" xr:uid="{00000000-0005-0000-0000-000071070000}"/>
    <cellStyle name="_시행결의(소방)" xfId="1739" xr:uid="{00000000-0005-0000-0000-000072070000}"/>
    <cellStyle name="_시흥설계" xfId="1740" xr:uid="{00000000-0005-0000-0000-000073070000}"/>
    <cellStyle name="_시흥설계 2" xfId="1741" xr:uid="{00000000-0005-0000-0000-000074070000}"/>
    <cellStyle name="_신관지하1층약전(2공구)자재부제출" xfId="1742" xr:uid="{00000000-0005-0000-0000-000075070000}"/>
    <cellStyle name="_신관지하1층약전(2공구)자재부제출 2" xfId="1743" xr:uid="{00000000-0005-0000-0000-000076070000}"/>
    <cellStyle name="_신안전기" xfId="1744" xr:uid="{00000000-0005-0000-0000-000077070000}"/>
    <cellStyle name="_신안전기 2" xfId="1745" xr:uid="{00000000-0005-0000-0000-000078070000}"/>
    <cellStyle name="_실정보고설명서(전차선 접지단자함 배관 및 배선)-송촌" xfId="16172" xr:uid="{00000000-0005-0000-0000-000079070000}"/>
    <cellStyle name="_실행 갑지(설비.07.11.28)" xfId="1746" xr:uid="{00000000-0005-0000-0000-00007A070000}"/>
    <cellStyle name="_실행(갑지)" xfId="1747" xr:uid="{00000000-0005-0000-0000-00007B070000}"/>
    <cellStyle name="_실행(갑지) 2" xfId="1748" xr:uid="{00000000-0005-0000-0000-00007C070000}"/>
    <cellStyle name="_실행내역서" xfId="1749" xr:uid="{00000000-0005-0000-0000-00007D070000}"/>
    <cellStyle name="_실행내역서 2" xfId="1750" xr:uid="{00000000-0005-0000-0000-00007E070000}"/>
    <cellStyle name="_실행예산(구로비둘기.08.01.15)" xfId="1751" xr:uid="{00000000-0005-0000-0000-00007F070000}"/>
    <cellStyle name="_실행예산(구미문성경남)" xfId="1752" xr:uid="{00000000-0005-0000-0000-000080070000}"/>
    <cellStyle name="_실행예산(성남판교턴키A7-2BL)" xfId="1753" xr:uid="{00000000-0005-0000-0000-000081070000}"/>
    <cellStyle name="_안양점" xfId="1754" xr:uid="{00000000-0005-0000-0000-000082070000}"/>
    <cellStyle name="_안양점 2" xfId="1755" xr:uid="{00000000-0005-0000-0000-000083070000}"/>
    <cellStyle name="_안양지청구조물내역서-20080524" xfId="16173" xr:uid="{00000000-0005-0000-0000-000084070000}"/>
    <cellStyle name="_알리안츠생보사옥 견적" xfId="1756" xr:uid="{00000000-0005-0000-0000-000085070000}"/>
    <cellStyle name="_알리안츠생보사옥 견적 2" xfId="1757" xr:uid="{00000000-0005-0000-0000-000086070000}"/>
    <cellStyle name="_압력설계서(최종)" xfId="1758" xr:uid="{00000000-0005-0000-0000-000087070000}"/>
    <cellStyle name="_압력설계서(최종) 2" xfId="1759" xr:uid="{00000000-0005-0000-0000-000088070000}"/>
    <cellStyle name="_앙골라_총괄내역서_080513" xfId="1760" xr:uid="{00000000-0005-0000-0000-000089070000}"/>
    <cellStyle name="_앙골라_총괄내역서_080513 2" xfId="1761" xr:uid="{00000000-0005-0000-0000-00008A070000}"/>
    <cellStyle name="_약전설비1공구(최종)" xfId="1762" xr:uid="{00000000-0005-0000-0000-00008B070000}"/>
    <cellStyle name="_약전설비1공구(최종) 2" xfId="1763" xr:uid="{00000000-0005-0000-0000-00008C070000}"/>
    <cellStyle name="_약전설비년간단가" xfId="1764" xr:uid="{00000000-0005-0000-0000-00008D070000}"/>
    <cellStyle name="_약전설비년간단가 2" xfId="1765" xr:uid="{00000000-0005-0000-0000-00008E070000}"/>
    <cellStyle name="_양식" xfId="1766" xr:uid="{00000000-0005-0000-0000-00008F070000}"/>
    <cellStyle name="_양식 2" xfId="1767" xr:uid="{00000000-0005-0000-0000-000090070000}"/>
    <cellStyle name="_양식모음" xfId="16174" xr:uid="{00000000-0005-0000-0000-000091070000}"/>
    <cellStyle name="_양식모음1" xfId="16175" xr:uid="{00000000-0005-0000-0000-000092070000}"/>
    <cellStyle name="_양천고등학교" xfId="1768" xr:uid="{00000000-0005-0000-0000-000093070000}"/>
    <cellStyle name="_양천고등학교 2" xfId="1769" xr:uid="{00000000-0005-0000-0000-000094070000}"/>
    <cellStyle name="_언주중-1" xfId="1770" xr:uid="{00000000-0005-0000-0000-000095070000}"/>
    <cellStyle name="_언주중-1 2" xfId="1771" xr:uid="{00000000-0005-0000-0000-000096070000}"/>
    <cellStyle name="_엘리베이터" xfId="1772" xr:uid="{00000000-0005-0000-0000-000097070000}"/>
    <cellStyle name="_엘리베이터 2" xfId="1773" xr:uid="{00000000-0005-0000-0000-000098070000}"/>
    <cellStyle name="_여수우회" xfId="16176" xr:uid="{00000000-0005-0000-0000-000099070000}"/>
    <cellStyle name="_여의도 파크스위트신축공사-송부" xfId="1774" xr:uid="{00000000-0005-0000-0000-00009A070000}"/>
    <cellStyle name="_여의도 파크스위트신축공사-송부 2" xfId="1775" xr:uid="{00000000-0005-0000-0000-00009B070000}"/>
    <cellStyle name="_역삼성진" xfId="1776" xr:uid="{00000000-0005-0000-0000-00009C070000}"/>
    <cellStyle name="_역삼성진 2" xfId="1777" xr:uid="{00000000-0005-0000-0000-00009D070000}"/>
    <cellStyle name="_연수전기BM" xfId="1778" xr:uid="{00000000-0005-0000-0000-00009E070000}"/>
    <cellStyle name="_연수전기BM 2" xfId="1779" xr:uid="{00000000-0005-0000-0000-00009F070000}"/>
    <cellStyle name="_연희,마전,가정,크리스탈" xfId="1780" xr:uid="{00000000-0005-0000-0000-0000A0070000}"/>
    <cellStyle name="_연희,마전,가정,크리스탈 2" xfId="1781" xr:uid="{00000000-0005-0000-0000-0000A1070000}"/>
    <cellStyle name="_영등포점 영화관" xfId="1782" xr:uid="{00000000-0005-0000-0000-0000A2070000}"/>
    <cellStyle name="_영등포점 영화관 2" xfId="1783" xr:uid="{00000000-0005-0000-0000-0000A3070000}"/>
    <cellStyle name="_영등포점 정산내역서" xfId="1784" xr:uid="{00000000-0005-0000-0000-0000A4070000}"/>
    <cellStyle name="_영등포점 정산내역서 2" xfId="1785" xr:uid="{00000000-0005-0000-0000-0000A5070000}"/>
    <cellStyle name="_영등포점약전내역(자재부제출)" xfId="1786" xr:uid="{00000000-0005-0000-0000-0000A6070000}"/>
    <cellStyle name="_영등포점약전내역(자재부제출) 2" xfId="1787" xr:uid="{00000000-0005-0000-0000-0000A7070000}"/>
    <cellStyle name="_영산강-금호(부대내역)" xfId="16177" xr:uid="{00000000-0005-0000-0000-0000A8070000}"/>
    <cellStyle name="_영산강-금호(부대내역)_공무정산양식(10월초)" xfId="16178" xr:uid="{00000000-0005-0000-0000-0000A9070000}"/>
    <cellStyle name="_영산강-금호(부대내역)_공무정산양식(10월초)_기성내역서" xfId="16179" xr:uid="{00000000-0005-0000-0000-0000AA070000}"/>
    <cellStyle name="_영산강-금호(부대내역)_공무정산양식(10월초)_기성내역서_전체계약변경(03)" xfId="16180" xr:uid="{00000000-0005-0000-0000-0000AB070000}"/>
    <cellStyle name="_영산강-금호(부대내역)_공무정산양식(10월초)_전체계약변경(03)" xfId="16181" xr:uid="{00000000-0005-0000-0000-0000AC070000}"/>
    <cellStyle name="_영산강-금호(부대내역)_공무정산양식(10월초)_포장외건(최종)" xfId="16182" xr:uid="{00000000-0005-0000-0000-0000AD070000}"/>
    <cellStyle name="_영산강-금호(부대내역)_기성내역서" xfId="16183" xr:uid="{00000000-0005-0000-0000-0000AE070000}"/>
    <cellStyle name="_영산강-금호(부대내역)_기성내역서_전체계약변경(03)" xfId="16184" xr:uid="{00000000-0005-0000-0000-0000AF070000}"/>
    <cellStyle name="_영산강-금호(부대내역)_전체계약변경(03)" xfId="16185" xr:uid="{00000000-0005-0000-0000-0000B0070000}"/>
    <cellStyle name="_영산강-금호(부대내역)_포장외건(최종)" xfId="16186" xr:uid="{00000000-0005-0000-0000-0000B1070000}"/>
    <cellStyle name="_영상S" xfId="16187" xr:uid="{00000000-0005-0000-0000-0000B2070000}"/>
    <cellStyle name="_영상장비내역서(060509)" xfId="1788" xr:uid="{00000000-0005-0000-0000-0000B3070000}"/>
    <cellStyle name="_영주국도대체도로" xfId="1789" xr:uid="{00000000-0005-0000-0000-0000B4070000}"/>
    <cellStyle name="_영통배수지_06.09.18" xfId="1790" xr:uid="{00000000-0005-0000-0000-0000B5070000}"/>
    <cellStyle name="_영통배수지_06.09.18 2" xfId="1791" xr:uid="{00000000-0005-0000-0000-0000B6070000}"/>
    <cellStyle name="_영화관약전설비(수정)" xfId="1792" xr:uid="{00000000-0005-0000-0000-0000B7070000}"/>
    <cellStyle name="_영화관약전설비(수정) 2" xfId="1793" xr:uid="{00000000-0005-0000-0000-0000B8070000}"/>
    <cellStyle name="_예산서(이화철교)" xfId="16188" xr:uid="{00000000-0005-0000-0000-0000B9070000}"/>
    <cellStyle name="_예정공정표" xfId="16189" xr:uid="{00000000-0005-0000-0000-0000BA070000}"/>
    <cellStyle name="_예정공정표2" xfId="16190" xr:uid="{00000000-0005-0000-0000-0000BB070000}"/>
    <cellStyle name="_올림피아홀 조명 및 방송설비 설계서" xfId="1794" xr:uid="{00000000-0005-0000-0000-0000BC070000}"/>
    <cellStyle name="_올림피아홀 조명 및 방송설비 설계서 2" xfId="1795" xr:uid="{00000000-0005-0000-0000-0000BD070000}"/>
    <cellStyle name="_올림픽파크텔(개보수)-최종(원가계산)" xfId="1796" xr:uid="{00000000-0005-0000-0000-0000BE070000}"/>
    <cellStyle name="_올림픽파크텔(개보수)-최종(원가계산) 2" xfId="1797" xr:uid="{00000000-0005-0000-0000-0000BF070000}"/>
    <cellStyle name="_요금고지유량계계약" xfId="1798" xr:uid="{00000000-0005-0000-0000-0000C0070000}"/>
    <cellStyle name="_요금고지유량계계약 2" xfId="1799" xr:uid="{00000000-0005-0000-0000-0000C1070000}"/>
    <cellStyle name="_용인수지점약전설비정산" xfId="1800" xr:uid="{00000000-0005-0000-0000-0000C2070000}"/>
    <cellStyle name="_용인수지점약전설비정산 2" xfId="1801" xr:uid="{00000000-0005-0000-0000-0000C3070000}"/>
    <cellStyle name="_용현점변경계약내역" xfId="1802" xr:uid="{00000000-0005-0000-0000-0000C4070000}"/>
    <cellStyle name="_용현점변경계약내역 2" xfId="1803" xr:uid="{00000000-0005-0000-0000-0000C5070000}"/>
    <cellStyle name="_용현한양외계약및준공관련" xfId="1804" xr:uid="{00000000-0005-0000-0000-0000C6070000}"/>
    <cellStyle name="_용현한양외계약및준공관련 2" xfId="1805" xr:uid="{00000000-0005-0000-0000-0000C7070000}"/>
    <cellStyle name="_울산A" xfId="1806" xr:uid="{00000000-0005-0000-0000-0000C8070000}"/>
    <cellStyle name="_울산A 2" xfId="1807" xr:uid="{00000000-0005-0000-0000-0000C9070000}"/>
    <cellStyle name="_울산B부지 백화점 약전2,3공구" xfId="1808" xr:uid="{00000000-0005-0000-0000-0000CA070000}"/>
    <cellStyle name="_울산B부지 백화점 약전2,3공구 2" xfId="1809" xr:uid="{00000000-0005-0000-0000-0000CB070000}"/>
    <cellStyle name="_울산강동교차로계산서(최종)06.07(wp)" xfId="16191" xr:uid="{00000000-0005-0000-0000-0000CC070000}"/>
    <cellStyle name="_울산강동터널계산서(수정본2)" xfId="16192" xr:uid="{00000000-0005-0000-0000-0000CD070000}"/>
    <cellStyle name="_울산강동터널계산서(최종)REV2" xfId="16193" xr:uid="{00000000-0005-0000-0000-0000CE070000}"/>
    <cellStyle name="_울산롯데호텔소방전기견적서" xfId="1810" xr:uid="{00000000-0005-0000-0000-0000CF070000}"/>
    <cellStyle name="_울산롯데호텔소방전기견적서 2" xfId="1811" xr:uid="{00000000-0005-0000-0000-0000D0070000}"/>
    <cellStyle name="_울산백화점 발의내역(계약단가적용)" xfId="1812" xr:uid="{00000000-0005-0000-0000-0000D1070000}"/>
    <cellStyle name="_울산백화점 발의내역(계약단가적용) 2" xfId="1813" xr:uid="{00000000-0005-0000-0000-0000D2070000}"/>
    <cellStyle name="_울산역구내외1단가산출서" xfId="16194" xr:uid="{00000000-0005-0000-0000-0000D3070000}"/>
    <cellStyle name="_울산역구내외1단가산출서_1" xfId="16195" xr:uid="{00000000-0005-0000-0000-0000D4070000}"/>
    <cellStyle name="_울산점 영화관" xfId="1814" xr:uid="{00000000-0005-0000-0000-0000D5070000}"/>
    <cellStyle name="_울산점 영화관 2" xfId="1815" xr:uid="{00000000-0005-0000-0000-0000D6070000}"/>
    <cellStyle name="_울산점소방전기공사(발주)" xfId="1816" xr:uid="{00000000-0005-0000-0000-0000D7070000}"/>
    <cellStyle name="_울산점소방전기공사(발주) 2" xfId="1817" xr:uid="{00000000-0005-0000-0000-0000D8070000}"/>
    <cellStyle name="_울산증축마그넷약전내역" xfId="1818" xr:uid="{00000000-0005-0000-0000-0000D9070000}"/>
    <cellStyle name="_울산증축마그넷약전내역 2" xfId="1819" xr:uid="{00000000-0005-0000-0000-0000DA070000}"/>
    <cellStyle name="_울산호텔 MCC및 분전반" xfId="1820" xr:uid="{00000000-0005-0000-0000-0000DB070000}"/>
    <cellStyle name="_울산호텔 MCC및 분전반 2" xfId="1821" xr:uid="{00000000-0005-0000-0000-0000DC070000}"/>
    <cellStyle name="_울산호텔 MCC및 분전반(최종)" xfId="1822" xr:uid="{00000000-0005-0000-0000-0000DD070000}"/>
    <cellStyle name="_울산호텔 MCC및 분전반(최종) 2" xfId="1823" xr:uid="{00000000-0005-0000-0000-0000DE070000}"/>
    <cellStyle name="_울산호텔 외곽조명(1차)" xfId="1824" xr:uid="{00000000-0005-0000-0000-0000DF070000}"/>
    <cellStyle name="_울산호텔 외곽조명(1차) 2" xfId="1825" xr:uid="{00000000-0005-0000-0000-0000E0070000}"/>
    <cellStyle name="_원가계산서" xfId="1826" xr:uid="{00000000-0005-0000-0000-0000E1070000}"/>
    <cellStyle name="_원가계산서 2" xfId="1827" xr:uid="{00000000-0005-0000-0000-0000E2070000}"/>
    <cellStyle name="_원가분석(1217)" xfId="16196" xr:uid="{00000000-0005-0000-0000-0000E3070000}"/>
    <cellStyle name="_원가분석(아이0208)" xfId="16197" xr:uid="{00000000-0005-0000-0000-0000E4070000}"/>
    <cellStyle name="_원광조명" xfId="1828" xr:uid="{00000000-0005-0000-0000-0000E5070000}"/>
    <cellStyle name="_원광조명 2" xfId="1829" xr:uid="{00000000-0005-0000-0000-0000E6070000}"/>
    <cellStyle name="_원석학원본관개축견적" xfId="1830" xr:uid="{00000000-0005-0000-0000-0000E7070000}"/>
    <cellStyle name="_원석학원본관개축견적 2" xfId="1831" xr:uid="{00000000-0005-0000-0000-0000E8070000}"/>
    <cellStyle name="_원석학원작업" xfId="1832" xr:uid="{00000000-0005-0000-0000-0000E9070000}"/>
    <cellStyle name="_원석학원작업 2" xfId="1833" xr:uid="{00000000-0005-0000-0000-0000EA070000}"/>
    <cellStyle name="_월예정공정표" xfId="16199" xr:uid="{00000000-0005-0000-0000-0000EB070000}"/>
    <cellStyle name="_윈-단가(pipe,cable)" xfId="1834" xr:uid="{00000000-0005-0000-0000-0000EC070000}"/>
    <cellStyle name="_윈-단가(pipe,cable) 2" xfId="1835" xr:uid="{00000000-0005-0000-0000-0000ED070000}"/>
    <cellStyle name="_윈-단가견(통합배선)" xfId="1836" xr:uid="{00000000-0005-0000-0000-0000EE070000}"/>
    <cellStyle name="_윈-단가견(통합배선) 2" xfId="1837" xr:uid="{00000000-0005-0000-0000-0000EF070000}"/>
    <cellStyle name="_윈미드텍0705" xfId="1838" xr:uid="{00000000-0005-0000-0000-0000F0070000}"/>
    <cellStyle name="_윈미드텍0705 2" xfId="1839" xr:uid="{00000000-0005-0000-0000-0000F1070000}"/>
    <cellStyle name="_유기전기1(동영ENG내역)" xfId="1840" xr:uid="{00000000-0005-0000-0000-0000F2070000}"/>
    <cellStyle name="_유기전기1(동영ENG내역) 2" xfId="1841" xr:uid="{00000000-0005-0000-0000-0000F3070000}"/>
    <cellStyle name="_유량계실 설계서(가시설제거-1)" xfId="1842" xr:uid="{00000000-0005-0000-0000-0000F4070000}"/>
    <cellStyle name="_유량계실 설계서(가시설제거-1) 2" xfId="1843" xr:uid="{00000000-0005-0000-0000-0000F5070000}"/>
    <cellStyle name="_유량계실 설계서(변경설계서)" xfId="1844" xr:uid="{00000000-0005-0000-0000-0000F6070000}"/>
    <cellStyle name="_유량계실 설계서(변경설계서) 2" xfId="1845" xr:uid="{00000000-0005-0000-0000-0000F7070000}"/>
    <cellStyle name="_유성약전발의내역1" xfId="1846" xr:uid="{00000000-0005-0000-0000-0000F8070000}"/>
    <cellStyle name="_유성약전발의내역1 2" xfId="1847" xr:uid="{00000000-0005-0000-0000-0000F9070000}"/>
    <cellStyle name="_유성점단가계약(N0)" xfId="1848" xr:uid="{00000000-0005-0000-0000-0000FA070000}"/>
    <cellStyle name="_유성점단가계약(N0) 2" xfId="1849" xr:uid="{00000000-0005-0000-0000-0000FB070000}"/>
    <cellStyle name="_을지" xfId="1850" xr:uid="{00000000-0005-0000-0000-0000FC070000}"/>
    <cellStyle name="_을지 2" xfId="1851" xr:uid="{00000000-0005-0000-0000-0000FD070000}"/>
    <cellStyle name="_을지병원 설계예산서" xfId="1852" xr:uid="{00000000-0005-0000-0000-0000FE070000}"/>
    <cellStyle name="_을지병원 설계예산서 2" xfId="1853" xr:uid="{00000000-0005-0000-0000-0000FF070000}"/>
    <cellStyle name="_음암관리비" xfId="16200" xr:uid="{00000000-0005-0000-0000-000000080000}"/>
    <cellStyle name="_음향보정장치" xfId="1854" xr:uid="{00000000-0005-0000-0000-000001080000}"/>
    <cellStyle name="_음향보정장치 2" xfId="1855" xr:uid="{00000000-0005-0000-0000-000002080000}"/>
    <cellStyle name="_음향설계변경 (0828) -1" xfId="1856" xr:uid="{00000000-0005-0000-0000-000003080000}"/>
    <cellStyle name="_음향설계변경 (0828) -1 2" xfId="1857" xr:uid="{00000000-0005-0000-0000-000004080000}"/>
    <cellStyle name="_의정부" xfId="1858" xr:uid="{00000000-0005-0000-0000-000005080000}"/>
    <cellStyle name="_의정부 2" xfId="1859" xr:uid="{00000000-0005-0000-0000-000006080000}"/>
    <cellStyle name="_의정부 정산내역서" xfId="1860" xr:uid="{00000000-0005-0000-0000-000007080000}"/>
    <cellStyle name="_의정부 정산내역서 2" xfId="1861" xr:uid="{00000000-0005-0000-0000-000008080000}"/>
    <cellStyle name="_의정부금오점(100%)" xfId="1862" xr:uid="{00000000-0005-0000-0000-000009080000}"/>
    <cellStyle name="_의정부금오점(100%) 2" xfId="1863" xr:uid="{00000000-0005-0000-0000-00000A080000}"/>
    <cellStyle name="_이의가압장_06.09.18" xfId="1864" xr:uid="{00000000-0005-0000-0000-00000B080000}"/>
    <cellStyle name="_이의가압장_06.09.18 2" xfId="1865" xr:uid="{00000000-0005-0000-0000-00000C080000}"/>
    <cellStyle name="_이자훈차장님" xfId="1866" xr:uid="{00000000-0005-0000-0000-00000D080000}"/>
    <cellStyle name="_이자훈차장님 2" xfId="1867" xr:uid="{00000000-0005-0000-0000-00000E080000}"/>
    <cellStyle name="_익산점내역" xfId="1868" xr:uid="{00000000-0005-0000-0000-00000F080000}"/>
    <cellStyle name="_익산점내역 2" xfId="1869" xr:uid="{00000000-0005-0000-0000-000010080000}"/>
    <cellStyle name="_익산점일반전기정산내역서(자재부)" xfId="1870" xr:uid="{00000000-0005-0000-0000-000011080000}"/>
    <cellStyle name="_익산점일반전기정산내역서(자재부) 2" xfId="1871" xr:uid="{00000000-0005-0000-0000-000012080000}"/>
    <cellStyle name="_익산점전력간선정산내역서" xfId="1872" xr:uid="{00000000-0005-0000-0000-000013080000}"/>
    <cellStyle name="_익산점전력간선정산내역서 2" xfId="1873" xr:uid="{00000000-0005-0000-0000-000014080000}"/>
    <cellStyle name="_인수인계 및 완료확인서" xfId="1874" xr:uid="{00000000-0005-0000-0000-000015080000}"/>
    <cellStyle name="_인수인계 및 완료확인서 2" xfId="1875" xr:uid="{00000000-0005-0000-0000-000016080000}"/>
    <cellStyle name="_인원계획표 " xfId="1876" xr:uid="{00000000-0005-0000-0000-000017080000}"/>
    <cellStyle name="_인원계획표  2" xfId="1877" xr:uid="{00000000-0005-0000-0000-000018080000}"/>
    <cellStyle name="_인원계획표 _(가)실행" xfId="16201" xr:uid="{00000000-0005-0000-0000-000019080000}"/>
    <cellStyle name="_인원계획표 _(가)실행_(가)실행" xfId="16202" xr:uid="{00000000-0005-0000-0000-00001A080000}"/>
    <cellStyle name="_인원계획표 _(가)실행_(가)실행2" xfId="16203" xr:uid="{00000000-0005-0000-0000-00001B080000}"/>
    <cellStyle name="_인원계획표 _(가)실행_중동성황(가)실행" xfId="16204" xr:uid="{00000000-0005-0000-0000-00001C080000}"/>
    <cellStyle name="_인원계획표 _가실행(공설운동장)" xfId="16205" xr:uid="{00000000-0005-0000-0000-00001D080000}"/>
    <cellStyle name="_인원계획표 _가실행(공설운동장)_(가)실행" xfId="16206" xr:uid="{00000000-0005-0000-0000-00001E080000}"/>
    <cellStyle name="_인원계획표 _가실행(공설운동장)_(가)실행2" xfId="16207" xr:uid="{00000000-0005-0000-0000-00001F080000}"/>
    <cellStyle name="_인원계획표 _가실행(공설운동장)_중동성황(가)실행" xfId="16208" xr:uid="{00000000-0005-0000-0000-000020080000}"/>
    <cellStyle name="_인원계획표 _가실행(송탄IC)" xfId="16209" xr:uid="{00000000-0005-0000-0000-000021080000}"/>
    <cellStyle name="_인원계획표 _가실행(송탄IC)_(가)실행" xfId="16210" xr:uid="{00000000-0005-0000-0000-000022080000}"/>
    <cellStyle name="_인원계획표 _가실행(송탄IC)_(가)실행2" xfId="16211" xr:uid="{00000000-0005-0000-0000-000023080000}"/>
    <cellStyle name="_인원계획표 _가실행(송탄IC)_중동성황(가)실행" xfId="16212" xr:uid="{00000000-0005-0000-0000-000024080000}"/>
    <cellStyle name="_인원계획표 _건국대병원" xfId="1878" xr:uid="{00000000-0005-0000-0000-000025080000}"/>
    <cellStyle name="_인원계획표 _건국대병원 2" xfId="1879" xr:uid="{00000000-0005-0000-0000-000026080000}"/>
    <cellStyle name="_인원계획표 _건국대병원_건국대학교공내역1028" xfId="1880" xr:uid="{00000000-0005-0000-0000-000027080000}"/>
    <cellStyle name="_인원계획표 _건국대병원_건국대학교공내역1028 2" xfId="1881" xr:uid="{00000000-0005-0000-0000-000028080000}"/>
    <cellStyle name="_인원계획표 _건국대병원_건국대학교공내역1028_건국대학교공내역1028" xfId="1882" xr:uid="{00000000-0005-0000-0000-000029080000}"/>
    <cellStyle name="_인원계획표 _건국대병원_건국대학교공내역1028_건국대학교공내역1028 2" xfId="1883" xr:uid="{00000000-0005-0000-0000-00002A080000}"/>
    <cellStyle name="_인원계획표 _건국대병원_건국대학교공내역1028_건국대학교공내역1028_협조전" xfId="1884" xr:uid="{00000000-0005-0000-0000-00002B080000}"/>
    <cellStyle name="_인원계획표 _건국대병원_건국대학교공내역1028_건국대학교공내역1028_협조전 2" xfId="1885" xr:uid="{00000000-0005-0000-0000-00002C080000}"/>
    <cellStyle name="_인원계획표 _건국대병원_건국대학교공내역1028_건국대학교공내역1028_협조전_협조전" xfId="1886" xr:uid="{00000000-0005-0000-0000-00002D080000}"/>
    <cellStyle name="_인원계획표 _건국대병원_건국대학교공내역1028_건국대학교공내역1028_협조전_협조전 2" xfId="1887" xr:uid="{00000000-0005-0000-0000-00002E080000}"/>
    <cellStyle name="_인원계획표 _건국대병원_건국대학교공내역1028_협조전" xfId="1888" xr:uid="{00000000-0005-0000-0000-00002F080000}"/>
    <cellStyle name="_인원계획표 _건국대병원_건국대학교공내역1028_협조전 2" xfId="1889" xr:uid="{00000000-0005-0000-0000-000030080000}"/>
    <cellStyle name="_인원계획표 _건국대병원_건국대학교공내역1028_협조전_협조전" xfId="1890" xr:uid="{00000000-0005-0000-0000-000031080000}"/>
    <cellStyle name="_인원계획표 _건국대병원_건국대학교공내역1028_협조전_협조전 2" xfId="1891" xr:uid="{00000000-0005-0000-0000-000032080000}"/>
    <cellStyle name="_인원계획표 _건국대병원_협조전" xfId="1892" xr:uid="{00000000-0005-0000-0000-000033080000}"/>
    <cellStyle name="_인원계획표 _건국대병원_협조전 2" xfId="1893" xr:uid="{00000000-0005-0000-0000-000034080000}"/>
    <cellStyle name="_인원계획표 _건국대병원_협조전_협조전" xfId="1894" xr:uid="{00000000-0005-0000-0000-000035080000}"/>
    <cellStyle name="_인원계획표 _건국대병원_협조전_협조전 2" xfId="1895" xr:uid="{00000000-0005-0000-0000-000036080000}"/>
    <cellStyle name="_인원계획표 _건국대학교공내역1028" xfId="1896" xr:uid="{00000000-0005-0000-0000-000037080000}"/>
    <cellStyle name="_인원계획표 _건국대학교공내역1028 2" xfId="1897" xr:uid="{00000000-0005-0000-0000-000038080000}"/>
    <cellStyle name="_인원계획표 _건국대학교공내역1028_협조전" xfId="1898" xr:uid="{00000000-0005-0000-0000-000039080000}"/>
    <cellStyle name="_인원계획표 _건국대학교공내역1028_협조전 2" xfId="1899" xr:uid="{00000000-0005-0000-0000-00003A080000}"/>
    <cellStyle name="_인원계획표 _건국대학교공내역1028_협조전_협조전" xfId="1900" xr:uid="{00000000-0005-0000-0000-00003B080000}"/>
    <cellStyle name="_인원계획표 _건국대학교공내역1028_협조전_협조전 2" xfId="1901" xr:uid="{00000000-0005-0000-0000-00003C080000}"/>
    <cellStyle name="_인원계획표 _건국대학교병원 견적_미동" xfId="1902" xr:uid="{00000000-0005-0000-0000-00003D080000}"/>
    <cellStyle name="_인원계획표 _건국대학교병원 견적_미동 2" xfId="1903" xr:uid="{00000000-0005-0000-0000-00003E080000}"/>
    <cellStyle name="_인원계획표 _건국대학교병원 견적_미동_건국대학교공내역1028" xfId="1904" xr:uid="{00000000-0005-0000-0000-00003F080000}"/>
    <cellStyle name="_인원계획표 _건국대학교병원 견적_미동_건국대학교공내역1028 2" xfId="1905" xr:uid="{00000000-0005-0000-0000-000040080000}"/>
    <cellStyle name="_인원계획표 _건국대학교병원 견적_미동_건국대학교공내역1028_건국대학교공내역1028" xfId="1906" xr:uid="{00000000-0005-0000-0000-000041080000}"/>
    <cellStyle name="_인원계획표 _건국대학교병원 견적_미동_건국대학교공내역1028_건국대학교공내역1028 2" xfId="1907" xr:uid="{00000000-0005-0000-0000-000042080000}"/>
    <cellStyle name="_인원계획표 _건국대학교병원 견적_미동_건국대학교공내역1028_건국대학교공내역1028_협조전" xfId="1908" xr:uid="{00000000-0005-0000-0000-000043080000}"/>
    <cellStyle name="_인원계획표 _건국대학교병원 견적_미동_건국대학교공내역1028_건국대학교공내역1028_협조전 2" xfId="1909" xr:uid="{00000000-0005-0000-0000-000044080000}"/>
    <cellStyle name="_인원계획표 _건국대학교병원 견적_미동_건국대학교공내역1028_건국대학교공내역1028_협조전_협조전" xfId="1910" xr:uid="{00000000-0005-0000-0000-000045080000}"/>
    <cellStyle name="_인원계획표 _건국대학교병원 견적_미동_건국대학교공내역1028_건국대학교공내역1028_협조전_협조전 2" xfId="1911" xr:uid="{00000000-0005-0000-0000-000046080000}"/>
    <cellStyle name="_인원계획표 _건국대학교병원 견적_미동_건국대학교공내역1028_협조전" xfId="1912" xr:uid="{00000000-0005-0000-0000-000047080000}"/>
    <cellStyle name="_인원계획표 _건국대학교병원 견적_미동_건국대학교공내역1028_협조전 2" xfId="1913" xr:uid="{00000000-0005-0000-0000-000048080000}"/>
    <cellStyle name="_인원계획표 _건국대학교병원 견적_미동_건국대학교공내역1028_협조전_협조전" xfId="1914" xr:uid="{00000000-0005-0000-0000-000049080000}"/>
    <cellStyle name="_인원계획표 _건국대학교병원 견적_미동_건국대학교공내역1028_협조전_협조전 2" xfId="1915" xr:uid="{00000000-0005-0000-0000-00004A080000}"/>
    <cellStyle name="_인원계획표 _건국대학교병원 견적_미동_협조전" xfId="1916" xr:uid="{00000000-0005-0000-0000-00004B080000}"/>
    <cellStyle name="_인원계획표 _건국대학교병원 견적_미동_협조전 2" xfId="1917" xr:uid="{00000000-0005-0000-0000-00004C080000}"/>
    <cellStyle name="_인원계획표 _건국대학교병원 견적_미동_협조전_협조전" xfId="1918" xr:uid="{00000000-0005-0000-0000-00004D080000}"/>
    <cellStyle name="_인원계획표 _건국대학교병원 견적_미동_협조전_협조전 2" xfId="1919" xr:uid="{00000000-0005-0000-0000-00004E080000}"/>
    <cellStyle name="_인원계획표 _건국대학교부대입찰업체견적서" xfId="1920" xr:uid="{00000000-0005-0000-0000-00004F080000}"/>
    <cellStyle name="_인원계획표 _건국대학교부대입찰업체견적서 2" xfId="1921" xr:uid="{00000000-0005-0000-0000-000050080000}"/>
    <cellStyle name="_인원계획표 _건국대학교부대입찰업체견적서_건국대학교공내역1028" xfId="1922" xr:uid="{00000000-0005-0000-0000-000051080000}"/>
    <cellStyle name="_인원계획표 _건국대학교부대입찰업체견적서_건국대학교공내역1028 2" xfId="1923" xr:uid="{00000000-0005-0000-0000-000052080000}"/>
    <cellStyle name="_인원계획표 _건국대학교부대입찰업체견적서_건국대학교공내역1028_건국대학교공내역1028" xfId="1924" xr:uid="{00000000-0005-0000-0000-000053080000}"/>
    <cellStyle name="_인원계획표 _건국대학교부대입찰업체견적서_건국대학교공내역1028_건국대학교공내역1028 2" xfId="1925" xr:uid="{00000000-0005-0000-0000-000054080000}"/>
    <cellStyle name="_인원계획표 _건국대학교부대입찰업체견적서_건국대학교공내역1028_건국대학교공내역1028_협조전" xfId="1926" xr:uid="{00000000-0005-0000-0000-000055080000}"/>
    <cellStyle name="_인원계획표 _건국대학교부대입찰업체견적서_건국대학교공내역1028_건국대학교공내역1028_협조전 2" xfId="1927" xr:uid="{00000000-0005-0000-0000-000056080000}"/>
    <cellStyle name="_인원계획표 _건국대학교부대입찰업체견적서_건국대학교공내역1028_건국대학교공내역1028_협조전_협조전" xfId="1928" xr:uid="{00000000-0005-0000-0000-000057080000}"/>
    <cellStyle name="_인원계획표 _건국대학교부대입찰업체견적서_건국대학교공내역1028_건국대학교공내역1028_협조전_협조전 2" xfId="1929" xr:uid="{00000000-0005-0000-0000-000058080000}"/>
    <cellStyle name="_인원계획표 _건국대학교부대입찰업체견적서_건국대학교공내역1028_협조전" xfId="1930" xr:uid="{00000000-0005-0000-0000-000059080000}"/>
    <cellStyle name="_인원계획표 _건국대학교부대입찰업체견적서_건국대학교공내역1028_협조전 2" xfId="1931" xr:uid="{00000000-0005-0000-0000-00005A080000}"/>
    <cellStyle name="_인원계획표 _건국대학교부대입찰업체견적서_건국대학교공내역1028_협조전_협조전" xfId="1932" xr:uid="{00000000-0005-0000-0000-00005B080000}"/>
    <cellStyle name="_인원계획표 _건국대학교부대입찰업체견적서_건국대학교공내역1028_협조전_협조전 2" xfId="1933" xr:uid="{00000000-0005-0000-0000-00005C080000}"/>
    <cellStyle name="_인원계획표 _건국대학교부대입찰업체견적서_협조전" xfId="1934" xr:uid="{00000000-0005-0000-0000-00005D080000}"/>
    <cellStyle name="_인원계획표 _건국대학교부대입찰업체견적서_협조전 2" xfId="1935" xr:uid="{00000000-0005-0000-0000-00005E080000}"/>
    <cellStyle name="_인원계획표 _건국대학교부대입찰업체견적서_협조전_협조전" xfId="1936" xr:uid="{00000000-0005-0000-0000-00005F080000}"/>
    <cellStyle name="_인원계획표 _건국대학교부대입찰업체견적서_협조전_협조전 2" xfId="1937" xr:uid="{00000000-0005-0000-0000-000060080000}"/>
    <cellStyle name="_인원계획표 _내역(02.04.16)선우대교" xfId="1938" xr:uid="{00000000-0005-0000-0000-000061080000}"/>
    <cellStyle name="_인원계획표 _내역(02.04.16)선우대교_☆남악2-3공구가실행" xfId="1939" xr:uid="{00000000-0005-0000-0000-000062080000}"/>
    <cellStyle name="_인원계획표 _내역(02.04.17)선우대교" xfId="1940" xr:uid="{00000000-0005-0000-0000-000063080000}"/>
    <cellStyle name="_인원계획표 _내역(02.04.17)선우대교_☆남악2-3공구가실행" xfId="1941" xr:uid="{00000000-0005-0000-0000-000064080000}"/>
    <cellStyle name="_인원계획표 _내역(02.04.17)추모공원" xfId="1942" xr:uid="{00000000-0005-0000-0000-000065080000}"/>
    <cellStyle name="_인원계획표 _내역(02.04.17)추모공원_☆남악2-3공구가실행" xfId="1943" xr:uid="{00000000-0005-0000-0000-000066080000}"/>
    <cellStyle name="_인원계획표 _내역(02.09.30)신령-영천(2공구)" xfId="1944" xr:uid="{00000000-0005-0000-0000-000067080000}"/>
    <cellStyle name="_인원계획표 _내역(02.09.30)신령-영천(2공구)_☆남악2-3공구가실행" xfId="1945" xr:uid="{00000000-0005-0000-0000-000068080000}"/>
    <cellStyle name="_인원계획표 _내역(02.10.14)신령-영천(2공구)-0.3312" xfId="1946" xr:uid="{00000000-0005-0000-0000-000069080000}"/>
    <cellStyle name="_인원계획표 _내역(02.10.14)신령-영천(2공구)-0.3312_☆남악2-3공구가실행" xfId="1947" xr:uid="{00000000-0005-0000-0000-00006A080000}"/>
    <cellStyle name="_인원계획표 _내역(02.11.07)강변북로(청담대교-성수대교)확장공사" xfId="1948" xr:uid="{00000000-0005-0000-0000-00006B080000}"/>
    <cellStyle name="_인원계획표 _내역(02.11.07)강변북로(청담대교-성수대교)확장공사_☆남악2-3공구가실행" xfId="1949" xr:uid="{00000000-0005-0000-0000-00006C080000}"/>
    <cellStyle name="_인원계획표 _내역(02.11.27)무안~광주간 건설공사(제2공구)투찰" xfId="1950" xr:uid="{00000000-0005-0000-0000-00006D080000}"/>
    <cellStyle name="_인원계획표 _내역(02.11.27)무안~광주간 건설공사(제2공구)투찰_☆남악2-3공구가실행" xfId="1951" xr:uid="{00000000-0005-0000-0000-00006E080000}"/>
    <cellStyle name="_인원계획표 _대안투찰내역(0221)" xfId="1952" xr:uid="{00000000-0005-0000-0000-00006F080000}"/>
    <cellStyle name="_인원계획표 _대안투찰내역(0223)" xfId="1953" xr:uid="{00000000-0005-0000-0000-000070080000}"/>
    <cellStyle name="_인원계획표 _대안투찰내역(확정본0226)" xfId="1954" xr:uid="{00000000-0005-0000-0000-000071080000}"/>
    <cellStyle name="_인원계획표 _도급실행0211" xfId="1955" xr:uid="{00000000-0005-0000-0000-000072080000}"/>
    <cellStyle name="_인원계획표 _부산남천동병원내역서(남일)" xfId="1956" xr:uid="{00000000-0005-0000-0000-000073080000}"/>
    <cellStyle name="_인원계획표 _부산남천동병원내역서(남일) 2" xfId="1957" xr:uid="{00000000-0005-0000-0000-000074080000}"/>
    <cellStyle name="_인원계획표 _부산남천동병원내역서(남일)_2도급내역(계약분)" xfId="1958" xr:uid="{00000000-0005-0000-0000-000075080000}"/>
    <cellStyle name="_인원계획표 _부산남천동병원내역서(남일)_2도급내역(계약분) 2" xfId="1959" xr:uid="{00000000-0005-0000-0000-000076080000}"/>
    <cellStyle name="_인원계획표 _부산남천동병원내역서(남일)_2도급내역(계약분)_협조전" xfId="1960" xr:uid="{00000000-0005-0000-0000-000077080000}"/>
    <cellStyle name="_인원계획표 _부산남천동병원내역서(남일)_2도급내역(계약분)_협조전 2" xfId="1961" xr:uid="{00000000-0005-0000-0000-000078080000}"/>
    <cellStyle name="_인원계획표 _부산남천동병원내역서(남일)_2도급내역(계약분)_협조전_협조전" xfId="1962" xr:uid="{00000000-0005-0000-0000-000079080000}"/>
    <cellStyle name="_인원계획표 _부산남천동병원내역서(남일)_2도급내역(계약분)_협조전_협조전 2" xfId="1963" xr:uid="{00000000-0005-0000-0000-00007A080000}"/>
    <cellStyle name="_인원계획표 _부산남천동병원내역서(남일)_공정표" xfId="1964" xr:uid="{00000000-0005-0000-0000-00007B080000}"/>
    <cellStyle name="_인원계획표 _부산남천동병원내역서(남일)_공정표 2" xfId="1965" xr:uid="{00000000-0005-0000-0000-00007C080000}"/>
    <cellStyle name="_인원계획표 _부산남천동병원내역서(남일)_공정표_협조전" xfId="1966" xr:uid="{00000000-0005-0000-0000-00007D080000}"/>
    <cellStyle name="_인원계획표 _부산남천동병원내역서(남일)_공정표_협조전 2" xfId="1967" xr:uid="{00000000-0005-0000-0000-00007E080000}"/>
    <cellStyle name="_인원계획표 _부산남천동병원내역서(남일)_공정표_협조전_협조전" xfId="1968" xr:uid="{00000000-0005-0000-0000-00007F080000}"/>
    <cellStyle name="_인원계획표 _부산남천동병원내역서(남일)_공정표_협조전_협조전 2" xfId="1969" xr:uid="{00000000-0005-0000-0000-000080080000}"/>
    <cellStyle name="_인원계획표 _부산남천동병원내역서(남일)_세종회관입찰보고서" xfId="1970" xr:uid="{00000000-0005-0000-0000-000081080000}"/>
    <cellStyle name="_인원계획표 _부산남천동병원내역서(남일)_세종회관입찰보고서 2" xfId="1971" xr:uid="{00000000-0005-0000-0000-000082080000}"/>
    <cellStyle name="_인원계획표 _부산남천동병원내역서(남일)_세종회관입찰보고서_협조전" xfId="1972" xr:uid="{00000000-0005-0000-0000-000083080000}"/>
    <cellStyle name="_인원계획표 _부산남천동병원내역서(남일)_세종회관입찰보고서_협조전 2" xfId="1973" xr:uid="{00000000-0005-0000-0000-000084080000}"/>
    <cellStyle name="_인원계획표 _부산남천동병원내역서(남일)_세종회관입찰보고서_협조전_협조전" xfId="1974" xr:uid="{00000000-0005-0000-0000-000085080000}"/>
    <cellStyle name="_인원계획표 _부산남천동병원내역서(남일)_세종회관입찰보고서_협조전_협조전 2" xfId="1975" xr:uid="{00000000-0005-0000-0000-000086080000}"/>
    <cellStyle name="_인원계획표 _부산남천동병원내역서(남일)_입찰보고서" xfId="1976" xr:uid="{00000000-0005-0000-0000-000087080000}"/>
    <cellStyle name="_인원계획표 _부산남천동병원내역서(남일)_입찰보고서 2" xfId="1977" xr:uid="{00000000-0005-0000-0000-000088080000}"/>
    <cellStyle name="_인원계획표 _부산남천동병원내역서(남일)_입찰보고서_협조전" xfId="1978" xr:uid="{00000000-0005-0000-0000-000089080000}"/>
    <cellStyle name="_인원계획표 _부산남천동병원내역서(남일)_입찰보고서_협조전 2" xfId="1979" xr:uid="{00000000-0005-0000-0000-00008A080000}"/>
    <cellStyle name="_인원계획표 _부산남천동병원내역서(남일)_입찰보고서_협조전_협조전" xfId="1980" xr:uid="{00000000-0005-0000-0000-00008B080000}"/>
    <cellStyle name="_인원계획표 _부산남천동병원내역서(남일)_입찰보고서_협조전_협조전 2" xfId="1981" xr:uid="{00000000-0005-0000-0000-00008C080000}"/>
    <cellStyle name="_인원계획표 _부산남천동병원내역서(남일)_협조전" xfId="1982" xr:uid="{00000000-0005-0000-0000-00008D080000}"/>
    <cellStyle name="_인원계획표 _부산남천동병원내역서(남일)_협조전 2" xfId="1983" xr:uid="{00000000-0005-0000-0000-00008E080000}"/>
    <cellStyle name="_인원계획표 _부산남천동병원내역서(남일)_협조전_협조전" xfId="1984" xr:uid="{00000000-0005-0000-0000-00008F080000}"/>
    <cellStyle name="_인원계획표 _부산남천동병원내역서(남일)_협조전_협조전 2" xfId="1985" xr:uid="{00000000-0005-0000-0000-000090080000}"/>
    <cellStyle name="_인원계획표 _월곳집행(본사)" xfId="1986" xr:uid="{00000000-0005-0000-0000-000091080000}"/>
    <cellStyle name="_인원계획표 _월곳집행(본사) 2" xfId="1987" xr:uid="{00000000-0005-0000-0000-000092080000}"/>
    <cellStyle name="_인원계획표 _월곳집행(본사)_공내역서(소방)" xfId="1988" xr:uid="{00000000-0005-0000-0000-000093080000}"/>
    <cellStyle name="_인원계획표 _월곳집행(본사)_공내역서(소방) 2" xfId="1989" xr:uid="{00000000-0005-0000-0000-000094080000}"/>
    <cellStyle name="_인원계획표 _월곳집행(본사)_공내역서(소방final)" xfId="1990" xr:uid="{00000000-0005-0000-0000-000095080000}"/>
    <cellStyle name="_인원계획표 _월곳집행(본사)_공내역서(소방final) 2" xfId="1991" xr:uid="{00000000-0005-0000-0000-000096080000}"/>
    <cellStyle name="_인원계획표 _의정부" xfId="1992" xr:uid="{00000000-0005-0000-0000-000097080000}"/>
    <cellStyle name="_인원계획표 _의정부 2" xfId="1993" xr:uid="{00000000-0005-0000-0000-000098080000}"/>
    <cellStyle name="_인원계획표 _의정부_건국대학교공내역1028" xfId="1994" xr:uid="{00000000-0005-0000-0000-000099080000}"/>
    <cellStyle name="_인원계획표 _의정부_건국대학교공내역1028 2" xfId="1995" xr:uid="{00000000-0005-0000-0000-00009A080000}"/>
    <cellStyle name="_인원계획표 _의정부_건국대학교공내역1028_건국대학교공내역1028" xfId="1996" xr:uid="{00000000-0005-0000-0000-00009B080000}"/>
    <cellStyle name="_인원계획표 _의정부_건국대학교공내역1028_건국대학교공내역1028 2" xfId="1997" xr:uid="{00000000-0005-0000-0000-00009C080000}"/>
    <cellStyle name="_인원계획표 _의정부_건국대학교공내역1028_건국대학교공내역1028_협조전" xfId="1998" xr:uid="{00000000-0005-0000-0000-00009D080000}"/>
    <cellStyle name="_인원계획표 _의정부_건국대학교공내역1028_건국대학교공내역1028_협조전 2" xfId="1999" xr:uid="{00000000-0005-0000-0000-00009E080000}"/>
    <cellStyle name="_인원계획표 _의정부_건국대학교공내역1028_건국대학교공내역1028_협조전_협조전" xfId="2000" xr:uid="{00000000-0005-0000-0000-00009F080000}"/>
    <cellStyle name="_인원계획표 _의정부_건국대학교공내역1028_건국대학교공내역1028_협조전_협조전 2" xfId="2001" xr:uid="{00000000-0005-0000-0000-0000A0080000}"/>
    <cellStyle name="_인원계획표 _의정부_건국대학교공내역1028_협조전" xfId="2002" xr:uid="{00000000-0005-0000-0000-0000A1080000}"/>
    <cellStyle name="_인원계획표 _의정부_건국대학교공내역1028_협조전 2" xfId="2003" xr:uid="{00000000-0005-0000-0000-0000A2080000}"/>
    <cellStyle name="_인원계획표 _의정부_건국대학교공내역1028_협조전_협조전" xfId="2004" xr:uid="{00000000-0005-0000-0000-0000A3080000}"/>
    <cellStyle name="_인원계획표 _의정부_건국대학교공내역1028_협조전_협조전 2" xfId="2005" xr:uid="{00000000-0005-0000-0000-0000A4080000}"/>
    <cellStyle name="_인원계획표 _의정부_협조전" xfId="2006" xr:uid="{00000000-0005-0000-0000-0000A5080000}"/>
    <cellStyle name="_인원계획표 _의정부_협조전 2" xfId="2007" xr:uid="{00000000-0005-0000-0000-0000A6080000}"/>
    <cellStyle name="_인원계획표 _의정부_협조전_협조전" xfId="2008" xr:uid="{00000000-0005-0000-0000-0000A7080000}"/>
    <cellStyle name="_인원계획표 _의정부_협조전_협조전 2" xfId="2009" xr:uid="{00000000-0005-0000-0000-0000A8080000}"/>
    <cellStyle name="_인원계획표 _의정부성모병원" xfId="2010" xr:uid="{00000000-0005-0000-0000-0000A9080000}"/>
    <cellStyle name="_인원계획표 _의정부성모병원 2" xfId="2011" xr:uid="{00000000-0005-0000-0000-0000AA080000}"/>
    <cellStyle name="_인원계획표 _의정부성모병원_건국대학교공내역1028" xfId="2012" xr:uid="{00000000-0005-0000-0000-0000AB080000}"/>
    <cellStyle name="_인원계획표 _의정부성모병원_건국대학교공내역1028 2" xfId="2013" xr:uid="{00000000-0005-0000-0000-0000AC080000}"/>
    <cellStyle name="_인원계획표 _의정부성모병원_건국대학교공내역1028_건국대학교공내역1028" xfId="2014" xr:uid="{00000000-0005-0000-0000-0000AD080000}"/>
    <cellStyle name="_인원계획표 _의정부성모병원_건국대학교공내역1028_건국대학교공내역1028 2" xfId="2015" xr:uid="{00000000-0005-0000-0000-0000AE080000}"/>
    <cellStyle name="_인원계획표 _의정부성모병원_건국대학교공내역1028_건국대학교공내역1028_협조전" xfId="2016" xr:uid="{00000000-0005-0000-0000-0000AF080000}"/>
    <cellStyle name="_인원계획표 _의정부성모병원_건국대학교공내역1028_건국대학교공내역1028_협조전 2" xfId="2017" xr:uid="{00000000-0005-0000-0000-0000B0080000}"/>
    <cellStyle name="_인원계획표 _의정부성모병원_건국대학교공내역1028_건국대학교공내역1028_협조전_협조전" xfId="2018" xr:uid="{00000000-0005-0000-0000-0000B1080000}"/>
    <cellStyle name="_인원계획표 _의정부성모병원_건국대학교공내역1028_건국대학교공내역1028_협조전_협조전 2" xfId="2019" xr:uid="{00000000-0005-0000-0000-0000B2080000}"/>
    <cellStyle name="_인원계획표 _의정부성모병원_건국대학교공내역1028_협조전" xfId="2020" xr:uid="{00000000-0005-0000-0000-0000B3080000}"/>
    <cellStyle name="_인원계획표 _의정부성모병원_건국대학교공내역1028_협조전 2" xfId="2021" xr:uid="{00000000-0005-0000-0000-0000B4080000}"/>
    <cellStyle name="_인원계획표 _의정부성모병원_건국대학교공내역1028_협조전_협조전" xfId="2022" xr:uid="{00000000-0005-0000-0000-0000B5080000}"/>
    <cellStyle name="_인원계획표 _의정부성모병원_건국대학교공내역1028_협조전_협조전 2" xfId="2023" xr:uid="{00000000-0005-0000-0000-0000B6080000}"/>
    <cellStyle name="_인원계획표 _의정부성모병원_협조전" xfId="2024" xr:uid="{00000000-0005-0000-0000-0000B7080000}"/>
    <cellStyle name="_인원계획표 _의정부성모병원_협조전 2" xfId="2025" xr:uid="{00000000-0005-0000-0000-0000B8080000}"/>
    <cellStyle name="_인원계획표 _의정부성모병원_협조전_협조전" xfId="2026" xr:uid="{00000000-0005-0000-0000-0000B9080000}"/>
    <cellStyle name="_인원계획표 _의정부성모병원_협조전_협조전 2" xfId="2027" xr:uid="{00000000-0005-0000-0000-0000BA080000}"/>
    <cellStyle name="_인원계획표 _적격 " xfId="2028" xr:uid="{00000000-0005-0000-0000-0000BB080000}"/>
    <cellStyle name="_인원계획표 _적격  2" xfId="2029" xr:uid="{00000000-0005-0000-0000-0000BC080000}"/>
    <cellStyle name="_인원계획표 _적격 _건국대병원" xfId="2030" xr:uid="{00000000-0005-0000-0000-0000BD080000}"/>
    <cellStyle name="_인원계획표 _적격 _건국대병원 2" xfId="2031" xr:uid="{00000000-0005-0000-0000-0000BE080000}"/>
    <cellStyle name="_인원계획표 _적격 _건국대병원_건국대학교공내역1028" xfId="2032" xr:uid="{00000000-0005-0000-0000-0000BF080000}"/>
    <cellStyle name="_인원계획표 _적격 _건국대병원_건국대학교공내역1028 2" xfId="2033" xr:uid="{00000000-0005-0000-0000-0000C0080000}"/>
    <cellStyle name="_인원계획표 _적격 _건국대병원_건국대학교공내역1028_건국대학교공내역1028" xfId="2034" xr:uid="{00000000-0005-0000-0000-0000C1080000}"/>
    <cellStyle name="_인원계획표 _적격 _건국대병원_건국대학교공내역1028_건국대학교공내역1028 2" xfId="2035" xr:uid="{00000000-0005-0000-0000-0000C2080000}"/>
    <cellStyle name="_인원계획표 _적격 _건국대병원_건국대학교공내역1028_건국대학교공내역1028_협조전" xfId="2036" xr:uid="{00000000-0005-0000-0000-0000C3080000}"/>
    <cellStyle name="_인원계획표 _적격 _건국대병원_건국대학교공내역1028_건국대학교공내역1028_협조전 2" xfId="2037" xr:uid="{00000000-0005-0000-0000-0000C4080000}"/>
    <cellStyle name="_인원계획표 _적격 _건국대병원_건국대학교공내역1028_건국대학교공내역1028_협조전_협조전" xfId="2038" xr:uid="{00000000-0005-0000-0000-0000C5080000}"/>
    <cellStyle name="_인원계획표 _적격 _건국대병원_건국대학교공내역1028_건국대학교공내역1028_협조전_협조전 2" xfId="2039" xr:uid="{00000000-0005-0000-0000-0000C6080000}"/>
    <cellStyle name="_인원계획표 _적격 _건국대병원_건국대학교공내역1028_협조전" xfId="2040" xr:uid="{00000000-0005-0000-0000-0000C7080000}"/>
    <cellStyle name="_인원계획표 _적격 _건국대병원_건국대학교공내역1028_협조전 2" xfId="2041" xr:uid="{00000000-0005-0000-0000-0000C8080000}"/>
    <cellStyle name="_인원계획표 _적격 _건국대병원_건국대학교공내역1028_협조전_협조전" xfId="2042" xr:uid="{00000000-0005-0000-0000-0000C9080000}"/>
    <cellStyle name="_인원계획표 _적격 _건국대병원_건국대학교공내역1028_협조전_협조전 2" xfId="2043" xr:uid="{00000000-0005-0000-0000-0000CA080000}"/>
    <cellStyle name="_인원계획표 _적격 _건국대병원_협조전" xfId="2044" xr:uid="{00000000-0005-0000-0000-0000CB080000}"/>
    <cellStyle name="_인원계획표 _적격 _건국대병원_협조전 2" xfId="2045" xr:uid="{00000000-0005-0000-0000-0000CC080000}"/>
    <cellStyle name="_인원계획표 _적격 _건국대병원_협조전_협조전" xfId="2046" xr:uid="{00000000-0005-0000-0000-0000CD080000}"/>
    <cellStyle name="_인원계획표 _적격 _건국대병원_협조전_협조전 2" xfId="2047" xr:uid="{00000000-0005-0000-0000-0000CE080000}"/>
    <cellStyle name="_인원계획표 _적격 _건국대학교공내역1028" xfId="2048" xr:uid="{00000000-0005-0000-0000-0000CF080000}"/>
    <cellStyle name="_인원계획표 _적격 _건국대학교공내역1028 2" xfId="2049" xr:uid="{00000000-0005-0000-0000-0000D0080000}"/>
    <cellStyle name="_인원계획표 _적격 _건국대학교공내역1028_협조전" xfId="2050" xr:uid="{00000000-0005-0000-0000-0000D1080000}"/>
    <cellStyle name="_인원계획표 _적격 _건국대학교공내역1028_협조전 2" xfId="2051" xr:uid="{00000000-0005-0000-0000-0000D2080000}"/>
    <cellStyle name="_인원계획표 _적격 _건국대학교공내역1028_협조전_협조전" xfId="2052" xr:uid="{00000000-0005-0000-0000-0000D3080000}"/>
    <cellStyle name="_인원계획표 _적격 _건국대학교공내역1028_협조전_협조전 2" xfId="2053" xr:uid="{00000000-0005-0000-0000-0000D4080000}"/>
    <cellStyle name="_인원계획표 _적격 _건국대학교병원 견적_미동" xfId="2054" xr:uid="{00000000-0005-0000-0000-0000D5080000}"/>
    <cellStyle name="_인원계획표 _적격 _건국대학교병원 견적_미동 2" xfId="2055" xr:uid="{00000000-0005-0000-0000-0000D6080000}"/>
    <cellStyle name="_인원계획표 _적격 _건국대학교병원 견적_미동_건국대학교공내역1028" xfId="2056" xr:uid="{00000000-0005-0000-0000-0000D7080000}"/>
    <cellStyle name="_인원계획표 _적격 _건국대학교병원 견적_미동_건국대학교공내역1028 2" xfId="2057" xr:uid="{00000000-0005-0000-0000-0000D8080000}"/>
    <cellStyle name="_인원계획표 _적격 _건국대학교병원 견적_미동_건국대학교공내역1028_건국대학교공내역1028" xfId="2058" xr:uid="{00000000-0005-0000-0000-0000D9080000}"/>
    <cellStyle name="_인원계획표 _적격 _건국대학교병원 견적_미동_건국대학교공내역1028_건국대학교공내역1028 2" xfId="2059" xr:uid="{00000000-0005-0000-0000-0000DA080000}"/>
    <cellStyle name="_인원계획표 _적격 _건국대학교병원 견적_미동_건국대학교공내역1028_건국대학교공내역1028_협조전" xfId="2060" xr:uid="{00000000-0005-0000-0000-0000DB080000}"/>
    <cellStyle name="_인원계획표 _적격 _건국대학교병원 견적_미동_건국대학교공내역1028_건국대학교공내역1028_협조전 2" xfId="2061" xr:uid="{00000000-0005-0000-0000-0000DC080000}"/>
    <cellStyle name="_인원계획표 _적격 _건국대학교병원 견적_미동_건국대학교공내역1028_건국대학교공내역1028_협조전_협조전" xfId="2062" xr:uid="{00000000-0005-0000-0000-0000DD080000}"/>
    <cellStyle name="_인원계획표 _적격 _건국대학교병원 견적_미동_건국대학교공내역1028_건국대학교공내역1028_협조전_협조전 2" xfId="2063" xr:uid="{00000000-0005-0000-0000-0000DE080000}"/>
    <cellStyle name="_인원계획표 _적격 _건국대학교병원 견적_미동_건국대학교공내역1028_협조전" xfId="2064" xr:uid="{00000000-0005-0000-0000-0000DF080000}"/>
    <cellStyle name="_인원계획표 _적격 _건국대학교병원 견적_미동_건국대학교공내역1028_협조전 2" xfId="2065" xr:uid="{00000000-0005-0000-0000-0000E0080000}"/>
    <cellStyle name="_인원계획표 _적격 _건국대학교병원 견적_미동_건국대학교공내역1028_협조전_협조전" xfId="2066" xr:uid="{00000000-0005-0000-0000-0000E1080000}"/>
    <cellStyle name="_인원계획표 _적격 _건국대학교병원 견적_미동_건국대학교공내역1028_협조전_협조전 2" xfId="2067" xr:uid="{00000000-0005-0000-0000-0000E2080000}"/>
    <cellStyle name="_인원계획표 _적격 _건국대학교병원 견적_미동_협조전" xfId="2068" xr:uid="{00000000-0005-0000-0000-0000E3080000}"/>
    <cellStyle name="_인원계획표 _적격 _건국대학교병원 견적_미동_협조전 2" xfId="2069" xr:uid="{00000000-0005-0000-0000-0000E4080000}"/>
    <cellStyle name="_인원계획표 _적격 _건국대학교병원 견적_미동_협조전_협조전" xfId="2070" xr:uid="{00000000-0005-0000-0000-0000E5080000}"/>
    <cellStyle name="_인원계획표 _적격 _건국대학교병원 견적_미동_협조전_협조전 2" xfId="2071" xr:uid="{00000000-0005-0000-0000-0000E6080000}"/>
    <cellStyle name="_인원계획표 _적격 _건국대학교부대입찰업체견적서" xfId="2072" xr:uid="{00000000-0005-0000-0000-0000E7080000}"/>
    <cellStyle name="_인원계획표 _적격 _건국대학교부대입찰업체견적서 2" xfId="2073" xr:uid="{00000000-0005-0000-0000-0000E8080000}"/>
    <cellStyle name="_인원계획표 _적격 _건국대학교부대입찰업체견적서_건국대학교공내역1028" xfId="2074" xr:uid="{00000000-0005-0000-0000-0000E9080000}"/>
    <cellStyle name="_인원계획표 _적격 _건국대학교부대입찰업체견적서_건국대학교공내역1028 2" xfId="2075" xr:uid="{00000000-0005-0000-0000-0000EA080000}"/>
    <cellStyle name="_인원계획표 _적격 _건국대학교부대입찰업체견적서_건국대학교공내역1028_건국대학교공내역1028" xfId="2076" xr:uid="{00000000-0005-0000-0000-0000EB080000}"/>
    <cellStyle name="_인원계획표 _적격 _건국대학교부대입찰업체견적서_건국대학교공내역1028_건국대학교공내역1028 2" xfId="2077" xr:uid="{00000000-0005-0000-0000-0000EC080000}"/>
    <cellStyle name="_인원계획표 _적격 _건국대학교부대입찰업체견적서_건국대학교공내역1028_건국대학교공내역1028_협조전" xfId="2078" xr:uid="{00000000-0005-0000-0000-0000ED080000}"/>
    <cellStyle name="_인원계획표 _적격 _건국대학교부대입찰업체견적서_건국대학교공내역1028_건국대학교공내역1028_협조전 2" xfId="2079" xr:uid="{00000000-0005-0000-0000-0000EE080000}"/>
    <cellStyle name="_인원계획표 _적격 _건국대학교부대입찰업체견적서_건국대학교공내역1028_건국대학교공내역1028_협조전_협조전" xfId="2080" xr:uid="{00000000-0005-0000-0000-0000EF080000}"/>
    <cellStyle name="_인원계획표 _적격 _건국대학교부대입찰업체견적서_건국대학교공내역1028_건국대학교공내역1028_협조전_협조전 2" xfId="2081" xr:uid="{00000000-0005-0000-0000-0000F0080000}"/>
    <cellStyle name="_인원계획표 _적격 _건국대학교부대입찰업체견적서_건국대학교공내역1028_협조전" xfId="2082" xr:uid="{00000000-0005-0000-0000-0000F1080000}"/>
    <cellStyle name="_인원계획표 _적격 _건국대학교부대입찰업체견적서_건국대학교공내역1028_협조전 2" xfId="2083" xr:uid="{00000000-0005-0000-0000-0000F2080000}"/>
    <cellStyle name="_인원계획표 _적격 _건국대학교부대입찰업체견적서_건국대학교공내역1028_협조전_협조전" xfId="2084" xr:uid="{00000000-0005-0000-0000-0000F3080000}"/>
    <cellStyle name="_인원계획표 _적격 _건국대학교부대입찰업체견적서_건국대학교공내역1028_협조전_협조전 2" xfId="2085" xr:uid="{00000000-0005-0000-0000-0000F4080000}"/>
    <cellStyle name="_인원계획표 _적격 _건국대학교부대입찰업체견적서_협조전" xfId="2086" xr:uid="{00000000-0005-0000-0000-0000F5080000}"/>
    <cellStyle name="_인원계획표 _적격 _건국대학교부대입찰업체견적서_협조전 2" xfId="2087" xr:uid="{00000000-0005-0000-0000-0000F6080000}"/>
    <cellStyle name="_인원계획표 _적격 _건국대학교부대입찰업체견적서_협조전_협조전" xfId="2088" xr:uid="{00000000-0005-0000-0000-0000F7080000}"/>
    <cellStyle name="_인원계획표 _적격 _건국대학교부대입찰업체견적서_협조전_협조전 2" xfId="2089" xr:uid="{00000000-0005-0000-0000-0000F8080000}"/>
    <cellStyle name="_인원계획표 _적격 _부산남천동병원내역서(남일)" xfId="2090" xr:uid="{00000000-0005-0000-0000-0000F9080000}"/>
    <cellStyle name="_인원계획표 _적격 _부산남천동병원내역서(남일) 2" xfId="2091" xr:uid="{00000000-0005-0000-0000-0000FA080000}"/>
    <cellStyle name="_인원계획표 _적격 _부산남천동병원내역서(남일)_2도급내역(계약분)" xfId="2092" xr:uid="{00000000-0005-0000-0000-0000FB080000}"/>
    <cellStyle name="_인원계획표 _적격 _부산남천동병원내역서(남일)_2도급내역(계약분) 2" xfId="2093" xr:uid="{00000000-0005-0000-0000-0000FC080000}"/>
    <cellStyle name="_인원계획표 _적격 _부산남천동병원내역서(남일)_2도급내역(계약분)_협조전" xfId="2094" xr:uid="{00000000-0005-0000-0000-0000FD080000}"/>
    <cellStyle name="_인원계획표 _적격 _부산남천동병원내역서(남일)_2도급내역(계약분)_협조전 2" xfId="2095" xr:uid="{00000000-0005-0000-0000-0000FE080000}"/>
    <cellStyle name="_인원계획표 _적격 _부산남천동병원내역서(남일)_2도급내역(계약분)_협조전_협조전" xfId="2096" xr:uid="{00000000-0005-0000-0000-0000FF080000}"/>
    <cellStyle name="_인원계획표 _적격 _부산남천동병원내역서(남일)_2도급내역(계약분)_협조전_협조전 2" xfId="2097" xr:uid="{00000000-0005-0000-0000-000000090000}"/>
    <cellStyle name="_인원계획표 _적격 _부산남천동병원내역서(남일)_공정표" xfId="2098" xr:uid="{00000000-0005-0000-0000-000001090000}"/>
    <cellStyle name="_인원계획표 _적격 _부산남천동병원내역서(남일)_공정표 2" xfId="2099" xr:uid="{00000000-0005-0000-0000-000002090000}"/>
    <cellStyle name="_인원계획표 _적격 _부산남천동병원내역서(남일)_공정표_협조전" xfId="2100" xr:uid="{00000000-0005-0000-0000-000003090000}"/>
    <cellStyle name="_인원계획표 _적격 _부산남천동병원내역서(남일)_공정표_협조전 2" xfId="2101" xr:uid="{00000000-0005-0000-0000-000004090000}"/>
    <cellStyle name="_인원계획표 _적격 _부산남천동병원내역서(남일)_공정표_협조전_협조전" xfId="2102" xr:uid="{00000000-0005-0000-0000-000005090000}"/>
    <cellStyle name="_인원계획표 _적격 _부산남천동병원내역서(남일)_공정표_협조전_협조전 2" xfId="2103" xr:uid="{00000000-0005-0000-0000-000006090000}"/>
    <cellStyle name="_인원계획표 _적격 _부산남천동병원내역서(남일)_세종회관입찰보고서" xfId="2104" xr:uid="{00000000-0005-0000-0000-000007090000}"/>
    <cellStyle name="_인원계획표 _적격 _부산남천동병원내역서(남일)_세종회관입찰보고서 2" xfId="2105" xr:uid="{00000000-0005-0000-0000-000008090000}"/>
    <cellStyle name="_인원계획표 _적격 _부산남천동병원내역서(남일)_세종회관입찰보고서_협조전" xfId="2106" xr:uid="{00000000-0005-0000-0000-000009090000}"/>
    <cellStyle name="_인원계획표 _적격 _부산남천동병원내역서(남일)_세종회관입찰보고서_협조전 2" xfId="2107" xr:uid="{00000000-0005-0000-0000-00000A090000}"/>
    <cellStyle name="_인원계획표 _적격 _부산남천동병원내역서(남일)_세종회관입찰보고서_협조전_협조전" xfId="2108" xr:uid="{00000000-0005-0000-0000-00000B090000}"/>
    <cellStyle name="_인원계획표 _적격 _부산남천동병원내역서(남일)_세종회관입찰보고서_협조전_협조전 2" xfId="2109" xr:uid="{00000000-0005-0000-0000-00000C090000}"/>
    <cellStyle name="_인원계획표 _적격 _부산남천동병원내역서(남일)_입찰보고서" xfId="2110" xr:uid="{00000000-0005-0000-0000-00000D090000}"/>
    <cellStyle name="_인원계획표 _적격 _부산남천동병원내역서(남일)_입찰보고서 2" xfId="2111" xr:uid="{00000000-0005-0000-0000-00000E090000}"/>
    <cellStyle name="_인원계획표 _적격 _부산남천동병원내역서(남일)_입찰보고서_협조전" xfId="2112" xr:uid="{00000000-0005-0000-0000-00000F090000}"/>
    <cellStyle name="_인원계획표 _적격 _부산남천동병원내역서(남일)_입찰보고서_협조전 2" xfId="2113" xr:uid="{00000000-0005-0000-0000-000010090000}"/>
    <cellStyle name="_인원계획표 _적격 _부산남천동병원내역서(남일)_입찰보고서_협조전_협조전" xfId="2114" xr:uid="{00000000-0005-0000-0000-000011090000}"/>
    <cellStyle name="_인원계획표 _적격 _부산남천동병원내역서(남일)_입찰보고서_협조전_협조전 2" xfId="2115" xr:uid="{00000000-0005-0000-0000-000012090000}"/>
    <cellStyle name="_인원계획표 _적격 _부산남천동병원내역서(남일)_협조전" xfId="2116" xr:uid="{00000000-0005-0000-0000-000013090000}"/>
    <cellStyle name="_인원계획표 _적격 _부산남천동병원내역서(남일)_협조전 2" xfId="2117" xr:uid="{00000000-0005-0000-0000-000014090000}"/>
    <cellStyle name="_인원계획표 _적격 _부산남천동병원내역서(남일)_협조전_협조전" xfId="2118" xr:uid="{00000000-0005-0000-0000-000015090000}"/>
    <cellStyle name="_인원계획표 _적격 _부산남천동병원내역서(남일)_협조전_협조전 2" xfId="2119" xr:uid="{00000000-0005-0000-0000-000016090000}"/>
    <cellStyle name="_인원계획표 _적격 _월곳집행(본사)" xfId="2120" xr:uid="{00000000-0005-0000-0000-000017090000}"/>
    <cellStyle name="_인원계획표 _적격 _월곳집행(본사) 2" xfId="2121" xr:uid="{00000000-0005-0000-0000-000018090000}"/>
    <cellStyle name="_인원계획표 _적격 _월곳집행(본사)_공내역서(소방)" xfId="2122" xr:uid="{00000000-0005-0000-0000-000019090000}"/>
    <cellStyle name="_인원계획표 _적격 _월곳집행(본사)_공내역서(소방) 2" xfId="2123" xr:uid="{00000000-0005-0000-0000-00001A090000}"/>
    <cellStyle name="_인원계획표 _적격 _월곳집행(본사)_공내역서(소방final)" xfId="2124" xr:uid="{00000000-0005-0000-0000-00001B090000}"/>
    <cellStyle name="_인원계획표 _적격 _월곳집행(본사)_공내역서(소방final) 2" xfId="2125" xr:uid="{00000000-0005-0000-0000-00001C090000}"/>
    <cellStyle name="_인원계획표 _적격 _의정부" xfId="2126" xr:uid="{00000000-0005-0000-0000-00001D090000}"/>
    <cellStyle name="_인원계획표 _적격 _의정부 2" xfId="2127" xr:uid="{00000000-0005-0000-0000-00001E090000}"/>
    <cellStyle name="_인원계획표 _적격 _의정부_건국대학교공내역1028" xfId="2128" xr:uid="{00000000-0005-0000-0000-00001F090000}"/>
    <cellStyle name="_인원계획표 _적격 _의정부_건국대학교공내역1028 2" xfId="2129" xr:uid="{00000000-0005-0000-0000-000020090000}"/>
    <cellStyle name="_인원계획표 _적격 _의정부_건국대학교공내역1028_건국대학교공내역1028" xfId="2130" xr:uid="{00000000-0005-0000-0000-000021090000}"/>
    <cellStyle name="_인원계획표 _적격 _의정부_건국대학교공내역1028_건국대학교공내역1028 2" xfId="2131" xr:uid="{00000000-0005-0000-0000-000022090000}"/>
    <cellStyle name="_인원계획표 _적격 _의정부_건국대학교공내역1028_건국대학교공내역1028_협조전" xfId="2132" xr:uid="{00000000-0005-0000-0000-000023090000}"/>
    <cellStyle name="_인원계획표 _적격 _의정부_건국대학교공내역1028_건국대학교공내역1028_협조전 2" xfId="2133" xr:uid="{00000000-0005-0000-0000-000024090000}"/>
    <cellStyle name="_인원계획표 _적격 _의정부_건국대학교공내역1028_건국대학교공내역1028_협조전_협조전" xfId="2134" xr:uid="{00000000-0005-0000-0000-000025090000}"/>
    <cellStyle name="_인원계획표 _적격 _의정부_건국대학교공내역1028_건국대학교공내역1028_협조전_협조전 2" xfId="2135" xr:uid="{00000000-0005-0000-0000-000026090000}"/>
    <cellStyle name="_인원계획표 _적격 _의정부_건국대학교공내역1028_협조전" xfId="2136" xr:uid="{00000000-0005-0000-0000-000027090000}"/>
    <cellStyle name="_인원계획표 _적격 _의정부_건국대학교공내역1028_협조전 2" xfId="2137" xr:uid="{00000000-0005-0000-0000-000028090000}"/>
    <cellStyle name="_인원계획표 _적격 _의정부_건국대학교공내역1028_협조전_협조전" xfId="2138" xr:uid="{00000000-0005-0000-0000-000029090000}"/>
    <cellStyle name="_인원계획표 _적격 _의정부_건국대학교공내역1028_협조전_협조전 2" xfId="2139" xr:uid="{00000000-0005-0000-0000-00002A090000}"/>
    <cellStyle name="_인원계획표 _적격 _의정부_협조전" xfId="2140" xr:uid="{00000000-0005-0000-0000-00002B090000}"/>
    <cellStyle name="_인원계획표 _적격 _의정부_협조전 2" xfId="2141" xr:uid="{00000000-0005-0000-0000-00002C090000}"/>
    <cellStyle name="_인원계획표 _적격 _의정부_협조전_협조전" xfId="2142" xr:uid="{00000000-0005-0000-0000-00002D090000}"/>
    <cellStyle name="_인원계획표 _적격 _의정부_협조전_협조전 2" xfId="2143" xr:uid="{00000000-0005-0000-0000-00002E090000}"/>
    <cellStyle name="_인원계획표 _적격 _의정부성모병원" xfId="2144" xr:uid="{00000000-0005-0000-0000-00002F090000}"/>
    <cellStyle name="_인원계획표 _적격 _의정부성모병원 2" xfId="2145" xr:uid="{00000000-0005-0000-0000-000030090000}"/>
    <cellStyle name="_인원계획표 _적격 _의정부성모병원_건국대학교공내역1028" xfId="2146" xr:uid="{00000000-0005-0000-0000-000031090000}"/>
    <cellStyle name="_인원계획표 _적격 _의정부성모병원_건국대학교공내역1028 2" xfId="2147" xr:uid="{00000000-0005-0000-0000-000032090000}"/>
    <cellStyle name="_인원계획표 _적격 _의정부성모병원_건국대학교공내역1028_건국대학교공내역1028" xfId="2148" xr:uid="{00000000-0005-0000-0000-000033090000}"/>
    <cellStyle name="_인원계획표 _적격 _의정부성모병원_건국대학교공내역1028_건국대학교공내역1028 2" xfId="2149" xr:uid="{00000000-0005-0000-0000-000034090000}"/>
    <cellStyle name="_인원계획표 _적격 _의정부성모병원_건국대학교공내역1028_건국대학교공내역1028_협조전" xfId="2150" xr:uid="{00000000-0005-0000-0000-000035090000}"/>
    <cellStyle name="_인원계획표 _적격 _의정부성모병원_건국대학교공내역1028_건국대학교공내역1028_협조전 2" xfId="2151" xr:uid="{00000000-0005-0000-0000-000036090000}"/>
    <cellStyle name="_인원계획표 _적격 _의정부성모병원_건국대학교공내역1028_건국대학교공내역1028_협조전_협조전" xfId="2152" xr:uid="{00000000-0005-0000-0000-000037090000}"/>
    <cellStyle name="_인원계획표 _적격 _의정부성모병원_건국대학교공내역1028_건국대학교공내역1028_협조전_협조전 2" xfId="2153" xr:uid="{00000000-0005-0000-0000-000038090000}"/>
    <cellStyle name="_인원계획표 _적격 _의정부성모병원_건국대학교공내역1028_협조전" xfId="2154" xr:uid="{00000000-0005-0000-0000-000039090000}"/>
    <cellStyle name="_인원계획표 _적격 _의정부성모병원_건국대학교공내역1028_협조전 2" xfId="2155" xr:uid="{00000000-0005-0000-0000-00003A090000}"/>
    <cellStyle name="_인원계획표 _적격 _의정부성모병원_건국대학교공내역1028_협조전_협조전" xfId="2156" xr:uid="{00000000-0005-0000-0000-00003B090000}"/>
    <cellStyle name="_인원계획표 _적격 _의정부성모병원_건국대학교공내역1028_협조전_협조전 2" xfId="2157" xr:uid="{00000000-0005-0000-0000-00003C090000}"/>
    <cellStyle name="_인원계획표 _적격 _의정부성모병원_협조전" xfId="2158" xr:uid="{00000000-0005-0000-0000-00003D090000}"/>
    <cellStyle name="_인원계획표 _적격 _의정부성모병원_협조전 2" xfId="2159" xr:uid="{00000000-0005-0000-0000-00003E090000}"/>
    <cellStyle name="_인원계획표 _적격 _의정부성모병원_협조전_협조전" xfId="2160" xr:uid="{00000000-0005-0000-0000-00003F090000}"/>
    <cellStyle name="_인원계획표 _적격 _의정부성모병원_협조전_협조전 2" xfId="2161" xr:uid="{00000000-0005-0000-0000-000040090000}"/>
    <cellStyle name="_인원계획표 _적격 _조0203(1000억이상)" xfId="2162" xr:uid="{00000000-0005-0000-0000-000041090000}"/>
    <cellStyle name="_인원계획표 _적격 _청주중원(부대입찰) 견적" xfId="2163" xr:uid="{00000000-0005-0000-0000-000042090000}"/>
    <cellStyle name="_인원계획표 _적격 _청주중원(부대입찰) 견적 2" xfId="2164" xr:uid="{00000000-0005-0000-0000-000043090000}"/>
    <cellStyle name="_인원계획표 _적격 _청주중원(부대입찰) 견적_건국대학교공내역1028" xfId="2165" xr:uid="{00000000-0005-0000-0000-000044090000}"/>
    <cellStyle name="_인원계획표 _적격 _청주중원(부대입찰) 견적_건국대학교공내역1028 2" xfId="2166" xr:uid="{00000000-0005-0000-0000-000045090000}"/>
    <cellStyle name="_인원계획표 _적격 _청주중원(부대입찰) 견적_건국대학교공내역1028_건국대학교공내역1028" xfId="2167" xr:uid="{00000000-0005-0000-0000-000046090000}"/>
    <cellStyle name="_인원계획표 _적격 _청주중원(부대입찰) 견적_건국대학교공내역1028_건국대학교공내역1028 2" xfId="2168" xr:uid="{00000000-0005-0000-0000-000047090000}"/>
    <cellStyle name="_인원계획표 _적격 _청주중원(부대입찰) 견적_건국대학교공내역1028_건국대학교공내역1028_협조전" xfId="2169" xr:uid="{00000000-0005-0000-0000-000048090000}"/>
    <cellStyle name="_인원계획표 _적격 _청주중원(부대입찰) 견적_건국대학교공내역1028_건국대학교공내역1028_협조전 2" xfId="2170" xr:uid="{00000000-0005-0000-0000-000049090000}"/>
    <cellStyle name="_인원계획표 _적격 _청주중원(부대입찰) 견적_건국대학교공내역1028_건국대학교공내역1028_협조전_협조전" xfId="2171" xr:uid="{00000000-0005-0000-0000-00004A090000}"/>
    <cellStyle name="_인원계획표 _적격 _청주중원(부대입찰) 견적_건국대학교공내역1028_건국대학교공내역1028_협조전_협조전 2" xfId="2172" xr:uid="{00000000-0005-0000-0000-00004B090000}"/>
    <cellStyle name="_인원계획표 _적격 _청주중원(부대입찰) 견적_건국대학교공내역1028_협조전" xfId="2173" xr:uid="{00000000-0005-0000-0000-00004C090000}"/>
    <cellStyle name="_인원계획표 _적격 _청주중원(부대입찰) 견적_건국대학교공내역1028_협조전 2" xfId="2174" xr:uid="{00000000-0005-0000-0000-00004D090000}"/>
    <cellStyle name="_인원계획표 _적격 _청주중원(부대입찰) 견적_건국대학교공내역1028_협조전_협조전" xfId="2175" xr:uid="{00000000-0005-0000-0000-00004E090000}"/>
    <cellStyle name="_인원계획표 _적격 _청주중원(부대입찰) 견적_건국대학교공내역1028_협조전_협조전 2" xfId="2176" xr:uid="{00000000-0005-0000-0000-00004F090000}"/>
    <cellStyle name="_인원계획표 _적격 _청주중원(부대입찰) 견적_협조전" xfId="2177" xr:uid="{00000000-0005-0000-0000-000050090000}"/>
    <cellStyle name="_인원계획표 _적격 _청주중원(부대입찰) 견적_협조전 2" xfId="2178" xr:uid="{00000000-0005-0000-0000-000051090000}"/>
    <cellStyle name="_인원계획표 _적격 _청주중원(부대입찰) 견적_협조전_협조전" xfId="2179" xr:uid="{00000000-0005-0000-0000-000052090000}"/>
    <cellStyle name="_인원계획표 _적격 _청주중원(부대입찰) 견적_협조전_협조전 2" xfId="2180" xr:uid="{00000000-0005-0000-0000-000053090000}"/>
    <cellStyle name="_인원계획표 _적격 _협조전" xfId="2181" xr:uid="{00000000-0005-0000-0000-000054090000}"/>
    <cellStyle name="_인원계획표 _적격 _협조전 2" xfId="2182" xr:uid="{00000000-0005-0000-0000-000055090000}"/>
    <cellStyle name="_인원계획표 _적격 _협조전_협조전" xfId="2183" xr:uid="{00000000-0005-0000-0000-000056090000}"/>
    <cellStyle name="_인원계획표 _적격 _협조전_협조전 2" xfId="2184" xr:uid="{00000000-0005-0000-0000-000057090000}"/>
    <cellStyle name="_인원계획표 _조0203(1000억이상)" xfId="2185" xr:uid="{00000000-0005-0000-0000-000058090000}"/>
    <cellStyle name="_인원계획표 _중동성황(가)실행" xfId="16213" xr:uid="{00000000-0005-0000-0000-000059090000}"/>
    <cellStyle name="_인원계획표 _중동성황(가)실행_(가)실행" xfId="16214" xr:uid="{00000000-0005-0000-0000-00005A090000}"/>
    <cellStyle name="_인원계획표 _중동성황(가)실행_(가)실행2" xfId="16215" xr:uid="{00000000-0005-0000-0000-00005B090000}"/>
    <cellStyle name="_인원계획표 _중동성황(가)실행_중동성황(가)실행" xfId="16216" xr:uid="{00000000-0005-0000-0000-00005C090000}"/>
    <cellStyle name="_인원계획표 _중동-성황투찰(new)(발주자변경)" xfId="16217" xr:uid="{00000000-0005-0000-0000-00005D090000}"/>
    <cellStyle name="_인원계획표 _중동-성황투찰(new)(발주자변경)_(가)실행" xfId="16218" xr:uid="{00000000-0005-0000-0000-00005E090000}"/>
    <cellStyle name="_인원계획표 _중동-성황투찰(new)(발주자변경)_(가)실행2" xfId="16219" xr:uid="{00000000-0005-0000-0000-00005F090000}"/>
    <cellStyle name="_인원계획표 _중동-성황투찰(new)(발주자변경)_중동성황(가)실행" xfId="16220" xr:uid="{00000000-0005-0000-0000-000060090000}"/>
    <cellStyle name="_인원계획표 _청주중원(부대입찰) 견적" xfId="2186" xr:uid="{00000000-0005-0000-0000-000061090000}"/>
    <cellStyle name="_인원계획표 _청주중원(부대입찰) 견적 2" xfId="2187" xr:uid="{00000000-0005-0000-0000-000062090000}"/>
    <cellStyle name="_인원계획표 _청주중원(부대입찰) 견적_건국대학교공내역1028" xfId="2188" xr:uid="{00000000-0005-0000-0000-000063090000}"/>
    <cellStyle name="_인원계획표 _청주중원(부대입찰) 견적_건국대학교공내역1028 2" xfId="2189" xr:uid="{00000000-0005-0000-0000-000064090000}"/>
    <cellStyle name="_인원계획표 _청주중원(부대입찰) 견적_건국대학교공내역1028_건국대학교공내역1028" xfId="2190" xr:uid="{00000000-0005-0000-0000-000065090000}"/>
    <cellStyle name="_인원계획표 _청주중원(부대입찰) 견적_건국대학교공내역1028_건국대학교공내역1028 2" xfId="2191" xr:uid="{00000000-0005-0000-0000-000066090000}"/>
    <cellStyle name="_인원계획표 _청주중원(부대입찰) 견적_건국대학교공내역1028_건국대학교공내역1028_협조전" xfId="2192" xr:uid="{00000000-0005-0000-0000-000067090000}"/>
    <cellStyle name="_인원계획표 _청주중원(부대입찰) 견적_건국대학교공내역1028_건국대학교공내역1028_협조전 2" xfId="2193" xr:uid="{00000000-0005-0000-0000-000068090000}"/>
    <cellStyle name="_인원계획표 _청주중원(부대입찰) 견적_건국대학교공내역1028_건국대학교공내역1028_협조전_협조전" xfId="2194" xr:uid="{00000000-0005-0000-0000-000069090000}"/>
    <cellStyle name="_인원계획표 _청주중원(부대입찰) 견적_건국대학교공내역1028_건국대학교공내역1028_협조전_협조전 2" xfId="2195" xr:uid="{00000000-0005-0000-0000-00006A090000}"/>
    <cellStyle name="_인원계획표 _청주중원(부대입찰) 견적_건국대학교공내역1028_협조전" xfId="2196" xr:uid="{00000000-0005-0000-0000-00006B090000}"/>
    <cellStyle name="_인원계획표 _청주중원(부대입찰) 견적_건국대학교공내역1028_협조전 2" xfId="2197" xr:uid="{00000000-0005-0000-0000-00006C090000}"/>
    <cellStyle name="_인원계획표 _청주중원(부대입찰) 견적_건국대학교공내역1028_협조전_협조전" xfId="2198" xr:uid="{00000000-0005-0000-0000-00006D090000}"/>
    <cellStyle name="_인원계획표 _청주중원(부대입찰) 견적_건국대학교공내역1028_협조전_협조전 2" xfId="2199" xr:uid="{00000000-0005-0000-0000-00006E090000}"/>
    <cellStyle name="_인원계획표 _청주중원(부대입찰) 견적_협조전" xfId="2200" xr:uid="{00000000-0005-0000-0000-00006F090000}"/>
    <cellStyle name="_인원계획표 _청주중원(부대입찰) 견적_협조전 2" xfId="2201" xr:uid="{00000000-0005-0000-0000-000070090000}"/>
    <cellStyle name="_인원계획표 _청주중원(부대입찰) 견적_협조전_협조전" xfId="2202" xr:uid="{00000000-0005-0000-0000-000071090000}"/>
    <cellStyle name="_인원계획표 _청주중원(부대입찰) 견적_협조전_협조전 2" xfId="2203" xr:uid="{00000000-0005-0000-0000-000072090000}"/>
    <cellStyle name="_인원계획표 _토공및구조물" xfId="16221" xr:uid="{00000000-0005-0000-0000-000073090000}"/>
    <cellStyle name="_인원계획표 _토공및구조물_(가)실행" xfId="16222" xr:uid="{00000000-0005-0000-0000-000074090000}"/>
    <cellStyle name="_인원계획표 _토공및구조물_(가)실행2" xfId="16223" xr:uid="{00000000-0005-0000-0000-000075090000}"/>
    <cellStyle name="_인원계획표 _토공및구조물_중동성황(가)실행" xfId="16224" xr:uid="{00000000-0005-0000-0000-000076090000}"/>
    <cellStyle name="_인원계획표 _토공및터널발주" xfId="16225" xr:uid="{00000000-0005-0000-0000-000077090000}"/>
    <cellStyle name="_인원계획표 _토공및터널발주분내역서1" xfId="16226" xr:uid="{00000000-0005-0000-0000-000078090000}"/>
    <cellStyle name="_인원계획표 _협조전" xfId="2204" xr:uid="{00000000-0005-0000-0000-000079090000}"/>
    <cellStyle name="_인원계획표 _협조전 2" xfId="2205" xr:uid="{00000000-0005-0000-0000-00007A090000}"/>
    <cellStyle name="_인원계획표 _협조전_협조전" xfId="2206" xr:uid="{00000000-0005-0000-0000-00007B090000}"/>
    <cellStyle name="_인원계획표 _협조전_협조전 2" xfId="2207" xr:uid="{00000000-0005-0000-0000-00007C090000}"/>
    <cellStyle name="_인천공항-0801-음향영상최종" xfId="2208" xr:uid="{00000000-0005-0000-0000-00007D090000}"/>
    <cellStyle name="_인천교회_080218" xfId="2209" xr:uid="{00000000-0005-0000-0000-00007E090000}"/>
    <cellStyle name="_인천교회_080218 2" xfId="2210" xr:uid="{00000000-0005-0000-0000-00007F090000}"/>
    <cellStyle name="_인천통합국사" xfId="2211" xr:uid="{00000000-0005-0000-0000-000080090000}"/>
    <cellStyle name="_인천통합국사 2" xfId="2212" xr:uid="{00000000-0005-0000-0000-000081090000}"/>
    <cellStyle name="_일반2공구(감리-3(1).30)" xfId="2213" xr:uid="{00000000-0005-0000-0000-000082090000}"/>
    <cellStyle name="_일반2공구(감리-3(1).30) 2" xfId="2214" xr:uid="{00000000-0005-0000-0000-000083090000}"/>
    <cellStyle name="_일반2공구(감리-3.29)" xfId="2215" xr:uid="{00000000-0005-0000-0000-000084090000}"/>
    <cellStyle name="_일반2공구(감리-3.29) 2" xfId="2216" xr:uid="{00000000-0005-0000-0000-000085090000}"/>
    <cellStyle name="_일반전기1공구" xfId="2217" xr:uid="{00000000-0005-0000-0000-000086090000}"/>
    <cellStyle name="_일반전기1공구 2" xfId="2218" xr:uid="{00000000-0005-0000-0000-000087090000}"/>
    <cellStyle name="_일반전기2공구" xfId="2219" xr:uid="{00000000-0005-0000-0000-000088090000}"/>
    <cellStyle name="_일반전기2공구 2" xfId="2220" xr:uid="{00000000-0005-0000-0000-000089090000}"/>
    <cellStyle name="_일반전기5회(1)" xfId="2221" xr:uid="{00000000-0005-0000-0000-00008A090000}"/>
    <cellStyle name="_일반전기5회(1) 2" xfId="2222" xr:uid="{00000000-0005-0000-0000-00008B090000}"/>
    <cellStyle name="_일반전기정산" xfId="2223" xr:uid="{00000000-0005-0000-0000-00008C090000}"/>
    <cellStyle name="_일반전기정산 2" xfId="2224" xr:uid="{00000000-0005-0000-0000-00008D090000}"/>
    <cellStyle name="_일반전기정산(H)" xfId="2225" xr:uid="{00000000-0005-0000-0000-00008E090000}"/>
    <cellStyle name="_일반전기정산(H) 2" xfId="2226" xr:uid="{00000000-0005-0000-0000-00008F090000}"/>
    <cellStyle name="_일위대가" xfId="2227" xr:uid="{00000000-0005-0000-0000-000090090000}"/>
    <cellStyle name="_일위대가 2" xfId="2228" xr:uid="{00000000-0005-0000-0000-000091090000}"/>
    <cellStyle name="_일위대가_1" xfId="2229" xr:uid="{00000000-0005-0000-0000-000092090000}"/>
    <cellStyle name="_일위대가_1 2" xfId="2230" xr:uid="{00000000-0005-0000-0000-000093090000}"/>
    <cellStyle name="_일위대가_2" xfId="2231" xr:uid="{00000000-0005-0000-0000-000094090000}"/>
    <cellStyle name="_일위대가_2 2" xfId="2232" xr:uid="{00000000-0005-0000-0000-000095090000}"/>
    <cellStyle name="_일위대가_3" xfId="2233" xr:uid="{00000000-0005-0000-0000-000096090000}"/>
    <cellStyle name="_일위대가_3 2" xfId="2234" xr:uid="{00000000-0005-0000-0000-000097090000}"/>
    <cellStyle name="_입찰표지 " xfId="2235" xr:uid="{00000000-0005-0000-0000-000098090000}"/>
    <cellStyle name="_입찰표지  2" xfId="2236" xr:uid="{00000000-0005-0000-0000-000099090000}"/>
    <cellStyle name="_입찰표지 _(가)실행" xfId="16227" xr:uid="{00000000-0005-0000-0000-00009A090000}"/>
    <cellStyle name="_입찰표지 _(가)실행_(가)실행" xfId="16228" xr:uid="{00000000-0005-0000-0000-00009B090000}"/>
    <cellStyle name="_입찰표지 _(가)실행_(가)실행2" xfId="16229" xr:uid="{00000000-0005-0000-0000-00009C090000}"/>
    <cellStyle name="_입찰표지 _(가)실행_중동성황(가)실행" xfId="16230" xr:uid="{00000000-0005-0000-0000-00009D090000}"/>
    <cellStyle name="_입찰표지 _가실행(공설운동장)" xfId="16231" xr:uid="{00000000-0005-0000-0000-00009E090000}"/>
    <cellStyle name="_입찰표지 _가실행(공설운동장)_(가)실행" xfId="16232" xr:uid="{00000000-0005-0000-0000-00009F090000}"/>
    <cellStyle name="_입찰표지 _가실행(공설운동장)_(가)실행2" xfId="16233" xr:uid="{00000000-0005-0000-0000-0000A0090000}"/>
    <cellStyle name="_입찰표지 _가실행(공설운동장)_중동성황(가)실행" xfId="16234" xr:uid="{00000000-0005-0000-0000-0000A1090000}"/>
    <cellStyle name="_입찰표지 _가실행(송탄IC)" xfId="16235" xr:uid="{00000000-0005-0000-0000-0000A2090000}"/>
    <cellStyle name="_입찰표지 _가실행(송탄IC)_(가)실행" xfId="16236" xr:uid="{00000000-0005-0000-0000-0000A3090000}"/>
    <cellStyle name="_입찰표지 _가실행(송탄IC)_(가)실행2" xfId="16237" xr:uid="{00000000-0005-0000-0000-0000A4090000}"/>
    <cellStyle name="_입찰표지 _가실행(송탄IC)_중동성황(가)실행" xfId="16238" xr:uid="{00000000-0005-0000-0000-0000A5090000}"/>
    <cellStyle name="_입찰표지 _건국대병원" xfId="2237" xr:uid="{00000000-0005-0000-0000-0000A6090000}"/>
    <cellStyle name="_입찰표지 _건국대병원 2" xfId="2238" xr:uid="{00000000-0005-0000-0000-0000A7090000}"/>
    <cellStyle name="_입찰표지 _건국대병원_건국대학교공내역1028" xfId="2239" xr:uid="{00000000-0005-0000-0000-0000A8090000}"/>
    <cellStyle name="_입찰표지 _건국대병원_건국대학교공내역1028 2" xfId="2240" xr:uid="{00000000-0005-0000-0000-0000A9090000}"/>
    <cellStyle name="_입찰표지 _건국대병원_건국대학교공내역1028_건국대학교공내역1028" xfId="2241" xr:uid="{00000000-0005-0000-0000-0000AA090000}"/>
    <cellStyle name="_입찰표지 _건국대병원_건국대학교공내역1028_건국대학교공내역1028 2" xfId="2242" xr:uid="{00000000-0005-0000-0000-0000AB090000}"/>
    <cellStyle name="_입찰표지 _건국대병원_건국대학교공내역1028_건국대학교공내역1028_협조전" xfId="2243" xr:uid="{00000000-0005-0000-0000-0000AC090000}"/>
    <cellStyle name="_입찰표지 _건국대병원_건국대학교공내역1028_건국대학교공내역1028_협조전 2" xfId="2244" xr:uid="{00000000-0005-0000-0000-0000AD090000}"/>
    <cellStyle name="_입찰표지 _건국대병원_건국대학교공내역1028_건국대학교공내역1028_협조전_협조전" xfId="2245" xr:uid="{00000000-0005-0000-0000-0000AE090000}"/>
    <cellStyle name="_입찰표지 _건국대병원_건국대학교공내역1028_건국대학교공내역1028_협조전_협조전 2" xfId="2246" xr:uid="{00000000-0005-0000-0000-0000AF090000}"/>
    <cellStyle name="_입찰표지 _건국대병원_건국대학교공내역1028_협조전" xfId="2247" xr:uid="{00000000-0005-0000-0000-0000B0090000}"/>
    <cellStyle name="_입찰표지 _건국대병원_건국대학교공내역1028_협조전 2" xfId="2248" xr:uid="{00000000-0005-0000-0000-0000B1090000}"/>
    <cellStyle name="_입찰표지 _건국대병원_건국대학교공내역1028_협조전_협조전" xfId="2249" xr:uid="{00000000-0005-0000-0000-0000B2090000}"/>
    <cellStyle name="_입찰표지 _건국대병원_건국대학교공내역1028_협조전_협조전 2" xfId="2250" xr:uid="{00000000-0005-0000-0000-0000B3090000}"/>
    <cellStyle name="_입찰표지 _건국대병원_협조전" xfId="2251" xr:uid="{00000000-0005-0000-0000-0000B4090000}"/>
    <cellStyle name="_입찰표지 _건국대병원_협조전 2" xfId="2252" xr:uid="{00000000-0005-0000-0000-0000B5090000}"/>
    <cellStyle name="_입찰표지 _건국대병원_협조전_협조전" xfId="2253" xr:uid="{00000000-0005-0000-0000-0000B6090000}"/>
    <cellStyle name="_입찰표지 _건국대병원_협조전_협조전 2" xfId="2254" xr:uid="{00000000-0005-0000-0000-0000B7090000}"/>
    <cellStyle name="_입찰표지 _건국대학교공내역1028" xfId="2255" xr:uid="{00000000-0005-0000-0000-0000B8090000}"/>
    <cellStyle name="_입찰표지 _건국대학교공내역1028 2" xfId="2256" xr:uid="{00000000-0005-0000-0000-0000B9090000}"/>
    <cellStyle name="_입찰표지 _건국대학교공내역1028_협조전" xfId="2257" xr:uid="{00000000-0005-0000-0000-0000BA090000}"/>
    <cellStyle name="_입찰표지 _건국대학교공내역1028_협조전 2" xfId="2258" xr:uid="{00000000-0005-0000-0000-0000BB090000}"/>
    <cellStyle name="_입찰표지 _건국대학교공내역1028_협조전_협조전" xfId="2259" xr:uid="{00000000-0005-0000-0000-0000BC090000}"/>
    <cellStyle name="_입찰표지 _건국대학교공내역1028_협조전_협조전 2" xfId="2260" xr:uid="{00000000-0005-0000-0000-0000BD090000}"/>
    <cellStyle name="_입찰표지 _건국대학교병원 견적_미동" xfId="2261" xr:uid="{00000000-0005-0000-0000-0000BE090000}"/>
    <cellStyle name="_입찰표지 _건국대학교병원 견적_미동 2" xfId="2262" xr:uid="{00000000-0005-0000-0000-0000BF090000}"/>
    <cellStyle name="_입찰표지 _건국대학교병원 견적_미동_건국대학교공내역1028" xfId="2263" xr:uid="{00000000-0005-0000-0000-0000C0090000}"/>
    <cellStyle name="_입찰표지 _건국대학교병원 견적_미동_건국대학교공내역1028 2" xfId="2264" xr:uid="{00000000-0005-0000-0000-0000C1090000}"/>
    <cellStyle name="_입찰표지 _건국대학교병원 견적_미동_건국대학교공내역1028_건국대학교공내역1028" xfId="2265" xr:uid="{00000000-0005-0000-0000-0000C2090000}"/>
    <cellStyle name="_입찰표지 _건국대학교병원 견적_미동_건국대학교공내역1028_건국대학교공내역1028 2" xfId="2266" xr:uid="{00000000-0005-0000-0000-0000C3090000}"/>
    <cellStyle name="_입찰표지 _건국대학교병원 견적_미동_건국대학교공내역1028_건국대학교공내역1028_협조전" xfId="2267" xr:uid="{00000000-0005-0000-0000-0000C4090000}"/>
    <cellStyle name="_입찰표지 _건국대학교병원 견적_미동_건국대학교공내역1028_건국대학교공내역1028_협조전 2" xfId="2268" xr:uid="{00000000-0005-0000-0000-0000C5090000}"/>
    <cellStyle name="_입찰표지 _건국대학교병원 견적_미동_건국대학교공내역1028_건국대학교공내역1028_협조전_협조전" xfId="2269" xr:uid="{00000000-0005-0000-0000-0000C6090000}"/>
    <cellStyle name="_입찰표지 _건국대학교병원 견적_미동_건국대학교공내역1028_건국대학교공내역1028_협조전_협조전 2" xfId="2270" xr:uid="{00000000-0005-0000-0000-0000C7090000}"/>
    <cellStyle name="_입찰표지 _건국대학교병원 견적_미동_건국대학교공내역1028_협조전" xfId="2271" xr:uid="{00000000-0005-0000-0000-0000C8090000}"/>
    <cellStyle name="_입찰표지 _건국대학교병원 견적_미동_건국대학교공내역1028_협조전 2" xfId="2272" xr:uid="{00000000-0005-0000-0000-0000C9090000}"/>
    <cellStyle name="_입찰표지 _건국대학교병원 견적_미동_건국대학교공내역1028_협조전_협조전" xfId="2273" xr:uid="{00000000-0005-0000-0000-0000CA090000}"/>
    <cellStyle name="_입찰표지 _건국대학교병원 견적_미동_건국대학교공내역1028_협조전_협조전 2" xfId="2274" xr:uid="{00000000-0005-0000-0000-0000CB090000}"/>
    <cellStyle name="_입찰표지 _건국대학교병원 견적_미동_협조전" xfId="2275" xr:uid="{00000000-0005-0000-0000-0000CC090000}"/>
    <cellStyle name="_입찰표지 _건국대학교병원 견적_미동_협조전 2" xfId="2276" xr:uid="{00000000-0005-0000-0000-0000CD090000}"/>
    <cellStyle name="_입찰표지 _건국대학교병원 견적_미동_협조전_협조전" xfId="2277" xr:uid="{00000000-0005-0000-0000-0000CE090000}"/>
    <cellStyle name="_입찰표지 _건국대학교병원 견적_미동_협조전_협조전 2" xfId="2278" xr:uid="{00000000-0005-0000-0000-0000CF090000}"/>
    <cellStyle name="_입찰표지 _건국대학교부대입찰업체견적서" xfId="2279" xr:uid="{00000000-0005-0000-0000-0000D0090000}"/>
    <cellStyle name="_입찰표지 _건국대학교부대입찰업체견적서 2" xfId="2280" xr:uid="{00000000-0005-0000-0000-0000D1090000}"/>
    <cellStyle name="_입찰표지 _건국대학교부대입찰업체견적서_건국대학교공내역1028" xfId="2281" xr:uid="{00000000-0005-0000-0000-0000D2090000}"/>
    <cellStyle name="_입찰표지 _건국대학교부대입찰업체견적서_건국대학교공내역1028 2" xfId="2282" xr:uid="{00000000-0005-0000-0000-0000D3090000}"/>
    <cellStyle name="_입찰표지 _건국대학교부대입찰업체견적서_건국대학교공내역1028_건국대학교공내역1028" xfId="2283" xr:uid="{00000000-0005-0000-0000-0000D4090000}"/>
    <cellStyle name="_입찰표지 _건국대학교부대입찰업체견적서_건국대학교공내역1028_건국대학교공내역1028 2" xfId="2284" xr:uid="{00000000-0005-0000-0000-0000D5090000}"/>
    <cellStyle name="_입찰표지 _건국대학교부대입찰업체견적서_건국대학교공내역1028_건국대학교공내역1028_협조전" xfId="2285" xr:uid="{00000000-0005-0000-0000-0000D6090000}"/>
    <cellStyle name="_입찰표지 _건국대학교부대입찰업체견적서_건국대학교공내역1028_건국대학교공내역1028_협조전 2" xfId="2286" xr:uid="{00000000-0005-0000-0000-0000D7090000}"/>
    <cellStyle name="_입찰표지 _건국대학교부대입찰업체견적서_건국대학교공내역1028_건국대학교공내역1028_협조전_협조전" xfId="2287" xr:uid="{00000000-0005-0000-0000-0000D8090000}"/>
    <cellStyle name="_입찰표지 _건국대학교부대입찰업체견적서_건국대학교공내역1028_건국대학교공내역1028_협조전_협조전 2" xfId="2288" xr:uid="{00000000-0005-0000-0000-0000D9090000}"/>
    <cellStyle name="_입찰표지 _건국대학교부대입찰업체견적서_건국대학교공내역1028_협조전" xfId="2289" xr:uid="{00000000-0005-0000-0000-0000DA090000}"/>
    <cellStyle name="_입찰표지 _건국대학교부대입찰업체견적서_건국대학교공내역1028_협조전 2" xfId="2290" xr:uid="{00000000-0005-0000-0000-0000DB090000}"/>
    <cellStyle name="_입찰표지 _건국대학교부대입찰업체견적서_건국대학교공내역1028_협조전_협조전" xfId="2291" xr:uid="{00000000-0005-0000-0000-0000DC090000}"/>
    <cellStyle name="_입찰표지 _건국대학교부대입찰업체견적서_건국대학교공내역1028_협조전_협조전 2" xfId="2292" xr:uid="{00000000-0005-0000-0000-0000DD090000}"/>
    <cellStyle name="_입찰표지 _건국대학교부대입찰업체견적서_협조전" xfId="2293" xr:uid="{00000000-0005-0000-0000-0000DE090000}"/>
    <cellStyle name="_입찰표지 _건국대학교부대입찰업체견적서_협조전 2" xfId="2294" xr:uid="{00000000-0005-0000-0000-0000DF090000}"/>
    <cellStyle name="_입찰표지 _건국대학교부대입찰업체견적서_협조전_협조전" xfId="2295" xr:uid="{00000000-0005-0000-0000-0000E0090000}"/>
    <cellStyle name="_입찰표지 _건국대학교부대입찰업체견적서_협조전_협조전 2" xfId="2296" xr:uid="{00000000-0005-0000-0000-0000E1090000}"/>
    <cellStyle name="_입찰표지 _내역(02.04.16)선우대교" xfId="2297" xr:uid="{00000000-0005-0000-0000-0000E2090000}"/>
    <cellStyle name="_입찰표지 _내역(02.04.16)선우대교_☆남악2-3공구가실행" xfId="2298" xr:uid="{00000000-0005-0000-0000-0000E3090000}"/>
    <cellStyle name="_입찰표지 _내역(02.04.17)선우대교" xfId="2299" xr:uid="{00000000-0005-0000-0000-0000E4090000}"/>
    <cellStyle name="_입찰표지 _내역(02.04.17)선우대교_☆남악2-3공구가실행" xfId="2300" xr:uid="{00000000-0005-0000-0000-0000E5090000}"/>
    <cellStyle name="_입찰표지 _내역(02.04.17)추모공원" xfId="2301" xr:uid="{00000000-0005-0000-0000-0000E6090000}"/>
    <cellStyle name="_입찰표지 _내역(02.04.17)추모공원_☆남악2-3공구가실행" xfId="2302" xr:uid="{00000000-0005-0000-0000-0000E7090000}"/>
    <cellStyle name="_입찰표지 _내역(02.09.30)신령-영천(2공구)" xfId="2303" xr:uid="{00000000-0005-0000-0000-0000E8090000}"/>
    <cellStyle name="_입찰표지 _내역(02.09.30)신령-영천(2공구)_☆남악2-3공구가실행" xfId="2304" xr:uid="{00000000-0005-0000-0000-0000E9090000}"/>
    <cellStyle name="_입찰표지 _내역(02.10.14)신령-영천(2공구)-0.3312" xfId="2305" xr:uid="{00000000-0005-0000-0000-0000EA090000}"/>
    <cellStyle name="_입찰표지 _내역(02.10.14)신령-영천(2공구)-0.3312_☆남악2-3공구가실행" xfId="2306" xr:uid="{00000000-0005-0000-0000-0000EB090000}"/>
    <cellStyle name="_입찰표지 _내역(02.11.07)강변북로(청담대교-성수대교)확장공사" xfId="2307" xr:uid="{00000000-0005-0000-0000-0000EC090000}"/>
    <cellStyle name="_입찰표지 _내역(02.11.07)강변북로(청담대교-성수대교)확장공사_☆남악2-3공구가실행" xfId="2308" xr:uid="{00000000-0005-0000-0000-0000ED090000}"/>
    <cellStyle name="_입찰표지 _내역(02.11.27)무안~광주간 건설공사(제2공구)투찰" xfId="2309" xr:uid="{00000000-0005-0000-0000-0000EE090000}"/>
    <cellStyle name="_입찰표지 _내역(02.11.27)무안~광주간 건설공사(제2공구)투찰_☆남악2-3공구가실행" xfId="2310" xr:uid="{00000000-0005-0000-0000-0000EF090000}"/>
    <cellStyle name="_입찰표지 _대안투찰내역(0221)" xfId="2311" xr:uid="{00000000-0005-0000-0000-0000F0090000}"/>
    <cellStyle name="_입찰표지 _대안투찰내역(0223)" xfId="2312" xr:uid="{00000000-0005-0000-0000-0000F1090000}"/>
    <cellStyle name="_입찰표지 _대안투찰내역(확정본0226)" xfId="2313" xr:uid="{00000000-0005-0000-0000-0000F2090000}"/>
    <cellStyle name="_입찰표지 _도급실행0211" xfId="2314" xr:uid="{00000000-0005-0000-0000-0000F3090000}"/>
    <cellStyle name="_입찰표지 _부산남천동병원내역서(남일)" xfId="2315" xr:uid="{00000000-0005-0000-0000-0000F4090000}"/>
    <cellStyle name="_입찰표지 _부산남천동병원내역서(남일) 2" xfId="2316" xr:uid="{00000000-0005-0000-0000-0000F5090000}"/>
    <cellStyle name="_입찰표지 _부산남천동병원내역서(남일)_2도급내역(계약분)" xfId="2317" xr:uid="{00000000-0005-0000-0000-0000F6090000}"/>
    <cellStyle name="_입찰표지 _부산남천동병원내역서(남일)_2도급내역(계약분) 2" xfId="2318" xr:uid="{00000000-0005-0000-0000-0000F7090000}"/>
    <cellStyle name="_입찰표지 _부산남천동병원내역서(남일)_2도급내역(계약분)_협조전" xfId="2319" xr:uid="{00000000-0005-0000-0000-0000F8090000}"/>
    <cellStyle name="_입찰표지 _부산남천동병원내역서(남일)_2도급내역(계약분)_협조전 2" xfId="2320" xr:uid="{00000000-0005-0000-0000-0000F9090000}"/>
    <cellStyle name="_입찰표지 _부산남천동병원내역서(남일)_2도급내역(계약분)_협조전_협조전" xfId="2321" xr:uid="{00000000-0005-0000-0000-0000FA090000}"/>
    <cellStyle name="_입찰표지 _부산남천동병원내역서(남일)_2도급내역(계약분)_협조전_협조전 2" xfId="2322" xr:uid="{00000000-0005-0000-0000-0000FB090000}"/>
    <cellStyle name="_입찰표지 _부산남천동병원내역서(남일)_공정표" xfId="2323" xr:uid="{00000000-0005-0000-0000-0000FC090000}"/>
    <cellStyle name="_입찰표지 _부산남천동병원내역서(남일)_공정표 2" xfId="2324" xr:uid="{00000000-0005-0000-0000-0000FD090000}"/>
    <cellStyle name="_입찰표지 _부산남천동병원내역서(남일)_공정표_협조전" xfId="2325" xr:uid="{00000000-0005-0000-0000-0000FE090000}"/>
    <cellStyle name="_입찰표지 _부산남천동병원내역서(남일)_공정표_협조전 2" xfId="2326" xr:uid="{00000000-0005-0000-0000-0000FF090000}"/>
    <cellStyle name="_입찰표지 _부산남천동병원내역서(남일)_공정표_협조전_협조전" xfId="2327" xr:uid="{00000000-0005-0000-0000-0000000A0000}"/>
    <cellStyle name="_입찰표지 _부산남천동병원내역서(남일)_공정표_협조전_협조전 2" xfId="2328" xr:uid="{00000000-0005-0000-0000-0000010A0000}"/>
    <cellStyle name="_입찰표지 _부산남천동병원내역서(남일)_세종회관입찰보고서" xfId="2329" xr:uid="{00000000-0005-0000-0000-0000020A0000}"/>
    <cellStyle name="_입찰표지 _부산남천동병원내역서(남일)_세종회관입찰보고서 2" xfId="2330" xr:uid="{00000000-0005-0000-0000-0000030A0000}"/>
    <cellStyle name="_입찰표지 _부산남천동병원내역서(남일)_세종회관입찰보고서_협조전" xfId="2331" xr:uid="{00000000-0005-0000-0000-0000040A0000}"/>
    <cellStyle name="_입찰표지 _부산남천동병원내역서(남일)_세종회관입찰보고서_협조전 2" xfId="2332" xr:uid="{00000000-0005-0000-0000-0000050A0000}"/>
    <cellStyle name="_입찰표지 _부산남천동병원내역서(남일)_세종회관입찰보고서_협조전_협조전" xfId="2333" xr:uid="{00000000-0005-0000-0000-0000060A0000}"/>
    <cellStyle name="_입찰표지 _부산남천동병원내역서(남일)_세종회관입찰보고서_협조전_협조전 2" xfId="2334" xr:uid="{00000000-0005-0000-0000-0000070A0000}"/>
    <cellStyle name="_입찰표지 _부산남천동병원내역서(남일)_입찰보고서" xfId="2335" xr:uid="{00000000-0005-0000-0000-0000080A0000}"/>
    <cellStyle name="_입찰표지 _부산남천동병원내역서(남일)_입찰보고서 2" xfId="2336" xr:uid="{00000000-0005-0000-0000-0000090A0000}"/>
    <cellStyle name="_입찰표지 _부산남천동병원내역서(남일)_입찰보고서_협조전" xfId="2337" xr:uid="{00000000-0005-0000-0000-00000A0A0000}"/>
    <cellStyle name="_입찰표지 _부산남천동병원내역서(남일)_입찰보고서_협조전 2" xfId="2338" xr:uid="{00000000-0005-0000-0000-00000B0A0000}"/>
    <cellStyle name="_입찰표지 _부산남천동병원내역서(남일)_입찰보고서_협조전_협조전" xfId="2339" xr:uid="{00000000-0005-0000-0000-00000C0A0000}"/>
    <cellStyle name="_입찰표지 _부산남천동병원내역서(남일)_입찰보고서_협조전_협조전 2" xfId="2340" xr:uid="{00000000-0005-0000-0000-00000D0A0000}"/>
    <cellStyle name="_입찰표지 _부산남천동병원내역서(남일)_협조전" xfId="2341" xr:uid="{00000000-0005-0000-0000-00000E0A0000}"/>
    <cellStyle name="_입찰표지 _부산남천동병원내역서(남일)_협조전 2" xfId="2342" xr:uid="{00000000-0005-0000-0000-00000F0A0000}"/>
    <cellStyle name="_입찰표지 _부산남천동병원내역서(남일)_협조전_협조전" xfId="2343" xr:uid="{00000000-0005-0000-0000-0000100A0000}"/>
    <cellStyle name="_입찰표지 _부산남천동병원내역서(남일)_협조전_협조전 2" xfId="2344" xr:uid="{00000000-0005-0000-0000-0000110A0000}"/>
    <cellStyle name="_입찰표지 _월곳집행(본사)" xfId="2345" xr:uid="{00000000-0005-0000-0000-0000120A0000}"/>
    <cellStyle name="_입찰표지 _월곳집행(본사) 2" xfId="2346" xr:uid="{00000000-0005-0000-0000-0000130A0000}"/>
    <cellStyle name="_입찰표지 _월곳집행(본사)_공내역서(소방)" xfId="2347" xr:uid="{00000000-0005-0000-0000-0000140A0000}"/>
    <cellStyle name="_입찰표지 _월곳집행(본사)_공내역서(소방) 2" xfId="2348" xr:uid="{00000000-0005-0000-0000-0000150A0000}"/>
    <cellStyle name="_입찰표지 _월곳집행(본사)_공내역서(소방final)" xfId="2349" xr:uid="{00000000-0005-0000-0000-0000160A0000}"/>
    <cellStyle name="_입찰표지 _월곳집행(본사)_공내역서(소방final) 2" xfId="2350" xr:uid="{00000000-0005-0000-0000-0000170A0000}"/>
    <cellStyle name="_입찰표지 _의정부" xfId="2351" xr:uid="{00000000-0005-0000-0000-0000180A0000}"/>
    <cellStyle name="_입찰표지 _의정부 2" xfId="2352" xr:uid="{00000000-0005-0000-0000-0000190A0000}"/>
    <cellStyle name="_입찰표지 _의정부_건국대학교공내역1028" xfId="2353" xr:uid="{00000000-0005-0000-0000-00001A0A0000}"/>
    <cellStyle name="_입찰표지 _의정부_건국대학교공내역1028 2" xfId="2354" xr:uid="{00000000-0005-0000-0000-00001B0A0000}"/>
    <cellStyle name="_입찰표지 _의정부_건국대학교공내역1028_건국대학교공내역1028" xfId="2355" xr:uid="{00000000-0005-0000-0000-00001C0A0000}"/>
    <cellStyle name="_입찰표지 _의정부_건국대학교공내역1028_건국대학교공내역1028 2" xfId="2356" xr:uid="{00000000-0005-0000-0000-00001D0A0000}"/>
    <cellStyle name="_입찰표지 _의정부_건국대학교공내역1028_건국대학교공내역1028_협조전" xfId="2357" xr:uid="{00000000-0005-0000-0000-00001E0A0000}"/>
    <cellStyle name="_입찰표지 _의정부_건국대학교공내역1028_건국대학교공내역1028_협조전 2" xfId="2358" xr:uid="{00000000-0005-0000-0000-00001F0A0000}"/>
    <cellStyle name="_입찰표지 _의정부_건국대학교공내역1028_건국대학교공내역1028_협조전_협조전" xfId="2359" xr:uid="{00000000-0005-0000-0000-0000200A0000}"/>
    <cellStyle name="_입찰표지 _의정부_건국대학교공내역1028_건국대학교공내역1028_협조전_협조전 2" xfId="2360" xr:uid="{00000000-0005-0000-0000-0000210A0000}"/>
    <cellStyle name="_입찰표지 _의정부_건국대학교공내역1028_협조전" xfId="2361" xr:uid="{00000000-0005-0000-0000-0000220A0000}"/>
    <cellStyle name="_입찰표지 _의정부_건국대학교공내역1028_협조전 2" xfId="2362" xr:uid="{00000000-0005-0000-0000-0000230A0000}"/>
    <cellStyle name="_입찰표지 _의정부_건국대학교공내역1028_협조전_협조전" xfId="2363" xr:uid="{00000000-0005-0000-0000-0000240A0000}"/>
    <cellStyle name="_입찰표지 _의정부_건국대학교공내역1028_협조전_협조전 2" xfId="2364" xr:uid="{00000000-0005-0000-0000-0000250A0000}"/>
    <cellStyle name="_입찰표지 _의정부_협조전" xfId="2365" xr:uid="{00000000-0005-0000-0000-0000260A0000}"/>
    <cellStyle name="_입찰표지 _의정부_협조전 2" xfId="2366" xr:uid="{00000000-0005-0000-0000-0000270A0000}"/>
    <cellStyle name="_입찰표지 _의정부_협조전_협조전" xfId="2367" xr:uid="{00000000-0005-0000-0000-0000280A0000}"/>
    <cellStyle name="_입찰표지 _의정부_협조전_협조전 2" xfId="2368" xr:uid="{00000000-0005-0000-0000-0000290A0000}"/>
    <cellStyle name="_입찰표지 _의정부성모병원" xfId="2369" xr:uid="{00000000-0005-0000-0000-00002A0A0000}"/>
    <cellStyle name="_입찰표지 _의정부성모병원 2" xfId="2370" xr:uid="{00000000-0005-0000-0000-00002B0A0000}"/>
    <cellStyle name="_입찰표지 _의정부성모병원_건국대학교공내역1028" xfId="2371" xr:uid="{00000000-0005-0000-0000-00002C0A0000}"/>
    <cellStyle name="_입찰표지 _의정부성모병원_건국대학교공내역1028 2" xfId="2372" xr:uid="{00000000-0005-0000-0000-00002D0A0000}"/>
    <cellStyle name="_입찰표지 _의정부성모병원_건국대학교공내역1028_건국대학교공내역1028" xfId="2373" xr:uid="{00000000-0005-0000-0000-00002E0A0000}"/>
    <cellStyle name="_입찰표지 _의정부성모병원_건국대학교공내역1028_건국대학교공내역1028 2" xfId="2374" xr:uid="{00000000-0005-0000-0000-00002F0A0000}"/>
    <cellStyle name="_입찰표지 _의정부성모병원_건국대학교공내역1028_건국대학교공내역1028_협조전" xfId="2375" xr:uid="{00000000-0005-0000-0000-0000300A0000}"/>
    <cellStyle name="_입찰표지 _의정부성모병원_건국대학교공내역1028_건국대학교공내역1028_협조전 2" xfId="2376" xr:uid="{00000000-0005-0000-0000-0000310A0000}"/>
    <cellStyle name="_입찰표지 _의정부성모병원_건국대학교공내역1028_건국대학교공내역1028_협조전_협조전" xfId="2377" xr:uid="{00000000-0005-0000-0000-0000320A0000}"/>
    <cellStyle name="_입찰표지 _의정부성모병원_건국대학교공내역1028_건국대학교공내역1028_협조전_협조전 2" xfId="2378" xr:uid="{00000000-0005-0000-0000-0000330A0000}"/>
    <cellStyle name="_입찰표지 _의정부성모병원_건국대학교공내역1028_협조전" xfId="2379" xr:uid="{00000000-0005-0000-0000-0000340A0000}"/>
    <cellStyle name="_입찰표지 _의정부성모병원_건국대학교공내역1028_협조전 2" xfId="2380" xr:uid="{00000000-0005-0000-0000-0000350A0000}"/>
    <cellStyle name="_입찰표지 _의정부성모병원_건국대학교공내역1028_협조전_협조전" xfId="2381" xr:uid="{00000000-0005-0000-0000-0000360A0000}"/>
    <cellStyle name="_입찰표지 _의정부성모병원_건국대학교공내역1028_협조전_협조전 2" xfId="2382" xr:uid="{00000000-0005-0000-0000-0000370A0000}"/>
    <cellStyle name="_입찰표지 _의정부성모병원_협조전" xfId="2383" xr:uid="{00000000-0005-0000-0000-0000380A0000}"/>
    <cellStyle name="_입찰표지 _의정부성모병원_협조전 2" xfId="2384" xr:uid="{00000000-0005-0000-0000-0000390A0000}"/>
    <cellStyle name="_입찰표지 _의정부성모병원_협조전_협조전" xfId="2385" xr:uid="{00000000-0005-0000-0000-00003A0A0000}"/>
    <cellStyle name="_입찰표지 _의정부성모병원_협조전_협조전 2" xfId="2386" xr:uid="{00000000-0005-0000-0000-00003B0A0000}"/>
    <cellStyle name="_입찰표지 _조0203(1000억이상)" xfId="2387" xr:uid="{00000000-0005-0000-0000-00003C0A0000}"/>
    <cellStyle name="_입찰표지 _중동성황(가)실행" xfId="16239" xr:uid="{00000000-0005-0000-0000-00003D0A0000}"/>
    <cellStyle name="_입찰표지 _중동성황(가)실행_(가)실행" xfId="16240" xr:uid="{00000000-0005-0000-0000-00003E0A0000}"/>
    <cellStyle name="_입찰표지 _중동성황(가)실행_(가)실행2" xfId="16241" xr:uid="{00000000-0005-0000-0000-00003F0A0000}"/>
    <cellStyle name="_입찰표지 _중동성황(가)실행_중동성황(가)실행" xfId="16242" xr:uid="{00000000-0005-0000-0000-0000400A0000}"/>
    <cellStyle name="_입찰표지 _중동-성황투찰(new)(발주자변경)" xfId="16243" xr:uid="{00000000-0005-0000-0000-0000410A0000}"/>
    <cellStyle name="_입찰표지 _중동-성황투찰(new)(발주자변경)_(가)실행" xfId="16244" xr:uid="{00000000-0005-0000-0000-0000420A0000}"/>
    <cellStyle name="_입찰표지 _중동-성황투찰(new)(발주자변경)_(가)실행2" xfId="16245" xr:uid="{00000000-0005-0000-0000-0000430A0000}"/>
    <cellStyle name="_입찰표지 _중동-성황투찰(new)(발주자변경)_중동성황(가)실행" xfId="16246" xr:uid="{00000000-0005-0000-0000-0000440A0000}"/>
    <cellStyle name="_입찰표지 _청주중원(부대입찰) 견적" xfId="2388" xr:uid="{00000000-0005-0000-0000-0000450A0000}"/>
    <cellStyle name="_입찰표지 _청주중원(부대입찰) 견적 2" xfId="2389" xr:uid="{00000000-0005-0000-0000-0000460A0000}"/>
    <cellStyle name="_입찰표지 _청주중원(부대입찰) 견적_건국대학교공내역1028" xfId="2390" xr:uid="{00000000-0005-0000-0000-0000470A0000}"/>
    <cellStyle name="_입찰표지 _청주중원(부대입찰) 견적_건국대학교공내역1028 2" xfId="2391" xr:uid="{00000000-0005-0000-0000-0000480A0000}"/>
    <cellStyle name="_입찰표지 _청주중원(부대입찰) 견적_건국대학교공내역1028_건국대학교공내역1028" xfId="2392" xr:uid="{00000000-0005-0000-0000-0000490A0000}"/>
    <cellStyle name="_입찰표지 _청주중원(부대입찰) 견적_건국대학교공내역1028_건국대학교공내역1028 2" xfId="2393" xr:uid="{00000000-0005-0000-0000-00004A0A0000}"/>
    <cellStyle name="_입찰표지 _청주중원(부대입찰) 견적_건국대학교공내역1028_건국대학교공내역1028_협조전" xfId="2394" xr:uid="{00000000-0005-0000-0000-00004B0A0000}"/>
    <cellStyle name="_입찰표지 _청주중원(부대입찰) 견적_건국대학교공내역1028_건국대학교공내역1028_협조전 2" xfId="2395" xr:uid="{00000000-0005-0000-0000-00004C0A0000}"/>
    <cellStyle name="_입찰표지 _청주중원(부대입찰) 견적_건국대학교공내역1028_건국대학교공내역1028_협조전_협조전" xfId="2396" xr:uid="{00000000-0005-0000-0000-00004D0A0000}"/>
    <cellStyle name="_입찰표지 _청주중원(부대입찰) 견적_건국대학교공내역1028_건국대학교공내역1028_협조전_협조전 2" xfId="2397" xr:uid="{00000000-0005-0000-0000-00004E0A0000}"/>
    <cellStyle name="_입찰표지 _청주중원(부대입찰) 견적_건국대학교공내역1028_협조전" xfId="2398" xr:uid="{00000000-0005-0000-0000-00004F0A0000}"/>
    <cellStyle name="_입찰표지 _청주중원(부대입찰) 견적_건국대학교공내역1028_협조전 2" xfId="2399" xr:uid="{00000000-0005-0000-0000-0000500A0000}"/>
    <cellStyle name="_입찰표지 _청주중원(부대입찰) 견적_건국대학교공내역1028_협조전_협조전" xfId="2400" xr:uid="{00000000-0005-0000-0000-0000510A0000}"/>
    <cellStyle name="_입찰표지 _청주중원(부대입찰) 견적_건국대학교공내역1028_협조전_협조전 2" xfId="2401" xr:uid="{00000000-0005-0000-0000-0000520A0000}"/>
    <cellStyle name="_입찰표지 _청주중원(부대입찰) 견적_협조전" xfId="2402" xr:uid="{00000000-0005-0000-0000-0000530A0000}"/>
    <cellStyle name="_입찰표지 _청주중원(부대입찰) 견적_협조전 2" xfId="2403" xr:uid="{00000000-0005-0000-0000-0000540A0000}"/>
    <cellStyle name="_입찰표지 _청주중원(부대입찰) 견적_협조전_협조전" xfId="2404" xr:uid="{00000000-0005-0000-0000-0000550A0000}"/>
    <cellStyle name="_입찰표지 _청주중원(부대입찰) 견적_협조전_협조전 2" xfId="2405" xr:uid="{00000000-0005-0000-0000-0000560A0000}"/>
    <cellStyle name="_입찰표지 _토공및구조물" xfId="16247" xr:uid="{00000000-0005-0000-0000-0000570A0000}"/>
    <cellStyle name="_입찰표지 _토공및구조물_(가)실행" xfId="16248" xr:uid="{00000000-0005-0000-0000-0000580A0000}"/>
    <cellStyle name="_입찰표지 _토공및구조물_(가)실행2" xfId="16249" xr:uid="{00000000-0005-0000-0000-0000590A0000}"/>
    <cellStyle name="_입찰표지 _토공및구조물_중동성황(가)실행" xfId="16250" xr:uid="{00000000-0005-0000-0000-00005A0A0000}"/>
    <cellStyle name="_입찰표지 _토공및터널발주" xfId="16251" xr:uid="{00000000-0005-0000-0000-00005B0A0000}"/>
    <cellStyle name="_입찰표지 _토공및터널발주분내역서1" xfId="16252" xr:uid="{00000000-0005-0000-0000-00005C0A0000}"/>
    <cellStyle name="_입찰표지 _협조전" xfId="2406" xr:uid="{00000000-0005-0000-0000-00005D0A0000}"/>
    <cellStyle name="_입찰표지 _협조전 2" xfId="2407" xr:uid="{00000000-0005-0000-0000-00005E0A0000}"/>
    <cellStyle name="_입찰표지 _협조전_협조전" xfId="2408" xr:uid="{00000000-0005-0000-0000-00005F0A0000}"/>
    <cellStyle name="_입찰표지 _협조전_협조전 2" xfId="2409" xr:uid="{00000000-0005-0000-0000-0000600A0000}"/>
    <cellStyle name="_자금수지관련소장님보고(030830)" xfId="2410" xr:uid="{00000000-0005-0000-0000-0000610A0000}"/>
    <cellStyle name="_자금수지관련소장님보고(030830) 2" xfId="2411" xr:uid="{00000000-0005-0000-0000-0000620A0000}"/>
    <cellStyle name="_자라다(견적서)" xfId="15955" xr:uid="{00000000-0005-0000-0000-0000630A0000}"/>
    <cellStyle name="_자유로 I-PARK A공구 전기견적서" xfId="2412" xr:uid="{00000000-0005-0000-0000-0000640A0000}"/>
    <cellStyle name="_자유로 I-PARK A공구 전기견적서 2" xfId="2413" xr:uid="{00000000-0005-0000-0000-0000650A0000}"/>
    <cellStyle name="_작업내역(전기,통신)" xfId="2414" xr:uid="{00000000-0005-0000-0000-0000660A0000}"/>
    <cellStyle name="_작업내역(전기,통신) 2" xfId="2415" xr:uid="{00000000-0005-0000-0000-0000670A0000}"/>
    <cellStyle name="_잠실백화점_정산(유진)" xfId="2416" xr:uid="{00000000-0005-0000-0000-0000680A0000}"/>
    <cellStyle name="_잠실백화점_정산(유진) 2" xfId="2417" xr:uid="{00000000-0005-0000-0000-0000690A0000}"/>
    <cellStyle name="_잠실점" xfId="2418" xr:uid="{00000000-0005-0000-0000-00006A0A0000}"/>
    <cellStyle name="_잠실점 2" xfId="2419" xr:uid="{00000000-0005-0000-0000-00006B0A0000}"/>
    <cellStyle name="_잠실점방송리뉴얼정산내역서" xfId="2420" xr:uid="{00000000-0005-0000-0000-00006C0A0000}"/>
    <cellStyle name="_잠실점방송리뉴얼정산내역서 2" xfId="2421" xr:uid="{00000000-0005-0000-0000-00006D0A0000}"/>
    <cellStyle name="_잠실점약전기성내역(1회신청)" xfId="2422" xr:uid="{00000000-0005-0000-0000-00006E0A0000}"/>
    <cellStyle name="_잠실점약전기성내역(1회신청) 2" xfId="2423" xr:uid="{00000000-0005-0000-0000-00006F0A0000}"/>
    <cellStyle name="_잠실점약전내역" xfId="2424" xr:uid="{00000000-0005-0000-0000-0000700A0000}"/>
    <cellStyle name="_잠실점약전내역 2" xfId="2425" xr:uid="{00000000-0005-0000-0000-0000710A0000}"/>
    <cellStyle name="_장애인 실내체육관 신축공사 " xfId="2426" xr:uid="{00000000-0005-0000-0000-0000720A0000}"/>
    <cellStyle name="_장애인 실내체육관 신축공사  2" xfId="2427" xr:uid="{00000000-0005-0000-0000-0000730A0000}"/>
    <cellStyle name="_장현중(내역서+개요)" xfId="16253" xr:uid="{00000000-0005-0000-0000-0000740A0000}"/>
    <cellStyle name="_재부재시스템_견적서_SMT060925" xfId="2428" xr:uid="{00000000-0005-0000-0000-0000750A0000}"/>
    <cellStyle name="_재부재시스템_견적서_SMT060925 2" xfId="2429" xr:uid="{00000000-0005-0000-0000-0000760A0000}"/>
    <cellStyle name="_재수정 배출수동설계" xfId="2430" xr:uid="{00000000-0005-0000-0000-0000770A0000}"/>
    <cellStyle name="_재수정 배출수동설계 2" xfId="2431" xr:uid="{00000000-0005-0000-0000-0000780A0000}"/>
    <cellStyle name="_재재수정 배출수동설계" xfId="2432" xr:uid="{00000000-0005-0000-0000-0000790A0000}"/>
    <cellStyle name="_재재수정 배출수동설계 2" xfId="2433" xr:uid="{00000000-0005-0000-0000-00007A0A0000}"/>
    <cellStyle name="_적격 " xfId="2434" xr:uid="{00000000-0005-0000-0000-00007B0A0000}"/>
    <cellStyle name="_적격  2" xfId="2435" xr:uid="{00000000-0005-0000-0000-00007C0A0000}"/>
    <cellStyle name="_적격 _건국대병원" xfId="2436" xr:uid="{00000000-0005-0000-0000-00007D0A0000}"/>
    <cellStyle name="_적격 _건국대병원 2" xfId="2437" xr:uid="{00000000-0005-0000-0000-00007E0A0000}"/>
    <cellStyle name="_적격 _건국대병원_건국대학교공내역1028" xfId="2438" xr:uid="{00000000-0005-0000-0000-00007F0A0000}"/>
    <cellStyle name="_적격 _건국대병원_건국대학교공내역1028 2" xfId="2439" xr:uid="{00000000-0005-0000-0000-0000800A0000}"/>
    <cellStyle name="_적격 _건국대병원_건국대학교공내역1028_건국대학교공내역1028" xfId="2440" xr:uid="{00000000-0005-0000-0000-0000810A0000}"/>
    <cellStyle name="_적격 _건국대병원_건국대학교공내역1028_건국대학교공내역1028 2" xfId="2441" xr:uid="{00000000-0005-0000-0000-0000820A0000}"/>
    <cellStyle name="_적격 _건국대병원_건국대학교공내역1028_건국대학교공내역1028_협조전" xfId="2442" xr:uid="{00000000-0005-0000-0000-0000830A0000}"/>
    <cellStyle name="_적격 _건국대병원_건국대학교공내역1028_건국대학교공내역1028_협조전 2" xfId="2443" xr:uid="{00000000-0005-0000-0000-0000840A0000}"/>
    <cellStyle name="_적격 _건국대병원_건국대학교공내역1028_건국대학교공내역1028_협조전_협조전" xfId="2444" xr:uid="{00000000-0005-0000-0000-0000850A0000}"/>
    <cellStyle name="_적격 _건국대병원_건국대학교공내역1028_건국대학교공내역1028_협조전_협조전 2" xfId="2445" xr:uid="{00000000-0005-0000-0000-0000860A0000}"/>
    <cellStyle name="_적격 _건국대병원_건국대학교공내역1028_협조전" xfId="2446" xr:uid="{00000000-0005-0000-0000-0000870A0000}"/>
    <cellStyle name="_적격 _건국대병원_건국대학교공내역1028_협조전 2" xfId="2447" xr:uid="{00000000-0005-0000-0000-0000880A0000}"/>
    <cellStyle name="_적격 _건국대병원_건국대학교공내역1028_협조전_협조전" xfId="2448" xr:uid="{00000000-0005-0000-0000-0000890A0000}"/>
    <cellStyle name="_적격 _건국대병원_건국대학교공내역1028_협조전_협조전 2" xfId="2449" xr:uid="{00000000-0005-0000-0000-00008A0A0000}"/>
    <cellStyle name="_적격 _건국대병원_협조전" xfId="2450" xr:uid="{00000000-0005-0000-0000-00008B0A0000}"/>
    <cellStyle name="_적격 _건국대병원_협조전 2" xfId="2451" xr:uid="{00000000-0005-0000-0000-00008C0A0000}"/>
    <cellStyle name="_적격 _건국대병원_협조전_협조전" xfId="2452" xr:uid="{00000000-0005-0000-0000-00008D0A0000}"/>
    <cellStyle name="_적격 _건국대병원_협조전_협조전 2" xfId="2453" xr:uid="{00000000-0005-0000-0000-00008E0A0000}"/>
    <cellStyle name="_적격 _건국대학교공내역1028" xfId="2454" xr:uid="{00000000-0005-0000-0000-00008F0A0000}"/>
    <cellStyle name="_적격 _건국대학교공내역1028 2" xfId="2455" xr:uid="{00000000-0005-0000-0000-0000900A0000}"/>
    <cellStyle name="_적격 _건국대학교공내역1028_협조전" xfId="2456" xr:uid="{00000000-0005-0000-0000-0000910A0000}"/>
    <cellStyle name="_적격 _건국대학교공내역1028_협조전 2" xfId="2457" xr:uid="{00000000-0005-0000-0000-0000920A0000}"/>
    <cellStyle name="_적격 _건국대학교공내역1028_협조전_협조전" xfId="2458" xr:uid="{00000000-0005-0000-0000-0000930A0000}"/>
    <cellStyle name="_적격 _건국대학교공내역1028_협조전_협조전 2" xfId="2459" xr:uid="{00000000-0005-0000-0000-0000940A0000}"/>
    <cellStyle name="_적격 _건국대학교병원 견적_미동" xfId="2460" xr:uid="{00000000-0005-0000-0000-0000950A0000}"/>
    <cellStyle name="_적격 _건국대학교병원 견적_미동 2" xfId="2461" xr:uid="{00000000-0005-0000-0000-0000960A0000}"/>
    <cellStyle name="_적격 _건국대학교병원 견적_미동_건국대학교공내역1028" xfId="2462" xr:uid="{00000000-0005-0000-0000-0000970A0000}"/>
    <cellStyle name="_적격 _건국대학교병원 견적_미동_건국대학교공내역1028 2" xfId="2463" xr:uid="{00000000-0005-0000-0000-0000980A0000}"/>
    <cellStyle name="_적격 _건국대학교병원 견적_미동_건국대학교공내역1028_건국대학교공내역1028" xfId="2464" xr:uid="{00000000-0005-0000-0000-0000990A0000}"/>
    <cellStyle name="_적격 _건국대학교병원 견적_미동_건국대학교공내역1028_건국대학교공내역1028 2" xfId="2465" xr:uid="{00000000-0005-0000-0000-00009A0A0000}"/>
    <cellStyle name="_적격 _건국대학교병원 견적_미동_건국대학교공내역1028_건국대학교공내역1028_협조전" xfId="2466" xr:uid="{00000000-0005-0000-0000-00009B0A0000}"/>
    <cellStyle name="_적격 _건국대학교병원 견적_미동_건국대학교공내역1028_건국대학교공내역1028_협조전 2" xfId="2467" xr:uid="{00000000-0005-0000-0000-00009C0A0000}"/>
    <cellStyle name="_적격 _건국대학교병원 견적_미동_건국대학교공내역1028_건국대학교공내역1028_협조전_협조전" xfId="2468" xr:uid="{00000000-0005-0000-0000-00009D0A0000}"/>
    <cellStyle name="_적격 _건국대학교병원 견적_미동_건국대학교공내역1028_건국대학교공내역1028_협조전_협조전 2" xfId="2469" xr:uid="{00000000-0005-0000-0000-00009E0A0000}"/>
    <cellStyle name="_적격 _건국대학교병원 견적_미동_건국대학교공내역1028_협조전" xfId="2470" xr:uid="{00000000-0005-0000-0000-00009F0A0000}"/>
    <cellStyle name="_적격 _건국대학교병원 견적_미동_건국대학교공내역1028_협조전 2" xfId="2471" xr:uid="{00000000-0005-0000-0000-0000A00A0000}"/>
    <cellStyle name="_적격 _건국대학교병원 견적_미동_건국대학교공내역1028_협조전_협조전" xfId="2472" xr:uid="{00000000-0005-0000-0000-0000A10A0000}"/>
    <cellStyle name="_적격 _건국대학교병원 견적_미동_건국대학교공내역1028_협조전_협조전 2" xfId="2473" xr:uid="{00000000-0005-0000-0000-0000A20A0000}"/>
    <cellStyle name="_적격 _건국대학교병원 견적_미동_협조전" xfId="2474" xr:uid="{00000000-0005-0000-0000-0000A30A0000}"/>
    <cellStyle name="_적격 _건국대학교병원 견적_미동_협조전 2" xfId="2475" xr:uid="{00000000-0005-0000-0000-0000A40A0000}"/>
    <cellStyle name="_적격 _건국대학교병원 견적_미동_협조전_협조전" xfId="2476" xr:uid="{00000000-0005-0000-0000-0000A50A0000}"/>
    <cellStyle name="_적격 _건국대학교병원 견적_미동_협조전_협조전 2" xfId="2477" xr:uid="{00000000-0005-0000-0000-0000A60A0000}"/>
    <cellStyle name="_적격 _건국대학교부대입찰업체견적서" xfId="2478" xr:uid="{00000000-0005-0000-0000-0000A70A0000}"/>
    <cellStyle name="_적격 _건국대학교부대입찰업체견적서 2" xfId="2479" xr:uid="{00000000-0005-0000-0000-0000A80A0000}"/>
    <cellStyle name="_적격 _건국대학교부대입찰업체견적서_건국대학교공내역1028" xfId="2480" xr:uid="{00000000-0005-0000-0000-0000A90A0000}"/>
    <cellStyle name="_적격 _건국대학교부대입찰업체견적서_건국대학교공내역1028 2" xfId="2481" xr:uid="{00000000-0005-0000-0000-0000AA0A0000}"/>
    <cellStyle name="_적격 _건국대학교부대입찰업체견적서_건국대학교공내역1028_건국대학교공내역1028" xfId="2482" xr:uid="{00000000-0005-0000-0000-0000AB0A0000}"/>
    <cellStyle name="_적격 _건국대학교부대입찰업체견적서_건국대학교공내역1028_건국대학교공내역1028 2" xfId="2483" xr:uid="{00000000-0005-0000-0000-0000AC0A0000}"/>
    <cellStyle name="_적격 _건국대학교부대입찰업체견적서_건국대학교공내역1028_건국대학교공내역1028_협조전" xfId="2484" xr:uid="{00000000-0005-0000-0000-0000AD0A0000}"/>
    <cellStyle name="_적격 _건국대학교부대입찰업체견적서_건국대학교공내역1028_건국대학교공내역1028_협조전 2" xfId="2485" xr:uid="{00000000-0005-0000-0000-0000AE0A0000}"/>
    <cellStyle name="_적격 _건국대학교부대입찰업체견적서_건국대학교공내역1028_건국대학교공내역1028_협조전_협조전" xfId="2486" xr:uid="{00000000-0005-0000-0000-0000AF0A0000}"/>
    <cellStyle name="_적격 _건국대학교부대입찰업체견적서_건국대학교공내역1028_건국대학교공내역1028_협조전_협조전 2" xfId="2487" xr:uid="{00000000-0005-0000-0000-0000B00A0000}"/>
    <cellStyle name="_적격 _건국대학교부대입찰업체견적서_건국대학교공내역1028_협조전" xfId="2488" xr:uid="{00000000-0005-0000-0000-0000B10A0000}"/>
    <cellStyle name="_적격 _건국대학교부대입찰업체견적서_건국대학교공내역1028_협조전 2" xfId="2489" xr:uid="{00000000-0005-0000-0000-0000B20A0000}"/>
    <cellStyle name="_적격 _건국대학교부대입찰업체견적서_건국대학교공내역1028_협조전_협조전" xfId="2490" xr:uid="{00000000-0005-0000-0000-0000B30A0000}"/>
    <cellStyle name="_적격 _건국대학교부대입찰업체견적서_건국대학교공내역1028_협조전_협조전 2" xfId="2491" xr:uid="{00000000-0005-0000-0000-0000B40A0000}"/>
    <cellStyle name="_적격 _건국대학교부대입찰업체견적서_협조전" xfId="2492" xr:uid="{00000000-0005-0000-0000-0000B50A0000}"/>
    <cellStyle name="_적격 _건국대학교부대입찰업체견적서_협조전 2" xfId="2493" xr:uid="{00000000-0005-0000-0000-0000B60A0000}"/>
    <cellStyle name="_적격 _건국대학교부대입찰업체견적서_협조전_협조전" xfId="2494" xr:uid="{00000000-0005-0000-0000-0000B70A0000}"/>
    <cellStyle name="_적격 _건국대학교부대입찰업체견적서_협조전_협조전 2" xfId="2495" xr:uid="{00000000-0005-0000-0000-0000B80A0000}"/>
    <cellStyle name="_적격 _부산남천동병원내역서(남일)" xfId="2496" xr:uid="{00000000-0005-0000-0000-0000B90A0000}"/>
    <cellStyle name="_적격 _부산남천동병원내역서(남일) 2" xfId="2497" xr:uid="{00000000-0005-0000-0000-0000BA0A0000}"/>
    <cellStyle name="_적격 _부산남천동병원내역서(남일)_2도급내역(계약분)" xfId="2498" xr:uid="{00000000-0005-0000-0000-0000BB0A0000}"/>
    <cellStyle name="_적격 _부산남천동병원내역서(남일)_2도급내역(계약분) 2" xfId="2499" xr:uid="{00000000-0005-0000-0000-0000BC0A0000}"/>
    <cellStyle name="_적격 _부산남천동병원내역서(남일)_2도급내역(계약분)_협조전" xfId="2500" xr:uid="{00000000-0005-0000-0000-0000BD0A0000}"/>
    <cellStyle name="_적격 _부산남천동병원내역서(남일)_2도급내역(계약분)_협조전 2" xfId="2501" xr:uid="{00000000-0005-0000-0000-0000BE0A0000}"/>
    <cellStyle name="_적격 _부산남천동병원내역서(남일)_2도급내역(계약분)_협조전_협조전" xfId="2502" xr:uid="{00000000-0005-0000-0000-0000BF0A0000}"/>
    <cellStyle name="_적격 _부산남천동병원내역서(남일)_2도급내역(계약분)_협조전_협조전 2" xfId="2503" xr:uid="{00000000-0005-0000-0000-0000C00A0000}"/>
    <cellStyle name="_적격 _부산남천동병원내역서(남일)_공정표" xfId="2504" xr:uid="{00000000-0005-0000-0000-0000C10A0000}"/>
    <cellStyle name="_적격 _부산남천동병원내역서(남일)_공정표 2" xfId="2505" xr:uid="{00000000-0005-0000-0000-0000C20A0000}"/>
    <cellStyle name="_적격 _부산남천동병원내역서(남일)_공정표_협조전" xfId="2506" xr:uid="{00000000-0005-0000-0000-0000C30A0000}"/>
    <cellStyle name="_적격 _부산남천동병원내역서(남일)_공정표_협조전 2" xfId="2507" xr:uid="{00000000-0005-0000-0000-0000C40A0000}"/>
    <cellStyle name="_적격 _부산남천동병원내역서(남일)_공정표_협조전_협조전" xfId="2508" xr:uid="{00000000-0005-0000-0000-0000C50A0000}"/>
    <cellStyle name="_적격 _부산남천동병원내역서(남일)_공정표_협조전_협조전 2" xfId="2509" xr:uid="{00000000-0005-0000-0000-0000C60A0000}"/>
    <cellStyle name="_적격 _부산남천동병원내역서(남일)_세종회관입찰보고서" xfId="2510" xr:uid="{00000000-0005-0000-0000-0000C70A0000}"/>
    <cellStyle name="_적격 _부산남천동병원내역서(남일)_세종회관입찰보고서 2" xfId="2511" xr:uid="{00000000-0005-0000-0000-0000C80A0000}"/>
    <cellStyle name="_적격 _부산남천동병원내역서(남일)_세종회관입찰보고서_협조전" xfId="2512" xr:uid="{00000000-0005-0000-0000-0000C90A0000}"/>
    <cellStyle name="_적격 _부산남천동병원내역서(남일)_세종회관입찰보고서_협조전 2" xfId="2513" xr:uid="{00000000-0005-0000-0000-0000CA0A0000}"/>
    <cellStyle name="_적격 _부산남천동병원내역서(남일)_세종회관입찰보고서_협조전_협조전" xfId="2514" xr:uid="{00000000-0005-0000-0000-0000CB0A0000}"/>
    <cellStyle name="_적격 _부산남천동병원내역서(남일)_세종회관입찰보고서_협조전_협조전 2" xfId="2515" xr:uid="{00000000-0005-0000-0000-0000CC0A0000}"/>
    <cellStyle name="_적격 _부산남천동병원내역서(남일)_입찰보고서" xfId="2516" xr:uid="{00000000-0005-0000-0000-0000CD0A0000}"/>
    <cellStyle name="_적격 _부산남천동병원내역서(남일)_입찰보고서 2" xfId="2517" xr:uid="{00000000-0005-0000-0000-0000CE0A0000}"/>
    <cellStyle name="_적격 _부산남천동병원내역서(남일)_입찰보고서_협조전" xfId="2518" xr:uid="{00000000-0005-0000-0000-0000CF0A0000}"/>
    <cellStyle name="_적격 _부산남천동병원내역서(남일)_입찰보고서_협조전 2" xfId="2519" xr:uid="{00000000-0005-0000-0000-0000D00A0000}"/>
    <cellStyle name="_적격 _부산남천동병원내역서(남일)_입찰보고서_협조전_협조전" xfId="2520" xr:uid="{00000000-0005-0000-0000-0000D10A0000}"/>
    <cellStyle name="_적격 _부산남천동병원내역서(남일)_입찰보고서_협조전_협조전 2" xfId="2521" xr:uid="{00000000-0005-0000-0000-0000D20A0000}"/>
    <cellStyle name="_적격 _부산남천동병원내역서(남일)_협조전" xfId="2522" xr:uid="{00000000-0005-0000-0000-0000D30A0000}"/>
    <cellStyle name="_적격 _부산남천동병원내역서(남일)_협조전 2" xfId="2523" xr:uid="{00000000-0005-0000-0000-0000D40A0000}"/>
    <cellStyle name="_적격 _부산남천동병원내역서(남일)_협조전_협조전" xfId="2524" xr:uid="{00000000-0005-0000-0000-0000D50A0000}"/>
    <cellStyle name="_적격 _부산남천동병원내역서(남일)_협조전_협조전 2" xfId="2525" xr:uid="{00000000-0005-0000-0000-0000D60A0000}"/>
    <cellStyle name="_적격 _월곳집행(본사)" xfId="2526" xr:uid="{00000000-0005-0000-0000-0000D70A0000}"/>
    <cellStyle name="_적격 _월곳집행(본사) 2" xfId="2527" xr:uid="{00000000-0005-0000-0000-0000D80A0000}"/>
    <cellStyle name="_적격 _월곳집행(본사)_공내역서(소방)" xfId="2528" xr:uid="{00000000-0005-0000-0000-0000D90A0000}"/>
    <cellStyle name="_적격 _월곳집행(본사)_공내역서(소방) 2" xfId="2529" xr:uid="{00000000-0005-0000-0000-0000DA0A0000}"/>
    <cellStyle name="_적격 _월곳집행(본사)_공내역서(소방final)" xfId="2530" xr:uid="{00000000-0005-0000-0000-0000DB0A0000}"/>
    <cellStyle name="_적격 _월곳집행(본사)_공내역서(소방final) 2" xfId="2531" xr:uid="{00000000-0005-0000-0000-0000DC0A0000}"/>
    <cellStyle name="_적격 _의정부" xfId="2532" xr:uid="{00000000-0005-0000-0000-0000DD0A0000}"/>
    <cellStyle name="_적격 _의정부 2" xfId="2533" xr:uid="{00000000-0005-0000-0000-0000DE0A0000}"/>
    <cellStyle name="_적격 _의정부_건국대학교공내역1028" xfId="2534" xr:uid="{00000000-0005-0000-0000-0000DF0A0000}"/>
    <cellStyle name="_적격 _의정부_건국대학교공내역1028 2" xfId="2535" xr:uid="{00000000-0005-0000-0000-0000E00A0000}"/>
    <cellStyle name="_적격 _의정부_건국대학교공내역1028_건국대학교공내역1028" xfId="2536" xr:uid="{00000000-0005-0000-0000-0000E10A0000}"/>
    <cellStyle name="_적격 _의정부_건국대학교공내역1028_건국대학교공내역1028 2" xfId="2537" xr:uid="{00000000-0005-0000-0000-0000E20A0000}"/>
    <cellStyle name="_적격 _의정부_건국대학교공내역1028_건국대학교공내역1028_협조전" xfId="2538" xr:uid="{00000000-0005-0000-0000-0000E30A0000}"/>
    <cellStyle name="_적격 _의정부_건국대학교공내역1028_건국대학교공내역1028_협조전 2" xfId="2539" xr:uid="{00000000-0005-0000-0000-0000E40A0000}"/>
    <cellStyle name="_적격 _의정부_건국대학교공내역1028_건국대학교공내역1028_협조전_협조전" xfId="2540" xr:uid="{00000000-0005-0000-0000-0000E50A0000}"/>
    <cellStyle name="_적격 _의정부_건국대학교공내역1028_건국대학교공내역1028_협조전_협조전 2" xfId="2541" xr:uid="{00000000-0005-0000-0000-0000E60A0000}"/>
    <cellStyle name="_적격 _의정부_건국대학교공내역1028_협조전" xfId="2542" xr:uid="{00000000-0005-0000-0000-0000E70A0000}"/>
    <cellStyle name="_적격 _의정부_건국대학교공내역1028_협조전 2" xfId="2543" xr:uid="{00000000-0005-0000-0000-0000E80A0000}"/>
    <cellStyle name="_적격 _의정부_건국대학교공내역1028_협조전_협조전" xfId="2544" xr:uid="{00000000-0005-0000-0000-0000E90A0000}"/>
    <cellStyle name="_적격 _의정부_건국대학교공내역1028_협조전_협조전 2" xfId="2545" xr:uid="{00000000-0005-0000-0000-0000EA0A0000}"/>
    <cellStyle name="_적격 _의정부_협조전" xfId="2546" xr:uid="{00000000-0005-0000-0000-0000EB0A0000}"/>
    <cellStyle name="_적격 _의정부_협조전 2" xfId="2547" xr:uid="{00000000-0005-0000-0000-0000EC0A0000}"/>
    <cellStyle name="_적격 _의정부_협조전_협조전" xfId="2548" xr:uid="{00000000-0005-0000-0000-0000ED0A0000}"/>
    <cellStyle name="_적격 _의정부_협조전_협조전 2" xfId="2549" xr:uid="{00000000-0005-0000-0000-0000EE0A0000}"/>
    <cellStyle name="_적격 _의정부성모병원" xfId="2550" xr:uid="{00000000-0005-0000-0000-0000EF0A0000}"/>
    <cellStyle name="_적격 _의정부성모병원 2" xfId="2551" xr:uid="{00000000-0005-0000-0000-0000F00A0000}"/>
    <cellStyle name="_적격 _의정부성모병원_건국대학교공내역1028" xfId="2552" xr:uid="{00000000-0005-0000-0000-0000F10A0000}"/>
    <cellStyle name="_적격 _의정부성모병원_건국대학교공내역1028 2" xfId="2553" xr:uid="{00000000-0005-0000-0000-0000F20A0000}"/>
    <cellStyle name="_적격 _의정부성모병원_건국대학교공내역1028_건국대학교공내역1028" xfId="2554" xr:uid="{00000000-0005-0000-0000-0000F30A0000}"/>
    <cellStyle name="_적격 _의정부성모병원_건국대학교공내역1028_건국대학교공내역1028 2" xfId="2555" xr:uid="{00000000-0005-0000-0000-0000F40A0000}"/>
    <cellStyle name="_적격 _의정부성모병원_건국대학교공내역1028_건국대학교공내역1028_협조전" xfId="2556" xr:uid="{00000000-0005-0000-0000-0000F50A0000}"/>
    <cellStyle name="_적격 _의정부성모병원_건국대학교공내역1028_건국대학교공내역1028_협조전 2" xfId="2557" xr:uid="{00000000-0005-0000-0000-0000F60A0000}"/>
    <cellStyle name="_적격 _의정부성모병원_건국대학교공내역1028_건국대학교공내역1028_협조전_협조전" xfId="2558" xr:uid="{00000000-0005-0000-0000-0000F70A0000}"/>
    <cellStyle name="_적격 _의정부성모병원_건국대학교공내역1028_건국대학교공내역1028_협조전_협조전 2" xfId="2559" xr:uid="{00000000-0005-0000-0000-0000F80A0000}"/>
    <cellStyle name="_적격 _의정부성모병원_건국대학교공내역1028_협조전" xfId="2560" xr:uid="{00000000-0005-0000-0000-0000F90A0000}"/>
    <cellStyle name="_적격 _의정부성모병원_건국대학교공내역1028_협조전 2" xfId="2561" xr:uid="{00000000-0005-0000-0000-0000FA0A0000}"/>
    <cellStyle name="_적격 _의정부성모병원_건국대학교공내역1028_협조전_협조전" xfId="2562" xr:uid="{00000000-0005-0000-0000-0000FB0A0000}"/>
    <cellStyle name="_적격 _의정부성모병원_건국대학교공내역1028_협조전_협조전 2" xfId="2563" xr:uid="{00000000-0005-0000-0000-0000FC0A0000}"/>
    <cellStyle name="_적격 _의정부성모병원_협조전" xfId="2564" xr:uid="{00000000-0005-0000-0000-0000FD0A0000}"/>
    <cellStyle name="_적격 _의정부성모병원_협조전 2" xfId="2565" xr:uid="{00000000-0005-0000-0000-0000FE0A0000}"/>
    <cellStyle name="_적격 _의정부성모병원_협조전_협조전" xfId="2566" xr:uid="{00000000-0005-0000-0000-0000FF0A0000}"/>
    <cellStyle name="_적격 _의정부성모병원_협조전_협조전 2" xfId="2567" xr:uid="{00000000-0005-0000-0000-0000000B0000}"/>
    <cellStyle name="_적격 _조0203(1000억이상)" xfId="2568" xr:uid="{00000000-0005-0000-0000-0000010B0000}"/>
    <cellStyle name="_적격 _집행갑지 " xfId="2569" xr:uid="{00000000-0005-0000-0000-0000020B0000}"/>
    <cellStyle name="_적격 _집행갑지 _조0203(1000억이상)" xfId="2570" xr:uid="{00000000-0005-0000-0000-0000030B0000}"/>
    <cellStyle name="_적격 _청주중원(부대입찰) 견적" xfId="2571" xr:uid="{00000000-0005-0000-0000-0000040B0000}"/>
    <cellStyle name="_적격 _청주중원(부대입찰) 견적 2" xfId="2572" xr:uid="{00000000-0005-0000-0000-0000050B0000}"/>
    <cellStyle name="_적격 _청주중원(부대입찰) 견적_건국대학교공내역1028" xfId="2573" xr:uid="{00000000-0005-0000-0000-0000060B0000}"/>
    <cellStyle name="_적격 _청주중원(부대입찰) 견적_건국대학교공내역1028 2" xfId="2574" xr:uid="{00000000-0005-0000-0000-0000070B0000}"/>
    <cellStyle name="_적격 _청주중원(부대입찰) 견적_건국대학교공내역1028_건국대학교공내역1028" xfId="2575" xr:uid="{00000000-0005-0000-0000-0000080B0000}"/>
    <cellStyle name="_적격 _청주중원(부대입찰) 견적_건국대학교공내역1028_건국대학교공내역1028 2" xfId="2576" xr:uid="{00000000-0005-0000-0000-0000090B0000}"/>
    <cellStyle name="_적격 _청주중원(부대입찰) 견적_건국대학교공내역1028_건국대학교공내역1028_협조전" xfId="2577" xr:uid="{00000000-0005-0000-0000-00000A0B0000}"/>
    <cellStyle name="_적격 _청주중원(부대입찰) 견적_건국대학교공내역1028_건국대학교공내역1028_협조전 2" xfId="2578" xr:uid="{00000000-0005-0000-0000-00000B0B0000}"/>
    <cellStyle name="_적격 _청주중원(부대입찰) 견적_건국대학교공내역1028_건국대학교공내역1028_협조전_협조전" xfId="2579" xr:uid="{00000000-0005-0000-0000-00000C0B0000}"/>
    <cellStyle name="_적격 _청주중원(부대입찰) 견적_건국대학교공내역1028_건국대학교공내역1028_협조전_협조전 2" xfId="2580" xr:uid="{00000000-0005-0000-0000-00000D0B0000}"/>
    <cellStyle name="_적격 _청주중원(부대입찰) 견적_건국대학교공내역1028_협조전" xfId="2581" xr:uid="{00000000-0005-0000-0000-00000E0B0000}"/>
    <cellStyle name="_적격 _청주중원(부대입찰) 견적_건국대학교공내역1028_협조전 2" xfId="2582" xr:uid="{00000000-0005-0000-0000-00000F0B0000}"/>
    <cellStyle name="_적격 _청주중원(부대입찰) 견적_건국대학교공내역1028_협조전_협조전" xfId="2583" xr:uid="{00000000-0005-0000-0000-0000100B0000}"/>
    <cellStyle name="_적격 _청주중원(부대입찰) 견적_건국대학교공내역1028_협조전_협조전 2" xfId="2584" xr:uid="{00000000-0005-0000-0000-0000110B0000}"/>
    <cellStyle name="_적격 _청주중원(부대입찰) 견적_협조전" xfId="2585" xr:uid="{00000000-0005-0000-0000-0000120B0000}"/>
    <cellStyle name="_적격 _청주중원(부대입찰) 견적_협조전 2" xfId="2586" xr:uid="{00000000-0005-0000-0000-0000130B0000}"/>
    <cellStyle name="_적격 _청주중원(부대입찰) 견적_협조전_협조전" xfId="2587" xr:uid="{00000000-0005-0000-0000-0000140B0000}"/>
    <cellStyle name="_적격 _청주중원(부대입찰) 견적_협조전_협조전 2" xfId="2588" xr:uid="{00000000-0005-0000-0000-0000150B0000}"/>
    <cellStyle name="_적격 _협조전" xfId="2589" xr:uid="{00000000-0005-0000-0000-0000160B0000}"/>
    <cellStyle name="_적격 _협조전 2" xfId="2590" xr:uid="{00000000-0005-0000-0000-0000170B0000}"/>
    <cellStyle name="_적격 _협조전_협조전" xfId="2591" xr:uid="{00000000-0005-0000-0000-0000180B0000}"/>
    <cellStyle name="_적격 _협조전_협조전 2" xfId="2592" xr:uid="{00000000-0005-0000-0000-0000190B0000}"/>
    <cellStyle name="_적격(화산) " xfId="2593" xr:uid="{00000000-0005-0000-0000-00001A0B0000}"/>
    <cellStyle name="_적격(화산)  2" xfId="2594" xr:uid="{00000000-0005-0000-0000-00001B0B0000}"/>
    <cellStyle name="_적격(화산) _(가)실행" xfId="16254" xr:uid="{00000000-0005-0000-0000-00001C0B0000}"/>
    <cellStyle name="_적격(화산) _(가)실행_(가)실행" xfId="16255" xr:uid="{00000000-0005-0000-0000-00001D0B0000}"/>
    <cellStyle name="_적격(화산) _(가)실행_(가)실행2" xfId="16256" xr:uid="{00000000-0005-0000-0000-00001E0B0000}"/>
    <cellStyle name="_적격(화산) _(가)실행_중동성황(가)실행" xfId="16257" xr:uid="{00000000-0005-0000-0000-00001F0B0000}"/>
    <cellStyle name="_적격(화산) _가실행(공설운동장)" xfId="16258" xr:uid="{00000000-0005-0000-0000-0000200B0000}"/>
    <cellStyle name="_적격(화산) _가실행(공설운동장)_(가)실행" xfId="16259" xr:uid="{00000000-0005-0000-0000-0000210B0000}"/>
    <cellStyle name="_적격(화산) _가실행(공설운동장)_(가)실행2" xfId="16260" xr:uid="{00000000-0005-0000-0000-0000220B0000}"/>
    <cellStyle name="_적격(화산) _가실행(공설운동장)_중동성황(가)실행" xfId="16261" xr:uid="{00000000-0005-0000-0000-0000230B0000}"/>
    <cellStyle name="_적격(화산) _가실행(송탄IC)" xfId="16262" xr:uid="{00000000-0005-0000-0000-0000240B0000}"/>
    <cellStyle name="_적격(화산) _가실행(송탄IC)_(가)실행" xfId="16263" xr:uid="{00000000-0005-0000-0000-0000250B0000}"/>
    <cellStyle name="_적격(화산) _가실행(송탄IC)_(가)실행2" xfId="16264" xr:uid="{00000000-0005-0000-0000-0000260B0000}"/>
    <cellStyle name="_적격(화산) _가실행(송탄IC)_중동성황(가)실행" xfId="16265" xr:uid="{00000000-0005-0000-0000-0000270B0000}"/>
    <cellStyle name="_적격(화산) _건국대병원" xfId="2595" xr:uid="{00000000-0005-0000-0000-0000280B0000}"/>
    <cellStyle name="_적격(화산) _건국대병원 2" xfId="2596" xr:uid="{00000000-0005-0000-0000-0000290B0000}"/>
    <cellStyle name="_적격(화산) _건국대병원_건국대학교공내역1028" xfId="2597" xr:uid="{00000000-0005-0000-0000-00002A0B0000}"/>
    <cellStyle name="_적격(화산) _건국대병원_건국대학교공내역1028 2" xfId="2598" xr:uid="{00000000-0005-0000-0000-00002B0B0000}"/>
    <cellStyle name="_적격(화산) _건국대병원_건국대학교공내역1028_건국대학교공내역1028" xfId="2599" xr:uid="{00000000-0005-0000-0000-00002C0B0000}"/>
    <cellStyle name="_적격(화산) _건국대병원_건국대학교공내역1028_건국대학교공내역1028 2" xfId="2600" xr:uid="{00000000-0005-0000-0000-00002D0B0000}"/>
    <cellStyle name="_적격(화산) _건국대병원_건국대학교공내역1028_건국대학교공내역1028_협조전" xfId="2601" xr:uid="{00000000-0005-0000-0000-00002E0B0000}"/>
    <cellStyle name="_적격(화산) _건국대병원_건국대학교공내역1028_건국대학교공내역1028_협조전 2" xfId="2602" xr:uid="{00000000-0005-0000-0000-00002F0B0000}"/>
    <cellStyle name="_적격(화산) _건국대병원_건국대학교공내역1028_건국대학교공내역1028_협조전_협조전" xfId="2603" xr:uid="{00000000-0005-0000-0000-0000300B0000}"/>
    <cellStyle name="_적격(화산) _건국대병원_건국대학교공내역1028_건국대학교공내역1028_협조전_협조전 2" xfId="2604" xr:uid="{00000000-0005-0000-0000-0000310B0000}"/>
    <cellStyle name="_적격(화산) _건국대병원_건국대학교공내역1028_협조전" xfId="2605" xr:uid="{00000000-0005-0000-0000-0000320B0000}"/>
    <cellStyle name="_적격(화산) _건국대병원_건국대학교공내역1028_협조전 2" xfId="2606" xr:uid="{00000000-0005-0000-0000-0000330B0000}"/>
    <cellStyle name="_적격(화산) _건국대병원_건국대학교공내역1028_협조전_협조전" xfId="2607" xr:uid="{00000000-0005-0000-0000-0000340B0000}"/>
    <cellStyle name="_적격(화산) _건국대병원_건국대학교공내역1028_협조전_협조전 2" xfId="2608" xr:uid="{00000000-0005-0000-0000-0000350B0000}"/>
    <cellStyle name="_적격(화산) _건국대병원_협조전" xfId="2609" xr:uid="{00000000-0005-0000-0000-0000360B0000}"/>
    <cellStyle name="_적격(화산) _건국대병원_협조전 2" xfId="2610" xr:uid="{00000000-0005-0000-0000-0000370B0000}"/>
    <cellStyle name="_적격(화산) _건국대병원_협조전_협조전" xfId="2611" xr:uid="{00000000-0005-0000-0000-0000380B0000}"/>
    <cellStyle name="_적격(화산) _건국대병원_협조전_협조전 2" xfId="2612" xr:uid="{00000000-0005-0000-0000-0000390B0000}"/>
    <cellStyle name="_적격(화산) _건국대학교공내역1028" xfId="2613" xr:uid="{00000000-0005-0000-0000-00003A0B0000}"/>
    <cellStyle name="_적격(화산) _건국대학교공내역1028 2" xfId="2614" xr:uid="{00000000-0005-0000-0000-00003B0B0000}"/>
    <cellStyle name="_적격(화산) _건국대학교공내역1028_협조전" xfId="2615" xr:uid="{00000000-0005-0000-0000-00003C0B0000}"/>
    <cellStyle name="_적격(화산) _건국대학교공내역1028_협조전 2" xfId="2616" xr:uid="{00000000-0005-0000-0000-00003D0B0000}"/>
    <cellStyle name="_적격(화산) _건국대학교공내역1028_협조전_협조전" xfId="2617" xr:uid="{00000000-0005-0000-0000-00003E0B0000}"/>
    <cellStyle name="_적격(화산) _건국대학교공내역1028_협조전_협조전 2" xfId="2618" xr:uid="{00000000-0005-0000-0000-00003F0B0000}"/>
    <cellStyle name="_적격(화산) _건국대학교병원 견적_미동" xfId="2619" xr:uid="{00000000-0005-0000-0000-0000400B0000}"/>
    <cellStyle name="_적격(화산) _건국대학교병원 견적_미동 2" xfId="2620" xr:uid="{00000000-0005-0000-0000-0000410B0000}"/>
    <cellStyle name="_적격(화산) _건국대학교병원 견적_미동_건국대학교공내역1028" xfId="2621" xr:uid="{00000000-0005-0000-0000-0000420B0000}"/>
    <cellStyle name="_적격(화산) _건국대학교병원 견적_미동_건국대학교공내역1028 2" xfId="2622" xr:uid="{00000000-0005-0000-0000-0000430B0000}"/>
    <cellStyle name="_적격(화산) _건국대학교병원 견적_미동_건국대학교공내역1028_건국대학교공내역1028" xfId="2623" xr:uid="{00000000-0005-0000-0000-0000440B0000}"/>
    <cellStyle name="_적격(화산) _건국대학교병원 견적_미동_건국대학교공내역1028_건국대학교공내역1028 2" xfId="2624" xr:uid="{00000000-0005-0000-0000-0000450B0000}"/>
    <cellStyle name="_적격(화산) _건국대학교병원 견적_미동_건국대학교공내역1028_건국대학교공내역1028_협조전" xfId="2625" xr:uid="{00000000-0005-0000-0000-0000460B0000}"/>
    <cellStyle name="_적격(화산) _건국대학교병원 견적_미동_건국대학교공내역1028_건국대학교공내역1028_협조전 2" xfId="2626" xr:uid="{00000000-0005-0000-0000-0000470B0000}"/>
    <cellStyle name="_적격(화산) _건국대학교병원 견적_미동_건국대학교공내역1028_건국대학교공내역1028_협조전_협조전" xfId="2627" xr:uid="{00000000-0005-0000-0000-0000480B0000}"/>
    <cellStyle name="_적격(화산) _건국대학교병원 견적_미동_건국대학교공내역1028_건국대학교공내역1028_협조전_협조전 2" xfId="2628" xr:uid="{00000000-0005-0000-0000-0000490B0000}"/>
    <cellStyle name="_적격(화산) _건국대학교병원 견적_미동_건국대학교공내역1028_협조전" xfId="2629" xr:uid="{00000000-0005-0000-0000-00004A0B0000}"/>
    <cellStyle name="_적격(화산) _건국대학교병원 견적_미동_건국대학교공내역1028_협조전 2" xfId="2630" xr:uid="{00000000-0005-0000-0000-00004B0B0000}"/>
    <cellStyle name="_적격(화산) _건국대학교병원 견적_미동_건국대학교공내역1028_협조전_협조전" xfId="2631" xr:uid="{00000000-0005-0000-0000-00004C0B0000}"/>
    <cellStyle name="_적격(화산) _건국대학교병원 견적_미동_건국대학교공내역1028_협조전_협조전 2" xfId="2632" xr:uid="{00000000-0005-0000-0000-00004D0B0000}"/>
    <cellStyle name="_적격(화산) _건국대학교병원 견적_미동_협조전" xfId="2633" xr:uid="{00000000-0005-0000-0000-00004E0B0000}"/>
    <cellStyle name="_적격(화산) _건국대학교병원 견적_미동_협조전 2" xfId="2634" xr:uid="{00000000-0005-0000-0000-00004F0B0000}"/>
    <cellStyle name="_적격(화산) _건국대학교병원 견적_미동_협조전_협조전" xfId="2635" xr:uid="{00000000-0005-0000-0000-0000500B0000}"/>
    <cellStyle name="_적격(화산) _건국대학교병원 견적_미동_협조전_협조전 2" xfId="2636" xr:uid="{00000000-0005-0000-0000-0000510B0000}"/>
    <cellStyle name="_적격(화산) _건국대학교부대입찰업체견적서" xfId="2637" xr:uid="{00000000-0005-0000-0000-0000520B0000}"/>
    <cellStyle name="_적격(화산) _건국대학교부대입찰업체견적서 2" xfId="2638" xr:uid="{00000000-0005-0000-0000-0000530B0000}"/>
    <cellStyle name="_적격(화산) _건국대학교부대입찰업체견적서_건국대학교공내역1028" xfId="2639" xr:uid="{00000000-0005-0000-0000-0000540B0000}"/>
    <cellStyle name="_적격(화산) _건국대학교부대입찰업체견적서_건국대학교공내역1028 2" xfId="2640" xr:uid="{00000000-0005-0000-0000-0000550B0000}"/>
    <cellStyle name="_적격(화산) _건국대학교부대입찰업체견적서_건국대학교공내역1028_건국대학교공내역1028" xfId="2641" xr:uid="{00000000-0005-0000-0000-0000560B0000}"/>
    <cellStyle name="_적격(화산) _건국대학교부대입찰업체견적서_건국대학교공내역1028_건국대학교공내역1028 2" xfId="2642" xr:uid="{00000000-0005-0000-0000-0000570B0000}"/>
    <cellStyle name="_적격(화산) _건국대학교부대입찰업체견적서_건국대학교공내역1028_건국대학교공내역1028_협조전" xfId="2643" xr:uid="{00000000-0005-0000-0000-0000580B0000}"/>
    <cellStyle name="_적격(화산) _건국대학교부대입찰업체견적서_건국대학교공내역1028_건국대학교공내역1028_협조전 2" xfId="2644" xr:uid="{00000000-0005-0000-0000-0000590B0000}"/>
    <cellStyle name="_적격(화산) _건국대학교부대입찰업체견적서_건국대학교공내역1028_건국대학교공내역1028_협조전_협조전" xfId="2645" xr:uid="{00000000-0005-0000-0000-00005A0B0000}"/>
    <cellStyle name="_적격(화산) _건국대학교부대입찰업체견적서_건국대학교공내역1028_건국대학교공내역1028_협조전_협조전 2" xfId="2646" xr:uid="{00000000-0005-0000-0000-00005B0B0000}"/>
    <cellStyle name="_적격(화산) _건국대학교부대입찰업체견적서_건국대학교공내역1028_협조전" xfId="2647" xr:uid="{00000000-0005-0000-0000-00005C0B0000}"/>
    <cellStyle name="_적격(화산) _건국대학교부대입찰업체견적서_건국대학교공내역1028_협조전 2" xfId="2648" xr:uid="{00000000-0005-0000-0000-00005D0B0000}"/>
    <cellStyle name="_적격(화산) _건국대학교부대입찰업체견적서_건국대학교공내역1028_협조전_협조전" xfId="2649" xr:uid="{00000000-0005-0000-0000-00005E0B0000}"/>
    <cellStyle name="_적격(화산) _건국대학교부대입찰업체견적서_건국대학교공내역1028_협조전_협조전 2" xfId="2650" xr:uid="{00000000-0005-0000-0000-00005F0B0000}"/>
    <cellStyle name="_적격(화산) _건국대학교부대입찰업체견적서_협조전" xfId="2651" xr:uid="{00000000-0005-0000-0000-0000600B0000}"/>
    <cellStyle name="_적격(화산) _건국대학교부대입찰업체견적서_협조전 2" xfId="2652" xr:uid="{00000000-0005-0000-0000-0000610B0000}"/>
    <cellStyle name="_적격(화산) _건국대학교부대입찰업체견적서_협조전_협조전" xfId="2653" xr:uid="{00000000-0005-0000-0000-0000620B0000}"/>
    <cellStyle name="_적격(화산) _건국대학교부대입찰업체견적서_협조전_협조전 2" xfId="2654" xr:uid="{00000000-0005-0000-0000-0000630B0000}"/>
    <cellStyle name="_적격(화산) _내역(02.04.16)선우대교" xfId="2655" xr:uid="{00000000-0005-0000-0000-0000640B0000}"/>
    <cellStyle name="_적격(화산) _내역(02.04.16)선우대교_☆남악2-3공구가실행" xfId="2656" xr:uid="{00000000-0005-0000-0000-0000650B0000}"/>
    <cellStyle name="_적격(화산) _내역(02.04.17)선우대교" xfId="2657" xr:uid="{00000000-0005-0000-0000-0000660B0000}"/>
    <cellStyle name="_적격(화산) _내역(02.04.17)선우대교_☆남악2-3공구가실행" xfId="2658" xr:uid="{00000000-0005-0000-0000-0000670B0000}"/>
    <cellStyle name="_적격(화산) _내역(02.04.17)추모공원" xfId="2659" xr:uid="{00000000-0005-0000-0000-0000680B0000}"/>
    <cellStyle name="_적격(화산) _내역(02.04.17)추모공원_☆남악2-3공구가실행" xfId="2660" xr:uid="{00000000-0005-0000-0000-0000690B0000}"/>
    <cellStyle name="_적격(화산) _내역(02.09.30)신령-영천(2공구)" xfId="2661" xr:uid="{00000000-0005-0000-0000-00006A0B0000}"/>
    <cellStyle name="_적격(화산) _내역(02.09.30)신령-영천(2공구)_☆남악2-3공구가실행" xfId="2662" xr:uid="{00000000-0005-0000-0000-00006B0B0000}"/>
    <cellStyle name="_적격(화산) _내역(02.10.14)신령-영천(2공구)-0.3312" xfId="2663" xr:uid="{00000000-0005-0000-0000-00006C0B0000}"/>
    <cellStyle name="_적격(화산) _내역(02.10.14)신령-영천(2공구)-0.3312_☆남악2-3공구가실행" xfId="2664" xr:uid="{00000000-0005-0000-0000-00006D0B0000}"/>
    <cellStyle name="_적격(화산) _내역(02.11.07)강변북로(청담대교-성수대교)확장공사" xfId="2665" xr:uid="{00000000-0005-0000-0000-00006E0B0000}"/>
    <cellStyle name="_적격(화산) _내역(02.11.07)강변북로(청담대교-성수대교)확장공사_☆남악2-3공구가실행" xfId="2666" xr:uid="{00000000-0005-0000-0000-00006F0B0000}"/>
    <cellStyle name="_적격(화산) _내역(02.11.27)무안~광주간 건설공사(제2공구)투찰" xfId="2667" xr:uid="{00000000-0005-0000-0000-0000700B0000}"/>
    <cellStyle name="_적격(화산) _내역(02.11.27)무안~광주간 건설공사(제2공구)투찰_☆남악2-3공구가실행" xfId="2668" xr:uid="{00000000-0005-0000-0000-0000710B0000}"/>
    <cellStyle name="_적격(화산) _대안투찰내역(0221)" xfId="2669" xr:uid="{00000000-0005-0000-0000-0000720B0000}"/>
    <cellStyle name="_적격(화산) _대안투찰내역(0223)" xfId="2670" xr:uid="{00000000-0005-0000-0000-0000730B0000}"/>
    <cellStyle name="_적격(화산) _대안투찰내역(확정본0226)" xfId="2671" xr:uid="{00000000-0005-0000-0000-0000740B0000}"/>
    <cellStyle name="_적격(화산) _도급실행0211" xfId="2672" xr:uid="{00000000-0005-0000-0000-0000750B0000}"/>
    <cellStyle name="_적격(화산) _부산남천동병원내역서(남일)" xfId="2673" xr:uid="{00000000-0005-0000-0000-0000760B0000}"/>
    <cellStyle name="_적격(화산) _부산남천동병원내역서(남일) 2" xfId="2674" xr:uid="{00000000-0005-0000-0000-0000770B0000}"/>
    <cellStyle name="_적격(화산) _부산남천동병원내역서(남일)_2도급내역(계약분)" xfId="2675" xr:uid="{00000000-0005-0000-0000-0000780B0000}"/>
    <cellStyle name="_적격(화산) _부산남천동병원내역서(남일)_2도급내역(계약분) 2" xfId="2676" xr:uid="{00000000-0005-0000-0000-0000790B0000}"/>
    <cellStyle name="_적격(화산) _부산남천동병원내역서(남일)_2도급내역(계약분)_협조전" xfId="2677" xr:uid="{00000000-0005-0000-0000-00007A0B0000}"/>
    <cellStyle name="_적격(화산) _부산남천동병원내역서(남일)_2도급내역(계약분)_협조전 2" xfId="2678" xr:uid="{00000000-0005-0000-0000-00007B0B0000}"/>
    <cellStyle name="_적격(화산) _부산남천동병원내역서(남일)_2도급내역(계약분)_협조전_협조전" xfId="2679" xr:uid="{00000000-0005-0000-0000-00007C0B0000}"/>
    <cellStyle name="_적격(화산) _부산남천동병원내역서(남일)_2도급내역(계약분)_협조전_협조전 2" xfId="2680" xr:uid="{00000000-0005-0000-0000-00007D0B0000}"/>
    <cellStyle name="_적격(화산) _부산남천동병원내역서(남일)_공정표" xfId="2681" xr:uid="{00000000-0005-0000-0000-00007E0B0000}"/>
    <cellStyle name="_적격(화산) _부산남천동병원내역서(남일)_공정표 2" xfId="2682" xr:uid="{00000000-0005-0000-0000-00007F0B0000}"/>
    <cellStyle name="_적격(화산) _부산남천동병원내역서(남일)_공정표_협조전" xfId="2683" xr:uid="{00000000-0005-0000-0000-0000800B0000}"/>
    <cellStyle name="_적격(화산) _부산남천동병원내역서(남일)_공정표_협조전 2" xfId="2684" xr:uid="{00000000-0005-0000-0000-0000810B0000}"/>
    <cellStyle name="_적격(화산) _부산남천동병원내역서(남일)_공정표_협조전_협조전" xfId="2685" xr:uid="{00000000-0005-0000-0000-0000820B0000}"/>
    <cellStyle name="_적격(화산) _부산남천동병원내역서(남일)_공정표_협조전_협조전 2" xfId="2686" xr:uid="{00000000-0005-0000-0000-0000830B0000}"/>
    <cellStyle name="_적격(화산) _부산남천동병원내역서(남일)_세종회관입찰보고서" xfId="2687" xr:uid="{00000000-0005-0000-0000-0000840B0000}"/>
    <cellStyle name="_적격(화산) _부산남천동병원내역서(남일)_세종회관입찰보고서 2" xfId="2688" xr:uid="{00000000-0005-0000-0000-0000850B0000}"/>
    <cellStyle name="_적격(화산) _부산남천동병원내역서(남일)_세종회관입찰보고서_협조전" xfId="2689" xr:uid="{00000000-0005-0000-0000-0000860B0000}"/>
    <cellStyle name="_적격(화산) _부산남천동병원내역서(남일)_세종회관입찰보고서_협조전 2" xfId="2690" xr:uid="{00000000-0005-0000-0000-0000870B0000}"/>
    <cellStyle name="_적격(화산) _부산남천동병원내역서(남일)_세종회관입찰보고서_협조전_협조전" xfId="2691" xr:uid="{00000000-0005-0000-0000-0000880B0000}"/>
    <cellStyle name="_적격(화산) _부산남천동병원내역서(남일)_세종회관입찰보고서_협조전_협조전 2" xfId="2692" xr:uid="{00000000-0005-0000-0000-0000890B0000}"/>
    <cellStyle name="_적격(화산) _부산남천동병원내역서(남일)_입찰보고서" xfId="2693" xr:uid="{00000000-0005-0000-0000-00008A0B0000}"/>
    <cellStyle name="_적격(화산) _부산남천동병원내역서(남일)_입찰보고서 2" xfId="2694" xr:uid="{00000000-0005-0000-0000-00008B0B0000}"/>
    <cellStyle name="_적격(화산) _부산남천동병원내역서(남일)_입찰보고서_협조전" xfId="2695" xr:uid="{00000000-0005-0000-0000-00008C0B0000}"/>
    <cellStyle name="_적격(화산) _부산남천동병원내역서(남일)_입찰보고서_협조전 2" xfId="2696" xr:uid="{00000000-0005-0000-0000-00008D0B0000}"/>
    <cellStyle name="_적격(화산) _부산남천동병원내역서(남일)_입찰보고서_협조전_협조전" xfId="2697" xr:uid="{00000000-0005-0000-0000-00008E0B0000}"/>
    <cellStyle name="_적격(화산) _부산남천동병원내역서(남일)_입찰보고서_협조전_협조전 2" xfId="2698" xr:uid="{00000000-0005-0000-0000-00008F0B0000}"/>
    <cellStyle name="_적격(화산) _부산남천동병원내역서(남일)_협조전" xfId="2699" xr:uid="{00000000-0005-0000-0000-0000900B0000}"/>
    <cellStyle name="_적격(화산) _부산남천동병원내역서(남일)_협조전 2" xfId="2700" xr:uid="{00000000-0005-0000-0000-0000910B0000}"/>
    <cellStyle name="_적격(화산) _부산남천동병원내역서(남일)_협조전_협조전" xfId="2701" xr:uid="{00000000-0005-0000-0000-0000920B0000}"/>
    <cellStyle name="_적격(화산) _부산남천동병원내역서(남일)_협조전_협조전 2" xfId="2702" xr:uid="{00000000-0005-0000-0000-0000930B0000}"/>
    <cellStyle name="_적격(화산) _월곳집행(본사)" xfId="2703" xr:uid="{00000000-0005-0000-0000-0000940B0000}"/>
    <cellStyle name="_적격(화산) _월곳집행(본사) 2" xfId="2704" xr:uid="{00000000-0005-0000-0000-0000950B0000}"/>
    <cellStyle name="_적격(화산) _월곳집행(본사)_공내역서(소방)" xfId="2705" xr:uid="{00000000-0005-0000-0000-0000960B0000}"/>
    <cellStyle name="_적격(화산) _월곳집행(본사)_공내역서(소방) 2" xfId="2706" xr:uid="{00000000-0005-0000-0000-0000970B0000}"/>
    <cellStyle name="_적격(화산) _월곳집행(본사)_공내역서(소방final)" xfId="2707" xr:uid="{00000000-0005-0000-0000-0000980B0000}"/>
    <cellStyle name="_적격(화산) _월곳집행(본사)_공내역서(소방final) 2" xfId="2708" xr:uid="{00000000-0005-0000-0000-0000990B0000}"/>
    <cellStyle name="_적격(화산) _의정부" xfId="2709" xr:uid="{00000000-0005-0000-0000-00009A0B0000}"/>
    <cellStyle name="_적격(화산) _의정부 2" xfId="2710" xr:uid="{00000000-0005-0000-0000-00009B0B0000}"/>
    <cellStyle name="_적격(화산) _의정부_건국대학교공내역1028" xfId="2711" xr:uid="{00000000-0005-0000-0000-00009C0B0000}"/>
    <cellStyle name="_적격(화산) _의정부_건국대학교공내역1028 2" xfId="2712" xr:uid="{00000000-0005-0000-0000-00009D0B0000}"/>
    <cellStyle name="_적격(화산) _의정부_건국대학교공내역1028_건국대학교공내역1028" xfId="2713" xr:uid="{00000000-0005-0000-0000-00009E0B0000}"/>
    <cellStyle name="_적격(화산) _의정부_건국대학교공내역1028_건국대학교공내역1028 2" xfId="2714" xr:uid="{00000000-0005-0000-0000-00009F0B0000}"/>
    <cellStyle name="_적격(화산) _의정부_건국대학교공내역1028_건국대학교공내역1028_협조전" xfId="2715" xr:uid="{00000000-0005-0000-0000-0000A00B0000}"/>
    <cellStyle name="_적격(화산) _의정부_건국대학교공내역1028_건국대학교공내역1028_협조전 2" xfId="2716" xr:uid="{00000000-0005-0000-0000-0000A10B0000}"/>
    <cellStyle name="_적격(화산) _의정부_건국대학교공내역1028_건국대학교공내역1028_협조전_협조전" xfId="2717" xr:uid="{00000000-0005-0000-0000-0000A20B0000}"/>
    <cellStyle name="_적격(화산) _의정부_건국대학교공내역1028_건국대학교공내역1028_협조전_협조전 2" xfId="2718" xr:uid="{00000000-0005-0000-0000-0000A30B0000}"/>
    <cellStyle name="_적격(화산) _의정부_건국대학교공내역1028_협조전" xfId="2719" xr:uid="{00000000-0005-0000-0000-0000A40B0000}"/>
    <cellStyle name="_적격(화산) _의정부_건국대학교공내역1028_협조전 2" xfId="2720" xr:uid="{00000000-0005-0000-0000-0000A50B0000}"/>
    <cellStyle name="_적격(화산) _의정부_건국대학교공내역1028_협조전_협조전" xfId="2721" xr:uid="{00000000-0005-0000-0000-0000A60B0000}"/>
    <cellStyle name="_적격(화산) _의정부_건국대학교공내역1028_협조전_협조전 2" xfId="2722" xr:uid="{00000000-0005-0000-0000-0000A70B0000}"/>
    <cellStyle name="_적격(화산) _의정부_협조전" xfId="2723" xr:uid="{00000000-0005-0000-0000-0000A80B0000}"/>
    <cellStyle name="_적격(화산) _의정부_협조전 2" xfId="2724" xr:uid="{00000000-0005-0000-0000-0000A90B0000}"/>
    <cellStyle name="_적격(화산) _의정부_협조전_협조전" xfId="2725" xr:uid="{00000000-0005-0000-0000-0000AA0B0000}"/>
    <cellStyle name="_적격(화산) _의정부_협조전_협조전 2" xfId="2726" xr:uid="{00000000-0005-0000-0000-0000AB0B0000}"/>
    <cellStyle name="_적격(화산) _의정부성모병원" xfId="2727" xr:uid="{00000000-0005-0000-0000-0000AC0B0000}"/>
    <cellStyle name="_적격(화산) _의정부성모병원 2" xfId="2728" xr:uid="{00000000-0005-0000-0000-0000AD0B0000}"/>
    <cellStyle name="_적격(화산) _의정부성모병원_건국대학교공내역1028" xfId="2729" xr:uid="{00000000-0005-0000-0000-0000AE0B0000}"/>
    <cellStyle name="_적격(화산) _의정부성모병원_건국대학교공내역1028 2" xfId="2730" xr:uid="{00000000-0005-0000-0000-0000AF0B0000}"/>
    <cellStyle name="_적격(화산) _의정부성모병원_건국대학교공내역1028_건국대학교공내역1028" xfId="2731" xr:uid="{00000000-0005-0000-0000-0000B00B0000}"/>
    <cellStyle name="_적격(화산) _의정부성모병원_건국대학교공내역1028_건국대학교공내역1028 2" xfId="2732" xr:uid="{00000000-0005-0000-0000-0000B10B0000}"/>
    <cellStyle name="_적격(화산) _의정부성모병원_건국대학교공내역1028_건국대학교공내역1028_협조전" xfId="2733" xr:uid="{00000000-0005-0000-0000-0000B20B0000}"/>
    <cellStyle name="_적격(화산) _의정부성모병원_건국대학교공내역1028_건국대학교공내역1028_협조전 2" xfId="2734" xr:uid="{00000000-0005-0000-0000-0000B30B0000}"/>
    <cellStyle name="_적격(화산) _의정부성모병원_건국대학교공내역1028_건국대학교공내역1028_협조전_협조전" xfId="2735" xr:uid="{00000000-0005-0000-0000-0000B40B0000}"/>
    <cellStyle name="_적격(화산) _의정부성모병원_건국대학교공내역1028_건국대학교공내역1028_협조전_협조전 2" xfId="2736" xr:uid="{00000000-0005-0000-0000-0000B50B0000}"/>
    <cellStyle name="_적격(화산) _의정부성모병원_건국대학교공내역1028_협조전" xfId="2737" xr:uid="{00000000-0005-0000-0000-0000B60B0000}"/>
    <cellStyle name="_적격(화산) _의정부성모병원_건국대학교공내역1028_협조전 2" xfId="2738" xr:uid="{00000000-0005-0000-0000-0000B70B0000}"/>
    <cellStyle name="_적격(화산) _의정부성모병원_건국대학교공내역1028_협조전_협조전" xfId="2739" xr:uid="{00000000-0005-0000-0000-0000B80B0000}"/>
    <cellStyle name="_적격(화산) _의정부성모병원_건국대학교공내역1028_협조전_협조전 2" xfId="2740" xr:uid="{00000000-0005-0000-0000-0000B90B0000}"/>
    <cellStyle name="_적격(화산) _의정부성모병원_협조전" xfId="2741" xr:uid="{00000000-0005-0000-0000-0000BA0B0000}"/>
    <cellStyle name="_적격(화산) _의정부성모병원_협조전 2" xfId="2742" xr:uid="{00000000-0005-0000-0000-0000BB0B0000}"/>
    <cellStyle name="_적격(화산) _의정부성모병원_협조전_협조전" xfId="2743" xr:uid="{00000000-0005-0000-0000-0000BC0B0000}"/>
    <cellStyle name="_적격(화산) _의정부성모병원_협조전_협조전 2" xfId="2744" xr:uid="{00000000-0005-0000-0000-0000BD0B0000}"/>
    <cellStyle name="_적격(화산) _조0203(1000억이상)" xfId="2745" xr:uid="{00000000-0005-0000-0000-0000BE0B0000}"/>
    <cellStyle name="_적격(화산) _중동성황(가)실행" xfId="16266" xr:uid="{00000000-0005-0000-0000-0000BF0B0000}"/>
    <cellStyle name="_적격(화산) _중동성황(가)실행_(가)실행" xfId="16267" xr:uid="{00000000-0005-0000-0000-0000C00B0000}"/>
    <cellStyle name="_적격(화산) _중동성황(가)실행_(가)실행2" xfId="16268" xr:uid="{00000000-0005-0000-0000-0000C10B0000}"/>
    <cellStyle name="_적격(화산) _중동성황(가)실행_중동성황(가)실행" xfId="16269" xr:uid="{00000000-0005-0000-0000-0000C20B0000}"/>
    <cellStyle name="_적격(화산) _중동-성황투찰(new)(발주자변경)" xfId="16270" xr:uid="{00000000-0005-0000-0000-0000C30B0000}"/>
    <cellStyle name="_적격(화산) _중동-성황투찰(new)(발주자변경)_(가)실행" xfId="16271" xr:uid="{00000000-0005-0000-0000-0000C40B0000}"/>
    <cellStyle name="_적격(화산) _중동-성황투찰(new)(발주자변경)_(가)실행2" xfId="16272" xr:uid="{00000000-0005-0000-0000-0000C50B0000}"/>
    <cellStyle name="_적격(화산) _중동-성황투찰(new)(발주자변경)_중동성황(가)실행" xfId="16273" xr:uid="{00000000-0005-0000-0000-0000C60B0000}"/>
    <cellStyle name="_적격(화산) _청주중원(부대입찰) 견적" xfId="2746" xr:uid="{00000000-0005-0000-0000-0000C70B0000}"/>
    <cellStyle name="_적격(화산) _청주중원(부대입찰) 견적 2" xfId="2747" xr:uid="{00000000-0005-0000-0000-0000C80B0000}"/>
    <cellStyle name="_적격(화산) _청주중원(부대입찰) 견적_건국대학교공내역1028" xfId="2748" xr:uid="{00000000-0005-0000-0000-0000C90B0000}"/>
    <cellStyle name="_적격(화산) _청주중원(부대입찰) 견적_건국대학교공내역1028 2" xfId="2749" xr:uid="{00000000-0005-0000-0000-0000CA0B0000}"/>
    <cellStyle name="_적격(화산) _청주중원(부대입찰) 견적_건국대학교공내역1028_건국대학교공내역1028" xfId="2750" xr:uid="{00000000-0005-0000-0000-0000CB0B0000}"/>
    <cellStyle name="_적격(화산) _청주중원(부대입찰) 견적_건국대학교공내역1028_건국대학교공내역1028 2" xfId="2751" xr:uid="{00000000-0005-0000-0000-0000CC0B0000}"/>
    <cellStyle name="_적격(화산) _청주중원(부대입찰) 견적_건국대학교공내역1028_건국대학교공내역1028_협조전" xfId="2752" xr:uid="{00000000-0005-0000-0000-0000CD0B0000}"/>
    <cellStyle name="_적격(화산) _청주중원(부대입찰) 견적_건국대학교공내역1028_건국대학교공내역1028_협조전 2" xfId="2753" xr:uid="{00000000-0005-0000-0000-0000CE0B0000}"/>
    <cellStyle name="_적격(화산) _청주중원(부대입찰) 견적_건국대학교공내역1028_건국대학교공내역1028_협조전_협조전" xfId="2754" xr:uid="{00000000-0005-0000-0000-0000CF0B0000}"/>
    <cellStyle name="_적격(화산) _청주중원(부대입찰) 견적_건국대학교공내역1028_건국대학교공내역1028_협조전_협조전 2" xfId="2755" xr:uid="{00000000-0005-0000-0000-0000D00B0000}"/>
    <cellStyle name="_적격(화산) _청주중원(부대입찰) 견적_건국대학교공내역1028_협조전" xfId="2756" xr:uid="{00000000-0005-0000-0000-0000D10B0000}"/>
    <cellStyle name="_적격(화산) _청주중원(부대입찰) 견적_건국대학교공내역1028_협조전 2" xfId="2757" xr:uid="{00000000-0005-0000-0000-0000D20B0000}"/>
    <cellStyle name="_적격(화산) _청주중원(부대입찰) 견적_건국대학교공내역1028_협조전_협조전" xfId="2758" xr:uid="{00000000-0005-0000-0000-0000D30B0000}"/>
    <cellStyle name="_적격(화산) _청주중원(부대입찰) 견적_건국대학교공내역1028_협조전_협조전 2" xfId="2759" xr:uid="{00000000-0005-0000-0000-0000D40B0000}"/>
    <cellStyle name="_적격(화산) _청주중원(부대입찰) 견적_협조전" xfId="2760" xr:uid="{00000000-0005-0000-0000-0000D50B0000}"/>
    <cellStyle name="_적격(화산) _청주중원(부대입찰) 견적_협조전 2" xfId="2761" xr:uid="{00000000-0005-0000-0000-0000D60B0000}"/>
    <cellStyle name="_적격(화산) _청주중원(부대입찰) 견적_협조전_협조전" xfId="2762" xr:uid="{00000000-0005-0000-0000-0000D70B0000}"/>
    <cellStyle name="_적격(화산) _청주중원(부대입찰) 견적_협조전_협조전 2" xfId="2763" xr:uid="{00000000-0005-0000-0000-0000D80B0000}"/>
    <cellStyle name="_적격(화산) _토공및구조물" xfId="16274" xr:uid="{00000000-0005-0000-0000-0000D90B0000}"/>
    <cellStyle name="_적격(화산) _토공및구조물_(가)실행" xfId="16275" xr:uid="{00000000-0005-0000-0000-0000DA0B0000}"/>
    <cellStyle name="_적격(화산) _토공및구조물_(가)실행2" xfId="16276" xr:uid="{00000000-0005-0000-0000-0000DB0B0000}"/>
    <cellStyle name="_적격(화산) _토공및구조물_중동성황(가)실행" xfId="16277" xr:uid="{00000000-0005-0000-0000-0000DC0B0000}"/>
    <cellStyle name="_적격(화산) _토공및터널발주" xfId="16278" xr:uid="{00000000-0005-0000-0000-0000DD0B0000}"/>
    <cellStyle name="_적격(화산) _토공및터널발주분내역서1" xfId="16279" xr:uid="{00000000-0005-0000-0000-0000DE0B0000}"/>
    <cellStyle name="_적격(화산) _협조전" xfId="2764" xr:uid="{00000000-0005-0000-0000-0000DF0B0000}"/>
    <cellStyle name="_적격(화산) _협조전 2" xfId="2765" xr:uid="{00000000-0005-0000-0000-0000E00B0000}"/>
    <cellStyle name="_적격(화산) _협조전_협조전" xfId="2766" xr:uid="{00000000-0005-0000-0000-0000E10B0000}"/>
    <cellStyle name="_적격(화산) _협조전_협조전 2" xfId="2767" xr:uid="{00000000-0005-0000-0000-0000E20B0000}"/>
    <cellStyle name="_전기공사비 검토서 _ LG텔레콤상암DMC사옥신축공사" xfId="2768" xr:uid="{00000000-0005-0000-0000-0000E30B0000}"/>
    <cellStyle name="_전기공사비 검토서 _ LG텔레콤상암DMC사옥신축공사 2" xfId="2769" xr:uid="{00000000-0005-0000-0000-0000E40B0000}"/>
    <cellStyle name="_전기공사실정보고내역" xfId="16280" xr:uid="{00000000-0005-0000-0000-0000E50B0000}"/>
    <cellStyle name="_전기내역" xfId="2770" xr:uid="{00000000-0005-0000-0000-0000E60B0000}"/>
    <cellStyle name="_전기내역 2" xfId="2771" xr:uid="{00000000-0005-0000-0000-0000E70B0000}"/>
    <cellStyle name="_전기내역서CC-NEW" xfId="16281" xr:uid="{00000000-0005-0000-0000-0000E80B0000}"/>
    <cellStyle name="_전기실정보고건" xfId="16282" xr:uid="{00000000-0005-0000-0000-0000E90B0000}"/>
    <cellStyle name="_전력1공구설계변경" xfId="2772" xr:uid="{00000000-0005-0000-0000-0000EA0B0000}"/>
    <cellStyle name="_전력1공구설계변경 2" xfId="2773" xr:uid="{00000000-0005-0000-0000-0000EB0B0000}"/>
    <cellStyle name="_전력간선" xfId="2774" xr:uid="{00000000-0005-0000-0000-0000EC0B0000}"/>
    <cellStyle name="_전력간선 2" xfId="2775" xr:uid="{00000000-0005-0000-0000-0000ED0B0000}"/>
    <cellStyle name="_전력간선 2공구" xfId="2776" xr:uid="{00000000-0005-0000-0000-0000EE0B0000}"/>
    <cellStyle name="_전력간선 2공구 2" xfId="2777" xr:uid="{00000000-0005-0000-0000-0000EF0B0000}"/>
    <cellStyle name="_전력제어 설비공사" xfId="2778" xr:uid="{00000000-0005-0000-0000-0000F00B0000}"/>
    <cellStyle name="_전력제어 설비공사 2" xfId="2779" xr:uid="{00000000-0005-0000-0000-0000F10B0000}"/>
    <cellStyle name="_전체설계변경" xfId="2780" xr:uid="{00000000-0005-0000-0000-0000F20B0000}"/>
    <cellStyle name="_전체설계변경 2" xfId="2781" xr:uid="{00000000-0005-0000-0000-0000F30B0000}"/>
    <cellStyle name="_전체실행(현장)(자재비포함)" xfId="16283" xr:uid="{00000000-0005-0000-0000-0000F40B0000}"/>
    <cellStyle name="_정산-1,2층일반전기" xfId="2782" xr:uid="{00000000-0005-0000-0000-0000F50B0000}"/>
    <cellStyle name="_정산-1,2층일반전기 2" xfId="2783" xr:uid="{00000000-0005-0000-0000-0000F60B0000}"/>
    <cellStyle name="_정산내역서(음향)" xfId="2784" xr:uid="{00000000-0005-0000-0000-0000F70B0000}"/>
    <cellStyle name="_정산내역서(음향) 2" xfId="2785" xr:uid="{00000000-0005-0000-0000-0000F80B0000}"/>
    <cellStyle name="_정산세부내역(건설사정)" xfId="2786" xr:uid="{00000000-0005-0000-0000-0000F90B0000}"/>
    <cellStyle name="_정산세부내역(건설사정) 2" xfId="2787" xr:uid="{00000000-0005-0000-0000-0000FA0B0000}"/>
    <cellStyle name="_정산-약전" xfId="2788" xr:uid="{00000000-0005-0000-0000-0000FB0B0000}"/>
    <cellStyle name="_정산-약전 2" xfId="2789" xr:uid="{00000000-0005-0000-0000-0000FC0B0000}"/>
    <cellStyle name="_정산일반전기공사" xfId="2790" xr:uid="{00000000-0005-0000-0000-0000FD0B0000}"/>
    <cellStyle name="_정산일반전기공사 2" xfId="2791" xr:uid="{00000000-0005-0000-0000-0000FE0B0000}"/>
    <cellStyle name="_정수장 및 배수지 통신장치(자동제어설비) 개선공사" xfId="2792" xr:uid="{00000000-0005-0000-0000-0000FF0B0000}"/>
    <cellStyle name="_정수장 및 배수지 통신장치(자동제어설비) 개선공사 2" xfId="2793" xr:uid="{00000000-0005-0000-0000-0000000C0000}"/>
    <cellStyle name="_정수장 및 배수지 통신장치(자동제어설비) 개선공사_1" xfId="2794" xr:uid="{00000000-0005-0000-0000-0000010C0000}"/>
    <cellStyle name="_정수장 및 배수지 통신장치(자동제어설비) 개선공사_1 2" xfId="2795" xr:uid="{00000000-0005-0000-0000-0000020C0000}"/>
    <cellStyle name="_정수장 및 배수지 통신장치(자동제어설비) 개선공사_광교정수장 및 배수지 원격제어 시스템 설치공사 내역서" xfId="2796" xr:uid="{00000000-0005-0000-0000-0000030C0000}"/>
    <cellStyle name="_정수장 및 배수지 통신장치(자동제어설비) 개선공사_광교정수장 및 배수지 원격제어 시스템 설치공사 내역서 2" xfId="2797" xr:uid="{00000000-0005-0000-0000-0000040C0000}"/>
    <cellStyle name="_정우견적서" xfId="2798" xr:uid="{00000000-0005-0000-0000-0000050C0000}"/>
    <cellStyle name="_정우견적서 2" xfId="2799" xr:uid="{00000000-0005-0000-0000-0000060C0000}"/>
    <cellStyle name="_제2회 일산점 주차장 약전설비기성내역서" xfId="2800" xr:uid="{00000000-0005-0000-0000-0000070C0000}"/>
    <cellStyle name="_제2회 일산점 주차장 약전설비기성내역서 2" xfId="2801" xr:uid="{00000000-0005-0000-0000-0000080C0000}"/>
    <cellStyle name="_제주도문예회관(동아PA)" xfId="2802" xr:uid="{00000000-0005-0000-0000-0000090C0000}"/>
    <cellStyle name="_제주물항" xfId="2803" xr:uid="{00000000-0005-0000-0000-00000A0C0000}"/>
    <cellStyle name="_제주물항 2" xfId="2804" xr:uid="{00000000-0005-0000-0000-00000B0C0000}"/>
    <cellStyle name="_제출 B.O.Q - 0700327 AIG생명보험 본사 8층" xfId="16284" xr:uid="{00000000-0005-0000-0000-00000C0C0000}"/>
    <cellStyle name="_제출-SOMERSET HOTEL07.03.02" xfId="16285" xr:uid="{00000000-0005-0000-0000-00000D0C0000}"/>
    <cellStyle name="_조명등" xfId="2805" xr:uid="{00000000-0005-0000-0000-00000E0C0000}"/>
    <cellStyle name="_조명등 2" xfId="2806" xr:uid="{00000000-0005-0000-0000-00000F0C0000}"/>
    <cellStyle name="_조명제어-영등포점" xfId="2807" xr:uid="{00000000-0005-0000-0000-0000100C0000}"/>
    <cellStyle name="_조명제어-영등포점 2" xfId="2808" xr:uid="{00000000-0005-0000-0000-0000110C0000}"/>
    <cellStyle name="_주덕투찰내역서" xfId="16286" xr:uid="{00000000-0005-0000-0000-0000120C0000}"/>
    <cellStyle name="_준공)구로점 약전설비" xfId="2809" xr:uid="{00000000-0005-0000-0000-0000130C0000}"/>
    <cellStyle name="_준공)구로점 약전설비 2" xfId="2810" xr:uid="{00000000-0005-0000-0000-0000140C0000}"/>
    <cellStyle name="_준공-약전설비공사" xfId="2811" xr:uid="{00000000-0005-0000-0000-0000150C0000}"/>
    <cellStyle name="_준공-약전설비공사 2" xfId="2812" xr:uid="{00000000-0005-0000-0000-0000160C0000}"/>
    <cellStyle name="_중계점약전내역(발의내역)" xfId="2813" xr:uid="{00000000-0005-0000-0000-0000170C0000}"/>
    <cellStyle name="_중계점약전내역(발의내역) 2" xfId="2814" xr:uid="{00000000-0005-0000-0000-0000180C0000}"/>
    <cellStyle name="_중동AKPC방" xfId="2815" xr:uid="{00000000-0005-0000-0000-0000190C0000}"/>
    <cellStyle name="_중동AKPC방 2" xfId="2816" xr:uid="{00000000-0005-0000-0000-00001A0C0000}"/>
    <cellStyle name="_증권거래소(산출-1)" xfId="2817" xr:uid="{00000000-0005-0000-0000-00001B0C0000}"/>
    <cellStyle name="_증권거래소(산출-1) 2" xfId="2818" xr:uid="{00000000-0005-0000-0000-00001C0C0000}"/>
    <cellStyle name="_지체장애인협회견적샘플" xfId="2819" xr:uid="{00000000-0005-0000-0000-00001D0C0000}"/>
    <cellStyle name="_지체장애인협회견적샘플 2" xfId="2820" xr:uid="{00000000-0005-0000-0000-00001E0C0000}"/>
    <cellStyle name="_집계" xfId="2821" xr:uid="{00000000-0005-0000-0000-00001F0C0000}"/>
    <cellStyle name="_집계 2" xfId="2822" xr:uid="{00000000-0005-0000-0000-0000200C0000}"/>
    <cellStyle name="_집행갑지 " xfId="2823" xr:uid="{00000000-0005-0000-0000-0000210C0000}"/>
    <cellStyle name="_집행갑지 _조0203(1000억이상)" xfId="2824" xr:uid="{00000000-0005-0000-0000-0000220C0000}"/>
    <cellStyle name="_창원점" xfId="2825" xr:uid="{00000000-0005-0000-0000-0000230C0000}"/>
    <cellStyle name="_창원점 2" xfId="2826" xr:uid="{00000000-0005-0000-0000-0000240C0000}"/>
    <cellStyle name="_창원점 ELES" xfId="2827" xr:uid="{00000000-0005-0000-0000-0000250C0000}"/>
    <cellStyle name="_창원점 ELES 2" xfId="2828" xr:uid="{00000000-0005-0000-0000-0000260C0000}"/>
    <cellStyle name="_창원점 일반전기 3공구" xfId="2829" xr:uid="{00000000-0005-0000-0000-0000270C0000}"/>
    <cellStyle name="_창원점 일반전기 3공구 2" xfId="2830" xr:uid="{00000000-0005-0000-0000-0000280C0000}"/>
    <cellStyle name="_청문당 내역보완" xfId="16287" xr:uid="{00000000-0005-0000-0000-0000290C0000}"/>
    <cellStyle name="_청소년수련관산출근거조서" xfId="2831" xr:uid="{00000000-0005-0000-0000-00002A0C0000}"/>
    <cellStyle name="_청소년수련관산출근거조서 2" xfId="2832" xr:uid="{00000000-0005-0000-0000-00002B0C0000}"/>
    <cellStyle name="_청소년수련관산출근거조서_1" xfId="2833" xr:uid="{00000000-0005-0000-0000-00002C0C0000}"/>
    <cellStyle name="_청소년수련관산출근거조서_1 2" xfId="2834" xr:uid="{00000000-0005-0000-0000-00002D0C0000}"/>
    <cellStyle name="_청소년수련관일위대가" xfId="2835" xr:uid="{00000000-0005-0000-0000-00002E0C0000}"/>
    <cellStyle name="_청소년수련관일위대가 2" xfId="2836" xr:uid="{00000000-0005-0000-0000-00002F0C0000}"/>
    <cellStyle name="_청소년수련관일위대가_1" xfId="2837" xr:uid="{00000000-0005-0000-0000-0000300C0000}"/>
    <cellStyle name="_청소년수련관일위대가_1 2" xfId="2838" xr:uid="{00000000-0005-0000-0000-0000310C0000}"/>
    <cellStyle name="_청송양수홍보관강당-Stage-2006_03_29" xfId="2839" xr:uid="{00000000-0005-0000-0000-0000320C0000}"/>
    <cellStyle name="_최신일위대가 견적내역(0908)" xfId="2840" xr:uid="{00000000-0005-0000-0000-0000330C0000}"/>
    <cellStyle name="_최종내역서(52)" xfId="16288" xr:uid="{00000000-0005-0000-0000-0000340C0000}"/>
    <cellStyle name="_최종설계변경내역서" xfId="2841" xr:uid="{00000000-0005-0000-0000-0000350C0000}"/>
    <cellStyle name="_최종설계변경내역서 2" xfId="2842" xr:uid="{00000000-0005-0000-0000-0000360C0000}"/>
    <cellStyle name="_최종실행안(112)" xfId="2843" xr:uid="{00000000-0005-0000-0000-0000370C0000}"/>
    <cellStyle name="_최종실행안(112) 2" xfId="2844" xr:uid="{00000000-0005-0000-0000-0000380C0000}"/>
    <cellStyle name="_추정(갑지)" xfId="2845" xr:uid="{00000000-0005-0000-0000-0000390C0000}"/>
    <cellStyle name="_추정(갑지) 2" xfId="2846" xr:uid="{00000000-0005-0000-0000-00003A0C0000}"/>
    <cellStyle name="_추정원가(음성-충주 2)" xfId="2847" xr:uid="{00000000-0005-0000-0000-00003B0C0000}"/>
    <cellStyle name="_춘천전화국증축통신+개요" xfId="16289" xr:uid="{00000000-0005-0000-0000-00003C0C0000}"/>
    <cellStyle name="_춘천합동내역+개요(수정한최종)" xfId="16290" xr:uid="{00000000-0005-0000-0000-00003D0C0000}"/>
    <cellStyle name="_충남근로자복지관(0511014)" xfId="2848" xr:uid="{00000000-0005-0000-0000-00003E0C0000}"/>
    <cellStyle name="_충남근로자복지관(0511014) 2" xfId="2849" xr:uid="{00000000-0005-0000-0000-00003F0C0000}"/>
    <cellStyle name="_충남내역(1221)" xfId="2850" xr:uid="{00000000-0005-0000-0000-0000400C0000}"/>
    <cellStyle name="_충남바이오내역서(조정내역최종)" xfId="2851" xr:uid="{00000000-0005-0000-0000-0000410C0000}"/>
    <cellStyle name="_충남바이오내역서(조정내역최종) 2" xfId="2852" xr:uid="{00000000-0005-0000-0000-0000420C0000}"/>
    <cellStyle name="_충주공용버스터미널" xfId="2853" xr:uid="{00000000-0005-0000-0000-0000430C0000}"/>
    <cellStyle name="_충주공용버스터미널 2" xfId="2854" xr:uid="{00000000-0005-0000-0000-0000440C0000}"/>
    <cellStyle name="_충주점" xfId="2855" xr:uid="{00000000-0005-0000-0000-0000450C0000}"/>
    <cellStyle name="_충주점 2" xfId="2856" xr:uid="{00000000-0005-0000-0000-0000460C0000}"/>
    <cellStyle name="_칠서도로2000-1225" xfId="16291" xr:uid="{00000000-0005-0000-0000-0000470C0000}"/>
    <cellStyle name="_칠서영산" xfId="16292" xr:uid="{00000000-0005-0000-0000-0000480C0000}"/>
    <cellStyle name="_칠서영산_공무정산양식(10월초)" xfId="16293" xr:uid="{00000000-0005-0000-0000-0000490C0000}"/>
    <cellStyle name="_칠서영산_공무정산양식(10월초)_기성내역서" xfId="16294" xr:uid="{00000000-0005-0000-0000-00004A0C0000}"/>
    <cellStyle name="_칠서영산_공무정산양식(10월초)_기성내역서_전체계약변경(03)" xfId="16295" xr:uid="{00000000-0005-0000-0000-00004B0C0000}"/>
    <cellStyle name="_칠서영산_공무정산양식(10월초)_전체계약변경(03)" xfId="16296" xr:uid="{00000000-0005-0000-0000-00004C0C0000}"/>
    <cellStyle name="_칠서영산_공무정산양식(10월초)_포장외건(최종)" xfId="16297" xr:uid="{00000000-0005-0000-0000-00004D0C0000}"/>
    <cellStyle name="_칠서영산_기성내역서" xfId="16298" xr:uid="{00000000-0005-0000-0000-00004E0C0000}"/>
    <cellStyle name="_칠서영산_기성내역서_전체계약변경(03)" xfId="16299" xr:uid="{00000000-0005-0000-0000-00004F0C0000}"/>
    <cellStyle name="_칠서영산_전체계약변경(03)" xfId="16300" xr:uid="{00000000-0005-0000-0000-0000500C0000}"/>
    <cellStyle name="_칠서영산_포장외건(최종)" xfId="16301" xr:uid="{00000000-0005-0000-0000-0000510C0000}"/>
    <cellStyle name="_침입감시 견적서" xfId="16302" xr:uid="{00000000-0005-0000-0000-0000520C0000}"/>
    <cellStyle name="_코레노2차-공내역-인테리어공사" xfId="16303" xr:uid="{00000000-0005-0000-0000-0000530C0000}"/>
    <cellStyle name="_터널부하계산서(최종본)" xfId="16304" xr:uid="{00000000-0005-0000-0000-0000540C0000}"/>
    <cellStyle name="_통신자재승인" xfId="2857" xr:uid="{00000000-0005-0000-0000-0000550C0000}"/>
    <cellStyle name="_통신자재승인 2" xfId="2858" xr:uid="{00000000-0005-0000-0000-0000560C0000}"/>
    <cellStyle name="_통합국사트레이" xfId="2859" xr:uid="{00000000-0005-0000-0000-0000570C0000}"/>
    <cellStyle name="_통합국사트레이 2" xfId="2860" xr:uid="{00000000-0005-0000-0000-0000580C0000}"/>
    <cellStyle name="_통합콘트롤 일위대가" xfId="2861" xr:uid="{00000000-0005-0000-0000-0000590C0000}"/>
    <cellStyle name="_트리콤미디어" xfId="2862" xr:uid="{00000000-0005-0000-0000-00005A0C0000}"/>
    <cellStyle name="_트리콤미디어 2" xfId="2863" xr:uid="{00000000-0005-0000-0000-00005B0C0000}"/>
    <cellStyle name="_파동" xfId="2864" xr:uid="{00000000-0005-0000-0000-00005C0C0000}"/>
    <cellStyle name="_파동 2" xfId="2865" xr:uid="{00000000-0005-0000-0000-00005D0C0000}"/>
    <cellStyle name="_파워콤간이공사관련" xfId="2866" xr:uid="{00000000-0005-0000-0000-00005E0C0000}"/>
    <cellStyle name="_파워콤간이공사관련 2" xfId="2867" xr:uid="{00000000-0005-0000-0000-00005F0C0000}"/>
    <cellStyle name="_팔각정자" xfId="16305" xr:uid="{00000000-0005-0000-0000-0000600C0000}"/>
    <cellStyle name="_평택이동" xfId="16306" xr:uid="{00000000-0005-0000-0000-0000610C0000}"/>
    <cellStyle name="_평화의댐내역서최종(OLD)" xfId="16307" xr:uid="{00000000-0005-0000-0000-0000620C0000}"/>
    <cellStyle name="_포항실행견적내역" xfId="2868" xr:uid="{00000000-0005-0000-0000-0000630C0000}"/>
    <cellStyle name="_포항실행견적내역 2" xfId="2869" xr:uid="{00000000-0005-0000-0000-0000640C0000}"/>
    <cellStyle name="_포항점1공구변경내역서" xfId="2870" xr:uid="{00000000-0005-0000-0000-0000650C0000}"/>
    <cellStyle name="_포항점1공구변경내역서 2" xfId="2871" xr:uid="{00000000-0005-0000-0000-0000660C0000}"/>
    <cellStyle name="_포항점내역(건설본부)" xfId="2872" xr:uid="{00000000-0005-0000-0000-0000670C0000}"/>
    <cellStyle name="_포항점내역(건설본부) 2" xfId="2873" xr:uid="{00000000-0005-0000-0000-0000680C0000}"/>
    <cellStyle name="_표준 견적서 2003년" xfId="16308" xr:uid="{00000000-0005-0000-0000-0000690C0000}"/>
    <cellStyle name="_표준_견적서(공사양식)" xfId="2874" xr:uid="{00000000-0005-0000-0000-00006A0C0000}"/>
    <cellStyle name="_표준_견적서(공사양식) 2" xfId="2875" xr:uid="{00000000-0005-0000-0000-00006B0C0000}"/>
    <cellStyle name="_표지및원가계산" xfId="2876" xr:uid="{00000000-0005-0000-0000-00006C0C0000}"/>
    <cellStyle name="_표지및원가계산 2" xfId="2877" xr:uid="{00000000-0005-0000-0000-00006D0C0000}"/>
    <cellStyle name="_하나로정보센터 견적(각층별 최종)" xfId="2878" xr:uid="{00000000-0005-0000-0000-00006E0C0000}"/>
    <cellStyle name="_하나로정보센터 견적(각층별 최종) 2" xfId="2879" xr:uid="{00000000-0005-0000-0000-00006F0C0000}"/>
    <cellStyle name="_하반기성과급인별LIST" xfId="16309" xr:uid="{00000000-0005-0000-0000-0000700C0000}"/>
    <cellStyle name="_하이마트_최종네고_0707" xfId="2880" xr:uid="{00000000-0005-0000-0000-0000710C0000}"/>
    <cellStyle name="_학생회관 휴게실" xfId="2881" xr:uid="{00000000-0005-0000-0000-0000720C0000}"/>
    <cellStyle name="_학생회관 휴게실 2" xfId="2882" xr:uid="{00000000-0005-0000-0000-0000730C0000}"/>
    <cellStyle name="_한남동미술관 업체견적(통합SI)-창와텍2" xfId="2883" xr:uid="{00000000-0005-0000-0000-0000740C0000}"/>
    <cellStyle name="_한남동미술관 업체견적(통합SI)-창와텍2 2" xfId="2884" xr:uid="{00000000-0005-0000-0000-0000750C0000}"/>
    <cellStyle name="_한남동사회복지시설_02_6_18" xfId="2885" xr:uid="{00000000-0005-0000-0000-0000760C0000}"/>
    <cellStyle name="_한남동사회복지시설_02_6_18 2" xfId="2886" xr:uid="{00000000-0005-0000-0000-0000770C0000}"/>
    <cellStyle name="_한남동산출물량(설변)" xfId="2887" xr:uid="{00000000-0005-0000-0000-0000780C0000}"/>
    <cellStyle name="_한남동산출물량(설변) 2" xfId="2888" xr:uid="{00000000-0005-0000-0000-0000790C0000}"/>
    <cellStyle name="_한미우석" xfId="2889" xr:uid="{00000000-0005-0000-0000-00007A0C0000}"/>
    <cellStyle name="_한미우석 2" xfId="2890" xr:uid="{00000000-0005-0000-0000-00007B0C0000}"/>
    <cellStyle name="_한미우석_견적" xfId="2891" xr:uid="{00000000-0005-0000-0000-00007C0C0000}"/>
    <cellStyle name="_한미우석_견적 2" xfId="2892" xr:uid="{00000000-0005-0000-0000-00007D0C0000}"/>
    <cellStyle name="_한미우석_계양등7개소" xfId="2893" xr:uid="{00000000-0005-0000-0000-00007E0C0000}"/>
    <cellStyle name="_한미우석_계양등7개소 2" xfId="2894" xr:uid="{00000000-0005-0000-0000-00007F0C0000}"/>
    <cellStyle name="_한미우석_통합국사전원선" xfId="2895" xr:uid="{00000000-0005-0000-0000-0000800C0000}"/>
    <cellStyle name="_한미우석_통합국사전원선 2" xfId="2896" xr:uid="{00000000-0005-0000-0000-0000810C0000}"/>
    <cellStyle name="_한미우석_통합국사트레이" xfId="2897" xr:uid="{00000000-0005-0000-0000-0000820C0000}"/>
    <cellStyle name="_한미우석_통합국사트레이 2" xfId="2898" xr:uid="{00000000-0005-0000-0000-0000830C0000}"/>
    <cellStyle name="_한미우석_한미은행1" xfId="2899" xr:uid="{00000000-0005-0000-0000-0000840C0000}"/>
    <cellStyle name="_한미우석_한미은행1 2" xfId="2900" xr:uid="{00000000-0005-0000-0000-0000850C0000}"/>
    <cellStyle name="_한미우석_한미은행1_통합국사트레이" xfId="2901" xr:uid="{00000000-0005-0000-0000-0000860C0000}"/>
    <cellStyle name="_한미우석_한미은행1_통합국사트레이 2" xfId="2902" xr:uid="{00000000-0005-0000-0000-0000870C0000}"/>
    <cellStyle name="_한미우석_한미은행2" xfId="2903" xr:uid="{00000000-0005-0000-0000-0000880C0000}"/>
    <cellStyle name="_한미우석_한미은행2 2" xfId="2904" xr:uid="{00000000-0005-0000-0000-0000890C0000}"/>
    <cellStyle name="_한미우석_한미은행2_견적" xfId="2905" xr:uid="{00000000-0005-0000-0000-00008A0C0000}"/>
    <cellStyle name="_한미우석_한미은행2_견적 2" xfId="2906" xr:uid="{00000000-0005-0000-0000-00008B0C0000}"/>
    <cellStyle name="_한미우석_한미은행2_통합국사트레이" xfId="2907" xr:uid="{00000000-0005-0000-0000-00008C0C0000}"/>
    <cellStyle name="_한미우석_한미은행2_통합국사트레이 2" xfId="2908" xr:uid="{00000000-0005-0000-0000-00008D0C0000}"/>
    <cellStyle name="_한미우석_한미은행본사" xfId="2909" xr:uid="{00000000-0005-0000-0000-00008E0C0000}"/>
    <cellStyle name="_한미우석_한미은행본사 2" xfId="2910" xr:uid="{00000000-0005-0000-0000-00008F0C0000}"/>
    <cellStyle name="_한미우석_한미은행본사_견적" xfId="2911" xr:uid="{00000000-0005-0000-0000-0000900C0000}"/>
    <cellStyle name="_한미우석_한미은행본사_견적 2" xfId="2912" xr:uid="{00000000-0005-0000-0000-0000910C0000}"/>
    <cellStyle name="_한미우석_한미은행본사_통합국사트레이" xfId="2913" xr:uid="{00000000-0005-0000-0000-0000920C0000}"/>
    <cellStyle name="_한미우석_한미은행본사_통합국사트레이 2" xfId="2914" xr:uid="{00000000-0005-0000-0000-0000930C0000}"/>
    <cellStyle name="_한미우석_한미은행본사1" xfId="2915" xr:uid="{00000000-0005-0000-0000-0000940C0000}"/>
    <cellStyle name="_한미우석_한미은행본사1 2" xfId="2916" xr:uid="{00000000-0005-0000-0000-0000950C0000}"/>
    <cellStyle name="_한미우석_한미은행본사1_견적" xfId="2917" xr:uid="{00000000-0005-0000-0000-0000960C0000}"/>
    <cellStyle name="_한미우석_한미은행본사1_견적 2" xfId="2918" xr:uid="{00000000-0005-0000-0000-0000970C0000}"/>
    <cellStyle name="_한미우석_한미은행본사1_통합국사트레이" xfId="2919" xr:uid="{00000000-0005-0000-0000-0000980C0000}"/>
    <cellStyle name="_한미우석_한미은행본사1_통합국사트레이 2" xfId="2920" xr:uid="{00000000-0005-0000-0000-0000990C0000}"/>
    <cellStyle name="_한미은행본사" xfId="2921" xr:uid="{00000000-0005-0000-0000-00009A0C0000}"/>
    <cellStyle name="_한미은행본사 2" xfId="2922" xr:uid="{00000000-0005-0000-0000-00009B0C0000}"/>
    <cellStyle name="_한미은행본사_견적" xfId="2923" xr:uid="{00000000-0005-0000-0000-00009C0C0000}"/>
    <cellStyle name="_한미은행본사_견적 2" xfId="2924" xr:uid="{00000000-0005-0000-0000-00009D0C0000}"/>
    <cellStyle name="_한미은행본사_계양등7개소" xfId="2925" xr:uid="{00000000-0005-0000-0000-00009E0C0000}"/>
    <cellStyle name="_한미은행본사_계양등7개소 2" xfId="2926" xr:uid="{00000000-0005-0000-0000-00009F0C0000}"/>
    <cellStyle name="_한미은행본사_통합국사전원선" xfId="2927" xr:uid="{00000000-0005-0000-0000-0000A00C0000}"/>
    <cellStyle name="_한미은행본사_통합국사전원선 2" xfId="2928" xr:uid="{00000000-0005-0000-0000-0000A10C0000}"/>
    <cellStyle name="_한미은행본사_통합국사트레이" xfId="2929" xr:uid="{00000000-0005-0000-0000-0000A20C0000}"/>
    <cellStyle name="_한미은행본사_통합국사트레이 2" xfId="2930" xr:uid="{00000000-0005-0000-0000-0000A30C0000}"/>
    <cellStyle name="_한미은행본사_한미은행1" xfId="2931" xr:uid="{00000000-0005-0000-0000-0000A40C0000}"/>
    <cellStyle name="_한미은행본사_한미은행1 2" xfId="2932" xr:uid="{00000000-0005-0000-0000-0000A50C0000}"/>
    <cellStyle name="_한미은행본사_한미은행1_통합국사트레이" xfId="2933" xr:uid="{00000000-0005-0000-0000-0000A60C0000}"/>
    <cellStyle name="_한미은행본사_한미은행1_통합국사트레이 2" xfId="2934" xr:uid="{00000000-0005-0000-0000-0000A70C0000}"/>
    <cellStyle name="_한미은행본사_한미은행2" xfId="2935" xr:uid="{00000000-0005-0000-0000-0000A80C0000}"/>
    <cellStyle name="_한미은행본사_한미은행2 2" xfId="2936" xr:uid="{00000000-0005-0000-0000-0000A90C0000}"/>
    <cellStyle name="_한미은행본사_한미은행2_견적" xfId="2937" xr:uid="{00000000-0005-0000-0000-0000AA0C0000}"/>
    <cellStyle name="_한미은행본사_한미은행2_견적 2" xfId="2938" xr:uid="{00000000-0005-0000-0000-0000AB0C0000}"/>
    <cellStyle name="_한미은행본사_한미은행2_통합국사트레이" xfId="2939" xr:uid="{00000000-0005-0000-0000-0000AC0C0000}"/>
    <cellStyle name="_한미은행본사_한미은행2_통합국사트레이 2" xfId="2940" xr:uid="{00000000-0005-0000-0000-0000AD0C0000}"/>
    <cellStyle name="_한미은행본사_한미은행본사" xfId="2941" xr:uid="{00000000-0005-0000-0000-0000AE0C0000}"/>
    <cellStyle name="_한미은행본사_한미은행본사 2" xfId="2942" xr:uid="{00000000-0005-0000-0000-0000AF0C0000}"/>
    <cellStyle name="_한미은행본사_한미은행본사_견적" xfId="2943" xr:uid="{00000000-0005-0000-0000-0000B00C0000}"/>
    <cellStyle name="_한미은행본사_한미은행본사_견적 2" xfId="2944" xr:uid="{00000000-0005-0000-0000-0000B10C0000}"/>
    <cellStyle name="_한미은행본사_한미은행본사_통합국사트레이" xfId="2945" xr:uid="{00000000-0005-0000-0000-0000B20C0000}"/>
    <cellStyle name="_한미은행본사_한미은행본사_통합국사트레이 2" xfId="2946" xr:uid="{00000000-0005-0000-0000-0000B30C0000}"/>
    <cellStyle name="_한미은행본사_한미은행본사1" xfId="2947" xr:uid="{00000000-0005-0000-0000-0000B40C0000}"/>
    <cellStyle name="_한미은행본사_한미은행본사1 2" xfId="2948" xr:uid="{00000000-0005-0000-0000-0000B50C0000}"/>
    <cellStyle name="_한미은행본사_한미은행본사1_견적" xfId="2949" xr:uid="{00000000-0005-0000-0000-0000B60C0000}"/>
    <cellStyle name="_한미은행본사_한미은행본사1_견적 2" xfId="2950" xr:uid="{00000000-0005-0000-0000-0000B70C0000}"/>
    <cellStyle name="_한미은행본사_한미은행본사1_통합국사트레이" xfId="2951" xr:uid="{00000000-0005-0000-0000-0000B80C0000}"/>
    <cellStyle name="_한미은행본사_한미은행본사1_통합국사트레이 2" xfId="2952" xr:uid="{00000000-0005-0000-0000-0000B90C0000}"/>
    <cellStyle name="_한미케이블" xfId="2953" xr:uid="{00000000-0005-0000-0000-0000BA0C0000}"/>
    <cellStyle name="_한미케이블 2" xfId="2954" xr:uid="{00000000-0005-0000-0000-0000BB0C0000}"/>
    <cellStyle name="_한미케이블_견적" xfId="2955" xr:uid="{00000000-0005-0000-0000-0000BC0C0000}"/>
    <cellStyle name="_한미케이블_견적 2" xfId="2956" xr:uid="{00000000-0005-0000-0000-0000BD0C0000}"/>
    <cellStyle name="_한미케이블_계양등7개소" xfId="2957" xr:uid="{00000000-0005-0000-0000-0000BE0C0000}"/>
    <cellStyle name="_한미케이블_계양등7개소 2" xfId="2958" xr:uid="{00000000-0005-0000-0000-0000BF0C0000}"/>
    <cellStyle name="_한미케이블_통합국사전원선" xfId="2959" xr:uid="{00000000-0005-0000-0000-0000C00C0000}"/>
    <cellStyle name="_한미케이블_통합국사전원선 2" xfId="2960" xr:uid="{00000000-0005-0000-0000-0000C10C0000}"/>
    <cellStyle name="_한미케이블_통합국사트레이" xfId="2961" xr:uid="{00000000-0005-0000-0000-0000C20C0000}"/>
    <cellStyle name="_한미케이블_통합국사트레이 2" xfId="2962" xr:uid="{00000000-0005-0000-0000-0000C30C0000}"/>
    <cellStyle name="_한미케이블_한미은행1" xfId="2963" xr:uid="{00000000-0005-0000-0000-0000C40C0000}"/>
    <cellStyle name="_한미케이블_한미은행1 2" xfId="2964" xr:uid="{00000000-0005-0000-0000-0000C50C0000}"/>
    <cellStyle name="_한미케이블_한미은행1_통합국사트레이" xfId="2965" xr:uid="{00000000-0005-0000-0000-0000C60C0000}"/>
    <cellStyle name="_한미케이블_한미은행1_통합국사트레이 2" xfId="2966" xr:uid="{00000000-0005-0000-0000-0000C70C0000}"/>
    <cellStyle name="_한미케이블_한미은행2" xfId="2967" xr:uid="{00000000-0005-0000-0000-0000C80C0000}"/>
    <cellStyle name="_한미케이블_한미은행2 2" xfId="2968" xr:uid="{00000000-0005-0000-0000-0000C90C0000}"/>
    <cellStyle name="_한미케이블_한미은행2_견적" xfId="2969" xr:uid="{00000000-0005-0000-0000-0000CA0C0000}"/>
    <cellStyle name="_한미케이블_한미은행2_견적 2" xfId="2970" xr:uid="{00000000-0005-0000-0000-0000CB0C0000}"/>
    <cellStyle name="_한미케이블_한미은행2_통합국사트레이" xfId="2971" xr:uid="{00000000-0005-0000-0000-0000CC0C0000}"/>
    <cellStyle name="_한미케이블_한미은행2_통합국사트레이 2" xfId="2972" xr:uid="{00000000-0005-0000-0000-0000CD0C0000}"/>
    <cellStyle name="_한미케이블_한미은행본사" xfId="2973" xr:uid="{00000000-0005-0000-0000-0000CE0C0000}"/>
    <cellStyle name="_한미케이블_한미은행본사 2" xfId="2974" xr:uid="{00000000-0005-0000-0000-0000CF0C0000}"/>
    <cellStyle name="_한미케이블_한미은행본사_견적" xfId="2975" xr:uid="{00000000-0005-0000-0000-0000D00C0000}"/>
    <cellStyle name="_한미케이블_한미은행본사_견적 2" xfId="2976" xr:uid="{00000000-0005-0000-0000-0000D10C0000}"/>
    <cellStyle name="_한미케이블_한미은행본사_통합국사트레이" xfId="2977" xr:uid="{00000000-0005-0000-0000-0000D20C0000}"/>
    <cellStyle name="_한미케이블_한미은행본사_통합국사트레이 2" xfId="2978" xr:uid="{00000000-0005-0000-0000-0000D30C0000}"/>
    <cellStyle name="_한미케이블_한미은행본사1" xfId="2979" xr:uid="{00000000-0005-0000-0000-0000D40C0000}"/>
    <cellStyle name="_한미케이블_한미은행본사1 2" xfId="2980" xr:uid="{00000000-0005-0000-0000-0000D50C0000}"/>
    <cellStyle name="_한미케이블_한미은행본사1_견적" xfId="2981" xr:uid="{00000000-0005-0000-0000-0000D60C0000}"/>
    <cellStyle name="_한미케이블_한미은행본사1_견적 2" xfId="2982" xr:uid="{00000000-0005-0000-0000-0000D70C0000}"/>
    <cellStyle name="_한미케이블_한미은행본사1_통합국사트레이" xfId="2983" xr:uid="{00000000-0005-0000-0000-0000D80C0000}"/>
    <cellStyle name="_한미케이블_한미은행본사1_통합국사트레이 2" xfId="2984" xr:uid="{00000000-0005-0000-0000-0000D90C0000}"/>
    <cellStyle name="_협력업체list" xfId="2985" xr:uid="{00000000-0005-0000-0000-0000DA0C0000}"/>
    <cellStyle name="_협력업체list 2" xfId="2986" xr:uid="{00000000-0005-0000-0000-0000DB0C0000}"/>
    <cellStyle name="_호암관 물량산출조서(AV)050624" xfId="2987" xr:uid="{00000000-0005-0000-0000-0000DC0C0000}"/>
    <cellStyle name="_호암관 물량산출조서(AV)050624 2" xfId="2988" xr:uid="{00000000-0005-0000-0000-0000DD0C0000}"/>
    <cellStyle name="_호텔동 임시동력공사" xfId="2989" xr:uid="{00000000-0005-0000-0000-0000DE0C0000}"/>
    <cellStyle name="_호텔동 임시동력공사 2" xfId="2990" xr:uid="{00000000-0005-0000-0000-0000DF0C0000}"/>
    <cellStyle name="_호텔약전전기공사(1공구)-발의" xfId="2991" xr:uid="{00000000-0005-0000-0000-0000E00C0000}"/>
    <cellStyle name="_호텔약전전기공사(1공구)-발의 2" xfId="2992" xr:uid="{00000000-0005-0000-0000-0000E10C0000}"/>
    <cellStyle name="_호텔울산B부지약전2,3공구" xfId="2993" xr:uid="{00000000-0005-0000-0000-0000E20C0000}"/>
    <cellStyle name="_호텔울산B부지약전2,3공구 2" xfId="2994" xr:uid="{00000000-0005-0000-0000-0000E30C0000}"/>
    <cellStyle name="_홈플러스 목천점(제출)" xfId="2995" xr:uid="{00000000-0005-0000-0000-0000E40C0000}"/>
    <cellStyle name="_홈플러스 목천점(제출) 2" xfId="2996" xr:uid="{00000000-0005-0000-0000-0000E50C0000}"/>
    <cellStyle name="_홈플러스목천물류" xfId="2997" xr:uid="{00000000-0005-0000-0000-0000E60C0000}"/>
    <cellStyle name="_홈플러스목천물류 2" xfId="2998" xr:uid="{00000000-0005-0000-0000-0000E70C0000}"/>
    <cellStyle name="_홍대,화정견적" xfId="2999" xr:uid="{00000000-0005-0000-0000-0000E80C0000}"/>
    <cellStyle name="_홍대,화정견적 2" xfId="3000" xr:uid="{00000000-0005-0000-0000-0000E90C0000}"/>
    <cellStyle name="_홍대리님견적요청" xfId="3001" xr:uid="{00000000-0005-0000-0000-0000EA0C0000}"/>
    <cellStyle name="_홍대리님견적요청 2" xfId="3002" xr:uid="{00000000-0005-0000-0000-0000EB0C0000}"/>
    <cellStyle name="_화명 일반전기(금양) 정산" xfId="3003" xr:uid="{00000000-0005-0000-0000-0000EC0C0000}"/>
    <cellStyle name="_화명 일반전기(금양) 정산 2" xfId="3004" xr:uid="{00000000-0005-0000-0000-0000ED0C0000}"/>
    <cellStyle name="_화명통신정산" xfId="3005" xr:uid="{00000000-0005-0000-0000-0000EE0C0000}"/>
    <cellStyle name="_화명통신정산 2" xfId="3006" xr:uid="{00000000-0005-0000-0000-0000EF0C0000}"/>
    <cellStyle name="_화성NRD연구동일위대가(051016)" xfId="3007" xr:uid="{00000000-0005-0000-0000-0000F00C0000}"/>
    <cellStyle name="_화성NRD연구동일위대가(051016) 2" xfId="3008" xr:uid="{00000000-0005-0000-0000-0000F10C0000}"/>
    <cellStyle name="_황산교회" xfId="3009" xr:uid="{00000000-0005-0000-0000-0000F20C0000}"/>
    <cellStyle name="_황산교회 2" xfId="3010" xr:uid="{00000000-0005-0000-0000-0000F30C0000}"/>
    <cellStyle name="_회의실 견적서(배관배선)" xfId="3011" xr:uid="{00000000-0005-0000-0000-0000F40C0000}"/>
    <cellStyle name="_회의실 견적서(배관배선) 2" xfId="3012" xr:uid="{00000000-0005-0000-0000-0000F50C0000}"/>
    <cellStyle name="_흙막이공사(일위)" xfId="16310" xr:uid="{00000000-0005-0000-0000-0000F60C0000}"/>
    <cellStyle name="_희은건축(부경대스튜디오)-다시" xfId="3013" xr:uid="{00000000-0005-0000-0000-0000F70C0000}"/>
    <cellStyle name="_희은건축(부경대스튜디오)-다시 2" xfId="3014" xr:uid="{00000000-0005-0000-0000-0000F80C0000}"/>
    <cellStyle name="¡E￠￥@?e_TEST-1 " xfId="16311" xr:uid="{00000000-0005-0000-0000-0000F90C0000}"/>
    <cellStyle name="´Þ·?" xfId="3015" xr:uid="{00000000-0005-0000-0000-0000FA0C0000}"/>
    <cellStyle name="´Þ·? 2" xfId="3016" xr:uid="{00000000-0005-0000-0000-0000FB0C0000}"/>
    <cellStyle name="’E‰Y [0.00]_laroux" xfId="3017" xr:uid="{00000000-0005-0000-0000-0000FC0C0000}"/>
    <cellStyle name="’E‰Y_laroux" xfId="3018" xr:uid="{00000000-0005-0000-0000-0000FD0C0000}"/>
    <cellStyle name="¤@?e_TEST-1 " xfId="3019" xr:uid="{00000000-0005-0000-0000-0000FE0C0000}"/>
    <cellStyle name="¤@¯ë_CocaCola-R4" xfId="16313" xr:uid="{00000000-0005-0000-0000-0000FF0C0000}"/>
    <cellStyle name="¤d¤À¦ì_CocaCola-R4" xfId="16314" xr:uid="{00000000-0005-0000-0000-0000000D0000}"/>
    <cellStyle name="\MNPREF32.DLL&amp;" xfId="3020" xr:uid="{00000000-0005-0000-0000-0000010D0000}"/>
    <cellStyle name="\MNPREF32.DLL&amp; 2" xfId="3021" xr:uid="{00000000-0005-0000-0000-0000020D0000}"/>
    <cellStyle name="+,-,0" xfId="3022" xr:uid="{00000000-0005-0000-0000-0000030D0000}"/>
    <cellStyle name="+,-,0 2" xfId="16315" xr:uid="{00000000-0005-0000-0000-0000040D0000}"/>
    <cellStyle name="△ []" xfId="3023" xr:uid="{00000000-0005-0000-0000-0000050D0000}"/>
    <cellStyle name="△ [] 2" xfId="16316" xr:uid="{00000000-0005-0000-0000-0000060D0000}"/>
    <cellStyle name="△ [0]" xfId="3024" xr:uid="{00000000-0005-0000-0000-0000070D0000}"/>
    <cellStyle name="△ [0] 2" xfId="16317" xr:uid="{00000000-0005-0000-0000-0000080D0000}"/>
    <cellStyle name="△백분율" xfId="3025" xr:uid="{00000000-0005-0000-0000-0000090D0000}"/>
    <cellStyle name="△백분율 2" xfId="3026" xr:uid="{00000000-0005-0000-0000-00000A0D0000}"/>
    <cellStyle name="△콤마" xfId="3027" xr:uid="{00000000-0005-0000-0000-00000B0D0000}"/>
    <cellStyle name="△콤마 2" xfId="3028" xr:uid="{00000000-0005-0000-0000-00000C0D0000}"/>
    <cellStyle name="°ia¤¼o " xfId="3029" xr:uid="{00000000-0005-0000-0000-00000D0D0000}"/>
    <cellStyle name="°iA¤¼O¼yA¡" xfId="3030" xr:uid="{00000000-0005-0000-0000-00000E0D0000}"/>
    <cellStyle name="°iA¤¼O¼yA¡ 2" xfId="3031" xr:uid="{00000000-0005-0000-0000-00000F0D0000}"/>
    <cellStyle name="°ia¤aa " xfId="3032" xr:uid="{00000000-0005-0000-0000-0000100D0000}"/>
    <cellStyle name="°iA¤Aa·A1" xfId="3033" xr:uid="{00000000-0005-0000-0000-0000110D0000}"/>
    <cellStyle name="°iA¤Aa·A1 2" xfId="3034" xr:uid="{00000000-0005-0000-0000-0000120D0000}"/>
    <cellStyle name="°iA¤Aa·A2" xfId="3035" xr:uid="{00000000-0005-0000-0000-0000130D0000}"/>
    <cellStyle name="°iA¤Aa·A2 2" xfId="3036" xr:uid="{00000000-0005-0000-0000-0000140D0000}"/>
    <cellStyle name="µÚ¿¡ ¿À´Â ÇÏÀÌÆÛ¸µÅ©" xfId="3037" xr:uid="{00000000-0005-0000-0000-0000150D0000}"/>
    <cellStyle name="_00지역무대조명(6.5)" xfId="3040" xr:uid="{00000000-0005-0000-0000-0000160D0000}"/>
    <cellStyle name="_00지역무대조명(6.5) 2" xfId="3041" xr:uid="{00000000-0005-0000-0000-0000170D0000}"/>
    <cellStyle name="_00지역무대조명(6.5)_대구서구(6.15)" xfId="3042" xr:uid="{00000000-0005-0000-0000-0000180D0000}"/>
    <cellStyle name="_00지역무대조명(6.5)_대구서구(6.15) 2" xfId="3043" xr:uid="{00000000-0005-0000-0000-0000190D0000}"/>
    <cellStyle name="_남해탈(7.2)" xfId="3044" xr:uid="{00000000-0005-0000-0000-00001A0D0000}"/>
    <cellStyle name="_남해탈(7.2) 2" xfId="3045" xr:uid="{00000000-0005-0000-0000-00001B0D0000}"/>
    <cellStyle name="_남해탈(7.2)_대구서구(6.15)" xfId="3046" xr:uid="{00000000-0005-0000-0000-00001C0D0000}"/>
    <cellStyle name="_남해탈(7.2)_대구서구(6.15) 2" xfId="3047" xr:uid="{00000000-0005-0000-0000-00001D0D0000}"/>
    <cellStyle name="_대구서구(6.15)" xfId="3048" xr:uid="{00000000-0005-0000-0000-00001E0D0000}"/>
    <cellStyle name="_대구서구(6.15) 2" xfId="3049" xr:uid="{00000000-0005-0000-0000-00001F0D0000}"/>
    <cellStyle name="_대구서구(6.15) 2 2" xfId="3050" xr:uid="{00000000-0005-0000-0000-0000200D0000}"/>
    <cellStyle name="_대구서구(6.15) 3" xfId="3051" xr:uid="{00000000-0005-0000-0000-0000210D0000}"/>
    <cellStyle name="_대구서구(6.15) 3 2" xfId="3052" xr:uid="{00000000-0005-0000-0000-0000220D0000}"/>
    <cellStyle name="_대구서구(6.15) 4" xfId="3053" xr:uid="{00000000-0005-0000-0000-0000230D0000}"/>
    <cellStyle name="_대구서구(6.15) 4 2" xfId="3054" xr:uid="{00000000-0005-0000-0000-0000240D0000}"/>
    <cellStyle name="_대구서구(6.15) 5" xfId="3055" xr:uid="{00000000-0005-0000-0000-0000250D0000}"/>
    <cellStyle name="_대구서구(6.15) 5 2" xfId="3056" xr:uid="{00000000-0005-0000-0000-0000260D0000}"/>
    <cellStyle name="_대구서구(6.15) 6" xfId="3057" xr:uid="{00000000-0005-0000-0000-0000270D0000}"/>
    <cellStyle name="_대구서구(6.15) 6 2" xfId="3058" xr:uid="{00000000-0005-0000-0000-0000280D0000}"/>
    <cellStyle name="_대구서구(6.15) 7" xfId="3059" xr:uid="{00000000-0005-0000-0000-0000290D0000}"/>
    <cellStyle name="_대구서구(6.15) 7 2" xfId="3060" xr:uid="{00000000-0005-0000-0000-00002A0D0000}"/>
    <cellStyle name="_대구서구(6.15) 8" xfId="3061" xr:uid="{00000000-0005-0000-0000-00002B0D0000}"/>
    <cellStyle name="_양주디머교체(2.3)" xfId="3062" xr:uid="{00000000-0005-0000-0000-00002C0D0000}"/>
    <cellStyle name="_양주디머교체(2.3) 2" xfId="3063" xr:uid="{00000000-0005-0000-0000-00002D0D0000}"/>
    <cellStyle name="_양주디머교체(2.3)_대구서구(6.15)" xfId="3064" xr:uid="{00000000-0005-0000-0000-00002E0D0000}"/>
    <cellStyle name="_양주디머교체(2.3)_대구서구(6.15) 2" xfId="3065" xr:uid="{00000000-0005-0000-0000-00002F0D0000}"/>
    <cellStyle name="_양주디머교체(2.3)_대구서구(6.15) 2 2" xfId="3066" xr:uid="{00000000-0005-0000-0000-0000300D0000}"/>
    <cellStyle name="_양주디머교체(2.3)_대구서구(6.15) 3" xfId="3067" xr:uid="{00000000-0005-0000-0000-0000310D0000}"/>
    <cellStyle name="_양주디머교체(2.3)_대구서구(6.15) 3 2" xfId="3068" xr:uid="{00000000-0005-0000-0000-0000320D0000}"/>
    <cellStyle name="_양주디머교체(2.3)_대구서구(6.15) 4" xfId="3069" xr:uid="{00000000-0005-0000-0000-0000330D0000}"/>
    <cellStyle name="_양주디머교체(2.3)_대구서구(6.15) 4 2" xfId="3070" xr:uid="{00000000-0005-0000-0000-0000340D0000}"/>
    <cellStyle name="_양주디머교체(2.3)_대구서구(6.15) 5" xfId="3071" xr:uid="{00000000-0005-0000-0000-0000350D0000}"/>
    <cellStyle name="_양주디머교체(2.3)_대구서구(6.15) 5 2" xfId="3072" xr:uid="{00000000-0005-0000-0000-0000360D0000}"/>
    <cellStyle name="_양주디머교체(2.3)_대구서구(6.15) 6" xfId="3073" xr:uid="{00000000-0005-0000-0000-0000370D0000}"/>
    <cellStyle name="_양주디머교체(2.3)_대구서구(6.15) 6 2" xfId="3074" xr:uid="{00000000-0005-0000-0000-0000380D0000}"/>
    <cellStyle name="_양주디머교체(2.3)_대구서구(6.15) 7" xfId="3075" xr:uid="{00000000-0005-0000-0000-0000390D0000}"/>
    <cellStyle name="_양주디머교체(2.3)_대구서구(6.15) 7 2" xfId="3076" xr:uid="{00000000-0005-0000-0000-00003A0D0000}"/>
    <cellStyle name="_양주디머교체(2.3)_대구서구(6.15) 8" xfId="3077" xr:uid="{00000000-0005-0000-0000-00003B0D0000}"/>
    <cellStyle name="_x0007_   ­­_x0007_ ­" xfId="3078" xr:uid="{00000000-0005-0000-0000-00003C0D0000}"/>
    <cellStyle name="_x0007__x0009__x000d__x000d_­­_x0007__x0009_­" xfId="3079" xr:uid="{00000000-0005-0000-0000-00003D0D0000}"/>
    <cellStyle name="æØè [0.00]_PRODUCT DETAIL Q1" xfId="3080" xr:uid="{00000000-0005-0000-0000-00003E0D0000}"/>
    <cellStyle name="æØè_PRODUCT DETAIL Q1" xfId="3081" xr:uid="{00000000-0005-0000-0000-00003F0D0000}"/>
    <cellStyle name="ÊÝ [0.00]_PRODUCT DETAIL Q1" xfId="3082" xr:uid="{00000000-0005-0000-0000-0000400D0000}"/>
    <cellStyle name="ÊÝ_PRODUCT DETAIL Q1" xfId="3083" xr:uid="{00000000-0005-0000-0000-0000410D0000}"/>
    <cellStyle name="W?_BOOKSHIP" xfId="3084" xr:uid="{00000000-0005-0000-0000-0000420D0000}"/>
    <cellStyle name="W_Pacific Region P&amp;L" xfId="3085" xr:uid="{00000000-0005-0000-0000-0000430D0000}"/>
    <cellStyle name="0%" xfId="3086" xr:uid="{00000000-0005-0000-0000-0000440D0000}"/>
    <cellStyle name="0% 2" xfId="3087" xr:uid="{00000000-0005-0000-0000-0000450D0000}"/>
    <cellStyle name="0,0_x000d__x000a_NA_x000d__x000a_" xfId="15956" xr:uid="{00000000-0005-0000-0000-0000460D0000}"/>
    <cellStyle name="0.0" xfId="3088" xr:uid="{00000000-0005-0000-0000-0000470D0000}"/>
    <cellStyle name="0.0 2" xfId="3089" xr:uid="{00000000-0005-0000-0000-0000480D0000}"/>
    <cellStyle name="0.0 2 2" xfId="3090" xr:uid="{00000000-0005-0000-0000-0000490D0000}"/>
    <cellStyle name="0.0 2 2 2" xfId="3091" xr:uid="{00000000-0005-0000-0000-00004A0D0000}"/>
    <cellStyle name="0.0 2 2 3" xfId="3092" xr:uid="{00000000-0005-0000-0000-00004B0D0000}"/>
    <cellStyle name="0.0 2 2 4" xfId="3093" xr:uid="{00000000-0005-0000-0000-00004C0D0000}"/>
    <cellStyle name="0.0 2 2 5" xfId="3094" xr:uid="{00000000-0005-0000-0000-00004D0D0000}"/>
    <cellStyle name="0.0 3" xfId="3095" xr:uid="{00000000-0005-0000-0000-00004E0D0000}"/>
    <cellStyle name="0.0 3 2" xfId="3096" xr:uid="{00000000-0005-0000-0000-00004F0D0000}"/>
    <cellStyle name="0.0 3 3" xfId="3097" xr:uid="{00000000-0005-0000-0000-0000500D0000}"/>
    <cellStyle name="0.0 3 4" xfId="3098" xr:uid="{00000000-0005-0000-0000-0000510D0000}"/>
    <cellStyle name="0.0 3 5" xfId="3099" xr:uid="{00000000-0005-0000-0000-0000520D0000}"/>
    <cellStyle name="0.0%" xfId="3100" xr:uid="{00000000-0005-0000-0000-0000530D0000}"/>
    <cellStyle name="0.0% 2" xfId="3101" xr:uid="{00000000-0005-0000-0000-0000540D0000}"/>
    <cellStyle name="0.0_1부여부지 콘도미니엄 신축공사 AV설비 견적서_20100121" xfId="3102" xr:uid="{00000000-0005-0000-0000-0000550D0000}"/>
    <cellStyle name="0.00" xfId="3103" xr:uid="{00000000-0005-0000-0000-0000560D0000}"/>
    <cellStyle name="0.00 2" xfId="3104" xr:uid="{00000000-0005-0000-0000-0000570D0000}"/>
    <cellStyle name="0.00 2 2" xfId="3105" xr:uid="{00000000-0005-0000-0000-0000580D0000}"/>
    <cellStyle name="0.00 2 2 2" xfId="3106" xr:uid="{00000000-0005-0000-0000-0000590D0000}"/>
    <cellStyle name="0.00 2 2 3" xfId="3107" xr:uid="{00000000-0005-0000-0000-00005A0D0000}"/>
    <cellStyle name="0.00 2 2 4" xfId="3108" xr:uid="{00000000-0005-0000-0000-00005B0D0000}"/>
    <cellStyle name="0.00 2 2 5" xfId="3109" xr:uid="{00000000-0005-0000-0000-00005C0D0000}"/>
    <cellStyle name="0.00 3" xfId="3110" xr:uid="{00000000-0005-0000-0000-00005D0D0000}"/>
    <cellStyle name="0.00 3 2" xfId="3111" xr:uid="{00000000-0005-0000-0000-00005E0D0000}"/>
    <cellStyle name="0.00 3 3" xfId="3112" xr:uid="{00000000-0005-0000-0000-00005F0D0000}"/>
    <cellStyle name="0.00 3 4" xfId="3113" xr:uid="{00000000-0005-0000-0000-0000600D0000}"/>
    <cellStyle name="0.00 3 5" xfId="3114" xr:uid="{00000000-0005-0000-0000-0000610D0000}"/>
    <cellStyle name="0.00%" xfId="3115" xr:uid="{00000000-0005-0000-0000-0000620D0000}"/>
    <cellStyle name="0.00% 2" xfId="3116" xr:uid="{00000000-0005-0000-0000-0000630D0000}"/>
    <cellStyle name="0.00_1부여부지 콘도미니엄 신축공사 AV설비 견적서_20100121" xfId="3117" xr:uid="{00000000-0005-0000-0000-0000640D0000}"/>
    <cellStyle name="0.000%" xfId="3118" xr:uid="{00000000-0005-0000-0000-0000650D0000}"/>
    <cellStyle name="0.000% 2" xfId="3119" xr:uid="{00000000-0005-0000-0000-0000660D0000}"/>
    <cellStyle name="0.0000%" xfId="3120" xr:uid="{00000000-0005-0000-0000-0000670D0000}"/>
    <cellStyle name="0.0000% 2" xfId="3121" xr:uid="{00000000-0005-0000-0000-0000680D0000}"/>
    <cellStyle name="0.0000% 2 2" xfId="3122" xr:uid="{00000000-0005-0000-0000-0000690D0000}"/>
    <cellStyle name="0.0000% 2 2 2" xfId="3123" xr:uid="{00000000-0005-0000-0000-00006A0D0000}"/>
    <cellStyle name="0.0000% 2 3" xfId="3124" xr:uid="{00000000-0005-0000-0000-00006B0D0000}"/>
    <cellStyle name="0.0000% 3" xfId="3125" xr:uid="{00000000-0005-0000-0000-00006C0D0000}"/>
    <cellStyle name="0.0000% 3 2" xfId="3126" xr:uid="{00000000-0005-0000-0000-00006D0D0000}"/>
    <cellStyle name="0.0000% 4" xfId="3127" xr:uid="{00000000-0005-0000-0000-00006E0D0000}"/>
    <cellStyle name="0.0000% 4 2" xfId="3128" xr:uid="{00000000-0005-0000-0000-00006F0D0000}"/>
    <cellStyle name="0.0000% 5" xfId="3129" xr:uid="{00000000-0005-0000-0000-0000700D0000}"/>
    <cellStyle name="¼yAU(R)" xfId="3130" xr:uid="{00000000-0005-0000-0000-0000710D0000}"/>
    <cellStyle name="¼yAU(R) 2" xfId="3131" xr:uid="{00000000-0005-0000-0000-0000720D0000}"/>
    <cellStyle name="1" xfId="3132" xr:uid="{00000000-0005-0000-0000-0000730D0000}"/>
    <cellStyle name="1 000 Kč_RESULTS" xfId="16318" xr:uid="{00000000-0005-0000-0000-0000740D0000}"/>
    <cellStyle name="1 2" xfId="3133" xr:uid="{00000000-0005-0000-0000-0000750D0000}"/>
    <cellStyle name="1 3" xfId="3134" xr:uid="{00000000-0005-0000-0000-0000760D0000}"/>
    <cellStyle name="1 4" xfId="16907" xr:uid="{00000000-0005-0000-0000-0000770D0000}"/>
    <cellStyle name="1 5" xfId="16905" xr:uid="{00000000-0005-0000-0000-0000780D0000}"/>
    <cellStyle name="1 6" xfId="16994" xr:uid="{00000000-0005-0000-0000-0000790D0000}"/>
    <cellStyle name="¹?ºÐ?²_±¸¸?³³±?" xfId="3135" xr:uid="{00000000-0005-0000-0000-00007A0D0000}"/>
    <cellStyle name="1_고산중(내역)" xfId="3136" xr:uid="{00000000-0005-0000-0000-00007B0D0000}"/>
    <cellStyle name="1_고산중공내역" xfId="3137" xr:uid="{00000000-0005-0000-0000-00007C0D0000}"/>
    <cellStyle name="1_단가조사표" xfId="3138" xr:uid="{00000000-0005-0000-0000-00007D0D0000}"/>
    <cellStyle name="1_단가조사표_1011소각" xfId="16319" xr:uid="{00000000-0005-0000-0000-00007E0D0000}"/>
    <cellStyle name="1_단가조사표_121내역" xfId="16320" xr:uid="{00000000-0005-0000-0000-00007F0D0000}"/>
    <cellStyle name="1_단가조사표_객토량" xfId="16321" xr:uid="{00000000-0005-0000-0000-0000800D0000}"/>
    <cellStyle name="1_단가조사표_교통센~1" xfId="16322" xr:uid="{00000000-0005-0000-0000-0000810D0000}"/>
    <cellStyle name="1_단가조사표_구조물대가 (2)" xfId="16323" xr:uid="{00000000-0005-0000-0000-0000820D0000}"/>
    <cellStyle name="1_단가조사표_내역서 (2)" xfId="16324" xr:uid="{00000000-0005-0000-0000-0000830D0000}"/>
    <cellStyle name="1_단가조사표_부대시설" xfId="16325" xr:uid="{00000000-0005-0000-0000-0000840D0000}"/>
    <cellStyle name="1_단가조사표_소각수~1" xfId="16326" xr:uid="{00000000-0005-0000-0000-0000850D0000}"/>
    <cellStyle name="1_단가조사표_소각수내역서" xfId="16327" xr:uid="{00000000-0005-0000-0000-0000860D0000}"/>
    <cellStyle name="1_단가조사표_소각수목2" xfId="16328" xr:uid="{00000000-0005-0000-0000-0000870D0000}"/>
    <cellStyle name="1_단가조사표_수량산출서 (2)" xfId="16329" xr:uid="{00000000-0005-0000-0000-0000880D0000}"/>
    <cellStyle name="1_단가조사표_엑스포~1" xfId="16330" xr:uid="{00000000-0005-0000-0000-0000890D0000}"/>
    <cellStyle name="1_단가조사표_엑스포한빛1" xfId="16331" xr:uid="{00000000-0005-0000-0000-00008A0D0000}"/>
    <cellStyle name="1_단가조사표_원가계~1" xfId="16332" xr:uid="{00000000-0005-0000-0000-00008B0D0000}"/>
    <cellStyle name="1_단가조사표_유기질" xfId="16333" xr:uid="{00000000-0005-0000-0000-00008C0D0000}"/>
    <cellStyle name="1_단가조사표_자재조서 (2)" xfId="16334" xr:uid="{00000000-0005-0000-0000-00008D0D0000}"/>
    <cellStyle name="1_단가조사표_총괄내역" xfId="16335" xr:uid="{00000000-0005-0000-0000-00008E0D0000}"/>
    <cellStyle name="1_단가조사표_총괄내역 (2)" xfId="16336" xr:uid="{00000000-0005-0000-0000-00008F0D0000}"/>
    <cellStyle name="1_단가조사표_포장일위" xfId="16337" xr:uid="{00000000-0005-0000-0000-0000900D0000}"/>
    <cellStyle name="1_백석초중신축공사(내역-수정)" xfId="3139" xr:uid="{00000000-0005-0000-0000-0000910D0000}"/>
    <cellStyle name="1_백석초중신축공사(내역-수정)_통합양식(경영기획)040914" xfId="3140" xr:uid="{00000000-0005-0000-0000-0000920D0000}"/>
    <cellStyle name="1_백석초중신축공사-공내역" xfId="3141" xr:uid="{00000000-0005-0000-0000-0000930D0000}"/>
    <cellStyle name="1_백석초중신축공사-공내역_통합양식(경영기획)040914" xfId="3142" xr:uid="{00000000-0005-0000-0000-0000940D0000}"/>
    <cellStyle name="1_시민계략공사" xfId="3143" xr:uid="{00000000-0005-0000-0000-0000950D0000}"/>
    <cellStyle name="1_시민계략공사 2" xfId="3144" xr:uid="{00000000-0005-0000-0000-0000960D0000}"/>
    <cellStyle name="1_시민계략공사_2002년도각종계산서너릿제터널등7개소" xfId="3145" xr:uid="{00000000-0005-0000-0000-0000970D0000}"/>
    <cellStyle name="1_시민계략공사_2003년 각종계산서(읽기전용)" xfId="16338" xr:uid="{00000000-0005-0000-0000-0000980D0000}"/>
    <cellStyle name="1_시민계략공사_2003년 각종계산서(읽기전용)_내역서(전기)" xfId="16339" xr:uid="{00000000-0005-0000-0000-0000990D0000}"/>
    <cellStyle name="1_시민계략공사_Book2" xfId="3146" xr:uid="{00000000-0005-0000-0000-00009A0D0000}"/>
    <cellStyle name="1_시민계략공사_각종계산서" xfId="16340" xr:uid="{00000000-0005-0000-0000-00009B0D0000}"/>
    <cellStyle name="1_시민계략공사_계산서및내역서5월9일변경" xfId="3147" xr:uid="{00000000-0005-0000-0000-00009C0D0000}"/>
    <cellStyle name="1_시민계략공사_광양중동중학교실증축공사(전기)-4월10일한번더" xfId="3148" xr:uid="{00000000-0005-0000-0000-00009D0D0000}"/>
    <cellStyle name="1_시민계략공사_무안연꽃방죽(4월9일)한번더" xfId="3149" xr:uid="{00000000-0005-0000-0000-00009E0D0000}"/>
    <cellStyle name="1_시민계략공사_보일약국~순국비간 도로개설 가로등설치공사" xfId="3150" xr:uid="{00000000-0005-0000-0000-00009F0D0000}"/>
    <cellStyle name="1_시민계략공사_복지관 부하계산서" xfId="16341" xr:uid="{00000000-0005-0000-0000-0000A00D0000}"/>
    <cellStyle name="1_시민계략공사_복지관 부하계산서_내역서(전기)" xfId="16342" xr:uid="{00000000-0005-0000-0000-0000A10D0000}"/>
    <cellStyle name="1_시민계략공사_봉산면보건지소신축공사(전기)11월30일변경" xfId="3151" xr:uid="{00000000-0005-0000-0000-0000A20D0000}"/>
    <cellStyle name="1_시민계략공사_북문로(팔마로)가로등설치공사(변경)3월11일" xfId="3152" xr:uid="{00000000-0005-0000-0000-0000A30D0000}"/>
    <cellStyle name="1_시민계략공사_북문팔마로확포장공사가로등" xfId="3153" xr:uid="{00000000-0005-0000-0000-0000A40D0000}"/>
    <cellStyle name="1_시민계략공사_비상부하,발전기용량 계산서" xfId="16343" xr:uid="{00000000-0005-0000-0000-0000A50D0000}"/>
    <cellStyle name="1_시민계략공사_비상부하,발전기용량 계산서_내역서(전기)" xfId="16344" xr:uid="{00000000-0005-0000-0000-0000A60D0000}"/>
    <cellStyle name="1_시민계략공사_율촌중학교심야전기" xfId="3154" xr:uid="{00000000-0005-0000-0000-0000A70D0000}"/>
    <cellStyle name="1_시민계략공사_전기-한남" xfId="3155" xr:uid="{00000000-0005-0000-0000-0000A80D0000}"/>
    <cellStyle name="1_시민계략공사_조도계산서" xfId="16345" xr:uid="{00000000-0005-0000-0000-0000A90D0000}"/>
    <cellStyle name="1_시민계략공사_조도계산서_내역서(전기)" xfId="16346" xr:uid="{00000000-0005-0000-0000-0000AA0D0000}"/>
    <cellStyle name="1_신방중(내역)" xfId="3156" xr:uid="{00000000-0005-0000-0000-0000AB0D0000}"/>
    <cellStyle name="1_신방중(내역)_통합양식(경영기획)040914" xfId="3157" xr:uid="{00000000-0005-0000-0000-0000AC0D0000}"/>
    <cellStyle name="1_실정보고설명서-개요서-내역서등-20080524" xfId="16347" xr:uid="{00000000-0005-0000-0000-0000AD0D0000}"/>
    <cellStyle name="1_천안 백석초,중-대아적격(100억이상)" xfId="3158" xr:uid="{00000000-0005-0000-0000-0000AE0D0000}"/>
    <cellStyle name="1_협조전" xfId="3159" xr:uid="{00000000-0005-0000-0000-0000AF0D0000}"/>
    <cellStyle name="1_협조전 2" xfId="3160" xr:uid="{00000000-0005-0000-0000-0000B00D0000}"/>
    <cellStyle name="10" xfId="3161" xr:uid="{00000000-0005-0000-0000-0000B10D0000}"/>
    <cellStyle name="10 2" xfId="3162" xr:uid="{00000000-0005-0000-0000-0000B20D0000}"/>
    <cellStyle name="19990216" xfId="3163" xr:uid="{00000000-0005-0000-0000-0000B30D0000}"/>
    <cellStyle name="19990216 2" xfId="3164" xr:uid="{00000000-0005-0000-0000-0000B40D0000}"/>
    <cellStyle name="¹e" xfId="16348" xr:uid="{00000000-0005-0000-0000-0000B50D0000}"/>
    <cellStyle name="¹éºÐÀ²_±¸¸Å³³±â" xfId="3165" xr:uid="{00000000-0005-0000-0000-0000B60D0000}"/>
    <cellStyle name="¹eºÐA²_±aA¸" xfId="3166" xr:uid="{00000000-0005-0000-0000-0000B70D0000}"/>
    <cellStyle name="1월" xfId="3167" xr:uid="{00000000-0005-0000-0000-0000B80D0000}"/>
    <cellStyle name="1월 2" xfId="3168" xr:uid="{00000000-0005-0000-0000-0000B90D0000}"/>
    <cellStyle name="2" xfId="3169" xr:uid="{00000000-0005-0000-0000-0000BA0D0000}"/>
    <cellStyle name="² 2" xfId="3170" xr:uid="{00000000-0005-0000-0000-0000BB0D0000}"/>
    <cellStyle name="2)" xfId="3171" xr:uid="{00000000-0005-0000-0000-0000BC0D0000}"/>
    <cellStyle name="2) 2" xfId="3172" xr:uid="{00000000-0005-0000-0000-0000BD0D0000}"/>
    <cellStyle name="2_단가조사표" xfId="3173" xr:uid="{00000000-0005-0000-0000-0000BE0D0000}"/>
    <cellStyle name="2_단가조사표_1011소각" xfId="16349" xr:uid="{00000000-0005-0000-0000-0000BF0D0000}"/>
    <cellStyle name="2_단가조사표_121내역" xfId="16350" xr:uid="{00000000-0005-0000-0000-0000C00D0000}"/>
    <cellStyle name="2_단가조사표_객토량" xfId="16351" xr:uid="{00000000-0005-0000-0000-0000C10D0000}"/>
    <cellStyle name="2_단가조사표_교통센~1" xfId="16352" xr:uid="{00000000-0005-0000-0000-0000C20D0000}"/>
    <cellStyle name="2_단가조사표_구조물대가 (2)" xfId="16353" xr:uid="{00000000-0005-0000-0000-0000C30D0000}"/>
    <cellStyle name="2_단가조사표_내역서 (2)" xfId="16354" xr:uid="{00000000-0005-0000-0000-0000C40D0000}"/>
    <cellStyle name="2_단가조사표_부대시설" xfId="16355" xr:uid="{00000000-0005-0000-0000-0000C50D0000}"/>
    <cellStyle name="2_단가조사표_소각수~1" xfId="16356" xr:uid="{00000000-0005-0000-0000-0000C60D0000}"/>
    <cellStyle name="2_단가조사표_소각수내역서" xfId="16357" xr:uid="{00000000-0005-0000-0000-0000C70D0000}"/>
    <cellStyle name="2_단가조사표_소각수목2" xfId="16358" xr:uid="{00000000-0005-0000-0000-0000C80D0000}"/>
    <cellStyle name="2_단가조사표_수량산출서 (2)" xfId="16359" xr:uid="{00000000-0005-0000-0000-0000C90D0000}"/>
    <cellStyle name="2_단가조사표_엑스포~1" xfId="16360" xr:uid="{00000000-0005-0000-0000-0000CA0D0000}"/>
    <cellStyle name="2_단가조사표_엑스포한빛1" xfId="16361" xr:uid="{00000000-0005-0000-0000-0000CB0D0000}"/>
    <cellStyle name="2_단가조사표_원가계~1" xfId="16362" xr:uid="{00000000-0005-0000-0000-0000CC0D0000}"/>
    <cellStyle name="2_단가조사표_유기질" xfId="16363" xr:uid="{00000000-0005-0000-0000-0000CD0D0000}"/>
    <cellStyle name="2_단가조사표_자재조서 (2)" xfId="16364" xr:uid="{00000000-0005-0000-0000-0000CE0D0000}"/>
    <cellStyle name="2_단가조사표_총괄내역" xfId="16365" xr:uid="{00000000-0005-0000-0000-0000CF0D0000}"/>
    <cellStyle name="2_단가조사표_총괄내역 (2)" xfId="16366" xr:uid="{00000000-0005-0000-0000-0000D00D0000}"/>
    <cellStyle name="2_단가조사표_포장일위" xfId="16367" xr:uid="{00000000-0005-0000-0000-0000D10D0000}"/>
    <cellStyle name="20% - Accent1" xfId="15957" xr:uid="{00000000-0005-0000-0000-0000D20D0000}"/>
    <cellStyle name="20% - Accent2" xfId="15958" xr:uid="{00000000-0005-0000-0000-0000D30D0000}"/>
    <cellStyle name="20% - Accent3" xfId="15959" xr:uid="{00000000-0005-0000-0000-0000D40D0000}"/>
    <cellStyle name="20% - Accent4" xfId="15960" xr:uid="{00000000-0005-0000-0000-0000D50D0000}"/>
    <cellStyle name="20% - Accent5" xfId="15961" xr:uid="{00000000-0005-0000-0000-0000D60D0000}"/>
    <cellStyle name="20% - Accent6" xfId="15962" xr:uid="{00000000-0005-0000-0000-0000D70D0000}"/>
    <cellStyle name="20% - 강조색1 2" xfId="3174" xr:uid="{00000000-0005-0000-0000-0000D80D0000}"/>
    <cellStyle name="20% - 강조색1 2 10" xfId="3175" xr:uid="{00000000-0005-0000-0000-0000D90D0000}"/>
    <cellStyle name="20% - 강조색1 2 11" xfId="3176" xr:uid="{00000000-0005-0000-0000-0000DA0D0000}"/>
    <cellStyle name="20% - 강조색1 2 2" xfId="3177" xr:uid="{00000000-0005-0000-0000-0000DB0D0000}"/>
    <cellStyle name="20% - 강조색1 2 2 2" xfId="3178" xr:uid="{00000000-0005-0000-0000-0000DC0D0000}"/>
    <cellStyle name="20% - 강조색1 2 3" xfId="3179" xr:uid="{00000000-0005-0000-0000-0000DD0D0000}"/>
    <cellStyle name="20% - 강조색1 2 3 2" xfId="3180" xr:uid="{00000000-0005-0000-0000-0000DE0D0000}"/>
    <cellStyle name="20% - 강조색1 2 4" xfId="3181" xr:uid="{00000000-0005-0000-0000-0000DF0D0000}"/>
    <cellStyle name="20% - 강조색1 2 4 2" xfId="3182" xr:uid="{00000000-0005-0000-0000-0000E00D0000}"/>
    <cellStyle name="20% - 강조색1 2 5" xfId="3183" xr:uid="{00000000-0005-0000-0000-0000E10D0000}"/>
    <cellStyle name="20% - 강조색1 2 5 2" xfId="3184" xr:uid="{00000000-0005-0000-0000-0000E20D0000}"/>
    <cellStyle name="20% - 강조색1 2 6" xfId="3185" xr:uid="{00000000-0005-0000-0000-0000E30D0000}"/>
    <cellStyle name="20% - 강조색1 2 6 2" xfId="3186" xr:uid="{00000000-0005-0000-0000-0000E40D0000}"/>
    <cellStyle name="20% - 강조색1 2 7" xfId="3187" xr:uid="{00000000-0005-0000-0000-0000E50D0000}"/>
    <cellStyle name="20% - 강조색1 2 7 2" xfId="3188" xr:uid="{00000000-0005-0000-0000-0000E60D0000}"/>
    <cellStyle name="20% - 강조색1 2 8" xfId="3189" xr:uid="{00000000-0005-0000-0000-0000E70D0000}"/>
    <cellStyle name="20% - 강조색1 2 8 2" xfId="3190" xr:uid="{00000000-0005-0000-0000-0000E80D0000}"/>
    <cellStyle name="20% - 강조색1 2 9" xfId="3191" xr:uid="{00000000-0005-0000-0000-0000E90D0000}"/>
    <cellStyle name="20% - 강조색1 2 9 2" xfId="3192" xr:uid="{00000000-0005-0000-0000-0000EA0D0000}"/>
    <cellStyle name="20% - 강조색1 3" xfId="3193" xr:uid="{00000000-0005-0000-0000-0000EB0D0000}"/>
    <cellStyle name="20% - 강조색1 3 10" xfId="3194" xr:uid="{00000000-0005-0000-0000-0000EC0D0000}"/>
    <cellStyle name="20% - 강조색1 3 11" xfId="16960" xr:uid="{00000000-0005-0000-0000-0000ED0D0000}"/>
    <cellStyle name="20% - 강조색1 3 2" xfId="3195" xr:uid="{00000000-0005-0000-0000-0000EE0D0000}"/>
    <cellStyle name="20% - 강조색1 3 2 2" xfId="3196" xr:uid="{00000000-0005-0000-0000-0000EF0D0000}"/>
    <cellStyle name="20% - 강조색1 3 3" xfId="3197" xr:uid="{00000000-0005-0000-0000-0000F00D0000}"/>
    <cellStyle name="20% - 강조색1 3 3 2" xfId="3198" xr:uid="{00000000-0005-0000-0000-0000F10D0000}"/>
    <cellStyle name="20% - 강조색1 3 4" xfId="3199" xr:uid="{00000000-0005-0000-0000-0000F20D0000}"/>
    <cellStyle name="20% - 강조색1 3 4 2" xfId="3200" xr:uid="{00000000-0005-0000-0000-0000F30D0000}"/>
    <cellStyle name="20% - 강조색1 3 5" xfId="3201" xr:uid="{00000000-0005-0000-0000-0000F40D0000}"/>
    <cellStyle name="20% - 강조색1 3 5 2" xfId="3202" xr:uid="{00000000-0005-0000-0000-0000F50D0000}"/>
    <cellStyle name="20% - 강조색1 3 6" xfId="3203" xr:uid="{00000000-0005-0000-0000-0000F60D0000}"/>
    <cellStyle name="20% - 강조색1 3 6 2" xfId="3204" xr:uid="{00000000-0005-0000-0000-0000F70D0000}"/>
    <cellStyle name="20% - 강조색1 3 7" xfId="3205" xr:uid="{00000000-0005-0000-0000-0000F80D0000}"/>
    <cellStyle name="20% - 강조색1 3 7 2" xfId="3206" xr:uid="{00000000-0005-0000-0000-0000F90D0000}"/>
    <cellStyle name="20% - 강조색1 3 8" xfId="3207" xr:uid="{00000000-0005-0000-0000-0000FA0D0000}"/>
    <cellStyle name="20% - 강조색1 3 8 2" xfId="3208" xr:uid="{00000000-0005-0000-0000-0000FB0D0000}"/>
    <cellStyle name="20% - 강조색1 3 9" xfId="3209" xr:uid="{00000000-0005-0000-0000-0000FC0D0000}"/>
    <cellStyle name="20% - 강조색1 3 9 2" xfId="3210" xr:uid="{00000000-0005-0000-0000-0000FD0D0000}"/>
    <cellStyle name="20% - 강조색1 4" xfId="3211" xr:uid="{00000000-0005-0000-0000-0000FE0D0000}"/>
    <cellStyle name="20% - 강조색1 4 10" xfId="3212" xr:uid="{00000000-0005-0000-0000-0000FF0D0000}"/>
    <cellStyle name="20% - 강조색1 4 2" xfId="3213" xr:uid="{00000000-0005-0000-0000-0000000E0000}"/>
    <cellStyle name="20% - 강조색1 4 2 2" xfId="3214" xr:uid="{00000000-0005-0000-0000-0000010E0000}"/>
    <cellStyle name="20% - 강조색1 4 3" xfId="3215" xr:uid="{00000000-0005-0000-0000-0000020E0000}"/>
    <cellStyle name="20% - 강조색1 4 3 2" xfId="3216" xr:uid="{00000000-0005-0000-0000-0000030E0000}"/>
    <cellStyle name="20% - 강조색1 4 4" xfId="3217" xr:uid="{00000000-0005-0000-0000-0000040E0000}"/>
    <cellStyle name="20% - 강조색1 4 4 2" xfId="3218" xr:uid="{00000000-0005-0000-0000-0000050E0000}"/>
    <cellStyle name="20% - 강조색1 4 5" xfId="3219" xr:uid="{00000000-0005-0000-0000-0000060E0000}"/>
    <cellStyle name="20% - 강조색1 4 5 2" xfId="3220" xr:uid="{00000000-0005-0000-0000-0000070E0000}"/>
    <cellStyle name="20% - 강조색1 4 6" xfId="3221" xr:uid="{00000000-0005-0000-0000-0000080E0000}"/>
    <cellStyle name="20% - 강조색1 4 6 2" xfId="3222" xr:uid="{00000000-0005-0000-0000-0000090E0000}"/>
    <cellStyle name="20% - 강조색1 4 7" xfId="3223" xr:uid="{00000000-0005-0000-0000-00000A0E0000}"/>
    <cellStyle name="20% - 강조색1 4 7 2" xfId="3224" xr:uid="{00000000-0005-0000-0000-00000B0E0000}"/>
    <cellStyle name="20% - 강조색1 4 8" xfId="3225" xr:uid="{00000000-0005-0000-0000-00000C0E0000}"/>
    <cellStyle name="20% - 강조색1 4 8 2" xfId="3226" xr:uid="{00000000-0005-0000-0000-00000D0E0000}"/>
    <cellStyle name="20% - 강조색1 4 9" xfId="3227" xr:uid="{00000000-0005-0000-0000-00000E0E0000}"/>
    <cellStyle name="20% - 강조색1 4 9 2" xfId="3228" xr:uid="{00000000-0005-0000-0000-00000F0E0000}"/>
    <cellStyle name="20% - 강조색1 5" xfId="3229" xr:uid="{00000000-0005-0000-0000-0000100E0000}"/>
    <cellStyle name="20% - 강조색1 5 10" xfId="3230" xr:uid="{00000000-0005-0000-0000-0000110E0000}"/>
    <cellStyle name="20% - 강조색1 5 2" xfId="3231" xr:uid="{00000000-0005-0000-0000-0000120E0000}"/>
    <cellStyle name="20% - 강조색1 5 2 2" xfId="3232" xr:uid="{00000000-0005-0000-0000-0000130E0000}"/>
    <cellStyle name="20% - 강조색1 5 3" xfId="3233" xr:uid="{00000000-0005-0000-0000-0000140E0000}"/>
    <cellStyle name="20% - 강조색1 5 3 2" xfId="3234" xr:uid="{00000000-0005-0000-0000-0000150E0000}"/>
    <cellStyle name="20% - 강조색1 5 4" xfId="3235" xr:uid="{00000000-0005-0000-0000-0000160E0000}"/>
    <cellStyle name="20% - 강조색1 5 4 2" xfId="3236" xr:uid="{00000000-0005-0000-0000-0000170E0000}"/>
    <cellStyle name="20% - 강조색1 5 5" xfId="3237" xr:uid="{00000000-0005-0000-0000-0000180E0000}"/>
    <cellStyle name="20% - 강조색1 5 5 2" xfId="3238" xr:uid="{00000000-0005-0000-0000-0000190E0000}"/>
    <cellStyle name="20% - 강조색1 5 6" xfId="3239" xr:uid="{00000000-0005-0000-0000-00001A0E0000}"/>
    <cellStyle name="20% - 강조색1 5 6 2" xfId="3240" xr:uid="{00000000-0005-0000-0000-00001B0E0000}"/>
    <cellStyle name="20% - 강조색1 5 7" xfId="3241" xr:uid="{00000000-0005-0000-0000-00001C0E0000}"/>
    <cellStyle name="20% - 강조색1 5 7 2" xfId="3242" xr:uid="{00000000-0005-0000-0000-00001D0E0000}"/>
    <cellStyle name="20% - 강조색1 5 8" xfId="3243" xr:uid="{00000000-0005-0000-0000-00001E0E0000}"/>
    <cellStyle name="20% - 강조색1 5 8 2" xfId="3244" xr:uid="{00000000-0005-0000-0000-00001F0E0000}"/>
    <cellStyle name="20% - 강조색1 5 9" xfId="3245" xr:uid="{00000000-0005-0000-0000-0000200E0000}"/>
    <cellStyle name="20% - 강조색1 5 9 2" xfId="3246" xr:uid="{00000000-0005-0000-0000-0000210E0000}"/>
    <cellStyle name="20% - 강조색1 6" xfId="3247" xr:uid="{00000000-0005-0000-0000-0000220E0000}"/>
    <cellStyle name="20% - 강조색1 6 10" xfId="3248" xr:uid="{00000000-0005-0000-0000-0000230E0000}"/>
    <cellStyle name="20% - 강조색1 6 2" xfId="3249" xr:uid="{00000000-0005-0000-0000-0000240E0000}"/>
    <cellStyle name="20% - 강조색1 6 2 2" xfId="3250" xr:uid="{00000000-0005-0000-0000-0000250E0000}"/>
    <cellStyle name="20% - 강조색1 6 3" xfId="3251" xr:uid="{00000000-0005-0000-0000-0000260E0000}"/>
    <cellStyle name="20% - 강조색1 6 3 2" xfId="3252" xr:uid="{00000000-0005-0000-0000-0000270E0000}"/>
    <cellStyle name="20% - 강조색1 6 4" xfId="3253" xr:uid="{00000000-0005-0000-0000-0000280E0000}"/>
    <cellStyle name="20% - 강조색1 6 4 2" xfId="3254" xr:uid="{00000000-0005-0000-0000-0000290E0000}"/>
    <cellStyle name="20% - 강조색1 6 5" xfId="3255" xr:uid="{00000000-0005-0000-0000-00002A0E0000}"/>
    <cellStyle name="20% - 강조색1 6 5 2" xfId="3256" xr:uid="{00000000-0005-0000-0000-00002B0E0000}"/>
    <cellStyle name="20% - 강조색1 6 6" xfId="3257" xr:uid="{00000000-0005-0000-0000-00002C0E0000}"/>
    <cellStyle name="20% - 강조색1 6 6 2" xfId="3258" xr:uid="{00000000-0005-0000-0000-00002D0E0000}"/>
    <cellStyle name="20% - 강조색1 6 7" xfId="3259" xr:uid="{00000000-0005-0000-0000-00002E0E0000}"/>
    <cellStyle name="20% - 강조색1 6 7 2" xfId="3260" xr:uid="{00000000-0005-0000-0000-00002F0E0000}"/>
    <cellStyle name="20% - 강조색1 6 8" xfId="3261" xr:uid="{00000000-0005-0000-0000-0000300E0000}"/>
    <cellStyle name="20% - 강조색1 6 8 2" xfId="3262" xr:uid="{00000000-0005-0000-0000-0000310E0000}"/>
    <cellStyle name="20% - 강조색1 6 9" xfId="3263" xr:uid="{00000000-0005-0000-0000-0000320E0000}"/>
    <cellStyle name="20% - 강조색1 6 9 2" xfId="3264" xr:uid="{00000000-0005-0000-0000-0000330E0000}"/>
    <cellStyle name="20% - 강조색2 2" xfId="3265" xr:uid="{00000000-0005-0000-0000-0000340E0000}"/>
    <cellStyle name="20% - 강조색2 2 10" xfId="3266" xr:uid="{00000000-0005-0000-0000-0000350E0000}"/>
    <cellStyle name="20% - 강조색2 2 2" xfId="3267" xr:uid="{00000000-0005-0000-0000-0000360E0000}"/>
    <cellStyle name="20% - 강조색2 2 2 2" xfId="3268" xr:uid="{00000000-0005-0000-0000-0000370E0000}"/>
    <cellStyle name="20% - 강조색2 2 3" xfId="3269" xr:uid="{00000000-0005-0000-0000-0000380E0000}"/>
    <cellStyle name="20% - 강조색2 2 3 2" xfId="3270" xr:uid="{00000000-0005-0000-0000-0000390E0000}"/>
    <cellStyle name="20% - 강조색2 2 4" xfId="3271" xr:uid="{00000000-0005-0000-0000-00003A0E0000}"/>
    <cellStyle name="20% - 강조색2 2 4 2" xfId="3272" xr:uid="{00000000-0005-0000-0000-00003B0E0000}"/>
    <cellStyle name="20% - 강조색2 2 5" xfId="3273" xr:uid="{00000000-0005-0000-0000-00003C0E0000}"/>
    <cellStyle name="20% - 강조색2 2 5 2" xfId="3274" xr:uid="{00000000-0005-0000-0000-00003D0E0000}"/>
    <cellStyle name="20% - 강조색2 2 6" xfId="3275" xr:uid="{00000000-0005-0000-0000-00003E0E0000}"/>
    <cellStyle name="20% - 강조색2 2 6 2" xfId="3276" xr:uid="{00000000-0005-0000-0000-00003F0E0000}"/>
    <cellStyle name="20% - 강조색2 2 7" xfId="3277" xr:uid="{00000000-0005-0000-0000-0000400E0000}"/>
    <cellStyle name="20% - 강조색2 2 7 2" xfId="3278" xr:uid="{00000000-0005-0000-0000-0000410E0000}"/>
    <cellStyle name="20% - 강조색2 2 8" xfId="3279" xr:uid="{00000000-0005-0000-0000-0000420E0000}"/>
    <cellStyle name="20% - 강조색2 2 8 2" xfId="3280" xr:uid="{00000000-0005-0000-0000-0000430E0000}"/>
    <cellStyle name="20% - 강조색2 2 9" xfId="3281" xr:uid="{00000000-0005-0000-0000-0000440E0000}"/>
    <cellStyle name="20% - 강조색2 2 9 2" xfId="3282" xr:uid="{00000000-0005-0000-0000-0000450E0000}"/>
    <cellStyle name="20% - 강조색2 3" xfId="3283" xr:uid="{00000000-0005-0000-0000-0000460E0000}"/>
    <cellStyle name="20% - 강조색2 3 10" xfId="3284" xr:uid="{00000000-0005-0000-0000-0000470E0000}"/>
    <cellStyle name="20% - 강조색2 3 11" xfId="16959" xr:uid="{00000000-0005-0000-0000-0000480E0000}"/>
    <cellStyle name="20% - 강조색2 3 2" xfId="3285" xr:uid="{00000000-0005-0000-0000-0000490E0000}"/>
    <cellStyle name="20% - 강조색2 3 2 2" xfId="3286" xr:uid="{00000000-0005-0000-0000-00004A0E0000}"/>
    <cellStyle name="20% - 강조색2 3 3" xfId="3287" xr:uid="{00000000-0005-0000-0000-00004B0E0000}"/>
    <cellStyle name="20% - 강조색2 3 3 2" xfId="3288" xr:uid="{00000000-0005-0000-0000-00004C0E0000}"/>
    <cellStyle name="20% - 강조색2 3 4" xfId="3289" xr:uid="{00000000-0005-0000-0000-00004D0E0000}"/>
    <cellStyle name="20% - 강조색2 3 4 2" xfId="3290" xr:uid="{00000000-0005-0000-0000-00004E0E0000}"/>
    <cellStyle name="20% - 강조색2 3 5" xfId="3291" xr:uid="{00000000-0005-0000-0000-00004F0E0000}"/>
    <cellStyle name="20% - 강조색2 3 5 2" xfId="3292" xr:uid="{00000000-0005-0000-0000-0000500E0000}"/>
    <cellStyle name="20% - 강조색2 3 6" xfId="3293" xr:uid="{00000000-0005-0000-0000-0000510E0000}"/>
    <cellStyle name="20% - 강조색2 3 6 2" xfId="3294" xr:uid="{00000000-0005-0000-0000-0000520E0000}"/>
    <cellStyle name="20% - 강조색2 3 7" xfId="3295" xr:uid="{00000000-0005-0000-0000-0000530E0000}"/>
    <cellStyle name="20% - 강조색2 3 7 2" xfId="3296" xr:uid="{00000000-0005-0000-0000-0000540E0000}"/>
    <cellStyle name="20% - 강조색2 3 8" xfId="3297" xr:uid="{00000000-0005-0000-0000-0000550E0000}"/>
    <cellStyle name="20% - 강조색2 3 8 2" xfId="3298" xr:uid="{00000000-0005-0000-0000-0000560E0000}"/>
    <cellStyle name="20% - 강조색2 3 9" xfId="3299" xr:uid="{00000000-0005-0000-0000-0000570E0000}"/>
    <cellStyle name="20% - 강조색2 3 9 2" xfId="3300" xr:uid="{00000000-0005-0000-0000-0000580E0000}"/>
    <cellStyle name="20% - 강조색2 4" xfId="3301" xr:uid="{00000000-0005-0000-0000-0000590E0000}"/>
    <cellStyle name="20% - 강조색2 4 10" xfId="3302" xr:uid="{00000000-0005-0000-0000-00005A0E0000}"/>
    <cellStyle name="20% - 강조색2 4 2" xfId="3303" xr:uid="{00000000-0005-0000-0000-00005B0E0000}"/>
    <cellStyle name="20% - 강조색2 4 2 2" xfId="3304" xr:uid="{00000000-0005-0000-0000-00005C0E0000}"/>
    <cellStyle name="20% - 강조색2 4 3" xfId="3305" xr:uid="{00000000-0005-0000-0000-00005D0E0000}"/>
    <cellStyle name="20% - 강조색2 4 3 2" xfId="3306" xr:uid="{00000000-0005-0000-0000-00005E0E0000}"/>
    <cellStyle name="20% - 강조색2 4 4" xfId="3307" xr:uid="{00000000-0005-0000-0000-00005F0E0000}"/>
    <cellStyle name="20% - 강조색2 4 4 2" xfId="3308" xr:uid="{00000000-0005-0000-0000-0000600E0000}"/>
    <cellStyle name="20% - 강조색2 4 5" xfId="3309" xr:uid="{00000000-0005-0000-0000-0000610E0000}"/>
    <cellStyle name="20% - 강조색2 4 5 2" xfId="3310" xr:uid="{00000000-0005-0000-0000-0000620E0000}"/>
    <cellStyle name="20% - 강조색2 4 6" xfId="3311" xr:uid="{00000000-0005-0000-0000-0000630E0000}"/>
    <cellStyle name="20% - 강조색2 4 6 2" xfId="3312" xr:uid="{00000000-0005-0000-0000-0000640E0000}"/>
    <cellStyle name="20% - 강조색2 4 7" xfId="3313" xr:uid="{00000000-0005-0000-0000-0000650E0000}"/>
    <cellStyle name="20% - 강조색2 4 7 2" xfId="3314" xr:uid="{00000000-0005-0000-0000-0000660E0000}"/>
    <cellStyle name="20% - 강조색2 4 8" xfId="3315" xr:uid="{00000000-0005-0000-0000-0000670E0000}"/>
    <cellStyle name="20% - 강조색2 4 8 2" xfId="3316" xr:uid="{00000000-0005-0000-0000-0000680E0000}"/>
    <cellStyle name="20% - 강조색2 4 9" xfId="3317" xr:uid="{00000000-0005-0000-0000-0000690E0000}"/>
    <cellStyle name="20% - 강조색2 4 9 2" xfId="3318" xr:uid="{00000000-0005-0000-0000-00006A0E0000}"/>
    <cellStyle name="20% - 강조색2 5" xfId="3319" xr:uid="{00000000-0005-0000-0000-00006B0E0000}"/>
    <cellStyle name="20% - 강조색2 5 10" xfId="3320" xr:uid="{00000000-0005-0000-0000-00006C0E0000}"/>
    <cellStyle name="20% - 강조색2 5 2" xfId="3321" xr:uid="{00000000-0005-0000-0000-00006D0E0000}"/>
    <cellStyle name="20% - 강조색2 5 2 2" xfId="3322" xr:uid="{00000000-0005-0000-0000-00006E0E0000}"/>
    <cellStyle name="20% - 강조색2 5 3" xfId="3323" xr:uid="{00000000-0005-0000-0000-00006F0E0000}"/>
    <cellStyle name="20% - 강조색2 5 3 2" xfId="3324" xr:uid="{00000000-0005-0000-0000-0000700E0000}"/>
    <cellStyle name="20% - 강조색2 5 4" xfId="3325" xr:uid="{00000000-0005-0000-0000-0000710E0000}"/>
    <cellStyle name="20% - 강조색2 5 4 2" xfId="3326" xr:uid="{00000000-0005-0000-0000-0000720E0000}"/>
    <cellStyle name="20% - 강조색2 5 5" xfId="3327" xr:uid="{00000000-0005-0000-0000-0000730E0000}"/>
    <cellStyle name="20% - 강조색2 5 5 2" xfId="3328" xr:uid="{00000000-0005-0000-0000-0000740E0000}"/>
    <cellStyle name="20% - 강조색2 5 6" xfId="3329" xr:uid="{00000000-0005-0000-0000-0000750E0000}"/>
    <cellStyle name="20% - 강조색2 5 6 2" xfId="3330" xr:uid="{00000000-0005-0000-0000-0000760E0000}"/>
    <cellStyle name="20% - 강조색2 5 7" xfId="3331" xr:uid="{00000000-0005-0000-0000-0000770E0000}"/>
    <cellStyle name="20% - 강조색2 5 7 2" xfId="3332" xr:uid="{00000000-0005-0000-0000-0000780E0000}"/>
    <cellStyle name="20% - 강조색2 5 8" xfId="3333" xr:uid="{00000000-0005-0000-0000-0000790E0000}"/>
    <cellStyle name="20% - 강조색2 5 8 2" xfId="3334" xr:uid="{00000000-0005-0000-0000-00007A0E0000}"/>
    <cellStyle name="20% - 강조색2 5 9" xfId="3335" xr:uid="{00000000-0005-0000-0000-00007B0E0000}"/>
    <cellStyle name="20% - 강조색2 5 9 2" xfId="3336" xr:uid="{00000000-0005-0000-0000-00007C0E0000}"/>
    <cellStyle name="20% - 강조색2 6" xfId="3337" xr:uid="{00000000-0005-0000-0000-00007D0E0000}"/>
    <cellStyle name="20% - 강조색2 6 10" xfId="3338" xr:uid="{00000000-0005-0000-0000-00007E0E0000}"/>
    <cellStyle name="20% - 강조색2 6 2" xfId="3339" xr:uid="{00000000-0005-0000-0000-00007F0E0000}"/>
    <cellStyle name="20% - 강조색2 6 2 2" xfId="3340" xr:uid="{00000000-0005-0000-0000-0000800E0000}"/>
    <cellStyle name="20% - 강조색2 6 3" xfId="3341" xr:uid="{00000000-0005-0000-0000-0000810E0000}"/>
    <cellStyle name="20% - 강조색2 6 3 2" xfId="3342" xr:uid="{00000000-0005-0000-0000-0000820E0000}"/>
    <cellStyle name="20% - 강조색2 6 4" xfId="3343" xr:uid="{00000000-0005-0000-0000-0000830E0000}"/>
    <cellStyle name="20% - 강조색2 6 4 2" xfId="3344" xr:uid="{00000000-0005-0000-0000-0000840E0000}"/>
    <cellStyle name="20% - 강조색2 6 5" xfId="3345" xr:uid="{00000000-0005-0000-0000-0000850E0000}"/>
    <cellStyle name="20% - 강조색2 6 5 2" xfId="3346" xr:uid="{00000000-0005-0000-0000-0000860E0000}"/>
    <cellStyle name="20% - 강조색2 6 6" xfId="3347" xr:uid="{00000000-0005-0000-0000-0000870E0000}"/>
    <cellStyle name="20% - 강조색2 6 6 2" xfId="3348" xr:uid="{00000000-0005-0000-0000-0000880E0000}"/>
    <cellStyle name="20% - 강조색2 6 7" xfId="3349" xr:uid="{00000000-0005-0000-0000-0000890E0000}"/>
    <cellStyle name="20% - 강조색2 6 7 2" xfId="3350" xr:uid="{00000000-0005-0000-0000-00008A0E0000}"/>
    <cellStyle name="20% - 강조색2 6 8" xfId="3351" xr:uid="{00000000-0005-0000-0000-00008B0E0000}"/>
    <cellStyle name="20% - 강조색2 6 8 2" xfId="3352" xr:uid="{00000000-0005-0000-0000-00008C0E0000}"/>
    <cellStyle name="20% - 강조색2 6 9" xfId="3353" xr:uid="{00000000-0005-0000-0000-00008D0E0000}"/>
    <cellStyle name="20% - 강조색2 6 9 2" xfId="3354" xr:uid="{00000000-0005-0000-0000-00008E0E0000}"/>
    <cellStyle name="20% - 강조색3 2" xfId="3355" xr:uid="{00000000-0005-0000-0000-00008F0E0000}"/>
    <cellStyle name="20% - 강조색3 2 10" xfId="3356" xr:uid="{00000000-0005-0000-0000-0000900E0000}"/>
    <cellStyle name="20% - 강조색3 2 2" xfId="3357" xr:uid="{00000000-0005-0000-0000-0000910E0000}"/>
    <cellStyle name="20% - 강조색3 2 2 2" xfId="3358" xr:uid="{00000000-0005-0000-0000-0000920E0000}"/>
    <cellStyle name="20% - 강조색3 2 2 3" xfId="16958" xr:uid="{00000000-0005-0000-0000-0000930E0000}"/>
    <cellStyle name="20% - 강조색3 2 3" xfId="3359" xr:uid="{00000000-0005-0000-0000-0000940E0000}"/>
    <cellStyle name="20% - 강조색3 2 3 2" xfId="3360" xr:uid="{00000000-0005-0000-0000-0000950E0000}"/>
    <cellStyle name="20% - 강조색3 2 4" xfId="3361" xr:uid="{00000000-0005-0000-0000-0000960E0000}"/>
    <cellStyle name="20% - 강조색3 2 4 2" xfId="3362" xr:uid="{00000000-0005-0000-0000-0000970E0000}"/>
    <cellStyle name="20% - 강조색3 2 5" xfId="3363" xr:uid="{00000000-0005-0000-0000-0000980E0000}"/>
    <cellStyle name="20% - 강조색3 2 5 2" xfId="3364" xr:uid="{00000000-0005-0000-0000-0000990E0000}"/>
    <cellStyle name="20% - 강조색3 2 6" xfId="3365" xr:uid="{00000000-0005-0000-0000-00009A0E0000}"/>
    <cellStyle name="20% - 강조색3 2 6 2" xfId="3366" xr:uid="{00000000-0005-0000-0000-00009B0E0000}"/>
    <cellStyle name="20% - 강조색3 2 7" xfId="3367" xr:uid="{00000000-0005-0000-0000-00009C0E0000}"/>
    <cellStyle name="20% - 강조색3 2 7 2" xfId="3368" xr:uid="{00000000-0005-0000-0000-00009D0E0000}"/>
    <cellStyle name="20% - 강조색3 2 8" xfId="3369" xr:uid="{00000000-0005-0000-0000-00009E0E0000}"/>
    <cellStyle name="20% - 강조색3 2 8 2" xfId="3370" xr:uid="{00000000-0005-0000-0000-00009F0E0000}"/>
    <cellStyle name="20% - 강조색3 2 9" xfId="3371" xr:uid="{00000000-0005-0000-0000-0000A00E0000}"/>
    <cellStyle name="20% - 강조색3 2 9 2" xfId="3372" xr:uid="{00000000-0005-0000-0000-0000A10E0000}"/>
    <cellStyle name="20% - 강조색3 3" xfId="3373" xr:uid="{00000000-0005-0000-0000-0000A20E0000}"/>
    <cellStyle name="20% - 강조색3 3 10" xfId="3374" xr:uid="{00000000-0005-0000-0000-0000A30E0000}"/>
    <cellStyle name="20% - 강조색3 3 2" xfId="3375" xr:uid="{00000000-0005-0000-0000-0000A40E0000}"/>
    <cellStyle name="20% - 강조색3 3 2 2" xfId="3376" xr:uid="{00000000-0005-0000-0000-0000A50E0000}"/>
    <cellStyle name="20% - 강조색3 3 3" xfId="3377" xr:uid="{00000000-0005-0000-0000-0000A60E0000}"/>
    <cellStyle name="20% - 강조색3 3 3 2" xfId="3378" xr:uid="{00000000-0005-0000-0000-0000A70E0000}"/>
    <cellStyle name="20% - 강조색3 3 4" xfId="3379" xr:uid="{00000000-0005-0000-0000-0000A80E0000}"/>
    <cellStyle name="20% - 강조색3 3 4 2" xfId="3380" xr:uid="{00000000-0005-0000-0000-0000A90E0000}"/>
    <cellStyle name="20% - 강조색3 3 5" xfId="3381" xr:uid="{00000000-0005-0000-0000-0000AA0E0000}"/>
    <cellStyle name="20% - 강조색3 3 5 2" xfId="3382" xr:uid="{00000000-0005-0000-0000-0000AB0E0000}"/>
    <cellStyle name="20% - 강조색3 3 6" xfId="3383" xr:uid="{00000000-0005-0000-0000-0000AC0E0000}"/>
    <cellStyle name="20% - 강조색3 3 6 2" xfId="3384" xr:uid="{00000000-0005-0000-0000-0000AD0E0000}"/>
    <cellStyle name="20% - 강조색3 3 7" xfId="3385" xr:uid="{00000000-0005-0000-0000-0000AE0E0000}"/>
    <cellStyle name="20% - 강조색3 3 7 2" xfId="3386" xr:uid="{00000000-0005-0000-0000-0000AF0E0000}"/>
    <cellStyle name="20% - 강조색3 3 8" xfId="3387" xr:uid="{00000000-0005-0000-0000-0000B00E0000}"/>
    <cellStyle name="20% - 강조색3 3 8 2" xfId="3388" xr:uid="{00000000-0005-0000-0000-0000B10E0000}"/>
    <cellStyle name="20% - 강조색3 3 9" xfId="3389" xr:uid="{00000000-0005-0000-0000-0000B20E0000}"/>
    <cellStyle name="20% - 강조색3 3 9 2" xfId="3390" xr:uid="{00000000-0005-0000-0000-0000B30E0000}"/>
    <cellStyle name="20% - 강조색3 4" xfId="3391" xr:uid="{00000000-0005-0000-0000-0000B40E0000}"/>
    <cellStyle name="20% - 강조색3 4 10" xfId="3392" xr:uid="{00000000-0005-0000-0000-0000B50E0000}"/>
    <cellStyle name="20% - 강조색3 4 2" xfId="3393" xr:uid="{00000000-0005-0000-0000-0000B60E0000}"/>
    <cellStyle name="20% - 강조색3 4 2 2" xfId="3394" xr:uid="{00000000-0005-0000-0000-0000B70E0000}"/>
    <cellStyle name="20% - 강조색3 4 3" xfId="3395" xr:uid="{00000000-0005-0000-0000-0000B80E0000}"/>
    <cellStyle name="20% - 강조색3 4 3 2" xfId="3396" xr:uid="{00000000-0005-0000-0000-0000B90E0000}"/>
    <cellStyle name="20% - 강조색3 4 4" xfId="3397" xr:uid="{00000000-0005-0000-0000-0000BA0E0000}"/>
    <cellStyle name="20% - 강조색3 4 4 2" xfId="3398" xr:uid="{00000000-0005-0000-0000-0000BB0E0000}"/>
    <cellStyle name="20% - 강조색3 4 5" xfId="3399" xr:uid="{00000000-0005-0000-0000-0000BC0E0000}"/>
    <cellStyle name="20% - 강조색3 4 5 2" xfId="3400" xr:uid="{00000000-0005-0000-0000-0000BD0E0000}"/>
    <cellStyle name="20% - 강조색3 4 6" xfId="3401" xr:uid="{00000000-0005-0000-0000-0000BE0E0000}"/>
    <cellStyle name="20% - 강조색3 4 6 2" xfId="3402" xr:uid="{00000000-0005-0000-0000-0000BF0E0000}"/>
    <cellStyle name="20% - 강조색3 4 7" xfId="3403" xr:uid="{00000000-0005-0000-0000-0000C00E0000}"/>
    <cellStyle name="20% - 강조색3 4 7 2" xfId="3404" xr:uid="{00000000-0005-0000-0000-0000C10E0000}"/>
    <cellStyle name="20% - 강조색3 4 8" xfId="3405" xr:uid="{00000000-0005-0000-0000-0000C20E0000}"/>
    <cellStyle name="20% - 강조색3 4 8 2" xfId="3406" xr:uid="{00000000-0005-0000-0000-0000C30E0000}"/>
    <cellStyle name="20% - 강조색3 4 9" xfId="3407" xr:uid="{00000000-0005-0000-0000-0000C40E0000}"/>
    <cellStyle name="20% - 강조색3 4 9 2" xfId="3408" xr:uid="{00000000-0005-0000-0000-0000C50E0000}"/>
    <cellStyle name="20% - 강조색3 5" xfId="3409" xr:uid="{00000000-0005-0000-0000-0000C60E0000}"/>
    <cellStyle name="20% - 강조색3 5 10" xfId="3410" xr:uid="{00000000-0005-0000-0000-0000C70E0000}"/>
    <cellStyle name="20% - 강조색3 5 2" xfId="3411" xr:uid="{00000000-0005-0000-0000-0000C80E0000}"/>
    <cellStyle name="20% - 강조색3 5 2 2" xfId="3412" xr:uid="{00000000-0005-0000-0000-0000C90E0000}"/>
    <cellStyle name="20% - 강조색3 5 3" xfId="3413" xr:uid="{00000000-0005-0000-0000-0000CA0E0000}"/>
    <cellStyle name="20% - 강조색3 5 3 2" xfId="3414" xr:uid="{00000000-0005-0000-0000-0000CB0E0000}"/>
    <cellStyle name="20% - 강조색3 5 4" xfId="3415" xr:uid="{00000000-0005-0000-0000-0000CC0E0000}"/>
    <cellStyle name="20% - 강조색3 5 4 2" xfId="3416" xr:uid="{00000000-0005-0000-0000-0000CD0E0000}"/>
    <cellStyle name="20% - 강조색3 5 5" xfId="3417" xr:uid="{00000000-0005-0000-0000-0000CE0E0000}"/>
    <cellStyle name="20% - 강조색3 5 5 2" xfId="3418" xr:uid="{00000000-0005-0000-0000-0000CF0E0000}"/>
    <cellStyle name="20% - 강조색3 5 6" xfId="3419" xr:uid="{00000000-0005-0000-0000-0000D00E0000}"/>
    <cellStyle name="20% - 강조색3 5 6 2" xfId="3420" xr:uid="{00000000-0005-0000-0000-0000D10E0000}"/>
    <cellStyle name="20% - 강조색3 5 7" xfId="3421" xr:uid="{00000000-0005-0000-0000-0000D20E0000}"/>
    <cellStyle name="20% - 강조색3 5 7 2" xfId="3422" xr:uid="{00000000-0005-0000-0000-0000D30E0000}"/>
    <cellStyle name="20% - 강조색3 5 8" xfId="3423" xr:uid="{00000000-0005-0000-0000-0000D40E0000}"/>
    <cellStyle name="20% - 강조색3 5 8 2" xfId="3424" xr:uid="{00000000-0005-0000-0000-0000D50E0000}"/>
    <cellStyle name="20% - 강조색3 5 9" xfId="3425" xr:uid="{00000000-0005-0000-0000-0000D60E0000}"/>
    <cellStyle name="20% - 강조색3 5 9 2" xfId="3426" xr:uid="{00000000-0005-0000-0000-0000D70E0000}"/>
    <cellStyle name="20% - 강조색3 6" xfId="3427" xr:uid="{00000000-0005-0000-0000-0000D80E0000}"/>
    <cellStyle name="20% - 강조색3 6 10" xfId="3428" xr:uid="{00000000-0005-0000-0000-0000D90E0000}"/>
    <cellStyle name="20% - 강조색3 6 2" xfId="3429" xr:uid="{00000000-0005-0000-0000-0000DA0E0000}"/>
    <cellStyle name="20% - 강조색3 6 2 2" xfId="3430" xr:uid="{00000000-0005-0000-0000-0000DB0E0000}"/>
    <cellStyle name="20% - 강조색3 6 3" xfId="3431" xr:uid="{00000000-0005-0000-0000-0000DC0E0000}"/>
    <cellStyle name="20% - 강조색3 6 3 2" xfId="3432" xr:uid="{00000000-0005-0000-0000-0000DD0E0000}"/>
    <cellStyle name="20% - 강조색3 6 4" xfId="3433" xr:uid="{00000000-0005-0000-0000-0000DE0E0000}"/>
    <cellStyle name="20% - 강조색3 6 4 2" xfId="3434" xr:uid="{00000000-0005-0000-0000-0000DF0E0000}"/>
    <cellStyle name="20% - 강조색3 6 5" xfId="3435" xr:uid="{00000000-0005-0000-0000-0000E00E0000}"/>
    <cellStyle name="20% - 강조색3 6 5 2" xfId="3436" xr:uid="{00000000-0005-0000-0000-0000E10E0000}"/>
    <cellStyle name="20% - 강조색3 6 6" xfId="3437" xr:uid="{00000000-0005-0000-0000-0000E20E0000}"/>
    <cellStyle name="20% - 강조색3 6 6 2" xfId="3438" xr:uid="{00000000-0005-0000-0000-0000E30E0000}"/>
    <cellStyle name="20% - 강조색3 6 7" xfId="3439" xr:uid="{00000000-0005-0000-0000-0000E40E0000}"/>
    <cellStyle name="20% - 강조색3 6 7 2" xfId="3440" xr:uid="{00000000-0005-0000-0000-0000E50E0000}"/>
    <cellStyle name="20% - 강조색3 6 8" xfId="3441" xr:uid="{00000000-0005-0000-0000-0000E60E0000}"/>
    <cellStyle name="20% - 강조색3 6 8 2" xfId="3442" xr:uid="{00000000-0005-0000-0000-0000E70E0000}"/>
    <cellStyle name="20% - 강조색3 6 9" xfId="3443" xr:uid="{00000000-0005-0000-0000-0000E80E0000}"/>
    <cellStyle name="20% - 강조색3 6 9 2" xfId="3444" xr:uid="{00000000-0005-0000-0000-0000E90E0000}"/>
    <cellStyle name="20% - 강조색4 2" xfId="3445" xr:uid="{00000000-0005-0000-0000-0000EA0E0000}"/>
    <cellStyle name="20% - 강조색4 2 10" xfId="3446" xr:uid="{00000000-0005-0000-0000-0000EB0E0000}"/>
    <cellStyle name="20% - 강조색4 2 2" xfId="3447" xr:uid="{00000000-0005-0000-0000-0000EC0E0000}"/>
    <cellStyle name="20% - 강조색4 2 2 2" xfId="3448" xr:uid="{00000000-0005-0000-0000-0000ED0E0000}"/>
    <cellStyle name="20% - 강조색4 2 3" xfId="3449" xr:uid="{00000000-0005-0000-0000-0000EE0E0000}"/>
    <cellStyle name="20% - 강조색4 2 3 2" xfId="3450" xr:uid="{00000000-0005-0000-0000-0000EF0E0000}"/>
    <cellStyle name="20% - 강조색4 2 4" xfId="3451" xr:uid="{00000000-0005-0000-0000-0000F00E0000}"/>
    <cellStyle name="20% - 강조색4 2 4 2" xfId="3452" xr:uid="{00000000-0005-0000-0000-0000F10E0000}"/>
    <cellStyle name="20% - 강조색4 2 5" xfId="3453" xr:uid="{00000000-0005-0000-0000-0000F20E0000}"/>
    <cellStyle name="20% - 강조색4 2 5 2" xfId="3454" xr:uid="{00000000-0005-0000-0000-0000F30E0000}"/>
    <cellStyle name="20% - 강조색4 2 6" xfId="3455" xr:uid="{00000000-0005-0000-0000-0000F40E0000}"/>
    <cellStyle name="20% - 강조색4 2 6 2" xfId="3456" xr:uid="{00000000-0005-0000-0000-0000F50E0000}"/>
    <cellStyle name="20% - 강조색4 2 7" xfId="3457" xr:uid="{00000000-0005-0000-0000-0000F60E0000}"/>
    <cellStyle name="20% - 강조색4 2 7 2" xfId="3458" xr:uid="{00000000-0005-0000-0000-0000F70E0000}"/>
    <cellStyle name="20% - 강조색4 2 8" xfId="3459" xr:uid="{00000000-0005-0000-0000-0000F80E0000}"/>
    <cellStyle name="20% - 강조색4 2 8 2" xfId="3460" xr:uid="{00000000-0005-0000-0000-0000F90E0000}"/>
    <cellStyle name="20% - 강조색4 2 9" xfId="3461" xr:uid="{00000000-0005-0000-0000-0000FA0E0000}"/>
    <cellStyle name="20% - 강조색4 2 9 2" xfId="3462" xr:uid="{00000000-0005-0000-0000-0000FB0E0000}"/>
    <cellStyle name="20% - 강조색4 3" xfId="3463" xr:uid="{00000000-0005-0000-0000-0000FC0E0000}"/>
    <cellStyle name="20% - 강조색4 3 10" xfId="3464" xr:uid="{00000000-0005-0000-0000-0000FD0E0000}"/>
    <cellStyle name="20% - 강조색4 3 11" xfId="16957" xr:uid="{00000000-0005-0000-0000-0000FE0E0000}"/>
    <cellStyle name="20% - 강조색4 3 2" xfId="3465" xr:uid="{00000000-0005-0000-0000-0000FF0E0000}"/>
    <cellStyle name="20% - 강조색4 3 2 2" xfId="3466" xr:uid="{00000000-0005-0000-0000-0000000F0000}"/>
    <cellStyle name="20% - 강조색4 3 3" xfId="3467" xr:uid="{00000000-0005-0000-0000-0000010F0000}"/>
    <cellStyle name="20% - 강조색4 3 3 2" xfId="3468" xr:uid="{00000000-0005-0000-0000-0000020F0000}"/>
    <cellStyle name="20% - 강조색4 3 4" xfId="3469" xr:uid="{00000000-0005-0000-0000-0000030F0000}"/>
    <cellStyle name="20% - 강조색4 3 4 2" xfId="3470" xr:uid="{00000000-0005-0000-0000-0000040F0000}"/>
    <cellStyle name="20% - 강조색4 3 5" xfId="3471" xr:uid="{00000000-0005-0000-0000-0000050F0000}"/>
    <cellStyle name="20% - 강조색4 3 5 2" xfId="3472" xr:uid="{00000000-0005-0000-0000-0000060F0000}"/>
    <cellStyle name="20% - 강조색4 3 6" xfId="3473" xr:uid="{00000000-0005-0000-0000-0000070F0000}"/>
    <cellStyle name="20% - 강조색4 3 6 2" xfId="3474" xr:uid="{00000000-0005-0000-0000-0000080F0000}"/>
    <cellStyle name="20% - 강조색4 3 7" xfId="3475" xr:uid="{00000000-0005-0000-0000-0000090F0000}"/>
    <cellStyle name="20% - 강조색4 3 7 2" xfId="3476" xr:uid="{00000000-0005-0000-0000-00000A0F0000}"/>
    <cellStyle name="20% - 강조색4 3 8" xfId="3477" xr:uid="{00000000-0005-0000-0000-00000B0F0000}"/>
    <cellStyle name="20% - 강조색4 3 8 2" xfId="3478" xr:uid="{00000000-0005-0000-0000-00000C0F0000}"/>
    <cellStyle name="20% - 강조색4 3 9" xfId="3479" xr:uid="{00000000-0005-0000-0000-00000D0F0000}"/>
    <cellStyle name="20% - 강조색4 3 9 2" xfId="3480" xr:uid="{00000000-0005-0000-0000-00000E0F0000}"/>
    <cellStyle name="20% - 강조색4 4" xfId="3481" xr:uid="{00000000-0005-0000-0000-00000F0F0000}"/>
    <cellStyle name="20% - 강조색4 4 10" xfId="3482" xr:uid="{00000000-0005-0000-0000-0000100F0000}"/>
    <cellStyle name="20% - 강조색4 4 2" xfId="3483" xr:uid="{00000000-0005-0000-0000-0000110F0000}"/>
    <cellStyle name="20% - 강조색4 4 2 2" xfId="3484" xr:uid="{00000000-0005-0000-0000-0000120F0000}"/>
    <cellStyle name="20% - 강조색4 4 3" xfId="3485" xr:uid="{00000000-0005-0000-0000-0000130F0000}"/>
    <cellStyle name="20% - 강조색4 4 3 2" xfId="3486" xr:uid="{00000000-0005-0000-0000-0000140F0000}"/>
    <cellStyle name="20% - 강조색4 4 4" xfId="3487" xr:uid="{00000000-0005-0000-0000-0000150F0000}"/>
    <cellStyle name="20% - 강조색4 4 4 2" xfId="3488" xr:uid="{00000000-0005-0000-0000-0000160F0000}"/>
    <cellStyle name="20% - 강조색4 4 5" xfId="3489" xr:uid="{00000000-0005-0000-0000-0000170F0000}"/>
    <cellStyle name="20% - 강조색4 4 5 2" xfId="3490" xr:uid="{00000000-0005-0000-0000-0000180F0000}"/>
    <cellStyle name="20% - 강조색4 4 6" xfId="3491" xr:uid="{00000000-0005-0000-0000-0000190F0000}"/>
    <cellStyle name="20% - 강조색4 4 6 2" xfId="3492" xr:uid="{00000000-0005-0000-0000-00001A0F0000}"/>
    <cellStyle name="20% - 강조색4 4 7" xfId="3493" xr:uid="{00000000-0005-0000-0000-00001B0F0000}"/>
    <cellStyle name="20% - 강조색4 4 7 2" xfId="3494" xr:uid="{00000000-0005-0000-0000-00001C0F0000}"/>
    <cellStyle name="20% - 강조색4 4 8" xfId="3495" xr:uid="{00000000-0005-0000-0000-00001D0F0000}"/>
    <cellStyle name="20% - 강조색4 4 8 2" xfId="3496" xr:uid="{00000000-0005-0000-0000-00001E0F0000}"/>
    <cellStyle name="20% - 강조색4 4 9" xfId="3497" xr:uid="{00000000-0005-0000-0000-00001F0F0000}"/>
    <cellStyle name="20% - 강조색4 4 9 2" xfId="3498" xr:uid="{00000000-0005-0000-0000-0000200F0000}"/>
    <cellStyle name="20% - 강조색4 5" xfId="3499" xr:uid="{00000000-0005-0000-0000-0000210F0000}"/>
    <cellStyle name="20% - 강조색4 5 10" xfId="3500" xr:uid="{00000000-0005-0000-0000-0000220F0000}"/>
    <cellStyle name="20% - 강조색4 5 2" xfId="3501" xr:uid="{00000000-0005-0000-0000-0000230F0000}"/>
    <cellStyle name="20% - 강조색4 5 2 2" xfId="3502" xr:uid="{00000000-0005-0000-0000-0000240F0000}"/>
    <cellStyle name="20% - 강조색4 5 3" xfId="3503" xr:uid="{00000000-0005-0000-0000-0000250F0000}"/>
    <cellStyle name="20% - 강조색4 5 3 2" xfId="3504" xr:uid="{00000000-0005-0000-0000-0000260F0000}"/>
    <cellStyle name="20% - 강조색4 5 4" xfId="3505" xr:uid="{00000000-0005-0000-0000-0000270F0000}"/>
    <cellStyle name="20% - 강조색4 5 4 2" xfId="3506" xr:uid="{00000000-0005-0000-0000-0000280F0000}"/>
    <cellStyle name="20% - 강조색4 5 5" xfId="3507" xr:uid="{00000000-0005-0000-0000-0000290F0000}"/>
    <cellStyle name="20% - 강조색4 5 5 2" xfId="3508" xr:uid="{00000000-0005-0000-0000-00002A0F0000}"/>
    <cellStyle name="20% - 강조색4 5 6" xfId="3509" xr:uid="{00000000-0005-0000-0000-00002B0F0000}"/>
    <cellStyle name="20% - 강조색4 5 6 2" xfId="3510" xr:uid="{00000000-0005-0000-0000-00002C0F0000}"/>
    <cellStyle name="20% - 강조색4 5 7" xfId="3511" xr:uid="{00000000-0005-0000-0000-00002D0F0000}"/>
    <cellStyle name="20% - 강조색4 5 7 2" xfId="3512" xr:uid="{00000000-0005-0000-0000-00002E0F0000}"/>
    <cellStyle name="20% - 강조색4 5 8" xfId="3513" xr:uid="{00000000-0005-0000-0000-00002F0F0000}"/>
    <cellStyle name="20% - 강조색4 5 8 2" xfId="3514" xr:uid="{00000000-0005-0000-0000-0000300F0000}"/>
    <cellStyle name="20% - 강조색4 5 9" xfId="3515" xr:uid="{00000000-0005-0000-0000-0000310F0000}"/>
    <cellStyle name="20% - 강조색4 5 9 2" xfId="3516" xr:uid="{00000000-0005-0000-0000-0000320F0000}"/>
    <cellStyle name="20% - 강조색4 6" xfId="3517" xr:uid="{00000000-0005-0000-0000-0000330F0000}"/>
    <cellStyle name="20% - 강조색4 6 10" xfId="3518" xr:uid="{00000000-0005-0000-0000-0000340F0000}"/>
    <cellStyle name="20% - 강조색4 6 2" xfId="3519" xr:uid="{00000000-0005-0000-0000-0000350F0000}"/>
    <cellStyle name="20% - 강조색4 6 2 2" xfId="3520" xr:uid="{00000000-0005-0000-0000-0000360F0000}"/>
    <cellStyle name="20% - 강조색4 6 3" xfId="3521" xr:uid="{00000000-0005-0000-0000-0000370F0000}"/>
    <cellStyle name="20% - 강조색4 6 3 2" xfId="3522" xr:uid="{00000000-0005-0000-0000-0000380F0000}"/>
    <cellStyle name="20% - 강조색4 6 4" xfId="3523" xr:uid="{00000000-0005-0000-0000-0000390F0000}"/>
    <cellStyle name="20% - 강조색4 6 4 2" xfId="3524" xr:uid="{00000000-0005-0000-0000-00003A0F0000}"/>
    <cellStyle name="20% - 강조색4 6 5" xfId="3525" xr:uid="{00000000-0005-0000-0000-00003B0F0000}"/>
    <cellStyle name="20% - 강조색4 6 5 2" xfId="3526" xr:uid="{00000000-0005-0000-0000-00003C0F0000}"/>
    <cellStyle name="20% - 강조색4 6 6" xfId="3527" xr:uid="{00000000-0005-0000-0000-00003D0F0000}"/>
    <cellStyle name="20% - 강조색4 6 6 2" xfId="3528" xr:uid="{00000000-0005-0000-0000-00003E0F0000}"/>
    <cellStyle name="20% - 강조색4 6 7" xfId="3529" xr:uid="{00000000-0005-0000-0000-00003F0F0000}"/>
    <cellStyle name="20% - 강조색4 6 7 2" xfId="3530" xr:uid="{00000000-0005-0000-0000-0000400F0000}"/>
    <cellStyle name="20% - 강조색4 6 8" xfId="3531" xr:uid="{00000000-0005-0000-0000-0000410F0000}"/>
    <cellStyle name="20% - 강조색4 6 8 2" xfId="3532" xr:uid="{00000000-0005-0000-0000-0000420F0000}"/>
    <cellStyle name="20% - 강조색4 6 9" xfId="3533" xr:uid="{00000000-0005-0000-0000-0000430F0000}"/>
    <cellStyle name="20% - 강조색4 6 9 2" xfId="3534" xr:uid="{00000000-0005-0000-0000-0000440F0000}"/>
    <cellStyle name="20% - 강조색5 2" xfId="3535" xr:uid="{00000000-0005-0000-0000-0000450F0000}"/>
    <cellStyle name="20% - 강조색5 2 10" xfId="3536" xr:uid="{00000000-0005-0000-0000-0000460F0000}"/>
    <cellStyle name="20% - 강조색5 2 2" xfId="3537" xr:uid="{00000000-0005-0000-0000-0000470F0000}"/>
    <cellStyle name="20% - 강조색5 2 2 2" xfId="3538" xr:uid="{00000000-0005-0000-0000-0000480F0000}"/>
    <cellStyle name="20% - 강조색5 2 3" xfId="3539" xr:uid="{00000000-0005-0000-0000-0000490F0000}"/>
    <cellStyle name="20% - 강조색5 2 3 2" xfId="3540" xr:uid="{00000000-0005-0000-0000-00004A0F0000}"/>
    <cellStyle name="20% - 강조색5 2 4" xfId="3541" xr:uid="{00000000-0005-0000-0000-00004B0F0000}"/>
    <cellStyle name="20% - 강조색5 2 4 2" xfId="3542" xr:uid="{00000000-0005-0000-0000-00004C0F0000}"/>
    <cellStyle name="20% - 강조색5 2 5" xfId="3543" xr:uid="{00000000-0005-0000-0000-00004D0F0000}"/>
    <cellStyle name="20% - 강조색5 2 5 2" xfId="3544" xr:uid="{00000000-0005-0000-0000-00004E0F0000}"/>
    <cellStyle name="20% - 강조색5 2 6" xfId="3545" xr:uid="{00000000-0005-0000-0000-00004F0F0000}"/>
    <cellStyle name="20% - 강조색5 2 6 2" xfId="3546" xr:uid="{00000000-0005-0000-0000-0000500F0000}"/>
    <cellStyle name="20% - 강조색5 2 7" xfId="3547" xr:uid="{00000000-0005-0000-0000-0000510F0000}"/>
    <cellStyle name="20% - 강조색5 2 7 2" xfId="3548" xr:uid="{00000000-0005-0000-0000-0000520F0000}"/>
    <cellStyle name="20% - 강조색5 2 8" xfId="3549" xr:uid="{00000000-0005-0000-0000-0000530F0000}"/>
    <cellStyle name="20% - 강조색5 2 8 2" xfId="3550" xr:uid="{00000000-0005-0000-0000-0000540F0000}"/>
    <cellStyle name="20% - 강조색5 2 9" xfId="3551" xr:uid="{00000000-0005-0000-0000-0000550F0000}"/>
    <cellStyle name="20% - 강조색5 2 9 2" xfId="3552" xr:uid="{00000000-0005-0000-0000-0000560F0000}"/>
    <cellStyle name="20% - 강조색5 3" xfId="3553" xr:uid="{00000000-0005-0000-0000-0000570F0000}"/>
    <cellStyle name="20% - 강조색5 3 10" xfId="3554" xr:uid="{00000000-0005-0000-0000-0000580F0000}"/>
    <cellStyle name="20% - 강조색5 3 2" xfId="3555" xr:uid="{00000000-0005-0000-0000-0000590F0000}"/>
    <cellStyle name="20% - 강조색5 3 2 2" xfId="3556" xr:uid="{00000000-0005-0000-0000-00005A0F0000}"/>
    <cellStyle name="20% - 강조색5 3 3" xfId="3557" xr:uid="{00000000-0005-0000-0000-00005B0F0000}"/>
    <cellStyle name="20% - 강조색5 3 3 2" xfId="3558" xr:uid="{00000000-0005-0000-0000-00005C0F0000}"/>
    <cellStyle name="20% - 강조색5 3 4" xfId="3559" xr:uid="{00000000-0005-0000-0000-00005D0F0000}"/>
    <cellStyle name="20% - 강조색5 3 4 2" xfId="3560" xr:uid="{00000000-0005-0000-0000-00005E0F0000}"/>
    <cellStyle name="20% - 강조색5 3 5" xfId="3561" xr:uid="{00000000-0005-0000-0000-00005F0F0000}"/>
    <cellStyle name="20% - 강조색5 3 5 2" xfId="3562" xr:uid="{00000000-0005-0000-0000-0000600F0000}"/>
    <cellStyle name="20% - 강조색5 3 6" xfId="3563" xr:uid="{00000000-0005-0000-0000-0000610F0000}"/>
    <cellStyle name="20% - 강조색5 3 6 2" xfId="3564" xr:uid="{00000000-0005-0000-0000-0000620F0000}"/>
    <cellStyle name="20% - 강조색5 3 7" xfId="3565" xr:uid="{00000000-0005-0000-0000-0000630F0000}"/>
    <cellStyle name="20% - 강조색5 3 7 2" xfId="3566" xr:uid="{00000000-0005-0000-0000-0000640F0000}"/>
    <cellStyle name="20% - 강조색5 3 8" xfId="3567" xr:uid="{00000000-0005-0000-0000-0000650F0000}"/>
    <cellStyle name="20% - 강조색5 3 8 2" xfId="3568" xr:uid="{00000000-0005-0000-0000-0000660F0000}"/>
    <cellStyle name="20% - 강조색5 3 9" xfId="3569" xr:uid="{00000000-0005-0000-0000-0000670F0000}"/>
    <cellStyle name="20% - 강조색5 3 9 2" xfId="3570" xr:uid="{00000000-0005-0000-0000-0000680F0000}"/>
    <cellStyle name="20% - 강조색5 4" xfId="3571" xr:uid="{00000000-0005-0000-0000-0000690F0000}"/>
    <cellStyle name="20% - 강조색5 4 10" xfId="3572" xr:uid="{00000000-0005-0000-0000-00006A0F0000}"/>
    <cellStyle name="20% - 강조색5 4 2" xfId="3573" xr:uid="{00000000-0005-0000-0000-00006B0F0000}"/>
    <cellStyle name="20% - 강조색5 4 2 2" xfId="3574" xr:uid="{00000000-0005-0000-0000-00006C0F0000}"/>
    <cellStyle name="20% - 강조색5 4 3" xfId="3575" xr:uid="{00000000-0005-0000-0000-00006D0F0000}"/>
    <cellStyle name="20% - 강조색5 4 3 2" xfId="3576" xr:uid="{00000000-0005-0000-0000-00006E0F0000}"/>
    <cellStyle name="20% - 강조색5 4 4" xfId="3577" xr:uid="{00000000-0005-0000-0000-00006F0F0000}"/>
    <cellStyle name="20% - 강조색5 4 4 2" xfId="3578" xr:uid="{00000000-0005-0000-0000-0000700F0000}"/>
    <cellStyle name="20% - 강조색5 4 5" xfId="3579" xr:uid="{00000000-0005-0000-0000-0000710F0000}"/>
    <cellStyle name="20% - 강조색5 4 5 2" xfId="3580" xr:uid="{00000000-0005-0000-0000-0000720F0000}"/>
    <cellStyle name="20% - 강조색5 4 6" xfId="3581" xr:uid="{00000000-0005-0000-0000-0000730F0000}"/>
    <cellStyle name="20% - 강조색5 4 6 2" xfId="3582" xr:uid="{00000000-0005-0000-0000-0000740F0000}"/>
    <cellStyle name="20% - 강조색5 4 7" xfId="3583" xr:uid="{00000000-0005-0000-0000-0000750F0000}"/>
    <cellStyle name="20% - 강조색5 4 7 2" xfId="3584" xr:uid="{00000000-0005-0000-0000-0000760F0000}"/>
    <cellStyle name="20% - 강조색5 4 8" xfId="3585" xr:uid="{00000000-0005-0000-0000-0000770F0000}"/>
    <cellStyle name="20% - 강조색5 4 8 2" xfId="3586" xr:uid="{00000000-0005-0000-0000-0000780F0000}"/>
    <cellStyle name="20% - 강조색5 4 9" xfId="3587" xr:uid="{00000000-0005-0000-0000-0000790F0000}"/>
    <cellStyle name="20% - 강조색5 4 9 2" xfId="3588" xr:uid="{00000000-0005-0000-0000-00007A0F0000}"/>
    <cellStyle name="20% - 강조색5 5" xfId="3589" xr:uid="{00000000-0005-0000-0000-00007B0F0000}"/>
    <cellStyle name="20% - 강조색5 5 10" xfId="3590" xr:uid="{00000000-0005-0000-0000-00007C0F0000}"/>
    <cellStyle name="20% - 강조색5 5 2" xfId="3591" xr:uid="{00000000-0005-0000-0000-00007D0F0000}"/>
    <cellStyle name="20% - 강조색5 5 2 2" xfId="3592" xr:uid="{00000000-0005-0000-0000-00007E0F0000}"/>
    <cellStyle name="20% - 강조색5 5 3" xfId="3593" xr:uid="{00000000-0005-0000-0000-00007F0F0000}"/>
    <cellStyle name="20% - 강조색5 5 3 2" xfId="3594" xr:uid="{00000000-0005-0000-0000-0000800F0000}"/>
    <cellStyle name="20% - 강조색5 5 4" xfId="3595" xr:uid="{00000000-0005-0000-0000-0000810F0000}"/>
    <cellStyle name="20% - 강조색5 5 4 2" xfId="3596" xr:uid="{00000000-0005-0000-0000-0000820F0000}"/>
    <cellStyle name="20% - 강조색5 5 5" xfId="3597" xr:uid="{00000000-0005-0000-0000-0000830F0000}"/>
    <cellStyle name="20% - 강조색5 5 5 2" xfId="3598" xr:uid="{00000000-0005-0000-0000-0000840F0000}"/>
    <cellStyle name="20% - 강조색5 5 6" xfId="3599" xr:uid="{00000000-0005-0000-0000-0000850F0000}"/>
    <cellStyle name="20% - 강조색5 5 6 2" xfId="3600" xr:uid="{00000000-0005-0000-0000-0000860F0000}"/>
    <cellStyle name="20% - 강조색5 5 7" xfId="3601" xr:uid="{00000000-0005-0000-0000-0000870F0000}"/>
    <cellStyle name="20% - 강조색5 5 7 2" xfId="3602" xr:uid="{00000000-0005-0000-0000-0000880F0000}"/>
    <cellStyle name="20% - 강조색5 5 8" xfId="3603" xr:uid="{00000000-0005-0000-0000-0000890F0000}"/>
    <cellStyle name="20% - 강조색5 5 8 2" xfId="3604" xr:uid="{00000000-0005-0000-0000-00008A0F0000}"/>
    <cellStyle name="20% - 강조색5 5 9" xfId="3605" xr:uid="{00000000-0005-0000-0000-00008B0F0000}"/>
    <cellStyle name="20% - 강조색5 5 9 2" xfId="3606" xr:uid="{00000000-0005-0000-0000-00008C0F0000}"/>
    <cellStyle name="20% - 강조색5 6" xfId="3607" xr:uid="{00000000-0005-0000-0000-00008D0F0000}"/>
    <cellStyle name="20% - 강조색5 6 10" xfId="3608" xr:uid="{00000000-0005-0000-0000-00008E0F0000}"/>
    <cellStyle name="20% - 강조색5 6 2" xfId="3609" xr:uid="{00000000-0005-0000-0000-00008F0F0000}"/>
    <cellStyle name="20% - 강조색5 6 2 2" xfId="3610" xr:uid="{00000000-0005-0000-0000-0000900F0000}"/>
    <cellStyle name="20% - 강조색5 6 3" xfId="3611" xr:uid="{00000000-0005-0000-0000-0000910F0000}"/>
    <cellStyle name="20% - 강조색5 6 3 2" xfId="3612" xr:uid="{00000000-0005-0000-0000-0000920F0000}"/>
    <cellStyle name="20% - 강조색5 6 4" xfId="3613" xr:uid="{00000000-0005-0000-0000-0000930F0000}"/>
    <cellStyle name="20% - 강조색5 6 4 2" xfId="3614" xr:uid="{00000000-0005-0000-0000-0000940F0000}"/>
    <cellStyle name="20% - 강조색5 6 5" xfId="3615" xr:uid="{00000000-0005-0000-0000-0000950F0000}"/>
    <cellStyle name="20% - 강조색5 6 5 2" xfId="3616" xr:uid="{00000000-0005-0000-0000-0000960F0000}"/>
    <cellStyle name="20% - 강조색5 6 6" xfId="3617" xr:uid="{00000000-0005-0000-0000-0000970F0000}"/>
    <cellStyle name="20% - 강조색5 6 6 2" xfId="3618" xr:uid="{00000000-0005-0000-0000-0000980F0000}"/>
    <cellStyle name="20% - 강조색5 6 7" xfId="3619" xr:uid="{00000000-0005-0000-0000-0000990F0000}"/>
    <cellStyle name="20% - 강조색5 6 7 2" xfId="3620" xr:uid="{00000000-0005-0000-0000-00009A0F0000}"/>
    <cellStyle name="20% - 강조색5 6 8" xfId="3621" xr:uid="{00000000-0005-0000-0000-00009B0F0000}"/>
    <cellStyle name="20% - 강조색5 6 8 2" xfId="3622" xr:uid="{00000000-0005-0000-0000-00009C0F0000}"/>
    <cellStyle name="20% - 강조색5 6 9" xfId="3623" xr:uid="{00000000-0005-0000-0000-00009D0F0000}"/>
    <cellStyle name="20% - 강조색5 6 9 2" xfId="3624" xr:uid="{00000000-0005-0000-0000-00009E0F0000}"/>
    <cellStyle name="20% - 강조색6 2" xfId="3625" xr:uid="{00000000-0005-0000-0000-00009F0F0000}"/>
    <cellStyle name="20% - 강조색6 2 10" xfId="3626" xr:uid="{00000000-0005-0000-0000-0000A00F0000}"/>
    <cellStyle name="20% - 강조색6 2 2" xfId="3627" xr:uid="{00000000-0005-0000-0000-0000A10F0000}"/>
    <cellStyle name="20% - 강조색6 2 2 2" xfId="3628" xr:uid="{00000000-0005-0000-0000-0000A20F0000}"/>
    <cellStyle name="20% - 강조색6 2 3" xfId="3629" xr:uid="{00000000-0005-0000-0000-0000A30F0000}"/>
    <cellStyle name="20% - 강조색6 2 3 2" xfId="3630" xr:uid="{00000000-0005-0000-0000-0000A40F0000}"/>
    <cellStyle name="20% - 강조색6 2 4" xfId="3631" xr:uid="{00000000-0005-0000-0000-0000A50F0000}"/>
    <cellStyle name="20% - 강조색6 2 4 2" xfId="3632" xr:uid="{00000000-0005-0000-0000-0000A60F0000}"/>
    <cellStyle name="20% - 강조색6 2 5" xfId="3633" xr:uid="{00000000-0005-0000-0000-0000A70F0000}"/>
    <cellStyle name="20% - 강조색6 2 5 2" xfId="3634" xr:uid="{00000000-0005-0000-0000-0000A80F0000}"/>
    <cellStyle name="20% - 강조색6 2 6" xfId="3635" xr:uid="{00000000-0005-0000-0000-0000A90F0000}"/>
    <cellStyle name="20% - 강조색6 2 6 2" xfId="3636" xr:uid="{00000000-0005-0000-0000-0000AA0F0000}"/>
    <cellStyle name="20% - 강조색6 2 7" xfId="3637" xr:uid="{00000000-0005-0000-0000-0000AB0F0000}"/>
    <cellStyle name="20% - 강조색6 2 7 2" xfId="3638" xr:uid="{00000000-0005-0000-0000-0000AC0F0000}"/>
    <cellStyle name="20% - 강조색6 2 8" xfId="3639" xr:uid="{00000000-0005-0000-0000-0000AD0F0000}"/>
    <cellStyle name="20% - 강조색6 2 8 2" xfId="3640" xr:uid="{00000000-0005-0000-0000-0000AE0F0000}"/>
    <cellStyle name="20% - 강조색6 2 9" xfId="3641" xr:uid="{00000000-0005-0000-0000-0000AF0F0000}"/>
    <cellStyle name="20% - 강조색6 2 9 2" xfId="3642" xr:uid="{00000000-0005-0000-0000-0000B00F0000}"/>
    <cellStyle name="20% - 강조색6 3" xfId="3643" xr:uid="{00000000-0005-0000-0000-0000B10F0000}"/>
    <cellStyle name="20% - 강조색6 3 10" xfId="3644" xr:uid="{00000000-0005-0000-0000-0000B20F0000}"/>
    <cellStyle name="20% - 강조색6 3 11" xfId="16968" xr:uid="{00000000-0005-0000-0000-0000B30F0000}"/>
    <cellStyle name="20% - 강조색6 3 2" xfId="3645" xr:uid="{00000000-0005-0000-0000-0000B40F0000}"/>
    <cellStyle name="20% - 강조색6 3 2 2" xfId="3646" xr:uid="{00000000-0005-0000-0000-0000B50F0000}"/>
    <cellStyle name="20% - 강조색6 3 3" xfId="3647" xr:uid="{00000000-0005-0000-0000-0000B60F0000}"/>
    <cellStyle name="20% - 강조색6 3 3 2" xfId="3648" xr:uid="{00000000-0005-0000-0000-0000B70F0000}"/>
    <cellStyle name="20% - 강조색6 3 4" xfId="3649" xr:uid="{00000000-0005-0000-0000-0000B80F0000}"/>
    <cellStyle name="20% - 강조색6 3 4 2" xfId="3650" xr:uid="{00000000-0005-0000-0000-0000B90F0000}"/>
    <cellStyle name="20% - 강조색6 3 5" xfId="3651" xr:uid="{00000000-0005-0000-0000-0000BA0F0000}"/>
    <cellStyle name="20% - 강조색6 3 5 2" xfId="3652" xr:uid="{00000000-0005-0000-0000-0000BB0F0000}"/>
    <cellStyle name="20% - 강조색6 3 6" xfId="3653" xr:uid="{00000000-0005-0000-0000-0000BC0F0000}"/>
    <cellStyle name="20% - 강조색6 3 6 2" xfId="3654" xr:uid="{00000000-0005-0000-0000-0000BD0F0000}"/>
    <cellStyle name="20% - 강조색6 3 7" xfId="3655" xr:uid="{00000000-0005-0000-0000-0000BE0F0000}"/>
    <cellStyle name="20% - 강조색6 3 7 2" xfId="3656" xr:uid="{00000000-0005-0000-0000-0000BF0F0000}"/>
    <cellStyle name="20% - 강조색6 3 8" xfId="3657" xr:uid="{00000000-0005-0000-0000-0000C00F0000}"/>
    <cellStyle name="20% - 강조색6 3 8 2" xfId="3658" xr:uid="{00000000-0005-0000-0000-0000C10F0000}"/>
    <cellStyle name="20% - 강조색6 3 9" xfId="3659" xr:uid="{00000000-0005-0000-0000-0000C20F0000}"/>
    <cellStyle name="20% - 강조색6 3 9 2" xfId="3660" xr:uid="{00000000-0005-0000-0000-0000C30F0000}"/>
    <cellStyle name="20% - 강조색6 4" xfId="3661" xr:uid="{00000000-0005-0000-0000-0000C40F0000}"/>
    <cellStyle name="20% - 강조색6 4 10" xfId="3662" xr:uid="{00000000-0005-0000-0000-0000C50F0000}"/>
    <cellStyle name="20% - 강조색6 4 2" xfId="3663" xr:uid="{00000000-0005-0000-0000-0000C60F0000}"/>
    <cellStyle name="20% - 강조색6 4 2 2" xfId="3664" xr:uid="{00000000-0005-0000-0000-0000C70F0000}"/>
    <cellStyle name="20% - 강조색6 4 3" xfId="3665" xr:uid="{00000000-0005-0000-0000-0000C80F0000}"/>
    <cellStyle name="20% - 강조색6 4 3 2" xfId="3666" xr:uid="{00000000-0005-0000-0000-0000C90F0000}"/>
    <cellStyle name="20% - 강조색6 4 4" xfId="3667" xr:uid="{00000000-0005-0000-0000-0000CA0F0000}"/>
    <cellStyle name="20% - 강조색6 4 4 2" xfId="3668" xr:uid="{00000000-0005-0000-0000-0000CB0F0000}"/>
    <cellStyle name="20% - 강조색6 4 5" xfId="3669" xr:uid="{00000000-0005-0000-0000-0000CC0F0000}"/>
    <cellStyle name="20% - 강조색6 4 5 2" xfId="3670" xr:uid="{00000000-0005-0000-0000-0000CD0F0000}"/>
    <cellStyle name="20% - 강조색6 4 6" xfId="3671" xr:uid="{00000000-0005-0000-0000-0000CE0F0000}"/>
    <cellStyle name="20% - 강조색6 4 6 2" xfId="3672" xr:uid="{00000000-0005-0000-0000-0000CF0F0000}"/>
    <cellStyle name="20% - 강조색6 4 7" xfId="3673" xr:uid="{00000000-0005-0000-0000-0000D00F0000}"/>
    <cellStyle name="20% - 강조색6 4 7 2" xfId="3674" xr:uid="{00000000-0005-0000-0000-0000D10F0000}"/>
    <cellStyle name="20% - 강조색6 4 8" xfId="3675" xr:uid="{00000000-0005-0000-0000-0000D20F0000}"/>
    <cellStyle name="20% - 강조색6 4 8 2" xfId="3676" xr:uid="{00000000-0005-0000-0000-0000D30F0000}"/>
    <cellStyle name="20% - 강조색6 4 9" xfId="3677" xr:uid="{00000000-0005-0000-0000-0000D40F0000}"/>
    <cellStyle name="20% - 강조색6 4 9 2" xfId="3678" xr:uid="{00000000-0005-0000-0000-0000D50F0000}"/>
    <cellStyle name="20% - 강조색6 5" xfId="3679" xr:uid="{00000000-0005-0000-0000-0000D60F0000}"/>
    <cellStyle name="20% - 강조색6 5 10" xfId="3680" xr:uid="{00000000-0005-0000-0000-0000D70F0000}"/>
    <cellStyle name="20% - 강조색6 5 2" xfId="3681" xr:uid="{00000000-0005-0000-0000-0000D80F0000}"/>
    <cellStyle name="20% - 강조색6 5 2 2" xfId="3682" xr:uid="{00000000-0005-0000-0000-0000D90F0000}"/>
    <cellStyle name="20% - 강조색6 5 3" xfId="3683" xr:uid="{00000000-0005-0000-0000-0000DA0F0000}"/>
    <cellStyle name="20% - 강조색6 5 3 2" xfId="3684" xr:uid="{00000000-0005-0000-0000-0000DB0F0000}"/>
    <cellStyle name="20% - 강조색6 5 4" xfId="3685" xr:uid="{00000000-0005-0000-0000-0000DC0F0000}"/>
    <cellStyle name="20% - 강조색6 5 4 2" xfId="3686" xr:uid="{00000000-0005-0000-0000-0000DD0F0000}"/>
    <cellStyle name="20% - 강조색6 5 5" xfId="3687" xr:uid="{00000000-0005-0000-0000-0000DE0F0000}"/>
    <cellStyle name="20% - 강조색6 5 5 2" xfId="3688" xr:uid="{00000000-0005-0000-0000-0000DF0F0000}"/>
    <cellStyle name="20% - 강조색6 5 6" xfId="3689" xr:uid="{00000000-0005-0000-0000-0000E00F0000}"/>
    <cellStyle name="20% - 강조색6 5 6 2" xfId="3690" xr:uid="{00000000-0005-0000-0000-0000E10F0000}"/>
    <cellStyle name="20% - 강조색6 5 7" xfId="3691" xr:uid="{00000000-0005-0000-0000-0000E20F0000}"/>
    <cellStyle name="20% - 강조색6 5 7 2" xfId="3692" xr:uid="{00000000-0005-0000-0000-0000E30F0000}"/>
    <cellStyle name="20% - 강조색6 5 8" xfId="3693" xr:uid="{00000000-0005-0000-0000-0000E40F0000}"/>
    <cellStyle name="20% - 강조색6 5 8 2" xfId="3694" xr:uid="{00000000-0005-0000-0000-0000E50F0000}"/>
    <cellStyle name="20% - 강조색6 5 9" xfId="3695" xr:uid="{00000000-0005-0000-0000-0000E60F0000}"/>
    <cellStyle name="20% - 강조색6 5 9 2" xfId="3696" xr:uid="{00000000-0005-0000-0000-0000E70F0000}"/>
    <cellStyle name="20% - 강조색6 6" xfId="3697" xr:uid="{00000000-0005-0000-0000-0000E80F0000}"/>
    <cellStyle name="20% - 강조색6 6 10" xfId="3698" xr:uid="{00000000-0005-0000-0000-0000E90F0000}"/>
    <cellStyle name="20% - 강조색6 6 2" xfId="3699" xr:uid="{00000000-0005-0000-0000-0000EA0F0000}"/>
    <cellStyle name="20% - 강조색6 6 2 2" xfId="3700" xr:uid="{00000000-0005-0000-0000-0000EB0F0000}"/>
    <cellStyle name="20% - 강조색6 6 3" xfId="3701" xr:uid="{00000000-0005-0000-0000-0000EC0F0000}"/>
    <cellStyle name="20% - 강조색6 6 3 2" xfId="3702" xr:uid="{00000000-0005-0000-0000-0000ED0F0000}"/>
    <cellStyle name="20% - 강조색6 6 4" xfId="3703" xr:uid="{00000000-0005-0000-0000-0000EE0F0000}"/>
    <cellStyle name="20% - 강조색6 6 4 2" xfId="3704" xr:uid="{00000000-0005-0000-0000-0000EF0F0000}"/>
    <cellStyle name="20% - 강조색6 6 5" xfId="3705" xr:uid="{00000000-0005-0000-0000-0000F00F0000}"/>
    <cellStyle name="20% - 강조색6 6 5 2" xfId="3706" xr:uid="{00000000-0005-0000-0000-0000F10F0000}"/>
    <cellStyle name="20% - 강조색6 6 6" xfId="3707" xr:uid="{00000000-0005-0000-0000-0000F20F0000}"/>
    <cellStyle name="20% - 강조색6 6 6 2" xfId="3708" xr:uid="{00000000-0005-0000-0000-0000F30F0000}"/>
    <cellStyle name="20% - 강조색6 6 7" xfId="3709" xr:uid="{00000000-0005-0000-0000-0000F40F0000}"/>
    <cellStyle name="20% - 강조색6 6 7 2" xfId="3710" xr:uid="{00000000-0005-0000-0000-0000F50F0000}"/>
    <cellStyle name="20% - 강조색6 6 8" xfId="3711" xr:uid="{00000000-0005-0000-0000-0000F60F0000}"/>
    <cellStyle name="20% - 강조색6 6 8 2" xfId="3712" xr:uid="{00000000-0005-0000-0000-0000F70F0000}"/>
    <cellStyle name="20% - 강조색6 6 9" xfId="3713" xr:uid="{00000000-0005-0000-0000-0000F80F0000}"/>
    <cellStyle name="20% - 강조색6 6 9 2" xfId="3714" xr:uid="{00000000-0005-0000-0000-0000F90F0000}"/>
    <cellStyle name="³?A￥" xfId="3715" xr:uid="{00000000-0005-0000-0000-0000FA0F0000}"/>
    <cellStyle name="³?A￥ 2" xfId="3716" xr:uid="{00000000-0005-0000-0000-0000FB0F0000}"/>
    <cellStyle name="³f¹ô[0]_pldt" xfId="3717" xr:uid="{00000000-0005-0000-0000-0000FC0F0000}"/>
    <cellStyle name="³f¹ô_pldt" xfId="3718" xr:uid="{00000000-0005-0000-0000-0000FD0F0000}"/>
    <cellStyle name="40% - Accent1" xfId="15963" xr:uid="{00000000-0005-0000-0000-0000FE0F0000}"/>
    <cellStyle name="40% - Accent2" xfId="15964" xr:uid="{00000000-0005-0000-0000-0000FF0F0000}"/>
    <cellStyle name="40% - Accent3" xfId="15965" xr:uid="{00000000-0005-0000-0000-000000100000}"/>
    <cellStyle name="40% - Accent4" xfId="15966" xr:uid="{00000000-0005-0000-0000-000001100000}"/>
    <cellStyle name="40% - Accent5" xfId="15967" xr:uid="{00000000-0005-0000-0000-000002100000}"/>
    <cellStyle name="40% - Accent6" xfId="15968" xr:uid="{00000000-0005-0000-0000-000003100000}"/>
    <cellStyle name="40% - 강조색1 2" xfId="3719" xr:uid="{00000000-0005-0000-0000-000004100000}"/>
    <cellStyle name="40% - 강조색1 2 10" xfId="3720" xr:uid="{00000000-0005-0000-0000-000005100000}"/>
    <cellStyle name="40% - 강조색1 2 2" xfId="3721" xr:uid="{00000000-0005-0000-0000-000006100000}"/>
    <cellStyle name="40% - 강조색1 2 2 2" xfId="3722" xr:uid="{00000000-0005-0000-0000-000007100000}"/>
    <cellStyle name="40% - 강조색1 2 3" xfId="3723" xr:uid="{00000000-0005-0000-0000-000008100000}"/>
    <cellStyle name="40% - 강조색1 2 3 2" xfId="3724" xr:uid="{00000000-0005-0000-0000-000009100000}"/>
    <cellStyle name="40% - 강조색1 2 4" xfId="3725" xr:uid="{00000000-0005-0000-0000-00000A100000}"/>
    <cellStyle name="40% - 강조색1 2 4 2" xfId="3726" xr:uid="{00000000-0005-0000-0000-00000B100000}"/>
    <cellStyle name="40% - 강조색1 2 5" xfId="3727" xr:uid="{00000000-0005-0000-0000-00000C100000}"/>
    <cellStyle name="40% - 강조색1 2 5 2" xfId="3728" xr:uid="{00000000-0005-0000-0000-00000D100000}"/>
    <cellStyle name="40% - 강조색1 2 6" xfId="3729" xr:uid="{00000000-0005-0000-0000-00000E100000}"/>
    <cellStyle name="40% - 강조색1 2 6 2" xfId="3730" xr:uid="{00000000-0005-0000-0000-00000F100000}"/>
    <cellStyle name="40% - 강조색1 2 7" xfId="3731" xr:uid="{00000000-0005-0000-0000-000010100000}"/>
    <cellStyle name="40% - 강조색1 2 7 2" xfId="3732" xr:uid="{00000000-0005-0000-0000-000011100000}"/>
    <cellStyle name="40% - 강조색1 2 8" xfId="3733" xr:uid="{00000000-0005-0000-0000-000012100000}"/>
    <cellStyle name="40% - 강조색1 2 8 2" xfId="3734" xr:uid="{00000000-0005-0000-0000-000013100000}"/>
    <cellStyle name="40% - 강조색1 2 9" xfId="3735" xr:uid="{00000000-0005-0000-0000-000014100000}"/>
    <cellStyle name="40% - 강조색1 2 9 2" xfId="3736" xr:uid="{00000000-0005-0000-0000-000015100000}"/>
    <cellStyle name="40% - 강조색1 3" xfId="3737" xr:uid="{00000000-0005-0000-0000-000016100000}"/>
    <cellStyle name="40% - 강조색1 3 10" xfId="3738" xr:uid="{00000000-0005-0000-0000-000017100000}"/>
    <cellStyle name="40% - 강조색1 3 2" xfId="3739" xr:uid="{00000000-0005-0000-0000-000018100000}"/>
    <cellStyle name="40% - 강조색1 3 2 2" xfId="3740" xr:uid="{00000000-0005-0000-0000-000019100000}"/>
    <cellStyle name="40% - 강조색1 3 3" xfId="3741" xr:uid="{00000000-0005-0000-0000-00001A100000}"/>
    <cellStyle name="40% - 강조색1 3 3 2" xfId="3742" xr:uid="{00000000-0005-0000-0000-00001B100000}"/>
    <cellStyle name="40% - 강조색1 3 4" xfId="3743" xr:uid="{00000000-0005-0000-0000-00001C100000}"/>
    <cellStyle name="40% - 강조색1 3 4 2" xfId="3744" xr:uid="{00000000-0005-0000-0000-00001D100000}"/>
    <cellStyle name="40% - 강조색1 3 5" xfId="3745" xr:uid="{00000000-0005-0000-0000-00001E100000}"/>
    <cellStyle name="40% - 강조색1 3 5 2" xfId="3746" xr:uid="{00000000-0005-0000-0000-00001F100000}"/>
    <cellStyle name="40% - 강조색1 3 6" xfId="3747" xr:uid="{00000000-0005-0000-0000-000020100000}"/>
    <cellStyle name="40% - 강조색1 3 6 2" xfId="3748" xr:uid="{00000000-0005-0000-0000-000021100000}"/>
    <cellStyle name="40% - 강조색1 3 7" xfId="3749" xr:uid="{00000000-0005-0000-0000-000022100000}"/>
    <cellStyle name="40% - 강조색1 3 7 2" xfId="3750" xr:uid="{00000000-0005-0000-0000-000023100000}"/>
    <cellStyle name="40% - 강조색1 3 8" xfId="3751" xr:uid="{00000000-0005-0000-0000-000024100000}"/>
    <cellStyle name="40% - 강조색1 3 8 2" xfId="3752" xr:uid="{00000000-0005-0000-0000-000025100000}"/>
    <cellStyle name="40% - 강조색1 3 9" xfId="3753" xr:uid="{00000000-0005-0000-0000-000026100000}"/>
    <cellStyle name="40% - 강조색1 3 9 2" xfId="3754" xr:uid="{00000000-0005-0000-0000-000027100000}"/>
    <cellStyle name="40% - 강조색1 4" xfId="3755" xr:uid="{00000000-0005-0000-0000-000028100000}"/>
    <cellStyle name="40% - 강조색1 4 10" xfId="3756" xr:uid="{00000000-0005-0000-0000-000029100000}"/>
    <cellStyle name="40% - 강조색1 4 2" xfId="3757" xr:uid="{00000000-0005-0000-0000-00002A100000}"/>
    <cellStyle name="40% - 강조색1 4 2 2" xfId="3758" xr:uid="{00000000-0005-0000-0000-00002B100000}"/>
    <cellStyle name="40% - 강조색1 4 3" xfId="3759" xr:uid="{00000000-0005-0000-0000-00002C100000}"/>
    <cellStyle name="40% - 강조색1 4 3 2" xfId="3760" xr:uid="{00000000-0005-0000-0000-00002D100000}"/>
    <cellStyle name="40% - 강조색1 4 4" xfId="3761" xr:uid="{00000000-0005-0000-0000-00002E100000}"/>
    <cellStyle name="40% - 강조색1 4 4 2" xfId="3762" xr:uid="{00000000-0005-0000-0000-00002F100000}"/>
    <cellStyle name="40% - 강조색1 4 5" xfId="3763" xr:uid="{00000000-0005-0000-0000-000030100000}"/>
    <cellStyle name="40% - 강조색1 4 5 2" xfId="3764" xr:uid="{00000000-0005-0000-0000-000031100000}"/>
    <cellStyle name="40% - 강조색1 4 6" xfId="3765" xr:uid="{00000000-0005-0000-0000-000032100000}"/>
    <cellStyle name="40% - 강조색1 4 6 2" xfId="3766" xr:uid="{00000000-0005-0000-0000-000033100000}"/>
    <cellStyle name="40% - 강조색1 4 7" xfId="3767" xr:uid="{00000000-0005-0000-0000-000034100000}"/>
    <cellStyle name="40% - 강조색1 4 7 2" xfId="3768" xr:uid="{00000000-0005-0000-0000-000035100000}"/>
    <cellStyle name="40% - 강조색1 4 8" xfId="3769" xr:uid="{00000000-0005-0000-0000-000036100000}"/>
    <cellStyle name="40% - 강조색1 4 8 2" xfId="3770" xr:uid="{00000000-0005-0000-0000-000037100000}"/>
    <cellStyle name="40% - 강조색1 4 9" xfId="3771" xr:uid="{00000000-0005-0000-0000-000038100000}"/>
    <cellStyle name="40% - 강조색1 4 9 2" xfId="3772" xr:uid="{00000000-0005-0000-0000-000039100000}"/>
    <cellStyle name="40% - 강조색1 5" xfId="3773" xr:uid="{00000000-0005-0000-0000-00003A100000}"/>
    <cellStyle name="40% - 강조색1 5 10" xfId="3774" xr:uid="{00000000-0005-0000-0000-00003B100000}"/>
    <cellStyle name="40% - 강조색1 5 2" xfId="3775" xr:uid="{00000000-0005-0000-0000-00003C100000}"/>
    <cellStyle name="40% - 강조색1 5 2 2" xfId="3776" xr:uid="{00000000-0005-0000-0000-00003D100000}"/>
    <cellStyle name="40% - 강조색1 5 3" xfId="3777" xr:uid="{00000000-0005-0000-0000-00003E100000}"/>
    <cellStyle name="40% - 강조색1 5 3 2" xfId="3778" xr:uid="{00000000-0005-0000-0000-00003F100000}"/>
    <cellStyle name="40% - 강조색1 5 4" xfId="3779" xr:uid="{00000000-0005-0000-0000-000040100000}"/>
    <cellStyle name="40% - 강조색1 5 4 2" xfId="3780" xr:uid="{00000000-0005-0000-0000-000041100000}"/>
    <cellStyle name="40% - 강조색1 5 5" xfId="3781" xr:uid="{00000000-0005-0000-0000-000042100000}"/>
    <cellStyle name="40% - 강조색1 5 5 2" xfId="3782" xr:uid="{00000000-0005-0000-0000-000043100000}"/>
    <cellStyle name="40% - 강조색1 5 6" xfId="3783" xr:uid="{00000000-0005-0000-0000-000044100000}"/>
    <cellStyle name="40% - 강조색1 5 6 2" xfId="3784" xr:uid="{00000000-0005-0000-0000-000045100000}"/>
    <cellStyle name="40% - 강조색1 5 7" xfId="3785" xr:uid="{00000000-0005-0000-0000-000046100000}"/>
    <cellStyle name="40% - 강조색1 5 7 2" xfId="3786" xr:uid="{00000000-0005-0000-0000-000047100000}"/>
    <cellStyle name="40% - 강조색1 5 8" xfId="3787" xr:uid="{00000000-0005-0000-0000-000048100000}"/>
    <cellStyle name="40% - 강조색1 5 8 2" xfId="3788" xr:uid="{00000000-0005-0000-0000-000049100000}"/>
    <cellStyle name="40% - 강조색1 5 9" xfId="3789" xr:uid="{00000000-0005-0000-0000-00004A100000}"/>
    <cellStyle name="40% - 강조색1 5 9 2" xfId="3790" xr:uid="{00000000-0005-0000-0000-00004B100000}"/>
    <cellStyle name="40% - 강조색1 6" xfId="3791" xr:uid="{00000000-0005-0000-0000-00004C100000}"/>
    <cellStyle name="40% - 강조색1 6 10" xfId="3792" xr:uid="{00000000-0005-0000-0000-00004D100000}"/>
    <cellStyle name="40% - 강조색1 6 2" xfId="3793" xr:uid="{00000000-0005-0000-0000-00004E100000}"/>
    <cellStyle name="40% - 강조색1 6 2 2" xfId="3794" xr:uid="{00000000-0005-0000-0000-00004F100000}"/>
    <cellStyle name="40% - 강조색1 6 3" xfId="3795" xr:uid="{00000000-0005-0000-0000-000050100000}"/>
    <cellStyle name="40% - 강조색1 6 3 2" xfId="3796" xr:uid="{00000000-0005-0000-0000-000051100000}"/>
    <cellStyle name="40% - 강조색1 6 4" xfId="3797" xr:uid="{00000000-0005-0000-0000-000052100000}"/>
    <cellStyle name="40% - 강조색1 6 4 2" xfId="3798" xr:uid="{00000000-0005-0000-0000-000053100000}"/>
    <cellStyle name="40% - 강조색1 6 5" xfId="3799" xr:uid="{00000000-0005-0000-0000-000054100000}"/>
    <cellStyle name="40% - 강조색1 6 5 2" xfId="3800" xr:uid="{00000000-0005-0000-0000-000055100000}"/>
    <cellStyle name="40% - 강조색1 6 6" xfId="3801" xr:uid="{00000000-0005-0000-0000-000056100000}"/>
    <cellStyle name="40% - 강조색1 6 6 2" xfId="3802" xr:uid="{00000000-0005-0000-0000-000057100000}"/>
    <cellStyle name="40% - 강조색1 6 7" xfId="3803" xr:uid="{00000000-0005-0000-0000-000058100000}"/>
    <cellStyle name="40% - 강조색1 6 7 2" xfId="3804" xr:uid="{00000000-0005-0000-0000-000059100000}"/>
    <cellStyle name="40% - 강조색1 6 8" xfId="3805" xr:uid="{00000000-0005-0000-0000-00005A100000}"/>
    <cellStyle name="40% - 강조색1 6 8 2" xfId="3806" xr:uid="{00000000-0005-0000-0000-00005B100000}"/>
    <cellStyle name="40% - 강조색1 6 9" xfId="3807" xr:uid="{00000000-0005-0000-0000-00005C100000}"/>
    <cellStyle name="40% - 강조색1 6 9 2" xfId="3808" xr:uid="{00000000-0005-0000-0000-00005D100000}"/>
    <cellStyle name="40% - 강조색2 2" xfId="3809" xr:uid="{00000000-0005-0000-0000-00005E100000}"/>
    <cellStyle name="40% - 강조색2 2 10" xfId="3810" xr:uid="{00000000-0005-0000-0000-00005F100000}"/>
    <cellStyle name="40% - 강조색2 2 2" xfId="3811" xr:uid="{00000000-0005-0000-0000-000060100000}"/>
    <cellStyle name="40% - 강조색2 2 2 2" xfId="3812" xr:uid="{00000000-0005-0000-0000-000061100000}"/>
    <cellStyle name="40% - 강조색2 2 3" xfId="3813" xr:uid="{00000000-0005-0000-0000-000062100000}"/>
    <cellStyle name="40% - 강조색2 2 3 2" xfId="3814" xr:uid="{00000000-0005-0000-0000-000063100000}"/>
    <cellStyle name="40% - 강조색2 2 4" xfId="3815" xr:uid="{00000000-0005-0000-0000-000064100000}"/>
    <cellStyle name="40% - 강조색2 2 4 2" xfId="3816" xr:uid="{00000000-0005-0000-0000-000065100000}"/>
    <cellStyle name="40% - 강조색2 2 5" xfId="3817" xr:uid="{00000000-0005-0000-0000-000066100000}"/>
    <cellStyle name="40% - 강조색2 2 5 2" xfId="3818" xr:uid="{00000000-0005-0000-0000-000067100000}"/>
    <cellStyle name="40% - 강조색2 2 6" xfId="3819" xr:uid="{00000000-0005-0000-0000-000068100000}"/>
    <cellStyle name="40% - 강조색2 2 6 2" xfId="3820" xr:uid="{00000000-0005-0000-0000-000069100000}"/>
    <cellStyle name="40% - 강조색2 2 7" xfId="3821" xr:uid="{00000000-0005-0000-0000-00006A100000}"/>
    <cellStyle name="40% - 강조색2 2 7 2" xfId="3822" xr:uid="{00000000-0005-0000-0000-00006B100000}"/>
    <cellStyle name="40% - 강조색2 2 8" xfId="3823" xr:uid="{00000000-0005-0000-0000-00006C100000}"/>
    <cellStyle name="40% - 강조색2 2 8 2" xfId="3824" xr:uid="{00000000-0005-0000-0000-00006D100000}"/>
    <cellStyle name="40% - 강조색2 2 9" xfId="3825" xr:uid="{00000000-0005-0000-0000-00006E100000}"/>
    <cellStyle name="40% - 강조색2 2 9 2" xfId="3826" xr:uid="{00000000-0005-0000-0000-00006F100000}"/>
    <cellStyle name="40% - 강조색2 3" xfId="3827" xr:uid="{00000000-0005-0000-0000-000070100000}"/>
    <cellStyle name="40% - 강조색2 3 10" xfId="3828" xr:uid="{00000000-0005-0000-0000-000071100000}"/>
    <cellStyle name="40% - 강조색2 3 2" xfId="3829" xr:uid="{00000000-0005-0000-0000-000072100000}"/>
    <cellStyle name="40% - 강조색2 3 2 2" xfId="3830" xr:uid="{00000000-0005-0000-0000-000073100000}"/>
    <cellStyle name="40% - 강조색2 3 3" xfId="3831" xr:uid="{00000000-0005-0000-0000-000074100000}"/>
    <cellStyle name="40% - 강조색2 3 3 2" xfId="3832" xr:uid="{00000000-0005-0000-0000-000075100000}"/>
    <cellStyle name="40% - 강조색2 3 4" xfId="3833" xr:uid="{00000000-0005-0000-0000-000076100000}"/>
    <cellStyle name="40% - 강조색2 3 4 2" xfId="3834" xr:uid="{00000000-0005-0000-0000-000077100000}"/>
    <cellStyle name="40% - 강조색2 3 5" xfId="3835" xr:uid="{00000000-0005-0000-0000-000078100000}"/>
    <cellStyle name="40% - 강조색2 3 5 2" xfId="3836" xr:uid="{00000000-0005-0000-0000-000079100000}"/>
    <cellStyle name="40% - 강조색2 3 6" xfId="3837" xr:uid="{00000000-0005-0000-0000-00007A100000}"/>
    <cellStyle name="40% - 강조색2 3 6 2" xfId="3838" xr:uid="{00000000-0005-0000-0000-00007B100000}"/>
    <cellStyle name="40% - 강조색2 3 7" xfId="3839" xr:uid="{00000000-0005-0000-0000-00007C100000}"/>
    <cellStyle name="40% - 강조색2 3 7 2" xfId="3840" xr:uid="{00000000-0005-0000-0000-00007D100000}"/>
    <cellStyle name="40% - 강조색2 3 8" xfId="3841" xr:uid="{00000000-0005-0000-0000-00007E100000}"/>
    <cellStyle name="40% - 강조색2 3 8 2" xfId="3842" xr:uid="{00000000-0005-0000-0000-00007F100000}"/>
    <cellStyle name="40% - 강조색2 3 9" xfId="3843" xr:uid="{00000000-0005-0000-0000-000080100000}"/>
    <cellStyle name="40% - 강조색2 3 9 2" xfId="3844" xr:uid="{00000000-0005-0000-0000-000081100000}"/>
    <cellStyle name="40% - 강조색2 4" xfId="3845" xr:uid="{00000000-0005-0000-0000-000082100000}"/>
    <cellStyle name="40% - 강조색2 4 10" xfId="3846" xr:uid="{00000000-0005-0000-0000-000083100000}"/>
    <cellStyle name="40% - 강조색2 4 2" xfId="3847" xr:uid="{00000000-0005-0000-0000-000084100000}"/>
    <cellStyle name="40% - 강조색2 4 2 2" xfId="3848" xr:uid="{00000000-0005-0000-0000-000085100000}"/>
    <cellStyle name="40% - 강조색2 4 3" xfId="3849" xr:uid="{00000000-0005-0000-0000-000086100000}"/>
    <cellStyle name="40% - 강조색2 4 3 2" xfId="3850" xr:uid="{00000000-0005-0000-0000-000087100000}"/>
    <cellStyle name="40% - 강조색2 4 4" xfId="3851" xr:uid="{00000000-0005-0000-0000-000088100000}"/>
    <cellStyle name="40% - 강조색2 4 4 2" xfId="3852" xr:uid="{00000000-0005-0000-0000-000089100000}"/>
    <cellStyle name="40% - 강조색2 4 5" xfId="3853" xr:uid="{00000000-0005-0000-0000-00008A100000}"/>
    <cellStyle name="40% - 강조색2 4 5 2" xfId="3854" xr:uid="{00000000-0005-0000-0000-00008B100000}"/>
    <cellStyle name="40% - 강조색2 4 6" xfId="3855" xr:uid="{00000000-0005-0000-0000-00008C100000}"/>
    <cellStyle name="40% - 강조색2 4 6 2" xfId="3856" xr:uid="{00000000-0005-0000-0000-00008D100000}"/>
    <cellStyle name="40% - 강조색2 4 7" xfId="3857" xr:uid="{00000000-0005-0000-0000-00008E100000}"/>
    <cellStyle name="40% - 강조색2 4 7 2" xfId="3858" xr:uid="{00000000-0005-0000-0000-00008F100000}"/>
    <cellStyle name="40% - 강조색2 4 8" xfId="3859" xr:uid="{00000000-0005-0000-0000-000090100000}"/>
    <cellStyle name="40% - 강조색2 4 8 2" xfId="3860" xr:uid="{00000000-0005-0000-0000-000091100000}"/>
    <cellStyle name="40% - 강조색2 4 9" xfId="3861" xr:uid="{00000000-0005-0000-0000-000092100000}"/>
    <cellStyle name="40% - 강조색2 4 9 2" xfId="3862" xr:uid="{00000000-0005-0000-0000-000093100000}"/>
    <cellStyle name="40% - 강조색2 5" xfId="3863" xr:uid="{00000000-0005-0000-0000-000094100000}"/>
    <cellStyle name="40% - 강조색2 5 10" xfId="3864" xr:uid="{00000000-0005-0000-0000-000095100000}"/>
    <cellStyle name="40% - 강조색2 5 2" xfId="3865" xr:uid="{00000000-0005-0000-0000-000096100000}"/>
    <cellStyle name="40% - 강조색2 5 2 2" xfId="3866" xr:uid="{00000000-0005-0000-0000-000097100000}"/>
    <cellStyle name="40% - 강조색2 5 3" xfId="3867" xr:uid="{00000000-0005-0000-0000-000098100000}"/>
    <cellStyle name="40% - 강조색2 5 3 2" xfId="3868" xr:uid="{00000000-0005-0000-0000-000099100000}"/>
    <cellStyle name="40% - 강조색2 5 4" xfId="3869" xr:uid="{00000000-0005-0000-0000-00009A100000}"/>
    <cellStyle name="40% - 강조색2 5 4 2" xfId="3870" xr:uid="{00000000-0005-0000-0000-00009B100000}"/>
    <cellStyle name="40% - 강조색2 5 5" xfId="3871" xr:uid="{00000000-0005-0000-0000-00009C100000}"/>
    <cellStyle name="40% - 강조색2 5 5 2" xfId="3872" xr:uid="{00000000-0005-0000-0000-00009D100000}"/>
    <cellStyle name="40% - 강조색2 5 6" xfId="3873" xr:uid="{00000000-0005-0000-0000-00009E100000}"/>
    <cellStyle name="40% - 강조색2 5 6 2" xfId="3874" xr:uid="{00000000-0005-0000-0000-00009F100000}"/>
    <cellStyle name="40% - 강조색2 5 7" xfId="3875" xr:uid="{00000000-0005-0000-0000-0000A0100000}"/>
    <cellStyle name="40% - 강조색2 5 7 2" xfId="3876" xr:uid="{00000000-0005-0000-0000-0000A1100000}"/>
    <cellStyle name="40% - 강조색2 5 8" xfId="3877" xr:uid="{00000000-0005-0000-0000-0000A2100000}"/>
    <cellStyle name="40% - 강조색2 5 8 2" xfId="3878" xr:uid="{00000000-0005-0000-0000-0000A3100000}"/>
    <cellStyle name="40% - 강조색2 5 9" xfId="3879" xr:uid="{00000000-0005-0000-0000-0000A4100000}"/>
    <cellStyle name="40% - 강조색2 5 9 2" xfId="3880" xr:uid="{00000000-0005-0000-0000-0000A5100000}"/>
    <cellStyle name="40% - 강조색2 6" xfId="3881" xr:uid="{00000000-0005-0000-0000-0000A6100000}"/>
    <cellStyle name="40% - 강조색2 6 10" xfId="3882" xr:uid="{00000000-0005-0000-0000-0000A7100000}"/>
    <cellStyle name="40% - 강조색2 6 2" xfId="3883" xr:uid="{00000000-0005-0000-0000-0000A8100000}"/>
    <cellStyle name="40% - 강조색2 6 2 2" xfId="3884" xr:uid="{00000000-0005-0000-0000-0000A9100000}"/>
    <cellStyle name="40% - 강조색2 6 3" xfId="3885" xr:uid="{00000000-0005-0000-0000-0000AA100000}"/>
    <cellStyle name="40% - 강조색2 6 3 2" xfId="3886" xr:uid="{00000000-0005-0000-0000-0000AB100000}"/>
    <cellStyle name="40% - 강조색2 6 4" xfId="3887" xr:uid="{00000000-0005-0000-0000-0000AC100000}"/>
    <cellStyle name="40% - 강조색2 6 4 2" xfId="3888" xr:uid="{00000000-0005-0000-0000-0000AD100000}"/>
    <cellStyle name="40% - 강조색2 6 5" xfId="3889" xr:uid="{00000000-0005-0000-0000-0000AE100000}"/>
    <cellStyle name="40% - 강조색2 6 5 2" xfId="3890" xr:uid="{00000000-0005-0000-0000-0000AF100000}"/>
    <cellStyle name="40% - 강조색2 6 6" xfId="3891" xr:uid="{00000000-0005-0000-0000-0000B0100000}"/>
    <cellStyle name="40% - 강조색2 6 6 2" xfId="3892" xr:uid="{00000000-0005-0000-0000-0000B1100000}"/>
    <cellStyle name="40% - 강조색2 6 7" xfId="3893" xr:uid="{00000000-0005-0000-0000-0000B2100000}"/>
    <cellStyle name="40% - 강조색2 6 7 2" xfId="3894" xr:uid="{00000000-0005-0000-0000-0000B3100000}"/>
    <cellStyle name="40% - 강조색2 6 8" xfId="3895" xr:uid="{00000000-0005-0000-0000-0000B4100000}"/>
    <cellStyle name="40% - 강조색2 6 8 2" xfId="3896" xr:uid="{00000000-0005-0000-0000-0000B5100000}"/>
    <cellStyle name="40% - 강조색2 6 9" xfId="3897" xr:uid="{00000000-0005-0000-0000-0000B6100000}"/>
    <cellStyle name="40% - 강조색2 6 9 2" xfId="3898" xr:uid="{00000000-0005-0000-0000-0000B7100000}"/>
    <cellStyle name="40% - 강조색3 2" xfId="3899" xr:uid="{00000000-0005-0000-0000-0000B8100000}"/>
    <cellStyle name="40% - 강조색3 2 10" xfId="3900" xr:uid="{00000000-0005-0000-0000-0000B9100000}"/>
    <cellStyle name="40% - 강조색3 2 2" xfId="3901" xr:uid="{00000000-0005-0000-0000-0000BA100000}"/>
    <cellStyle name="40% - 강조색3 2 2 2" xfId="3902" xr:uid="{00000000-0005-0000-0000-0000BB100000}"/>
    <cellStyle name="40% - 강조색3 2 3" xfId="3903" xr:uid="{00000000-0005-0000-0000-0000BC100000}"/>
    <cellStyle name="40% - 강조색3 2 3 2" xfId="3904" xr:uid="{00000000-0005-0000-0000-0000BD100000}"/>
    <cellStyle name="40% - 강조색3 2 4" xfId="3905" xr:uid="{00000000-0005-0000-0000-0000BE100000}"/>
    <cellStyle name="40% - 강조색3 2 4 2" xfId="3906" xr:uid="{00000000-0005-0000-0000-0000BF100000}"/>
    <cellStyle name="40% - 강조색3 2 5" xfId="3907" xr:uid="{00000000-0005-0000-0000-0000C0100000}"/>
    <cellStyle name="40% - 강조색3 2 5 2" xfId="3908" xr:uid="{00000000-0005-0000-0000-0000C1100000}"/>
    <cellStyle name="40% - 강조색3 2 6" xfId="3909" xr:uid="{00000000-0005-0000-0000-0000C2100000}"/>
    <cellStyle name="40% - 강조색3 2 6 2" xfId="3910" xr:uid="{00000000-0005-0000-0000-0000C3100000}"/>
    <cellStyle name="40% - 강조색3 2 7" xfId="3911" xr:uid="{00000000-0005-0000-0000-0000C4100000}"/>
    <cellStyle name="40% - 강조색3 2 7 2" xfId="3912" xr:uid="{00000000-0005-0000-0000-0000C5100000}"/>
    <cellStyle name="40% - 강조색3 2 8" xfId="3913" xr:uid="{00000000-0005-0000-0000-0000C6100000}"/>
    <cellStyle name="40% - 강조색3 2 8 2" xfId="3914" xr:uid="{00000000-0005-0000-0000-0000C7100000}"/>
    <cellStyle name="40% - 강조색3 2 9" xfId="3915" xr:uid="{00000000-0005-0000-0000-0000C8100000}"/>
    <cellStyle name="40% - 강조색3 2 9 2" xfId="3916" xr:uid="{00000000-0005-0000-0000-0000C9100000}"/>
    <cellStyle name="40% - 강조색3 3" xfId="3917" xr:uid="{00000000-0005-0000-0000-0000CA100000}"/>
    <cellStyle name="40% - 강조색3 3 10" xfId="3918" xr:uid="{00000000-0005-0000-0000-0000CB100000}"/>
    <cellStyle name="40% - 강조색3 3 2" xfId="3919" xr:uid="{00000000-0005-0000-0000-0000CC100000}"/>
    <cellStyle name="40% - 강조색3 3 2 2" xfId="3920" xr:uid="{00000000-0005-0000-0000-0000CD100000}"/>
    <cellStyle name="40% - 강조색3 3 3" xfId="3921" xr:uid="{00000000-0005-0000-0000-0000CE100000}"/>
    <cellStyle name="40% - 강조색3 3 3 2" xfId="3922" xr:uid="{00000000-0005-0000-0000-0000CF100000}"/>
    <cellStyle name="40% - 강조색3 3 4" xfId="3923" xr:uid="{00000000-0005-0000-0000-0000D0100000}"/>
    <cellStyle name="40% - 강조색3 3 4 2" xfId="3924" xr:uid="{00000000-0005-0000-0000-0000D1100000}"/>
    <cellStyle name="40% - 강조색3 3 5" xfId="3925" xr:uid="{00000000-0005-0000-0000-0000D2100000}"/>
    <cellStyle name="40% - 강조색3 3 5 2" xfId="3926" xr:uid="{00000000-0005-0000-0000-0000D3100000}"/>
    <cellStyle name="40% - 강조색3 3 6" xfId="3927" xr:uid="{00000000-0005-0000-0000-0000D4100000}"/>
    <cellStyle name="40% - 강조색3 3 6 2" xfId="3928" xr:uid="{00000000-0005-0000-0000-0000D5100000}"/>
    <cellStyle name="40% - 강조색3 3 7" xfId="3929" xr:uid="{00000000-0005-0000-0000-0000D6100000}"/>
    <cellStyle name="40% - 강조색3 3 7 2" xfId="3930" xr:uid="{00000000-0005-0000-0000-0000D7100000}"/>
    <cellStyle name="40% - 강조색3 3 8" xfId="3931" xr:uid="{00000000-0005-0000-0000-0000D8100000}"/>
    <cellStyle name="40% - 강조색3 3 8 2" xfId="3932" xr:uid="{00000000-0005-0000-0000-0000D9100000}"/>
    <cellStyle name="40% - 강조색3 3 9" xfId="3933" xr:uid="{00000000-0005-0000-0000-0000DA100000}"/>
    <cellStyle name="40% - 강조색3 3 9 2" xfId="3934" xr:uid="{00000000-0005-0000-0000-0000DB100000}"/>
    <cellStyle name="40% - 강조색3 4" xfId="3935" xr:uid="{00000000-0005-0000-0000-0000DC100000}"/>
    <cellStyle name="40% - 강조색3 4 10" xfId="3936" xr:uid="{00000000-0005-0000-0000-0000DD100000}"/>
    <cellStyle name="40% - 강조색3 4 2" xfId="3937" xr:uid="{00000000-0005-0000-0000-0000DE100000}"/>
    <cellStyle name="40% - 강조색3 4 2 2" xfId="3938" xr:uid="{00000000-0005-0000-0000-0000DF100000}"/>
    <cellStyle name="40% - 강조색3 4 3" xfId="3939" xr:uid="{00000000-0005-0000-0000-0000E0100000}"/>
    <cellStyle name="40% - 강조색3 4 3 2" xfId="3940" xr:uid="{00000000-0005-0000-0000-0000E1100000}"/>
    <cellStyle name="40% - 강조색3 4 4" xfId="3941" xr:uid="{00000000-0005-0000-0000-0000E2100000}"/>
    <cellStyle name="40% - 강조색3 4 4 2" xfId="3942" xr:uid="{00000000-0005-0000-0000-0000E3100000}"/>
    <cellStyle name="40% - 강조색3 4 5" xfId="3943" xr:uid="{00000000-0005-0000-0000-0000E4100000}"/>
    <cellStyle name="40% - 강조색3 4 5 2" xfId="3944" xr:uid="{00000000-0005-0000-0000-0000E5100000}"/>
    <cellStyle name="40% - 강조색3 4 6" xfId="3945" xr:uid="{00000000-0005-0000-0000-0000E6100000}"/>
    <cellStyle name="40% - 강조색3 4 6 2" xfId="3946" xr:uid="{00000000-0005-0000-0000-0000E7100000}"/>
    <cellStyle name="40% - 강조색3 4 7" xfId="3947" xr:uid="{00000000-0005-0000-0000-0000E8100000}"/>
    <cellStyle name="40% - 강조색3 4 7 2" xfId="3948" xr:uid="{00000000-0005-0000-0000-0000E9100000}"/>
    <cellStyle name="40% - 강조색3 4 8" xfId="3949" xr:uid="{00000000-0005-0000-0000-0000EA100000}"/>
    <cellStyle name="40% - 강조색3 4 8 2" xfId="3950" xr:uid="{00000000-0005-0000-0000-0000EB100000}"/>
    <cellStyle name="40% - 강조색3 4 9" xfId="3951" xr:uid="{00000000-0005-0000-0000-0000EC100000}"/>
    <cellStyle name="40% - 강조색3 4 9 2" xfId="3952" xr:uid="{00000000-0005-0000-0000-0000ED100000}"/>
    <cellStyle name="40% - 강조색3 5" xfId="3953" xr:uid="{00000000-0005-0000-0000-0000EE100000}"/>
    <cellStyle name="40% - 강조색3 5 10" xfId="3954" xr:uid="{00000000-0005-0000-0000-0000EF100000}"/>
    <cellStyle name="40% - 강조색3 5 2" xfId="3955" xr:uid="{00000000-0005-0000-0000-0000F0100000}"/>
    <cellStyle name="40% - 강조색3 5 2 2" xfId="3956" xr:uid="{00000000-0005-0000-0000-0000F1100000}"/>
    <cellStyle name="40% - 강조색3 5 3" xfId="3957" xr:uid="{00000000-0005-0000-0000-0000F2100000}"/>
    <cellStyle name="40% - 강조색3 5 3 2" xfId="3958" xr:uid="{00000000-0005-0000-0000-0000F3100000}"/>
    <cellStyle name="40% - 강조색3 5 4" xfId="3959" xr:uid="{00000000-0005-0000-0000-0000F4100000}"/>
    <cellStyle name="40% - 강조색3 5 4 2" xfId="3960" xr:uid="{00000000-0005-0000-0000-0000F5100000}"/>
    <cellStyle name="40% - 강조색3 5 5" xfId="3961" xr:uid="{00000000-0005-0000-0000-0000F6100000}"/>
    <cellStyle name="40% - 강조색3 5 5 2" xfId="3962" xr:uid="{00000000-0005-0000-0000-0000F7100000}"/>
    <cellStyle name="40% - 강조색3 5 6" xfId="3963" xr:uid="{00000000-0005-0000-0000-0000F8100000}"/>
    <cellStyle name="40% - 강조색3 5 6 2" xfId="3964" xr:uid="{00000000-0005-0000-0000-0000F9100000}"/>
    <cellStyle name="40% - 강조색3 5 7" xfId="3965" xr:uid="{00000000-0005-0000-0000-0000FA100000}"/>
    <cellStyle name="40% - 강조색3 5 7 2" xfId="3966" xr:uid="{00000000-0005-0000-0000-0000FB100000}"/>
    <cellStyle name="40% - 강조색3 5 8" xfId="3967" xr:uid="{00000000-0005-0000-0000-0000FC100000}"/>
    <cellStyle name="40% - 강조색3 5 8 2" xfId="3968" xr:uid="{00000000-0005-0000-0000-0000FD100000}"/>
    <cellStyle name="40% - 강조색3 5 9" xfId="3969" xr:uid="{00000000-0005-0000-0000-0000FE100000}"/>
    <cellStyle name="40% - 강조색3 5 9 2" xfId="3970" xr:uid="{00000000-0005-0000-0000-0000FF100000}"/>
    <cellStyle name="40% - 강조색3 6" xfId="3971" xr:uid="{00000000-0005-0000-0000-000000110000}"/>
    <cellStyle name="40% - 강조색3 6 10" xfId="3972" xr:uid="{00000000-0005-0000-0000-000001110000}"/>
    <cellStyle name="40% - 강조색3 6 2" xfId="3973" xr:uid="{00000000-0005-0000-0000-000002110000}"/>
    <cellStyle name="40% - 강조색3 6 2 2" xfId="3974" xr:uid="{00000000-0005-0000-0000-000003110000}"/>
    <cellStyle name="40% - 강조색3 6 3" xfId="3975" xr:uid="{00000000-0005-0000-0000-000004110000}"/>
    <cellStyle name="40% - 강조색3 6 3 2" xfId="3976" xr:uid="{00000000-0005-0000-0000-000005110000}"/>
    <cellStyle name="40% - 강조색3 6 4" xfId="3977" xr:uid="{00000000-0005-0000-0000-000006110000}"/>
    <cellStyle name="40% - 강조색3 6 4 2" xfId="3978" xr:uid="{00000000-0005-0000-0000-000007110000}"/>
    <cellStyle name="40% - 강조색3 6 5" xfId="3979" xr:uid="{00000000-0005-0000-0000-000008110000}"/>
    <cellStyle name="40% - 강조색3 6 5 2" xfId="3980" xr:uid="{00000000-0005-0000-0000-000009110000}"/>
    <cellStyle name="40% - 강조색3 6 6" xfId="3981" xr:uid="{00000000-0005-0000-0000-00000A110000}"/>
    <cellStyle name="40% - 강조색3 6 6 2" xfId="3982" xr:uid="{00000000-0005-0000-0000-00000B110000}"/>
    <cellStyle name="40% - 강조색3 6 7" xfId="3983" xr:uid="{00000000-0005-0000-0000-00000C110000}"/>
    <cellStyle name="40% - 강조색3 6 7 2" xfId="3984" xr:uid="{00000000-0005-0000-0000-00000D110000}"/>
    <cellStyle name="40% - 강조색3 6 8" xfId="3985" xr:uid="{00000000-0005-0000-0000-00000E110000}"/>
    <cellStyle name="40% - 강조색3 6 8 2" xfId="3986" xr:uid="{00000000-0005-0000-0000-00000F110000}"/>
    <cellStyle name="40% - 강조색3 6 9" xfId="3987" xr:uid="{00000000-0005-0000-0000-000010110000}"/>
    <cellStyle name="40% - 강조색3 6 9 2" xfId="3988" xr:uid="{00000000-0005-0000-0000-000011110000}"/>
    <cellStyle name="40% - 강조색4 2" xfId="3989" xr:uid="{00000000-0005-0000-0000-000012110000}"/>
    <cellStyle name="40% - 강조색4 2 10" xfId="3990" xr:uid="{00000000-0005-0000-0000-000013110000}"/>
    <cellStyle name="40% - 강조색4 2 2" xfId="3991" xr:uid="{00000000-0005-0000-0000-000014110000}"/>
    <cellStyle name="40% - 강조색4 2 2 2" xfId="3992" xr:uid="{00000000-0005-0000-0000-000015110000}"/>
    <cellStyle name="40% - 강조색4 2 3" xfId="3993" xr:uid="{00000000-0005-0000-0000-000016110000}"/>
    <cellStyle name="40% - 강조색4 2 3 2" xfId="3994" xr:uid="{00000000-0005-0000-0000-000017110000}"/>
    <cellStyle name="40% - 강조색4 2 4" xfId="3995" xr:uid="{00000000-0005-0000-0000-000018110000}"/>
    <cellStyle name="40% - 강조색4 2 4 2" xfId="3996" xr:uid="{00000000-0005-0000-0000-000019110000}"/>
    <cellStyle name="40% - 강조색4 2 5" xfId="3997" xr:uid="{00000000-0005-0000-0000-00001A110000}"/>
    <cellStyle name="40% - 강조색4 2 5 2" xfId="3998" xr:uid="{00000000-0005-0000-0000-00001B110000}"/>
    <cellStyle name="40% - 강조색4 2 6" xfId="3999" xr:uid="{00000000-0005-0000-0000-00001C110000}"/>
    <cellStyle name="40% - 강조색4 2 6 2" xfId="4000" xr:uid="{00000000-0005-0000-0000-00001D110000}"/>
    <cellStyle name="40% - 강조색4 2 7" xfId="4001" xr:uid="{00000000-0005-0000-0000-00001E110000}"/>
    <cellStyle name="40% - 강조색4 2 7 2" xfId="4002" xr:uid="{00000000-0005-0000-0000-00001F110000}"/>
    <cellStyle name="40% - 강조색4 2 8" xfId="4003" xr:uid="{00000000-0005-0000-0000-000020110000}"/>
    <cellStyle name="40% - 강조색4 2 8 2" xfId="4004" xr:uid="{00000000-0005-0000-0000-000021110000}"/>
    <cellStyle name="40% - 강조색4 2 9" xfId="4005" xr:uid="{00000000-0005-0000-0000-000022110000}"/>
    <cellStyle name="40% - 강조색4 2 9 2" xfId="4006" xr:uid="{00000000-0005-0000-0000-000023110000}"/>
    <cellStyle name="40% - 강조색4 3" xfId="4007" xr:uid="{00000000-0005-0000-0000-000024110000}"/>
    <cellStyle name="40% - 강조색4 3 10" xfId="4008" xr:uid="{00000000-0005-0000-0000-000025110000}"/>
    <cellStyle name="40% - 강조색4 3 2" xfId="4009" xr:uid="{00000000-0005-0000-0000-000026110000}"/>
    <cellStyle name="40% - 강조색4 3 2 2" xfId="4010" xr:uid="{00000000-0005-0000-0000-000027110000}"/>
    <cellStyle name="40% - 강조색4 3 3" xfId="4011" xr:uid="{00000000-0005-0000-0000-000028110000}"/>
    <cellStyle name="40% - 강조색4 3 3 2" xfId="4012" xr:uid="{00000000-0005-0000-0000-000029110000}"/>
    <cellStyle name="40% - 강조색4 3 4" xfId="4013" xr:uid="{00000000-0005-0000-0000-00002A110000}"/>
    <cellStyle name="40% - 강조색4 3 4 2" xfId="4014" xr:uid="{00000000-0005-0000-0000-00002B110000}"/>
    <cellStyle name="40% - 강조색4 3 5" xfId="4015" xr:uid="{00000000-0005-0000-0000-00002C110000}"/>
    <cellStyle name="40% - 강조색4 3 5 2" xfId="4016" xr:uid="{00000000-0005-0000-0000-00002D110000}"/>
    <cellStyle name="40% - 강조색4 3 6" xfId="4017" xr:uid="{00000000-0005-0000-0000-00002E110000}"/>
    <cellStyle name="40% - 강조색4 3 6 2" xfId="4018" xr:uid="{00000000-0005-0000-0000-00002F110000}"/>
    <cellStyle name="40% - 강조색4 3 7" xfId="4019" xr:uid="{00000000-0005-0000-0000-000030110000}"/>
    <cellStyle name="40% - 강조색4 3 7 2" xfId="4020" xr:uid="{00000000-0005-0000-0000-000031110000}"/>
    <cellStyle name="40% - 강조색4 3 8" xfId="4021" xr:uid="{00000000-0005-0000-0000-000032110000}"/>
    <cellStyle name="40% - 강조색4 3 8 2" xfId="4022" xr:uid="{00000000-0005-0000-0000-000033110000}"/>
    <cellStyle name="40% - 강조색4 3 9" xfId="4023" xr:uid="{00000000-0005-0000-0000-000034110000}"/>
    <cellStyle name="40% - 강조색4 3 9 2" xfId="4024" xr:uid="{00000000-0005-0000-0000-000035110000}"/>
    <cellStyle name="40% - 강조색4 4" xfId="4025" xr:uid="{00000000-0005-0000-0000-000036110000}"/>
    <cellStyle name="40% - 강조색4 4 10" xfId="4026" xr:uid="{00000000-0005-0000-0000-000037110000}"/>
    <cellStyle name="40% - 강조색4 4 2" xfId="4027" xr:uid="{00000000-0005-0000-0000-000038110000}"/>
    <cellStyle name="40% - 강조색4 4 2 2" xfId="4028" xr:uid="{00000000-0005-0000-0000-000039110000}"/>
    <cellStyle name="40% - 강조색4 4 3" xfId="4029" xr:uid="{00000000-0005-0000-0000-00003A110000}"/>
    <cellStyle name="40% - 강조색4 4 3 2" xfId="4030" xr:uid="{00000000-0005-0000-0000-00003B110000}"/>
    <cellStyle name="40% - 강조색4 4 4" xfId="4031" xr:uid="{00000000-0005-0000-0000-00003C110000}"/>
    <cellStyle name="40% - 강조색4 4 4 2" xfId="4032" xr:uid="{00000000-0005-0000-0000-00003D110000}"/>
    <cellStyle name="40% - 강조색4 4 5" xfId="4033" xr:uid="{00000000-0005-0000-0000-00003E110000}"/>
    <cellStyle name="40% - 강조색4 4 5 2" xfId="4034" xr:uid="{00000000-0005-0000-0000-00003F110000}"/>
    <cellStyle name="40% - 강조색4 4 6" xfId="4035" xr:uid="{00000000-0005-0000-0000-000040110000}"/>
    <cellStyle name="40% - 강조색4 4 6 2" xfId="4036" xr:uid="{00000000-0005-0000-0000-000041110000}"/>
    <cellStyle name="40% - 강조색4 4 7" xfId="4037" xr:uid="{00000000-0005-0000-0000-000042110000}"/>
    <cellStyle name="40% - 강조색4 4 7 2" xfId="4038" xr:uid="{00000000-0005-0000-0000-000043110000}"/>
    <cellStyle name="40% - 강조색4 4 8" xfId="4039" xr:uid="{00000000-0005-0000-0000-000044110000}"/>
    <cellStyle name="40% - 강조색4 4 8 2" xfId="4040" xr:uid="{00000000-0005-0000-0000-000045110000}"/>
    <cellStyle name="40% - 강조색4 4 9" xfId="4041" xr:uid="{00000000-0005-0000-0000-000046110000}"/>
    <cellStyle name="40% - 강조색4 4 9 2" xfId="4042" xr:uid="{00000000-0005-0000-0000-000047110000}"/>
    <cellStyle name="40% - 강조색4 5" xfId="4043" xr:uid="{00000000-0005-0000-0000-000048110000}"/>
    <cellStyle name="40% - 강조색4 5 10" xfId="4044" xr:uid="{00000000-0005-0000-0000-000049110000}"/>
    <cellStyle name="40% - 강조색4 5 2" xfId="4045" xr:uid="{00000000-0005-0000-0000-00004A110000}"/>
    <cellStyle name="40% - 강조색4 5 2 2" xfId="4046" xr:uid="{00000000-0005-0000-0000-00004B110000}"/>
    <cellStyle name="40% - 강조색4 5 3" xfId="4047" xr:uid="{00000000-0005-0000-0000-00004C110000}"/>
    <cellStyle name="40% - 강조색4 5 3 2" xfId="4048" xr:uid="{00000000-0005-0000-0000-00004D110000}"/>
    <cellStyle name="40% - 강조색4 5 4" xfId="4049" xr:uid="{00000000-0005-0000-0000-00004E110000}"/>
    <cellStyle name="40% - 강조색4 5 4 2" xfId="4050" xr:uid="{00000000-0005-0000-0000-00004F110000}"/>
    <cellStyle name="40% - 강조색4 5 5" xfId="4051" xr:uid="{00000000-0005-0000-0000-000050110000}"/>
    <cellStyle name="40% - 강조색4 5 5 2" xfId="4052" xr:uid="{00000000-0005-0000-0000-000051110000}"/>
    <cellStyle name="40% - 강조색4 5 6" xfId="4053" xr:uid="{00000000-0005-0000-0000-000052110000}"/>
    <cellStyle name="40% - 강조색4 5 6 2" xfId="4054" xr:uid="{00000000-0005-0000-0000-000053110000}"/>
    <cellStyle name="40% - 강조색4 5 7" xfId="4055" xr:uid="{00000000-0005-0000-0000-000054110000}"/>
    <cellStyle name="40% - 강조색4 5 7 2" xfId="4056" xr:uid="{00000000-0005-0000-0000-000055110000}"/>
    <cellStyle name="40% - 강조색4 5 8" xfId="4057" xr:uid="{00000000-0005-0000-0000-000056110000}"/>
    <cellStyle name="40% - 강조색4 5 8 2" xfId="4058" xr:uid="{00000000-0005-0000-0000-000057110000}"/>
    <cellStyle name="40% - 강조색4 5 9" xfId="4059" xr:uid="{00000000-0005-0000-0000-000058110000}"/>
    <cellStyle name="40% - 강조색4 5 9 2" xfId="4060" xr:uid="{00000000-0005-0000-0000-000059110000}"/>
    <cellStyle name="40% - 강조색4 6" xfId="4061" xr:uid="{00000000-0005-0000-0000-00005A110000}"/>
    <cellStyle name="40% - 강조색4 6 10" xfId="4062" xr:uid="{00000000-0005-0000-0000-00005B110000}"/>
    <cellStyle name="40% - 강조색4 6 2" xfId="4063" xr:uid="{00000000-0005-0000-0000-00005C110000}"/>
    <cellStyle name="40% - 강조색4 6 2 2" xfId="4064" xr:uid="{00000000-0005-0000-0000-00005D110000}"/>
    <cellStyle name="40% - 강조색4 6 3" xfId="4065" xr:uid="{00000000-0005-0000-0000-00005E110000}"/>
    <cellStyle name="40% - 강조색4 6 3 2" xfId="4066" xr:uid="{00000000-0005-0000-0000-00005F110000}"/>
    <cellStyle name="40% - 강조색4 6 4" xfId="4067" xr:uid="{00000000-0005-0000-0000-000060110000}"/>
    <cellStyle name="40% - 강조색4 6 4 2" xfId="4068" xr:uid="{00000000-0005-0000-0000-000061110000}"/>
    <cellStyle name="40% - 강조색4 6 5" xfId="4069" xr:uid="{00000000-0005-0000-0000-000062110000}"/>
    <cellStyle name="40% - 강조색4 6 5 2" xfId="4070" xr:uid="{00000000-0005-0000-0000-000063110000}"/>
    <cellStyle name="40% - 강조색4 6 6" xfId="4071" xr:uid="{00000000-0005-0000-0000-000064110000}"/>
    <cellStyle name="40% - 강조색4 6 6 2" xfId="4072" xr:uid="{00000000-0005-0000-0000-000065110000}"/>
    <cellStyle name="40% - 강조색4 6 7" xfId="4073" xr:uid="{00000000-0005-0000-0000-000066110000}"/>
    <cellStyle name="40% - 강조색4 6 7 2" xfId="4074" xr:uid="{00000000-0005-0000-0000-000067110000}"/>
    <cellStyle name="40% - 강조색4 6 8" xfId="4075" xr:uid="{00000000-0005-0000-0000-000068110000}"/>
    <cellStyle name="40% - 강조색4 6 8 2" xfId="4076" xr:uid="{00000000-0005-0000-0000-000069110000}"/>
    <cellStyle name="40% - 강조색4 6 9" xfId="4077" xr:uid="{00000000-0005-0000-0000-00006A110000}"/>
    <cellStyle name="40% - 강조색4 6 9 2" xfId="4078" xr:uid="{00000000-0005-0000-0000-00006B110000}"/>
    <cellStyle name="40% - 강조색5 2" xfId="4079" xr:uid="{00000000-0005-0000-0000-00006C110000}"/>
    <cellStyle name="40% - 강조색5 2 10" xfId="4080" xr:uid="{00000000-0005-0000-0000-00006D110000}"/>
    <cellStyle name="40% - 강조색5 2 11" xfId="16368" xr:uid="{00000000-0005-0000-0000-00006E110000}"/>
    <cellStyle name="40% - 강조색5 2 2" xfId="4081" xr:uid="{00000000-0005-0000-0000-00006F110000}"/>
    <cellStyle name="40% - 강조색5 2 2 2" xfId="4082" xr:uid="{00000000-0005-0000-0000-000070110000}"/>
    <cellStyle name="40% - 강조색5 2 3" xfId="4083" xr:uid="{00000000-0005-0000-0000-000071110000}"/>
    <cellStyle name="40% - 강조색5 2 3 2" xfId="4084" xr:uid="{00000000-0005-0000-0000-000072110000}"/>
    <cellStyle name="40% - 강조색5 2 4" xfId="4085" xr:uid="{00000000-0005-0000-0000-000073110000}"/>
    <cellStyle name="40% - 강조색5 2 4 2" xfId="4086" xr:uid="{00000000-0005-0000-0000-000074110000}"/>
    <cellStyle name="40% - 강조색5 2 5" xfId="4087" xr:uid="{00000000-0005-0000-0000-000075110000}"/>
    <cellStyle name="40% - 강조색5 2 5 2" xfId="4088" xr:uid="{00000000-0005-0000-0000-000076110000}"/>
    <cellStyle name="40% - 강조색5 2 6" xfId="4089" xr:uid="{00000000-0005-0000-0000-000077110000}"/>
    <cellStyle name="40% - 강조색5 2 6 2" xfId="4090" xr:uid="{00000000-0005-0000-0000-000078110000}"/>
    <cellStyle name="40% - 강조색5 2 7" xfId="4091" xr:uid="{00000000-0005-0000-0000-000079110000}"/>
    <cellStyle name="40% - 강조색5 2 7 2" xfId="4092" xr:uid="{00000000-0005-0000-0000-00007A110000}"/>
    <cellStyle name="40% - 강조색5 2 8" xfId="4093" xr:uid="{00000000-0005-0000-0000-00007B110000}"/>
    <cellStyle name="40% - 강조색5 2 8 2" xfId="4094" xr:uid="{00000000-0005-0000-0000-00007C110000}"/>
    <cellStyle name="40% - 강조색5 2 9" xfId="4095" xr:uid="{00000000-0005-0000-0000-00007D110000}"/>
    <cellStyle name="40% - 강조색5 2 9 2" xfId="4096" xr:uid="{00000000-0005-0000-0000-00007E110000}"/>
    <cellStyle name="40% - 강조색5 3" xfId="4097" xr:uid="{00000000-0005-0000-0000-00007F110000}"/>
    <cellStyle name="40% - 강조색5 3 10" xfId="4098" xr:uid="{00000000-0005-0000-0000-000080110000}"/>
    <cellStyle name="40% - 강조색5 3 2" xfId="4099" xr:uid="{00000000-0005-0000-0000-000081110000}"/>
    <cellStyle name="40% - 강조색5 3 2 2" xfId="4100" xr:uid="{00000000-0005-0000-0000-000082110000}"/>
    <cellStyle name="40% - 강조색5 3 3" xfId="4101" xr:uid="{00000000-0005-0000-0000-000083110000}"/>
    <cellStyle name="40% - 강조색5 3 3 2" xfId="4102" xr:uid="{00000000-0005-0000-0000-000084110000}"/>
    <cellStyle name="40% - 강조색5 3 4" xfId="4103" xr:uid="{00000000-0005-0000-0000-000085110000}"/>
    <cellStyle name="40% - 강조색5 3 4 2" xfId="4104" xr:uid="{00000000-0005-0000-0000-000086110000}"/>
    <cellStyle name="40% - 강조색5 3 5" xfId="4105" xr:uid="{00000000-0005-0000-0000-000087110000}"/>
    <cellStyle name="40% - 강조색5 3 5 2" xfId="4106" xr:uid="{00000000-0005-0000-0000-000088110000}"/>
    <cellStyle name="40% - 강조색5 3 6" xfId="4107" xr:uid="{00000000-0005-0000-0000-000089110000}"/>
    <cellStyle name="40% - 강조색5 3 6 2" xfId="4108" xr:uid="{00000000-0005-0000-0000-00008A110000}"/>
    <cellStyle name="40% - 강조색5 3 7" xfId="4109" xr:uid="{00000000-0005-0000-0000-00008B110000}"/>
    <cellStyle name="40% - 강조색5 3 7 2" xfId="4110" xr:uid="{00000000-0005-0000-0000-00008C110000}"/>
    <cellStyle name="40% - 강조색5 3 8" xfId="4111" xr:uid="{00000000-0005-0000-0000-00008D110000}"/>
    <cellStyle name="40% - 강조색5 3 8 2" xfId="4112" xr:uid="{00000000-0005-0000-0000-00008E110000}"/>
    <cellStyle name="40% - 강조색5 3 9" xfId="4113" xr:uid="{00000000-0005-0000-0000-00008F110000}"/>
    <cellStyle name="40% - 강조색5 3 9 2" xfId="4114" xr:uid="{00000000-0005-0000-0000-000090110000}"/>
    <cellStyle name="40% - 강조색5 4" xfId="4115" xr:uid="{00000000-0005-0000-0000-000091110000}"/>
    <cellStyle name="40% - 강조색5 4 10" xfId="4116" xr:uid="{00000000-0005-0000-0000-000092110000}"/>
    <cellStyle name="40% - 강조색5 4 2" xfId="4117" xr:uid="{00000000-0005-0000-0000-000093110000}"/>
    <cellStyle name="40% - 강조색5 4 2 2" xfId="4118" xr:uid="{00000000-0005-0000-0000-000094110000}"/>
    <cellStyle name="40% - 강조색5 4 3" xfId="4119" xr:uid="{00000000-0005-0000-0000-000095110000}"/>
    <cellStyle name="40% - 강조색5 4 3 2" xfId="4120" xr:uid="{00000000-0005-0000-0000-000096110000}"/>
    <cellStyle name="40% - 강조색5 4 4" xfId="4121" xr:uid="{00000000-0005-0000-0000-000097110000}"/>
    <cellStyle name="40% - 강조색5 4 4 2" xfId="4122" xr:uid="{00000000-0005-0000-0000-000098110000}"/>
    <cellStyle name="40% - 강조색5 4 5" xfId="4123" xr:uid="{00000000-0005-0000-0000-000099110000}"/>
    <cellStyle name="40% - 강조색5 4 5 2" xfId="4124" xr:uid="{00000000-0005-0000-0000-00009A110000}"/>
    <cellStyle name="40% - 강조색5 4 6" xfId="4125" xr:uid="{00000000-0005-0000-0000-00009B110000}"/>
    <cellStyle name="40% - 강조색5 4 6 2" xfId="4126" xr:uid="{00000000-0005-0000-0000-00009C110000}"/>
    <cellStyle name="40% - 강조색5 4 7" xfId="4127" xr:uid="{00000000-0005-0000-0000-00009D110000}"/>
    <cellStyle name="40% - 강조색5 4 7 2" xfId="4128" xr:uid="{00000000-0005-0000-0000-00009E110000}"/>
    <cellStyle name="40% - 강조색5 4 8" xfId="4129" xr:uid="{00000000-0005-0000-0000-00009F110000}"/>
    <cellStyle name="40% - 강조색5 4 8 2" xfId="4130" xr:uid="{00000000-0005-0000-0000-0000A0110000}"/>
    <cellStyle name="40% - 강조색5 4 9" xfId="4131" xr:uid="{00000000-0005-0000-0000-0000A1110000}"/>
    <cellStyle name="40% - 강조색5 4 9 2" xfId="4132" xr:uid="{00000000-0005-0000-0000-0000A2110000}"/>
    <cellStyle name="40% - 강조색5 5" xfId="4133" xr:uid="{00000000-0005-0000-0000-0000A3110000}"/>
    <cellStyle name="40% - 강조색5 5 10" xfId="4134" xr:uid="{00000000-0005-0000-0000-0000A4110000}"/>
    <cellStyle name="40% - 강조색5 5 2" xfId="4135" xr:uid="{00000000-0005-0000-0000-0000A5110000}"/>
    <cellStyle name="40% - 강조색5 5 2 2" xfId="4136" xr:uid="{00000000-0005-0000-0000-0000A6110000}"/>
    <cellStyle name="40% - 강조색5 5 3" xfId="4137" xr:uid="{00000000-0005-0000-0000-0000A7110000}"/>
    <cellStyle name="40% - 강조색5 5 3 2" xfId="4138" xr:uid="{00000000-0005-0000-0000-0000A8110000}"/>
    <cellStyle name="40% - 강조색5 5 4" xfId="4139" xr:uid="{00000000-0005-0000-0000-0000A9110000}"/>
    <cellStyle name="40% - 강조색5 5 4 2" xfId="4140" xr:uid="{00000000-0005-0000-0000-0000AA110000}"/>
    <cellStyle name="40% - 강조색5 5 5" xfId="4141" xr:uid="{00000000-0005-0000-0000-0000AB110000}"/>
    <cellStyle name="40% - 강조색5 5 5 2" xfId="4142" xr:uid="{00000000-0005-0000-0000-0000AC110000}"/>
    <cellStyle name="40% - 강조색5 5 6" xfId="4143" xr:uid="{00000000-0005-0000-0000-0000AD110000}"/>
    <cellStyle name="40% - 강조색5 5 6 2" xfId="4144" xr:uid="{00000000-0005-0000-0000-0000AE110000}"/>
    <cellStyle name="40% - 강조색5 5 7" xfId="4145" xr:uid="{00000000-0005-0000-0000-0000AF110000}"/>
    <cellStyle name="40% - 강조색5 5 7 2" xfId="4146" xr:uid="{00000000-0005-0000-0000-0000B0110000}"/>
    <cellStyle name="40% - 강조색5 5 8" xfId="4147" xr:uid="{00000000-0005-0000-0000-0000B1110000}"/>
    <cellStyle name="40% - 강조색5 5 8 2" xfId="4148" xr:uid="{00000000-0005-0000-0000-0000B2110000}"/>
    <cellStyle name="40% - 강조색5 5 9" xfId="4149" xr:uid="{00000000-0005-0000-0000-0000B3110000}"/>
    <cellStyle name="40% - 강조색5 5 9 2" xfId="4150" xr:uid="{00000000-0005-0000-0000-0000B4110000}"/>
    <cellStyle name="40% - 강조색5 6" xfId="4151" xr:uid="{00000000-0005-0000-0000-0000B5110000}"/>
    <cellStyle name="40% - 강조색5 6 10" xfId="4152" xr:uid="{00000000-0005-0000-0000-0000B6110000}"/>
    <cellStyle name="40% - 강조색5 6 2" xfId="4153" xr:uid="{00000000-0005-0000-0000-0000B7110000}"/>
    <cellStyle name="40% - 강조색5 6 2 2" xfId="4154" xr:uid="{00000000-0005-0000-0000-0000B8110000}"/>
    <cellStyle name="40% - 강조색5 6 3" xfId="4155" xr:uid="{00000000-0005-0000-0000-0000B9110000}"/>
    <cellStyle name="40% - 강조색5 6 3 2" xfId="4156" xr:uid="{00000000-0005-0000-0000-0000BA110000}"/>
    <cellStyle name="40% - 강조색5 6 4" xfId="4157" xr:uid="{00000000-0005-0000-0000-0000BB110000}"/>
    <cellStyle name="40% - 강조색5 6 4 2" xfId="4158" xr:uid="{00000000-0005-0000-0000-0000BC110000}"/>
    <cellStyle name="40% - 강조색5 6 5" xfId="4159" xr:uid="{00000000-0005-0000-0000-0000BD110000}"/>
    <cellStyle name="40% - 강조색5 6 5 2" xfId="4160" xr:uid="{00000000-0005-0000-0000-0000BE110000}"/>
    <cellStyle name="40% - 강조색5 6 6" xfId="4161" xr:uid="{00000000-0005-0000-0000-0000BF110000}"/>
    <cellStyle name="40% - 강조색5 6 6 2" xfId="4162" xr:uid="{00000000-0005-0000-0000-0000C0110000}"/>
    <cellStyle name="40% - 강조색5 6 7" xfId="4163" xr:uid="{00000000-0005-0000-0000-0000C1110000}"/>
    <cellStyle name="40% - 강조색5 6 7 2" xfId="4164" xr:uid="{00000000-0005-0000-0000-0000C2110000}"/>
    <cellStyle name="40% - 강조색5 6 8" xfId="4165" xr:uid="{00000000-0005-0000-0000-0000C3110000}"/>
    <cellStyle name="40% - 강조색5 6 8 2" xfId="4166" xr:uid="{00000000-0005-0000-0000-0000C4110000}"/>
    <cellStyle name="40% - 강조색5 6 9" xfId="4167" xr:uid="{00000000-0005-0000-0000-0000C5110000}"/>
    <cellStyle name="40% - 강조색5 6 9 2" xfId="4168" xr:uid="{00000000-0005-0000-0000-0000C6110000}"/>
    <cellStyle name="40% - 강조색6 2" xfId="4169" xr:uid="{00000000-0005-0000-0000-0000C7110000}"/>
    <cellStyle name="40% - 강조색6 2 10" xfId="4170" xr:uid="{00000000-0005-0000-0000-0000C8110000}"/>
    <cellStyle name="40% - 강조색6 2 11" xfId="16369" xr:uid="{00000000-0005-0000-0000-0000C9110000}"/>
    <cellStyle name="40% - 강조색6 2 12" xfId="16956" xr:uid="{00000000-0005-0000-0000-0000CA110000}"/>
    <cellStyle name="40% - 강조색6 2 2" xfId="4171" xr:uid="{00000000-0005-0000-0000-0000CB110000}"/>
    <cellStyle name="40% - 강조색6 2 2 2" xfId="4172" xr:uid="{00000000-0005-0000-0000-0000CC110000}"/>
    <cellStyle name="40% - 강조색6 2 3" xfId="4173" xr:uid="{00000000-0005-0000-0000-0000CD110000}"/>
    <cellStyle name="40% - 강조색6 2 3 2" xfId="4174" xr:uid="{00000000-0005-0000-0000-0000CE110000}"/>
    <cellStyle name="40% - 강조색6 2 4" xfId="4175" xr:uid="{00000000-0005-0000-0000-0000CF110000}"/>
    <cellStyle name="40% - 강조색6 2 4 2" xfId="4176" xr:uid="{00000000-0005-0000-0000-0000D0110000}"/>
    <cellStyle name="40% - 강조색6 2 5" xfId="4177" xr:uid="{00000000-0005-0000-0000-0000D1110000}"/>
    <cellStyle name="40% - 강조색6 2 5 2" xfId="4178" xr:uid="{00000000-0005-0000-0000-0000D2110000}"/>
    <cellStyle name="40% - 강조색6 2 6" xfId="4179" xr:uid="{00000000-0005-0000-0000-0000D3110000}"/>
    <cellStyle name="40% - 강조색6 2 6 2" xfId="4180" xr:uid="{00000000-0005-0000-0000-0000D4110000}"/>
    <cellStyle name="40% - 강조색6 2 7" xfId="4181" xr:uid="{00000000-0005-0000-0000-0000D5110000}"/>
    <cellStyle name="40% - 강조색6 2 7 2" xfId="4182" xr:uid="{00000000-0005-0000-0000-0000D6110000}"/>
    <cellStyle name="40% - 강조색6 2 8" xfId="4183" xr:uid="{00000000-0005-0000-0000-0000D7110000}"/>
    <cellStyle name="40% - 강조색6 2 8 2" xfId="4184" xr:uid="{00000000-0005-0000-0000-0000D8110000}"/>
    <cellStyle name="40% - 강조색6 2 9" xfId="4185" xr:uid="{00000000-0005-0000-0000-0000D9110000}"/>
    <cellStyle name="40% - 강조색6 2 9 2" xfId="4186" xr:uid="{00000000-0005-0000-0000-0000DA110000}"/>
    <cellStyle name="40% - 강조색6 3" xfId="4187" xr:uid="{00000000-0005-0000-0000-0000DB110000}"/>
    <cellStyle name="40% - 강조색6 3 10" xfId="4188" xr:uid="{00000000-0005-0000-0000-0000DC110000}"/>
    <cellStyle name="40% - 강조색6 3 11" xfId="16977" xr:uid="{00000000-0005-0000-0000-0000DD110000}"/>
    <cellStyle name="40% - 강조색6 3 2" xfId="4189" xr:uid="{00000000-0005-0000-0000-0000DE110000}"/>
    <cellStyle name="40% - 강조색6 3 2 2" xfId="4190" xr:uid="{00000000-0005-0000-0000-0000DF110000}"/>
    <cellStyle name="40% - 강조색6 3 3" xfId="4191" xr:uid="{00000000-0005-0000-0000-0000E0110000}"/>
    <cellStyle name="40% - 강조색6 3 3 2" xfId="4192" xr:uid="{00000000-0005-0000-0000-0000E1110000}"/>
    <cellStyle name="40% - 강조색6 3 4" xfId="4193" xr:uid="{00000000-0005-0000-0000-0000E2110000}"/>
    <cellStyle name="40% - 강조색6 3 4 2" xfId="4194" xr:uid="{00000000-0005-0000-0000-0000E3110000}"/>
    <cellStyle name="40% - 강조색6 3 5" xfId="4195" xr:uid="{00000000-0005-0000-0000-0000E4110000}"/>
    <cellStyle name="40% - 강조색6 3 5 2" xfId="4196" xr:uid="{00000000-0005-0000-0000-0000E5110000}"/>
    <cellStyle name="40% - 강조색6 3 6" xfId="4197" xr:uid="{00000000-0005-0000-0000-0000E6110000}"/>
    <cellStyle name="40% - 강조색6 3 6 2" xfId="4198" xr:uid="{00000000-0005-0000-0000-0000E7110000}"/>
    <cellStyle name="40% - 강조색6 3 7" xfId="4199" xr:uid="{00000000-0005-0000-0000-0000E8110000}"/>
    <cellStyle name="40% - 강조색6 3 7 2" xfId="4200" xr:uid="{00000000-0005-0000-0000-0000E9110000}"/>
    <cellStyle name="40% - 강조색6 3 8" xfId="4201" xr:uid="{00000000-0005-0000-0000-0000EA110000}"/>
    <cellStyle name="40% - 강조색6 3 8 2" xfId="4202" xr:uid="{00000000-0005-0000-0000-0000EB110000}"/>
    <cellStyle name="40% - 강조색6 3 9" xfId="4203" xr:uid="{00000000-0005-0000-0000-0000EC110000}"/>
    <cellStyle name="40% - 강조색6 3 9 2" xfId="4204" xr:uid="{00000000-0005-0000-0000-0000ED110000}"/>
    <cellStyle name="40% - 강조색6 4" xfId="4205" xr:uid="{00000000-0005-0000-0000-0000EE110000}"/>
    <cellStyle name="40% - 강조색6 4 10" xfId="4206" xr:uid="{00000000-0005-0000-0000-0000EF110000}"/>
    <cellStyle name="40% - 강조색6 4 2" xfId="4207" xr:uid="{00000000-0005-0000-0000-0000F0110000}"/>
    <cellStyle name="40% - 강조색6 4 2 2" xfId="4208" xr:uid="{00000000-0005-0000-0000-0000F1110000}"/>
    <cellStyle name="40% - 강조색6 4 3" xfId="4209" xr:uid="{00000000-0005-0000-0000-0000F2110000}"/>
    <cellStyle name="40% - 강조색6 4 3 2" xfId="4210" xr:uid="{00000000-0005-0000-0000-0000F3110000}"/>
    <cellStyle name="40% - 강조색6 4 4" xfId="4211" xr:uid="{00000000-0005-0000-0000-0000F4110000}"/>
    <cellStyle name="40% - 강조색6 4 4 2" xfId="4212" xr:uid="{00000000-0005-0000-0000-0000F5110000}"/>
    <cellStyle name="40% - 강조색6 4 5" xfId="4213" xr:uid="{00000000-0005-0000-0000-0000F6110000}"/>
    <cellStyle name="40% - 강조색6 4 5 2" xfId="4214" xr:uid="{00000000-0005-0000-0000-0000F7110000}"/>
    <cellStyle name="40% - 강조색6 4 6" xfId="4215" xr:uid="{00000000-0005-0000-0000-0000F8110000}"/>
    <cellStyle name="40% - 강조색6 4 6 2" xfId="4216" xr:uid="{00000000-0005-0000-0000-0000F9110000}"/>
    <cellStyle name="40% - 강조색6 4 7" xfId="4217" xr:uid="{00000000-0005-0000-0000-0000FA110000}"/>
    <cellStyle name="40% - 강조색6 4 7 2" xfId="4218" xr:uid="{00000000-0005-0000-0000-0000FB110000}"/>
    <cellStyle name="40% - 강조색6 4 8" xfId="4219" xr:uid="{00000000-0005-0000-0000-0000FC110000}"/>
    <cellStyle name="40% - 강조색6 4 8 2" xfId="4220" xr:uid="{00000000-0005-0000-0000-0000FD110000}"/>
    <cellStyle name="40% - 강조색6 4 9" xfId="4221" xr:uid="{00000000-0005-0000-0000-0000FE110000}"/>
    <cellStyle name="40% - 강조색6 4 9 2" xfId="4222" xr:uid="{00000000-0005-0000-0000-0000FF110000}"/>
    <cellStyle name="40% - 강조색6 5" xfId="4223" xr:uid="{00000000-0005-0000-0000-000000120000}"/>
    <cellStyle name="40% - 강조색6 5 10" xfId="4224" xr:uid="{00000000-0005-0000-0000-000001120000}"/>
    <cellStyle name="40% - 강조색6 5 2" xfId="4225" xr:uid="{00000000-0005-0000-0000-000002120000}"/>
    <cellStyle name="40% - 강조색6 5 2 2" xfId="4226" xr:uid="{00000000-0005-0000-0000-000003120000}"/>
    <cellStyle name="40% - 강조색6 5 3" xfId="4227" xr:uid="{00000000-0005-0000-0000-000004120000}"/>
    <cellStyle name="40% - 강조색6 5 3 2" xfId="4228" xr:uid="{00000000-0005-0000-0000-000005120000}"/>
    <cellStyle name="40% - 강조색6 5 4" xfId="4229" xr:uid="{00000000-0005-0000-0000-000006120000}"/>
    <cellStyle name="40% - 강조색6 5 4 2" xfId="4230" xr:uid="{00000000-0005-0000-0000-000007120000}"/>
    <cellStyle name="40% - 강조색6 5 5" xfId="4231" xr:uid="{00000000-0005-0000-0000-000008120000}"/>
    <cellStyle name="40% - 강조색6 5 5 2" xfId="4232" xr:uid="{00000000-0005-0000-0000-000009120000}"/>
    <cellStyle name="40% - 강조색6 5 6" xfId="4233" xr:uid="{00000000-0005-0000-0000-00000A120000}"/>
    <cellStyle name="40% - 강조색6 5 6 2" xfId="4234" xr:uid="{00000000-0005-0000-0000-00000B120000}"/>
    <cellStyle name="40% - 강조색6 5 7" xfId="4235" xr:uid="{00000000-0005-0000-0000-00000C120000}"/>
    <cellStyle name="40% - 강조색6 5 7 2" xfId="4236" xr:uid="{00000000-0005-0000-0000-00000D120000}"/>
    <cellStyle name="40% - 강조색6 5 8" xfId="4237" xr:uid="{00000000-0005-0000-0000-00000E120000}"/>
    <cellStyle name="40% - 강조색6 5 8 2" xfId="4238" xr:uid="{00000000-0005-0000-0000-00000F120000}"/>
    <cellStyle name="40% - 강조색6 5 9" xfId="4239" xr:uid="{00000000-0005-0000-0000-000010120000}"/>
    <cellStyle name="40% - 강조색6 5 9 2" xfId="4240" xr:uid="{00000000-0005-0000-0000-000011120000}"/>
    <cellStyle name="40% - 강조색6 6" xfId="4241" xr:uid="{00000000-0005-0000-0000-000012120000}"/>
    <cellStyle name="40% - 강조색6 6 10" xfId="4242" xr:uid="{00000000-0005-0000-0000-000013120000}"/>
    <cellStyle name="40% - 강조색6 6 2" xfId="4243" xr:uid="{00000000-0005-0000-0000-000014120000}"/>
    <cellStyle name="40% - 강조색6 6 2 2" xfId="4244" xr:uid="{00000000-0005-0000-0000-000015120000}"/>
    <cellStyle name="40% - 강조색6 6 3" xfId="4245" xr:uid="{00000000-0005-0000-0000-000016120000}"/>
    <cellStyle name="40% - 강조색6 6 3 2" xfId="4246" xr:uid="{00000000-0005-0000-0000-000017120000}"/>
    <cellStyle name="40% - 강조색6 6 4" xfId="4247" xr:uid="{00000000-0005-0000-0000-000018120000}"/>
    <cellStyle name="40% - 강조색6 6 4 2" xfId="4248" xr:uid="{00000000-0005-0000-0000-000019120000}"/>
    <cellStyle name="40% - 강조색6 6 5" xfId="4249" xr:uid="{00000000-0005-0000-0000-00001A120000}"/>
    <cellStyle name="40% - 강조색6 6 5 2" xfId="4250" xr:uid="{00000000-0005-0000-0000-00001B120000}"/>
    <cellStyle name="40% - 강조색6 6 6" xfId="4251" xr:uid="{00000000-0005-0000-0000-00001C120000}"/>
    <cellStyle name="40% - 강조색6 6 6 2" xfId="4252" xr:uid="{00000000-0005-0000-0000-00001D120000}"/>
    <cellStyle name="40% - 강조색6 6 7" xfId="4253" xr:uid="{00000000-0005-0000-0000-00001E120000}"/>
    <cellStyle name="40% - 강조색6 6 7 2" xfId="4254" xr:uid="{00000000-0005-0000-0000-00001F120000}"/>
    <cellStyle name="40% - 강조색6 6 8" xfId="4255" xr:uid="{00000000-0005-0000-0000-000020120000}"/>
    <cellStyle name="40% - 강조색6 6 8 2" xfId="4256" xr:uid="{00000000-0005-0000-0000-000021120000}"/>
    <cellStyle name="40% - 강조색6 6 9" xfId="4257" xr:uid="{00000000-0005-0000-0000-000022120000}"/>
    <cellStyle name="40% - 강조색6 6 9 2" xfId="4258" xr:uid="{00000000-0005-0000-0000-000023120000}"/>
    <cellStyle name="60" xfId="4259" xr:uid="{00000000-0005-0000-0000-000024120000}"/>
    <cellStyle name="60 2" xfId="4260" xr:uid="{00000000-0005-0000-0000-000025120000}"/>
    <cellStyle name="60 3" xfId="16370" xr:uid="{00000000-0005-0000-0000-000026120000}"/>
    <cellStyle name="60% - Accent1" xfId="15969" xr:uid="{00000000-0005-0000-0000-000027120000}"/>
    <cellStyle name="60% - Accent2" xfId="15970" xr:uid="{00000000-0005-0000-0000-000028120000}"/>
    <cellStyle name="60% - Accent3" xfId="15971" xr:uid="{00000000-0005-0000-0000-000029120000}"/>
    <cellStyle name="60% - Accent4" xfId="15972" xr:uid="{00000000-0005-0000-0000-00002A120000}"/>
    <cellStyle name="60% - Accent5" xfId="15973" xr:uid="{00000000-0005-0000-0000-00002B120000}"/>
    <cellStyle name="60% - Accent6" xfId="15974" xr:uid="{00000000-0005-0000-0000-00002C120000}"/>
    <cellStyle name="60% - 강조색1 2" xfId="4261" xr:uid="{00000000-0005-0000-0000-00002D120000}"/>
    <cellStyle name="60% - 강조색1 2 10" xfId="4262" xr:uid="{00000000-0005-0000-0000-00002E120000}"/>
    <cellStyle name="60% - 강조색1 2 11" xfId="16372" xr:uid="{00000000-0005-0000-0000-00002F120000}"/>
    <cellStyle name="60% - 강조색1 2 12" xfId="16978" xr:uid="{00000000-0005-0000-0000-000030120000}"/>
    <cellStyle name="60% - 강조색1 2 2" xfId="4263" xr:uid="{00000000-0005-0000-0000-000031120000}"/>
    <cellStyle name="60% - 강조색1 2 2 2" xfId="4264" xr:uid="{00000000-0005-0000-0000-000032120000}"/>
    <cellStyle name="60% - 강조색1 2 3" xfId="4265" xr:uid="{00000000-0005-0000-0000-000033120000}"/>
    <cellStyle name="60% - 강조색1 2 3 2" xfId="4266" xr:uid="{00000000-0005-0000-0000-000034120000}"/>
    <cellStyle name="60% - 강조색1 2 4" xfId="4267" xr:uid="{00000000-0005-0000-0000-000035120000}"/>
    <cellStyle name="60% - 강조색1 2 4 2" xfId="4268" xr:uid="{00000000-0005-0000-0000-000036120000}"/>
    <cellStyle name="60% - 강조색1 2 5" xfId="4269" xr:uid="{00000000-0005-0000-0000-000037120000}"/>
    <cellStyle name="60% - 강조색1 2 5 2" xfId="4270" xr:uid="{00000000-0005-0000-0000-000038120000}"/>
    <cellStyle name="60% - 강조색1 2 6" xfId="4271" xr:uid="{00000000-0005-0000-0000-000039120000}"/>
    <cellStyle name="60% - 강조색1 2 6 2" xfId="4272" xr:uid="{00000000-0005-0000-0000-00003A120000}"/>
    <cellStyle name="60% - 강조색1 2 7" xfId="4273" xr:uid="{00000000-0005-0000-0000-00003B120000}"/>
    <cellStyle name="60% - 강조색1 2 7 2" xfId="4274" xr:uid="{00000000-0005-0000-0000-00003C120000}"/>
    <cellStyle name="60% - 강조색1 2 8" xfId="4275" xr:uid="{00000000-0005-0000-0000-00003D120000}"/>
    <cellStyle name="60% - 강조색1 2 8 2" xfId="4276" xr:uid="{00000000-0005-0000-0000-00003E120000}"/>
    <cellStyle name="60% - 강조색1 2 9" xfId="4277" xr:uid="{00000000-0005-0000-0000-00003F120000}"/>
    <cellStyle name="60% - 강조색1 2 9 2" xfId="4278" xr:uid="{00000000-0005-0000-0000-000040120000}"/>
    <cellStyle name="60% - 강조색1 3" xfId="4279" xr:uid="{00000000-0005-0000-0000-000041120000}"/>
    <cellStyle name="60% - 강조색1 3 10" xfId="4280" xr:uid="{00000000-0005-0000-0000-000042120000}"/>
    <cellStyle name="60% - 강조색1 3 2" xfId="4281" xr:uid="{00000000-0005-0000-0000-000043120000}"/>
    <cellStyle name="60% - 강조색1 3 2 2" xfId="4282" xr:uid="{00000000-0005-0000-0000-000044120000}"/>
    <cellStyle name="60% - 강조색1 3 3" xfId="4283" xr:uid="{00000000-0005-0000-0000-000045120000}"/>
    <cellStyle name="60% - 강조색1 3 3 2" xfId="4284" xr:uid="{00000000-0005-0000-0000-000046120000}"/>
    <cellStyle name="60% - 강조색1 3 4" xfId="4285" xr:uid="{00000000-0005-0000-0000-000047120000}"/>
    <cellStyle name="60% - 강조색1 3 4 2" xfId="4286" xr:uid="{00000000-0005-0000-0000-000048120000}"/>
    <cellStyle name="60% - 강조색1 3 5" xfId="4287" xr:uid="{00000000-0005-0000-0000-000049120000}"/>
    <cellStyle name="60% - 강조색1 3 5 2" xfId="4288" xr:uid="{00000000-0005-0000-0000-00004A120000}"/>
    <cellStyle name="60% - 강조색1 3 6" xfId="4289" xr:uid="{00000000-0005-0000-0000-00004B120000}"/>
    <cellStyle name="60% - 강조색1 3 6 2" xfId="4290" xr:uid="{00000000-0005-0000-0000-00004C120000}"/>
    <cellStyle name="60% - 강조색1 3 7" xfId="4291" xr:uid="{00000000-0005-0000-0000-00004D120000}"/>
    <cellStyle name="60% - 강조색1 3 7 2" xfId="4292" xr:uid="{00000000-0005-0000-0000-00004E120000}"/>
    <cellStyle name="60% - 강조색1 3 8" xfId="4293" xr:uid="{00000000-0005-0000-0000-00004F120000}"/>
    <cellStyle name="60% - 강조색1 3 8 2" xfId="4294" xr:uid="{00000000-0005-0000-0000-000050120000}"/>
    <cellStyle name="60% - 강조색1 3 9" xfId="4295" xr:uid="{00000000-0005-0000-0000-000051120000}"/>
    <cellStyle name="60% - 강조색1 3 9 2" xfId="4296" xr:uid="{00000000-0005-0000-0000-000052120000}"/>
    <cellStyle name="60% - 강조색1 4" xfId="4297" xr:uid="{00000000-0005-0000-0000-000053120000}"/>
    <cellStyle name="60% - 강조색1 4 10" xfId="4298" xr:uid="{00000000-0005-0000-0000-000054120000}"/>
    <cellStyle name="60% - 강조색1 4 2" xfId="4299" xr:uid="{00000000-0005-0000-0000-000055120000}"/>
    <cellStyle name="60% - 강조색1 4 2 2" xfId="4300" xr:uid="{00000000-0005-0000-0000-000056120000}"/>
    <cellStyle name="60% - 강조색1 4 3" xfId="4301" xr:uid="{00000000-0005-0000-0000-000057120000}"/>
    <cellStyle name="60% - 강조색1 4 3 2" xfId="4302" xr:uid="{00000000-0005-0000-0000-000058120000}"/>
    <cellStyle name="60% - 강조색1 4 4" xfId="4303" xr:uid="{00000000-0005-0000-0000-000059120000}"/>
    <cellStyle name="60% - 강조색1 4 4 2" xfId="4304" xr:uid="{00000000-0005-0000-0000-00005A120000}"/>
    <cellStyle name="60% - 강조색1 4 5" xfId="4305" xr:uid="{00000000-0005-0000-0000-00005B120000}"/>
    <cellStyle name="60% - 강조색1 4 5 2" xfId="4306" xr:uid="{00000000-0005-0000-0000-00005C120000}"/>
    <cellStyle name="60% - 강조색1 4 6" xfId="4307" xr:uid="{00000000-0005-0000-0000-00005D120000}"/>
    <cellStyle name="60% - 강조색1 4 6 2" xfId="4308" xr:uid="{00000000-0005-0000-0000-00005E120000}"/>
    <cellStyle name="60% - 강조색1 4 7" xfId="4309" xr:uid="{00000000-0005-0000-0000-00005F120000}"/>
    <cellStyle name="60% - 강조색1 4 7 2" xfId="4310" xr:uid="{00000000-0005-0000-0000-000060120000}"/>
    <cellStyle name="60% - 강조색1 4 8" xfId="4311" xr:uid="{00000000-0005-0000-0000-000061120000}"/>
    <cellStyle name="60% - 강조색1 4 8 2" xfId="4312" xr:uid="{00000000-0005-0000-0000-000062120000}"/>
    <cellStyle name="60% - 강조색1 4 9" xfId="4313" xr:uid="{00000000-0005-0000-0000-000063120000}"/>
    <cellStyle name="60% - 강조색1 4 9 2" xfId="4314" xr:uid="{00000000-0005-0000-0000-000064120000}"/>
    <cellStyle name="60% - 강조색1 5" xfId="4315" xr:uid="{00000000-0005-0000-0000-000065120000}"/>
    <cellStyle name="60% - 강조색1 5 10" xfId="4316" xr:uid="{00000000-0005-0000-0000-000066120000}"/>
    <cellStyle name="60% - 강조색1 5 2" xfId="4317" xr:uid="{00000000-0005-0000-0000-000067120000}"/>
    <cellStyle name="60% - 강조색1 5 2 2" xfId="4318" xr:uid="{00000000-0005-0000-0000-000068120000}"/>
    <cellStyle name="60% - 강조색1 5 3" xfId="4319" xr:uid="{00000000-0005-0000-0000-000069120000}"/>
    <cellStyle name="60% - 강조색1 5 3 2" xfId="4320" xr:uid="{00000000-0005-0000-0000-00006A120000}"/>
    <cellStyle name="60% - 강조색1 5 4" xfId="4321" xr:uid="{00000000-0005-0000-0000-00006B120000}"/>
    <cellStyle name="60% - 강조색1 5 4 2" xfId="4322" xr:uid="{00000000-0005-0000-0000-00006C120000}"/>
    <cellStyle name="60% - 강조색1 5 5" xfId="4323" xr:uid="{00000000-0005-0000-0000-00006D120000}"/>
    <cellStyle name="60% - 강조색1 5 5 2" xfId="4324" xr:uid="{00000000-0005-0000-0000-00006E120000}"/>
    <cellStyle name="60% - 강조색1 5 6" xfId="4325" xr:uid="{00000000-0005-0000-0000-00006F120000}"/>
    <cellStyle name="60% - 강조색1 5 6 2" xfId="4326" xr:uid="{00000000-0005-0000-0000-000070120000}"/>
    <cellStyle name="60% - 강조색1 5 7" xfId="4327" xr:uid="{00000000-0005-0000-0000-000071120000}"/>
    <cellStyle name="60% - 강조색1 5 7 2" xfId="4328" xr:uid="{00000000-0005-0000-0000-000072120000}"/>
    <cellStyle name="60% - 강조색1 5 8" xfId="4329" xr:uid="{00000000-0005-0000-0000-000073120000}"/>
    <cellStyle name="60% - 강조색1 5 8 2" xfId="4330" xr:uid="{00000000-0005-0000-0000-000074120000}"/>
    <cellStyle name="60% - 강조색1 5 9" xfId="4331" xr:uid="{00000000-0005-0000-0000-000075120000}"/>
    <cellStyle name="60% - 강조색1 5 9 2" xfId="4332" xr:uid="{00000000-0005-0000-0000-000076120000}"/>
    <cellStyle name="60% - 강조색1 6" xfId="4333" xr:uid="{00000000-0005-0000-0000-000077120000}"/>
    <cellStyle name="60% - 강조색1 6 10" xfId="4334" xr:uid="{00000000-0005-0000-0000-000078120000}"/>
    <cellStyle name="60% - 강조색1 6 2" xfId="4335" xr:uid="{00000000-0005-0000-0000-000079120000}"/>
    <cellStyle name="60% - 강조색1 6 2 2" xfId="4336" xr:uid="{00000000-0005-0000-0000-00007A120000}"/>
    <cellStyle name="60% - 강조색1 6 3" xfId="4337" xr:uid="{00000000-0005-0000-0000-00007B120000}"/>
    <cellStyle name="60% - 강조색1 6 3 2" xfId="4338" xr:uid="{00000000-0005-0000-0000-00007C120000}"/>
    <cellStyle name="60% - 강조색1 6 4" xfId="4339" xr:uid="{00000000-0005-0000-0000-00007D120000}"/>
    <cellStyle name="60% - 강조색1 6 4 2" xfId="4340" xr:uid="{00000000-0005-0000-0000-00007E120000}"/>
    <cellStyle name="60% - 강조색1 6 5" xfId="4341" xr:uid="{00000000-0005-0000-0000-00007F120000}"/>
    <cellStyle name="60% - 강조색1 6 5 2" xfId="4342" xr:uid="{00000000-0005-0000-0000-000080120000}"/>
    <cellStyle name="60% - 강조색1 6 6" xfId="4343" xr:uid="{00000000-0005-0000-0000-000081120000}"/>
    <cellStyle name="60% - 강조색1 6 6 2" xfId="4344" xr:uid="{00000000-0005-0000-0000-000082120000}"/>
    <cellStyle name="60% - 강조색1 6 7" xfId="4345" xr:uid="{00000000-0005-0000-0000-000083120000}"/>
    <cellStyle name="60% - 강조색1 6 7 2" xfId="4346" xr:uid="{00000000-0005-0000-0000-000084120000}"/>
    <cellStyle name="60% - 강조색1 6 8" xfId="4347" xr:uid="{00000000-0005-0000-0000-000085120000}"/>
    <cellStyle name="60% - 강조색1 6 8 2" xfId="4348" xr:uid="{00000000-0005-0000-0000-000086120000}"/>
    <cellStyle name="60% - 강조색1 6 9" xfId="4349" xr:uid="{00000000-0005-0000-0000-000087120000}"/>
    <cellStyle name="60% - 강조색1 6 9 2" xfId="4350" xr:uid="{00000000-0005-0000-0000-000088120000}"/>
    <cellStyle name="60% - 강조색2 2" xfId="4351" xr:uid="{00000000-0005-0000-0000-000089120000}"/>
    <cellStyle name="60% - 강조색2 2 10" xfId="4352" xr:uid="{00000000-0005-0000-0000-00008A120000}"/>
    <cellStyle name="60% - 강조색2 2 11" xfId="16373" xr:uid="{00000000-0005-0000-0000-00008B120000}"/>
    <cellStyle name="60% - 강조색2 2 2" xfId="4353" xr:uid="{00000000-0005-0000-0000-00008C120000}"/>
    <cellStyle name="60% - 강조색2 2 2 2" xfId="4354" xr:uid="{00000000-0005-0000-0000-00008D120000}"/>
    <cellStyle name="60% - 강조색2 2 3" xfId="4355" xr:uid="{00000000-0005-0000-0000-00008E120000}"/>
    <cellStyle name="60% - 강조색2 2 3 2" xfId="4356" xr:uid="{00000000-0005-0000-0000-00008F120000}"/>
    <cellStyle name="60% - 강조색2 2 4" xfId="4357" xr:uid="{00000000-0005-0000-0000-000090120000}"/>
    <cellStyle name="60% - 강조색2 2 4 2" xfId="4358" xr:uid="{00000000-0005-0000-0000-000091120000}"/>
    <cellStyle name="60% - 강조색2 2 5" xfId="4359" xr:uid="{00000000-0005-0000-0000-000092120000}"/>
    <cellStyle name="60% - 강조색2 2 5 2" xfId="4360" xr:uid="{00000000-0005-0000-0000-000093120000}"/>
    <cellStyle name="60% - 강조색2 2 6" xfId="4361" xr:uid="{00000000-0005-0000-0000-000094120000}"/>
    <cellStyle name="60% - 강조색2 2 6 2" xfId="4362" xr:uid="{00000000-0005-0000-0000-000095120000}"/>
    <cellStyle name="60% - 강조색2 2 7" xfId="4363" xr:uid="{00000000-0005-0000-0000-000096120000}"/>
    <cellStyle name="60% - 강조색2 2 7 2" xfId="4364" xr:uid="{00000000-0005-0000-0000-000097120000}"/>
    <cellStyle name="60% - 강조색2 2 8" xfId="4365" xr:uid="{00000000-0005-0000-0000-000098120000}"/>
    <cellStyle name="60% - 강조색2 2 8 2" xfId="4366" xr:uid="{00000000-0005-0000-0000-000099120000}"/>
    <cellStyle name="60% - 강조색2 2 9" xfId="4367" xr:uid="{00000000-0005-0000-0000-00009A120000}"/>
    <cellStyle name="60% - 강조색2 2 9 2" xfId="4368" xr:uid="{00000000-0005-0000-0000-00009B120000}"/>
    <cellStyle name="60% - 강조색2 3" xfId="4369" xr:uid="{00000000-0005-0000-0000-00009C120000}"/>
    <cellStyle name="60% - 강조색2 3 10" xfId="4370" xr:uid="{00000000-0005-0000-0000-00009D120000}"/>
    <cellStyle name="60% - 강조색2 3 2" xfId="4371" xr:uid="{00000000-0005-0000-0000-00009E120000}"/>
    <cellStyle name="60% - 강조색2 3 2 2" xfId="4372" xr:uid="{00000000-0005-0000-0000-00009F120000}"/>
    <cellStyle name="60% - 강조색2 3 3" xfId="4373" xr:uid="{00000000-0005-0000-0000-0000A0120000}"/>
    <cellStyle name="60% - 강조색2 3 3 2" xfId="4374" xr:uid="{00000000-0005-0000-0000-0000A1120000}"/>
    <cellStyle name="60% - 강조색2 3 4" xfId="4375" xr:uid="{00000000-0005-0000-0000-0000A2120000}"/>
    <cellStyle name="60% - 강조색2 3 4 2" xfId="4376" xr:uid="{00000000-0005-0000-0000-0000A3120000}"/>
    <cellStyle name="60% - 강조색2 3 5" xfId="4377" xr:uid="{00000000-0005-0000-0000-0000A4120000}"/>
    <cellStyle name="60% - 강조색2 3 5 2" xfId="4378" xr:uid="{00000000-0005-0000-0000-0000A5120000}"/>
    <cellStyle name="60% - 강조색2 3 6" xfId="4379" xr:uid="{00000000-0005-0000-0000-0000A6120000}"/>
    <cellStyle name="60% - 강조색2 3 6 2" xfId="4380" xr:uid="{00000000-0005-0000-0000-0000A7120000}"/>
    <cellStyle name="60% - 강조색2 3 7" xfId="4381" xr:uid="{00000000-0005-0000-0000-0000A8120000}"/>
    <cellStyle name="60% - 강조색2 3 7 2" xfId="4382" xr:uid="{00000000-0005-0000-0000-0000A9120000}"/>
    <cellStyle name="60% - 강조색2 3 8" xfId="4383" xr:uid="{00000000-0005-0000-0000-0000AA120000}"/>
    <cellStyle name="60% - 강조색2 3 8 2" xfId="4384" xr:uid="{00000000-0005-0000-0000-0000AB120000}"/>
    <cellStyle name="60% - 강조색2 3 9" xfId="4385" xr:uid="{00000000-0005-0000-0000-0000AC120000}"/>
    <cellStyle name="60% - 강조색2 3 9 2" xfId="4386" xr:uid="{00000000-0005-0000-0000-0000AD120000}"/>
    <cellStyle name="60% - 강조색2 4" xfId="4387" xr:uid="{00000000-0005-0000-0000-0000AE120000}"/>
    <cellStyle name="60% - 강조색2 4 10" xfId="4388" xr:uid="{00000000-0005-0000-0000-0000AF120000}"/>
    <cellStyle name="60% - 강조색2 4 2" xfId="4389" xr:uid="{00000000-0005-0000-0000-0000B0120000}"/>
    <cellStyle name="60% - 강조색2 4 2 2" xfId="4390" xr:uid="{00000000-0005-0000-0000-0000B1120000}"/>
    <cellStyle name="60% - 강조색2 4 3" xfId="4391" xr:uid="{00000000-0005-0000-0000-0000B2120000}"/>
    <cellStyle name="60% - 강조색2 4 3 2" xfId="4392" xr:uid="{00000000-0005-0000-0000-0000B3120000}"/>
    <cellStyle name="60% - 강조색2 4 4" xfId="4393" xr:uid="{00000000-0005-0000-0000-0000B4120000}"/>
    <cellStyle name="60% - 강조색2 4 4 2" xfId="4394" xr:uid="{00000000-0005-0000-0000-0000B5120000}"/>
    <cellStyle name="60% - 강조색2 4 5" xfId="4395" xr:uid="{00000000-0005-0000-0000-0000B6120000}"/>
    <cellStyle name="60% - 강조색2 4 5 2" xfId="4396" xr:uid="{00000000-0005-0000-0000-0000B7120000}"/>
    <cellStyle name="60% - 강조색2 4 6" xfId="4397" xr:uid="{00000000-0005-0000-0000-0000B8120000}"/>
    <cellStyle name="60% - 강조색2 4 6 2" xfId="4398" xr:uid="{00000000-0005-0000-0000-0000B9120000}"/>
    <cellStyle name="60% - 강조색2 4 7" xfId="4399" xr:uid="{00000000-0005-0000-0000-0000BA120000}"/>
    <cellStyle name="60% - 강조색2 4 7 2" xfId="4400" xr:uid="{00000000-0005-0000-0000-0000BB120000}"/>
    <cellStyle name="60% - 강조색2 4 8" xfId="4401" xr:uid="{00000000-0005-0000-0000-0000BC120000}"/>
    <cellStyle name="60% - 강조색2 4 8 2" xfId="4402" xr:uid="{00000000-0005-0000-0000-0000BD120000}"/>
    <cellStyle name="60% - 강조색2 4 9" xfId="4403" xr:uid="{00000000-0005-0000-0000-0000BE120000}"/>
    <cellStyle name="60% - 강조색2 4 9 2" xfId="4404" xr:uid="{00000000-0005-0000-0000-0000BF120000}"/>
    <cellStyle name="60% - 강조색2 5" xfId="4405" xr:uid="{00000000-0005-0000-0000-0000C0120000}"/>
    <cellStyle name="60% - 강조색2 5 10" xfId="4406" xr:uid="{00000000-0005-0000-0000-0000C1120000}"/>
    <cellStyle name="60% - 강조색2 5 2" xfId="4407" xr:uid="{00000000-0005-0000-0000-0000C2120000}"/>
    <cellStyle name="60% - 강조색2 5 2 2" xfId="4408" xr:uid="{00000000-0005-0000-0000-0000C3120000}"/>
    <cellStyle name="60% - 강조색2 5 3" xfId="4409" xr:uid="{00000000-0005-0000-0000-0000C4120000}"/>
    <cellStyle name="60% - 강조색2 5 3 2" xfId="4410" xr:uid="{00000000-0005-0000-0000-0000C5120000}"/>
    <cellStyle name="60% - 강조색2 5 4" xfId="4411" xr:uid="{00000000-0005-0000-0000-0000C6120000}"/>
    <cellStyle name="60% - 강조색2 5 4 2" xfId="4412" xr:uid="{00000000-0005-0000-0000-0000C7120000}"/>
    <cellStyle name="60% - 강조색2 5 5" xfId="4413" xr:uid="{00000000-0005-0000-0000-0000C8120000}"/>
    <cellStyle name="60% - 강조색2 5 5 2" xfId="4414" xr:uid="{00000000-0005-0000-0000-0000C9120000}"/>
    <cellStyle name="60% - 강조색2 5 6" xfId="4415" xr:uid="{00000000-0005-0000-0000-0000CA120000}"/>
    <cellStyle name="60% - 강조색2 5 6 2" xfId="4416" xr:uid="{00000000-0005-0000-0000-0000CB120000}"/>
    <cellStyle name="60% - 강조색2 5 7" xfId="4417" xr:uid="{00000000-0005-0000-0000-0000CC120000}"/>
    <cellStyle name="60% - 강조색2 5 7 2" xfId="4418" xr:uid="{00000000-0005-0000-0000-0000CD120000}"/>
    <cellStyle name="60% - 강조색2 5 8" xfId="4419" xr:uid="{00000000-0005-0000-0000-0000CE120000}"/>
    <cellStyle name="60% - 강조색2 5 8 2" xfId="4420" xr:uid="{00000000-0005-0000-0000-0000CF120000}"/>
    <cellStyle name="60% - 강조색2 5 9" xfId="4421" xr:uid="{00000000-0005-0000-0000-0000D0120000}"/>
    <cellStyle name="60% - 강조색2 5 9 2" xfId="4422" xr:uid="{00000000-0005-0000-0000-0000D1120000}"/>
    <cellStyle name="60% - 강조색2 6" xfId="4423" xr:uid="{00000000-0005-0000-0000-0000D2120000}"/>
    <cellStyle name="60% - 강조색2 6 10" xfId="4424" xr:uid="{00000000-0005-0000-0000-0000D3120000}"/>
    <cellStyle name="60% - 강조색2 6 2" xfId="4425" xr:uid="{00000000-0005-0000-0000-0000D4120000}"/>
    <cellStyle name="60% - 강조색2 6 2 2" xfId="4426" xr:uid="{00000000-0005-0000-0000-0000D5120000}"/>
    <cellStyle name="60% - 강조색2 6 3" xfId="4427" xr:uid="{00000000-0005-0000-0000-0000D6120000}"/>
    <cellStyle name="60% - 강조색2 6 3 2" xfId="4428" xr:uid="{00000000-0005-0000-0000-0000D7120000}"/>
    <cellStyle name="60% - 강조색2 6 4" xfId="4429" xr:uid="{00000000-0005-0000-0000-0000D8120000}"/>
    <cellStyle name="60% - 강조색2 6 4 2" xfId="4430" xr:uid="{00000000-0005-0000-0000-0000D9120000}"/>
    <cellStyle name="60% - 강조색2 6 5" xfId="4431" xr:uid="{00000000-0005-0000-0000-0000DA120000}"/>
    <cellStyle name="60% - 강조색2 6 5 2" xfId="4432" xr:uid="{00000000-0005-0000-0000-0000DB120000}"/>
    <cellStyle name="60% - 강조색2 6 6" xfId="4433" xr:uid="{00000000-0005-0000-0000-0000DC120000}"/>
    <cellStyle name="60% - 강조색2 6 6 2" xfId="4434" xr:uid="{00000000-0005-0000-0000-0000DD120000}"/>
    <cellStyle name="60% - 강조색2 6 7" xfId="4435" xr:uid="{00000000-0005-0000-0000-0000DE120000}"/>
    <cellStyle name="60% - 강조색2 6 7 2" xfId="4436" xr:uid="{00000000-0005-0000-0000-0000DF120000}"/>
    <cellStyle name="60% - 강조색2 6 8" xfId="4437" xr:uid="{00000000-0005-0000-0000-0000E0120000}"/>
    <cellStyle name="60% - 강조색2 6 8 2" xfId="4438" xr:uid="{00000000-0005-0000-0000-0000E1120000}"/>
    <cellStyle name="60% - 강조색2 6 9" xfId="4439" xr:uid="{00000000-0005-0000-0000-0000E2120000}"/>
    <cellStyle name="60% - 강조색2 6 9 2" xfId="4440" xr:uid="{00000000-0005-0000-0000-0000E3120000}"/>
    <cellStyle name="60% - 강조색3 2" xfId="4441" xr:uid="{00000000-0005-0000-0000-0000E4120000}"/>
    <cellStyle name="60% - 강조색3 2 10" xfId="4442" xr:uid="{00000000-0005-0000-0000-0000E5120000}"/>
    <cellStyle name="60% - 강조색3 2 11" xfId="16374" xr:uid="{00000000-0005-0000-0000-0000E6120000}"/>
    <cellStyle name="60% - 강조색3 2 12" xfId="16975" xr:uid="{00000000-0005-0000-0000-0000E7120000}"/>
    <cellStyle name="60% - 강조색3 2 2" xfId="4443" xr:uid="{00000000-0005-0000-0000-0000E8120000}"/>
    <cellStyle name="60% - 강조색3 2 2 2" xfId="4444" xr:uid="{00000000-0005-0000-0000-0000E9120000}"/>
    <cellStyle name="60% - 강조색3 2 3" xfId="4445" xr:uid="{00000000-0005-0000-0000-0000EA120000}"/>
    <cellStyle name="60% - 강조색3 2 3 2" xfId="4446" xr:uid="{00000000-0005-0000-0000-0000EB120000}"/>
    <cellStyle name="60% - 강조색3 2 4" xfId="4447" xr:uid="{00000000-0005-0000-0000-0000EC120000}"/>
    <cellStyle name="60% - 강조색3 2 4 2" xfId="4448" xr:uid="{00000000-0005-0000-0000-0000ED120000}"/>
    <cellStyle name="60% - 강조색3 2 5" xfId="4449" xr:uid="{00000000-0005-0000-0000-0000EE120000}"/>
    <cellStyle name="60% - 강조색3 2 5 2" xfId="4450" xr:uid="{00000000-0005-0000-0000-0000EF120000}"/>
    <cellStyle name="60% - 강조색3 2 6" xfId="4451" xr:uid="{00000000-0005-0000-0000-0000F0120000}"/>
    <cellStyle name="60% - 강조색3 2 6 2" xfId="4452" xr:uid="{00000000-0005-0000-0000-0000F1120000}"/>
    <cellStyle name="60% - 강조색3 2 7" xfId="4453" xr:uid="{00000000-0005-0000-0000-0000F2120000}"/>
    <cellStyle name="60% - 강조색3 2 7 2" xfId="4454" xr:uid="{00000000-0005-0000-0000-0000F3120000}"/>
    <cellStyle name="60% - 강조색3 2 8" xfId="4455" xr:uid="{00000000-0005-0000-0000-0000F4120000}"/>
    <cellStyle name="60% - 강조색3 2 8 2" xfId="4456" xr:uid="{00000000-0005-0000-0000-0000F5120000}"/>
    <cellStyle name="60% - 강조색3 2 9" xfId="4457" xr:uid="{00000000-0005-0000-0000-0000F6120000}"/>
    <cellStyle name="60% - 강조색3 2 9 2" xfId="4458" xr:uid="{00000000-0005-0000-0000-0000F7120000}"/>
    <cellStyle name="60% - 강조색3 3" xfId="4459" xr:uid="{00000000-0005-0000-0000-0000F8120000}"/>
    <cellStyle name="60% - 강조색3 3 10" xfId="4460" xr:uid="{00000000-0005-0000-0000-0000F9120000}"/>
    <cellStyle name="60% - 강조색3 3 2" xfId="4461" xr:uid="{00000000-0005-0000-0000-0000FA120000}"/>
    <cellStyle name="60% - 강조색3 3 2 2" xfId="4462" xr:uid="{00000000-0005-0000-0000-0000FB120000}"/>
    <cellStyle name="60% - 강조색3 3 3" xfId="4463" xr:uid="{00000000-0005-0000-0000-0000FC120000}"/>
    <cellStyle name="60% - 강조색3 3 3 2" xfId="4464" xr:uid="{00000000-0005-0000-0000-0000FD120000}"/>
    <cellStyle name="60% - 강조색3 3 4" xfId="4465" xr:uid="{00000000-0005-0000-0000-0000FE120000}"/>
    <cellStyle name="60% - 강조색3 3 4 2" xfId="4466" xr:uid="{00000000-0005-0000-0000-0000FF120000}"/>
    <cellStyle name="60% - 강조색3 3 5" xfId="4467" xr:uid="{00000000-0005-0000-0000-000000130000}"/>
    <cellStyle name="60% - 강조색3 3 5 2" xfId="4468" xr:uid="{00000000-0005-0000-0000-000001130000}"/>
    <cellStyle name="60% - 강조색3 3 6" xfId="4469" xr:uid="{00000000-0005-0000-0000-000002130000}"/>
    <cellStyle name="60% - 강조색3 3 6 2" xfId="4470" xr:uid="{00000000-0005-0000-0000-000003130000}"/>
    <cellStyle name="60% - 강조색3 3 7" xfId="4471" xr:uid="{00000000-0005-0000-0000-000004130000}"/>
    <cellStyle name="60% - 강조색3 3 7 2" xfId="4472" xr:uid="{00000000-0005-0000-0000-000005130000}"/>
    <cellStyle name="60% - 강조색3 3 8" xfId="4473" xr:uid="{00000000-0005-0000-0000-000006130000}"/>
    <cellStyle name="60% - 강조색3 3 8 2" xfId="4474" xr:uid="{00000000-0005-0000-0000-000007130000}"/>
    <cellStyle name="60% - 강조색3 3 9" xfId="4475" xr:uid="{00000000-0005-0000-0000-000008130000}"/>
    <cellStyle name="60% - 강조색3 3 9 2" xfId="4476" xr:uid="{00000000-0005-0000-0000-000009130000}"/>
    <cellStyle name="60% - 강조색3 4" xfId="4477" xr:uid="{00000000-0005-0000-0000-00000A130000}"/>
    <cellStyle name="60% - 강조색3 4 10" xfId="4478" xr:uid="{00000000-0005-0000-0000-00000B130000}"/>
    <cellStyle name="60% - 강조색3 4 2" xfId="4479" xr:uid="{00000000-0005-0000-0000-00000C130000}"/>
    <cellStyle name="60% - 강조색3 4 2 2" xfId="4480" xr:uid="{00000000-0005-0000-0000-00000D130000}"/>
    <cellStyle name="60% - 강조색3 4 3" xfId="4481" xr:uid="{00000000-0005-0000-0000-00000E130000}"/>
    <cellStyle name="60% - 강조색3 4 3 2" xfId="4482" xr:uid="{00000000-0005-0000-0000-00000F130000}"/>
    <cellStyle name="60% - 강조색3 4 4" xfId="4483" xr:uid="{00000000-0005-0000-0000-000010130000}"/>
    <cellStyle name="60% - 강조색3 4 4 2" xfId="4484" xr:uid="{00000000-0005-0000-0000-000011130000}"/>
    <cellStyle name="60% - 강조색3 4 5" xfId="4485" xr:uid="{00000000-0005-0000-0000-000012130000}"/>
    <cellStyle name="60% - 강조색3 4 5 2" xfId="4486" xr:uid="{00000000-0005-0000-0000-000013130000}"/>
    <cellStyle name="60% - 강조색3 4 6" xfId="4487" xr:uid="{00000000-0005-0000-0000-000014130000}"/>
    <cellStyle name="60% - 강조색3 4 6 2" xfId="4488" xr:uid="{00000000-0005-0000-0000-000015130000}"/>
    <cellStyle name="60% - 강조색3 4 7" xfId="4489" xr:uid="{00000000-0005-0000-0000-000016130000}"/>
    <cellStyle name="60% - 강조색3 4 7 2" xfId="4490" xr:uid="{00000000-0005-0000-0000-000017130000}"/>
    <cellStyle name="60% - 강조색3 4 8" xfId="4491" xr:uid="{00000000-0005-0000-0000-000018130000}"/>
    <cellStyle name="60% - 강조색3 4 8 2" xfId="4492" xr:uid="{00000000-0005-0000-0000-000019130000}"/>
    <cellStyle name="60% - 강조색3 4 9" xfId="4493" xr:uid="{00000000-0005-0000-0000-00001A130000}"/>
    <cellStyle name="60% - 강조색3 4 9 2" xfId="4494" xr:uid="{00000000-0005-0000-0000-00001B130000}"/>
    <cellStyle name="60% - 강조색3 5" xfId="4495" xr:uid="{00000000-0005-0000-0000-00001C130000}"/>
    <cellStyle name="60% - 강조색3 5 10" xfId="4496" xr:uid="{00000000-0005-0000-0000-00001D130000}"/>
    <cellStyle name="60% - 강조색3 5 2" xfId="4497" xr:uid="{00000000-0005-0000-0000-00001E130000}"/>
    <cellStyle name="60% - 강조색3 5 2 2" xfId="4498" xr:uid="{00000000-0005-0000-0000-00001F130000}"/>
    <cellStyle name="60% - 강조색3 5 3" xfId="4499" xr:uid="{00000000-0005-0000-0000-000020130000}"/>
    <cellStyle name="60% - 강조색3 5 3 2" xfId="4500" xr:uid="{00000000-0005-0000-0000-000021130000}"/>
    <cellStyle name="60% - 강조색3 5 4" xfId="4501" xr:uid="{00000000-0005-0000-0000-000022130000}"/>
    <cellStyle name="60% - 강조색3 5 4 2" xfId="4502" xr:uid="{00000000-0005-0000-0000-000023130000}"/>
    <cellStyle name="60% - 강조색3 5 5" xfId="4503" xr:uid="{00000000-0005-0000-0000-000024130000}"/>
    <cellStyle name="60% - 강조색3 5 5 2" xfId="4504" xr:uid="{00000000-0005-0000-0000-000025130000}"/>
    <cellStyle name="60% - 강조색3 5 6" xfId="4505" xr:uid="{00000000-0005-0000-0000-000026130000}"/>
    <cellStyle name="60% - 강조색3 5 6 2" xfId="4506" xr:uid="{00000000-0005-0000-0000-000027130000}"/>
    <cellStyle name="60% - 강조색3 5 7" xfId="4507" xr:uid="{00000000-0005-0000-0000-000028130000}"/>
    <cellStyle name="60% - 강조색3 5 7 2" xfId="4508" xr:uid="{00000000-0005-0000-0000-000029130000}"/>
    <cellStyle name="60% - 강조색3 5 8" xfId="4509" xr:uid="{00000000-0005-0000-0000-00002A130000}"/>
    <cellStyle name="60% - 강조색3 5 8 2" xfId="4510" xr:uid="{00000000-0005-0000-0000-00002B130000}"/>
    <cellStyle name="60% - 강조색3 5 9" xfId="4511" xr:uid="{00000000-0005-0000-0000-00002C130000}"/>
    <cellStyle name="60% - 강조색3 5 9 2" xfId="4512" xr:uid="{00000000-0005-0000-0000-00002D130000}"/>
    <cellStyle name="60% - 강조색3 6" xfId="4513" xr:uid="{00000000-0005-0000-0000-00002E130000}"/>
    <cellStyle name="60% - 강조색3 6 10" xfId="4514" xr:uid="{00000000-0005-0000-0000-00002F130000}"/>
    <cellStyle name="60% - 강조색3 6 2" xfId="4515" xr:uid="{00000000-0005-0000-0000-000030130000}"/>
    <cellStyle name="60% - 강조색3 6 2 2" xfId="4516" xr:uid="{00000000-0005-0000-0000-000031130000}"/>
    <cellStyle name="60% - 강조색3 6 3" xfId="4517" xr:uid="{00000000-0005-0000-0000-000032130000}"/>
    <cellStyle name="60% - 강조색3 6 3 2" xfId="4518" xr:uid="{00000000-0005-0000-0000-000033130000}"/>
    <cellStyle name="60% - 강조색3 6 4" xfId="4519" xr:uid="{00000000-0005-0000-0000-000034130000}"/>
    <cellStyle name="60% - 강조색3 6 4 2" xfId="4520" xr:uid="{00000000-0005-0000-0000-000035130000}"/>
    <cellStyle name="60% - 강조색3 6 5" xfId="4521" xr:uid="{00000000-0005-0000-0000-000036130000}"/>
    <cellStyle name="60% - 강조색3 6 5 2" xfId="4522" xr:uid="{00000000-0005-0000-0000-000037130000}"/>
    <cellStyle name="60% - 강조색3 6 6" xfId="4523" xr:uid="{00000000-0005-0000-0000-000038130000}"/>
    <cellStyle name="60% - 강조색3 6 6 2" xfId="4524" xr:uid="{00000000-0005-0000-0000-000039130000}"/>
    <cellStyle name="60% - 강조색3 6 7" xfId="4525" xr:uid="{00000000-0005-0000-0000-00003A130000}"/>
    <cellStyle name="60% - 강조색3 6 7 2" xfId="4526" xr:uid="{00000000-0005-0000-0000-00003B130000}"/>
    <cellStyle name="60% - 강조색3 6 8" xfId="4527" xr:uid="{00000000-0005-0000-0000-00003C130000}"/>
    <cellStyle name="60% - 강조색3 6 8 2" xfId="4528" xr:uid="{00000000-0005-0000-0000-00003D130000}"/>
    <cellStyle name="60% - 강조색3 6 9" xfId="4529" xr:uid="{00000000-0005-0000-0000-00003E130000}"/>
    <cellStyle name="60% - 강조색3 6 9 2" xfId="4530" xr:uid="{00000000-0005-0000-0000-00003F130000}"/>
    <cellStyle name="60% - 강조색4 2" xfId="4531" xr:uid="{00000000-0005-0000-0000-000040130000}"/>
    <cellStyle name="60% - 강조색4 2 10" xfId="4532" xr:uid="{00000000-0005-0000-0000-000041130000}"/>
    <cellStyle name="60% - 강조색4 2 11" xfId="16375" xr:uid="{00000000-0005-0000-0000-000042130000}"/>
    <cellStyle name="60% - 강조색4 2 12" xfId="16972" xr:uid="{00000000-0005-0000-0000-000043130000}"/>
    <cellStyle name="60% - 강조색4 2 2" xfId="4533" xr:uid="{00000000-0005-0000-0000-000044130000}"/>
    <cellStyle name="60% - 강조색4 2 2 2" xfId="4534" xr:uid="{00000000-0005-0000-0000-000045130000}"/>
    <cellStyle name="60% - 강조색4 2 3" xfId="4535" xr:uid="{00000000-0005-0000-0000-000046130000}"/>
    <cellStyle name="60% - 강조색4 2 3 2" xfId="4536" xr:uid="{00000000-0005-0000-0000-000047130000}"/>
    <cellStyle name="60% - 강조색4 2 4" xfId="4537" xr:uid="{00000000-0005-0000-0000-000048130000}"/>
    <cellStyle name="60% - 강조색4 2 4 2" xfId="4538" xr:uid="{00000000-0005-0000-0000-000049130000}"/>
    <cellStyle name="60% - 강조색4 2 5" xfId="4539" xr:uid="{00000000-0005-0000-0000-00004A130000}"/>
    <cellStyle name="60% - 강조색4 2 5 2" xfId="4540" xr:uid="{00000000-0005-0000-0000-00004B130000}"/>
    <cellStyle name="60% - 강조색4 2 6" xfId="4541" xr:uid="{00000000-0005-0000-0000-00004C130000}"/>
    <cellStyle name="60% - 강조색4 2 6 2" xfId="4542" xr:uid="{00000000-0005-0000-0000-00004D130000}"/>
    <cellStyle name="60% - 강조색4 2 7" xfId="4543" xr:uid="{00000000-0005-0000-0000-00004E130000}"/>
    <cellStyle name="60% - 강조색4 2 7 2" xfId="4544" xr:uid="{00000000-0005-0000-0000-00004F130000}"/>
    <cellStyle name="60% - 강조색4 2 8" xfId="4545" xr:uid="{00000000-0005-0000-0000-000050130000}"/>
    <cellStyle name="60% - 강조색4 2 8 2" xfId="4546" xr:uid="{00000000-0005-0000-0000-000051130000}"/>
    <cellStyle name="60% - 강조색4 2 9" xfId="4547" xr:uid="{00000000-0005-0000-0000-000052130000}"/>
    <cellStyle name="60% - 강조색4 2 9 2" xfId="4548" xr:uid="{00000000-0005-0000-0000-000053130000}"/>
    <cellStyle name="60% - 강조색4 3" xfId="4549" xr:uid="{00000000-0005-0000-0000-000054130000}"/>
    <cellStyle name="60% - 강조색4 3 10" xfId="4550" xr:uid="{00000000-0005-0000-0000-000055130000}"/>
    <cellStyle name="60% - 강조색4 3 2" xfId="4551" xr:uid="{00000000-0005-0000-0000-000056130000}"/>
    <cellStyle name="60% - 강조색4 3 2 2" xfId="4552" xr:uid="{00000000-0005-0000-0000-000057130000}"/>
    <cellStyle name="60% - 강조색4 3 3" xfId="4553" xr:uid="{00000000-0005-0000-0000-000058130000}"/>
    <cellStyle name="60% - 강조색4 3 3 2" xfId="4554" xr:uid="{00000000-0005-0000-0000-000059130000}"/>
    <cellStyle name="60% - 강조색4 3 4" xfId="4555" xr:uid="{00000000-0005-0000-0000-00005A130000}"/>
    <cellStyle name="60% - 강조색4 3 4 2" xfId="4556" xr:uid="{00000000-0005-0000-0000-00005B130000}"/>
    <cellStyle name="60% - 강조색4 3 5" xfId="4557" xr:uid="{00000000-0005-0000-0000-00005C130000}"/>
    <cellStyle name="60% - 강조색4 3 5 2" xfId="4558" xr:uid="{00000000-0005-0000-0000-00005D130000}"/>
    <cellStyle name="60% - 강조색4 3 6" xfId="4559" xr:uid="{00000000-0005-0000-0000-00005E130000}"/>
    <cellStyle name="60% - 강조색4 3 6 2" xfId="4560" xr:uid="{00000000-0005-0000-0000-00005F130000}"/>
    <cellStyle name="60% - 강조색4 3 7" xfId="4561" xr:uid="{00000000-0005-0000-0000-000060130000}"/>
    <cellStyle name="60% - 강조색4 3 7 2" xfId="4562" xr:uid="{00000000-0005-0000-0000-000061130000}"/>
    <cellStyle name="60% - 강조색4 3 8" xfId="4563" xr:uid="{00000000-0005-0000-0000-000062130000}"/>
    <cellStyle name="60% - 강조색4 3 8 2" xfId="4564" xr:uid="{00000000-0005-0000-0000-000063130000}"/>
    <cellStyle name="60% - 강조색4 3 9" xfId="4565" xr:uid="{00000000-0005-0000-0000-000064130000}"/>
    <cellStyle name="60% - 강조색4 3 9 2" xfId="4566" xr:uid="{00000000-0005-0000-0000-000065130000}"/>
    <cellStyle name="60% - 강조색4 4" xfId="4567" xr:uid="{00000000-0005-0000-0000-000066130000}"/>
    <cellStyle name="60% - 강조색4 4 10" xfId="4568" xr:uid="{00000000-0005-0000-0000-000067130000}"/>
    <cellStyle name="60% - 강조색4 4 2" xfId="4569" xr:uid="{00000000-0005-0000-0000-000068130000}"/>
    <cellStyle name="60% - 강조색4 4 2 2" xfId="4570" xr:uid="{00000000-0005-0000-0000-000069130000}"/>
    <cellStyle name="60% - 강조색4 4 3" xfId="4571" xr:uid="{00000000-0005-0000-0000-00006A130000}"/>
    <cellStyle name="60% - 강조색4 4 3 2" xfId="4572" xr:uid="{00000000-0005-0000-0000-00006B130000}"/>
    <cellStyle name="60% - 강조색4 4 4" xfId="4573" xr:uid="{00000000-0005-0000-0000-00006C130000}"/>
    <cellStyle name="60% - 강조색4 4 4 2" xfId="4574" xr:uid="{00000000-0005-0000-0000-00006D130000}"/>
    <cellStyle name="60% - 강조색4 4 5" xfId="4575" xr:uid="{00000000-0005-0000-0000-00006E130000}"/>
    <cellStyle name="60% - 강조색4 4 5 2" xfId="4576" xr:uid="{00000000-0005-0000-0000-00006F130000}"/>
    <cellStyle name="60% - 강조색4 4 6" xfId="4577" xr:uid="{00000000-0005-0000-0000-000070130000}"/>
    <cellStyle name="60% - 강조색4 4 6 2" xfId="4578" xr:uid="{00000000-0005-0000-0000-000071130000}"/>
    <cellStyle name="60% - 강조색4 4 7" xfId="4579" xr:uid="{00000000-0005-0000-0000-000072130000}"/>
    <cellStyle name="60% - 강조색4 4 7 2" xfId="4580" xr:uid="{00000000-0005-0000-0000-000073130000}"/>
    <cellStyle name="60% - 강조색4 4 8" xfId="4581" xr:uid="{00000000-0005-0000-0000-000074130000}"/>
    <cellStyle name="60% - 강조색4 4 8 2" xfId="4582" xr:uid="{00000000-0005-0000-0000-000075130000}"/>
    <cellStyle name="60% - 강조색4 4 9" xfId="4583" xr:uid="{00000000-0005-0000-0000-000076130000}"/>
    <cellStyle name="60% - 강조색4 4 9 2" xfId="4584" xr:uid="{00000000-0005-0000-0000-000077130000}"/>
    <cellStyle name="60% - 강조색4 5" xfId="4585" xr:uid="{00000000-0005-0000-0000-000078130000}"/>
    <cellStyle name="60% - 강조색4 5 10" xfId="4586" xr:uid="{00000000-0005-0000-0000-000079130000}"/>
    <cellStyle name="60% - 강조색4 5 2" xfId="4587" xr:uid="{00000000-0005-0000-0000-00007A130000}"/>
    <cellStyle name="60% - 강조색4 5 2 2" xfId="4588" xr:uid="{00000000-0005-0000-0000-00007B130000}"/>
    <cellStyle name="60% - 강조색4 5 3" xfId="4589" xr:uid="{00000000-0005-0000-0000-00007C130000}"/>
    <cellStyle name="60% - 강조색4 5 3 2" xfId="4590" xr:uid="{00000000-0005-0000-0000-00007D130000}"/>
    <cellStyle name="60% - 강조색4 5 4" xfId="4591" xr:uid="{00000000-0005-0000-0000-00007E130000}"/>
    <cellStyle name="60% - 강조색4 5 4 2" xfId="4592" xr:uid="{00000000-0005-0000-0000-00007F130000}"/>
    <cellStyle name="60% - 강조색4 5 5" xfId="4593" xr:uid="{00000000-0005-0000-0000-000080130000}"/>
    <cellStyle name="60% - 강조색4 5 5 2" xfId="4594" xr:uid="{00000000-0005-0000-0000-000081130000}"/>
    <cellStyle name="60% - 강조색4 5 6" xfId="4595" xr:uid="{00000000-0005-0000-0000-000082130000}"/>
    <cellStyle name="60% - 강조색4 5 6 2" xfId="4596" xr:uid="{00000000-0005-0000-0000-000083130000}"/>
    <cellStyle name="60% - 강조색4 5 7" xfId="4597" xr:uid="{00000000-0005-0000-0000-000084130000}"/>
    <cellStyle name="60% - 강조색4 5 7 2" xfId="4598" xr:uid="{00000000-0005-0000-0000-000085130000}"/>
    <cellStyle name="60% - 강조색4 5 8" xfId="4599" xr:uid="{00000000-0005-0000-0000-000086130000}"/>
    <cellStyle name="60% - 강조색4 5 8 2" xfId="4600" xr:uid="{00000000-0005-0000-0000-000087130000}"/>
    <cellStyle name="60% - 강조색4 5 9" xfId="4601" xr:uid="{00000000-0005-0000-0000-000088130000}"/>
    <cellStyle name="60% - 강조색4 5 9 2" xfId="4602" xr:uid="{00000000-0005-0000-0000-000089130000}"/>
    <cellStyle name="60% - 강조색4 6" xfId="4603" xr:uid="{00000000-0005-0000-0000-00008A130000}"/>
    <cellStyle name="60% - 강조색4 6 10" xfId="4604" xr:uid="{00000000-0005-0000-0000-00008B130000}"/>
    <cellStyle name="60% - 강조색4 6 2" xfId="4605" xr:uid="{00000000-0005-0000-0000-00008C130000}"/>
    <cellStyle name="60% - 강조색4 6 2 2" xfId="4606" xr:uid="{00000000-0005-0000-0000-00008D130000}"/>
    <cellStyle name="60% - 강조색4 6 3" xfId="4607" xr:uid="{00000000-0005-0000-0000-00008E130000}"/>
    <cellStyle name="60% - 강조색4 6 3 2" xfId="4608" xr:uid="{00000000-0005-0000-0000-00008F130000}"/>
    <cellStyle name="60% - 강조색4 6 4" xfId="4609" xr:uid="{00000000-0005-0000-0000-000090130000}"/>
    <cellStyle name="60% - 강조색4 6 4 2" xfId="4610" xr:uid="{00000000-0005-0000-0000-000091130000}"/>
    <cellStyle name="60% - 강조색4 6 5" xfId="4611" xr:uid="{00000000-0005-0000-0000-000092130000}"/>
    <cellStyle name="60% - 강조색4 6 5 2" xfId="4612" xr:uid="{00000000-0005-0000-0000-000093130000}"/>
    <cellStyle name="60% - 강조색4 6 6" xfId="4613" xr:uid="{00000000-0005-0000-0000-000094130000}"/>
    <cellStyle name="60% - 강조색4 6 6 2" xfId="4614" xr:uid="{00000000-0005-0000-0000-000095130000}"/>
    <cellStyle name="60% - 강조색4 6 7" xfId="4615" xr:uid="{00000000-0005-0000-0000-000096130000}"/>
    <cellStyle name="60% - 강조색4 6 7 2" xfId="4616" xr:uid="{00000000-0005-0000-0000-000097130000}"/>
    <cellStyle name="60% - 강조색4 6 8" xfId="4617" xr:uid="{00000000-0005-0000-0000-000098130000}"/>
    <cellStyle name="60% - 강조색4 6 8 2" xfId="4618" xr:uid="{00000000-0005-0000-0000-000099130000}"/>
    <cellStyle name="60% - 강조색4 6 9" xfId="4619" xr:uid="{00000000-0005-0000-0000-00009A130000}"/>
    <cellStyle name="60% - 강조색4 6 9 2" xfId="4620" xr:uid="{00000000-0005-0000-0000-00009B130000}"/>
    <cellStyle name="60% - 강조색5 2" xfId="4621" xr:uid="{00000000-0005-0000-0000-00009C130000}"/>
    <cellStyle name="60% - 강조색5 2 10" xfId="4622" xr:uid="{00000000-0005-0000-0000-00009D130000}"/>
    <cellStyle name="60% - 강조색5 2 11" xfId="16376" xr:uid="{00000000-0005-0000-0000-00009E130000}"/>
    <cellStyle name="60% - 강조색5 2 2" xfId="4623" xr:uid="{00000000-0005-0000-0000-00009F130000}"/>
    <cellStyle name="60% - 강조색5 2 2 2" xfId="4624" xr:uid="{00000000-0005-0000-0000-0000A0130000}"/>
    <cellStyle name="60% - 강조색5 2 3" xfId="4625" xr:uid="{00000000-0005-0000-0000-0000A1130000}"/>
    <cellStyle name="60% - 강조색5 2 3 2" xfId="4626" xr:uid="{00000000-0005-0000-0000-0000A2130000}"/>
    <cellStyle name="60% - 강조색5 2 4" xfId="4627" xr:uid="{00000000-0005-0000-0000-0000A3130000}"/>
    <cellStyle name="60% - 강조색5 2 4 2" xfId="4628" xr:uid="{00000000-0005-0000-0000-0000A4130000}"/>
    <cellStyle name="60% - 강조색5 2 5" xfId="4629" xr:uid="{00000000-0005-0000-0000-0000A5130000}"/>
    <cellStyle name="60% - 강조색5 2 5 2" xfId="4630" xr:uid="{00000000-0005-0000-0000-0000A6130000}"/>
    <cellStyle name="60% - 강조색5 2 6" xfId="4631" xr:uid="{00000000-0005-0000-0000-0000A7130000}"/>
    <cellStyle name="60% - 강조색5 2 6 2" xfId="4632" xr:uid="{00000000-0005-0000-0000-0000A8130000}"/>
    <cellStyle name="60% - 강조색5 2 7" xfId="4633" xr:uid="{00000000-0005-0000-0000-0000A9130000}"/>
    <cellStyle name="60% - 강조색5 2 7 2" xfId="4634" xr:uid="{00000000-0005-0000-0000-0000AA130000}"/>
    <cellStyle name="60% - 강조색5 2 8" xfId="4635" xr:uid="{00000000-0005-0000-0000-0000AB130000}"/>
    <cellStyle name="60% - 강조색5 2 8 2" xfId="4636" xr:uid="{00000000-0005-0000-0000-0000AC130000}"/>
    <cellStyle name="60% - 강조색5 2 9" xfId="4637" xr:uid="{00000000-0005-0000-0000-0000AD130000}"/>
    <cellStyle name="60% - 강조색5 2 9 2" xfId="4638" xr:uid="{00000000-0005-0000-0000-0000AE130000}"/>
    <cellStyle name="60% - 강조색5 3" xfId="4639" xr:uid="{00000000-0005-0000-0000-0000AF130000}"/>
    <cellStyle name="60% - 강조색5 3 10" xfId="4640" xr:uid="{00000000-0005-0000-0000-0000B0130000}"/>
    <cellStyle name="60% - 강조색5 3 2" xfId="4641" xr:uid="{00000000-0005-0000-0000-0000B1130000}"/>
    <cellStyle name="60% - 강조색5 3 2 2" xfId="4642" xr:uid="{00000000-0005-0000-0000-0000B2130000}"/>
    <cellStyle name="60% - 강조색5 3 3" xfId="4643" xr:uid="{00000000-0005-0000-0000-0000B3130000}"/>
    <cellStyle name="60% - 강조색5 3 3 2" xfId="4644" xr:uid="{00000000-0005-0000-0000-0000B4130000}"/>
    <cellStyle name="60% - 강조색5 3 4" xfId="4645" xr:uid="{00000000-0005-0000-0000-0000B5130000}"/>
    <cellStyle name="60% - 강조색5 3 4 2" xfId="4646" xr:uid="{00000000-0005-0000-0000-0000B6130000}"/>
    <cellStyle name="60% - 강조색5 3 5" xfId="4647" xr:uid="{00000000-0005-0000-0000-0000B7130000}"/>
    <cellStyle name="60% - 강조색5 3 5 2" xfId="4648" xr:uid="{00000000-0005-0000-0000-0000B8130000}"/>
    <cellStyle name="60% - 강조색5 3 6" xfId="4649" xr:uid="{00000000-0005-0000-0000-0000B9130000}"/>
    <cellStyle name="60% - 강조색5 3 6 2" xfId="4650" xr:uid="{00000000-0005-0000-0000-0000BA130000}"/>
    <cellStyle name="60% - 강조색5 3 7" xfId="4651" xr:uid="{00000000-0005-0000-0000-0000BB130000}"/>
    <cellStyle name="60% - 강조색5 3 7 2" xfId="4652" xr:uid="{00000000-0005-0000-0000-0000BC130000}"/>
    <cellStyle name="60% - 강조색5 3 8" xfId="4653" xr:uid="{00000000-0005-0000-0000-0000BD130000}"/>
    <cellStyle name="60% - 강조색5 3 8 2" xfId="4654" xr:uid="{00000000-0005-0000-0000-0000BE130000}"/>
    <cellStyle name="60% - 강조색5 3 9" xfId="4655" xr:uid="{00000000-0005-0000-0000-0000BF130000}"/>
    <cellStyle name="60% - 강조색5 3 9 2" xfId="4656" xr:uid="{00000000-0005-0000-0000-0000C0130000}"/>
    <cellStyle name="60% - 강조색5 4" xfId="4657" xr:uid="{00000000-0005-0000-0000-0000C1130000}"/>
    <cellStyle name="60% - 강조색5 4 10" xfId="4658" xr:uid="{00000000-0005-0000-0000-0000C2130000}"/>
    <cellStyle name="60% - 강조색5 4 2" xfId="4659" xr:uid="{00000000-0005-0000-0000-0000C3130000}"/>
    <cellStyle name="60% - 강조색5 4 2 2" xfId="4660" xr:uid="{00000000-0005-0000-0000-0000C4130000}"/>
    <cellStyle name="60% - 강조색5 4 3" xfId="4661" xr:uid="{00000000-0005-0000-0000-0000C5130000}"/>
    <cellStyle name="60% - 강조색5 4 3 2" xfId="4662" xr:uid="{00000000-0005-0000-0000-0000C6130000}"/>
    <cellStyle name="60% - 강조색5 4 4" xfId="4663" xr:uid="{00000000-0005-0000-0000-0000C7130000}"/>
    <cellStyle name="60% - 강조색5 4 4 2" xfId="4664" xr:uid="{00000000-0005-0000-0000-0000C8130000}"/>
    <cellStyle name="60% - 강조색5 4 5" xfId="4665" xr:uid="{00000000-0005-0000-0000-0000C9130000}"/>
    <cellStyle name="60% - 강조색5 4 5 2" xfId="4666" xr:uid="{00000000-0005-0000-0000-0000CA130000}"/>
    <cellStyle name="60% - 강조색5 4 6" xfId="4667" xr:uid="{00000000-0005-0000-0000-0000CB130000}"/>
    <cellStyle name="60% - 강조색5 4 6 2" xfId="4668" xr:uid="{00000000-0005-0000-0000-0000CC130000}"/>
    <cellStyle name="60% - 강조색5 4 7" xfId="4669" xr:uid="{00000000-0005-0000-0000-0000CD130000}"/>
    <cellStyle name="60% - 강조색5 4 7 2" xfId="4670" xr:uid="{00000000-0005-0000-0000-0000CE130000}"/>
    <cellStyle name="60% - 강조색5 4 8" xfId="4671" xr:uid="{00000000-0005-0000-0000-0000CF130000}"/>
    <cellStyle name="60% - 강조색5 4 8 2" xfId="4672" xr:uid="{00000000-0005-0000-0000-0000D0130000}"/>
    <cellStyle name="60% - 강조색5 4 9" xfId="4673" xr:uid="{00000000-0005-0000-0000-0000D1130000}"/>
    <cellStyle name="60% - 강조색5 4 9 2" xfId="4674" xr:uid="{00000000-0005-0000-0000-0000D2130000}"/>
    <cellStyle name="60% - 강조색5 5" xfId="4675" xr:uid="{00000000-0005-0000-0000-0000D3130000}"/>
    <cellStyle name="60% - 강조색5 5 10" xfId="4676" xr:uid="{00000000-0005-0000-0000-0000D4130000}"/>
    <cellStyle name="60% - 강조색5 5 2" xfId="4677" xr:uid="{00000000-0005-0000-0000-0000D5130000}"/>
    <cellStyle name="60% - 강조색5 5 2 2" xfId="4678" xr:uid="{00000000-0005-0000-0000-0000D6130000}"/>
    <cellStyle name="60% - 강조색5 5 3" xfId="4679" xr:uid="{00000000-0005-0000-0000-0000D7130000}"/>
    <cellStyle name="60% - 강조색5 5 3 2" xfId="4680" xr:uid="{00000000-0005-0000-0000-0000D8130000}"/>
    <cellStyle name="60% - 강조색5 5 4" xfId="4681" xr:uid="{00000000-0005-0000-0000-0000D9130000}"/>
    <cellStyle name="60% - 강조색5 5 4 2" xfId="4682" xr:uid="{00000000-0005-0000-0000-0000DA130000}"/>
    <cellStyle name="60% - 강조색5 5 5" xfId="4683" xr:uid="{00000000-0005-0000-0000-0000DB130000}"/>
    <cellStyle name="60% - 강조색5 5 5 2" xfId="4684" xr:uid="{00000000-0005-0000-0000-0000DC130000}"/>
    <cellStyle name="60% - 강조색5 5 6" xfId="4685" xr:uid="{00000000-0005-0000-0000-0000DD130000}"/>
    <cellStyle name="60% - 강조색5 5 6 2" xfId="4686" xr:uid="{00000000-0005-0000-0000-0000DE130000}"/>
    <cellStyle name="60% - 강조색5 5 7" xfId="4687" xr:uid="{00000000-0005-0000-0000-0000DF130000}"/>
    <cellStyle name="60% - 강조색5 5 7 2" xfId="4688" xr:uid="{00000000-0005-0000-0000-0000E0130000}"/>
    <cellStyle name="60% - 강조색5 5 8" xfId="4689" xr:uid="{00000000-0005-0000-0000-0000E1130000}"/>
    <cellStyle name="60% - 강조색5 5 8 2" xfId="4690" xr:uid="{00000000-0005-0000-0000-0000E2130000}"/>
    <cellStyle name="60% - 강조색5 5 9" xfId="4691" xr:uid="{00000000-0005-0000-0000-0000E3130000}"/>
    <cellStyle name="60% - 강조색5 5 9 2" xfId="4692" xr:uid="{00000000-0005-0000-0000-0000E4130000}"/>
    <cellStyle name="60% - 강조색5 6" xfId="4693" xr:uid="{00000000-0005-0000-0000-0000E5130000}"/>
    <cellStyle name="60% - 강조색5 6 10" xfId="4694" xr:uid="{00000000-0005-0000-0000-0000E6130000}"/>
    <cellStyle name="60% - 강조색5 6 2" xfId="4695" xr:uid="{00000000-0005-0000-0000-0000E7130000}"/>
    <cellStyle name="60% - 강조색5 6 2 2" xfId="4696" xr:uid="{00000000-0005-0000-0000-0000E8130000}"/>
    <cellStyle name="60% - 강조색5 6 3" xfId="4697" xr:uid="{00000000-0005-0000-0000-0000E9130000}"/>
    <cellStyle name="60% - 강조색5 6 3 2" xfId="4698" xr:uid="{00000000-0005-0000-0000-0000EA130000}"/>
    <cellStyle name="60% - 강조색5 6 4" xfId="4699" xr:uid="{00000000-0005-0000-0000-0000EB130000}"/>
    <cellStyle name="60% - 강조색5 6 4 2" xfId="4700" xr:uid="{00000000-0005-0000-0000-0000EC130000}"/>
    <cellStyle name="60% - 강조색5 6 5" xfId="4701" xr:uid="{00000000-0005-0000-0000-0000ED130000}"/>
    <cellStyle name="60% - 강조색5 6 5 2" xfId="4702" xr:uid="{00000000-0005-0000-0000-0000EE130000}"/>
    <cellStyle name="60% - 강조색5 6 6" xfId="4703" xr:uid="{00000000-0005-0000-0000-0000EF130000}"/>
    <cellStyle name="60% - 강조색5 6 6 2" xfId="4704" xr:uid="{00000000-0005-0000-0000-0000F0130000}"/>
    <cellStyle name="60% - 강조색5 6 7" xfId="4705" xr:uid="{00000000-0005-0000-0000-0000F1130000}"/>
    <cellStyle name="60% - 강조색5 6 7 2" xfId="4706" xr:uid="{00000000-0005-0000-0000-0000F2130000}"/>
    <cellStyle name="60% - 강조색5 6 8" xfId="4707" xr:uid="{00000000-0005-0000-0000-0000F3130000}"/>
    <cellStyle name="60% - 강조색5 6 8 2" xfId="4708" xr:uid="{00000000-0005-0000-0000-0000F4130000}"/>
    <cellStyle name="60% - 강조색5 6 9" xfId="4709" xr:uid="{00000000-0005-0000-0000-0000F5130000}"/>
    <cellStyle name="60% - 강조색5 6 9 2" xfId="4710" xr:uid="{00000000-0005-0000-0000-0000F6130000}"/>
    <cellStyle name="60% - 강조색6 2" xfId="4711" xr:uid="{00000000-0005-0000-0000-0000F7130000}"/>
    <cellStyle name="60% - 강조색6 2 10" xfId="4712" xr:uid="{00000000-0005-0000-0000-0000F8130000}"/>
    <cellStyle name="60% - 강조색6 2 11" xfId="16377" xr:uid="{00000000-0005-0000-0000-0000F9130000}"/>
    <cellStyle name="60% - 강조색6 2 12" xfId="16955" xr:uid="{00000000-0005-0000-0000-0000FA130000}"/>
    <cellStyle name="60% - 강조색6 2 2" xfId="4713" xr:uid="{00000000-0005-0000-0000-0000FB130000}"/>
    <cellStyle name="60% - 강조색6 2 2 2" xfId="4714" xr:uid="{00000000-0005-0000-0000-0000FC130000}"/>
    <cellStyle name="60% - 강조색6 2 3" xfId="4715" xr:uid="{00000000-0005-0000-0000-0000FD130000}"/>
    <cellStyle name="60% - 강조색6 2 3 2" xfId="4716" xr:uid="{00000000-0005-0000-0000-0000FE130000}"/>
    <cellStyle name="60% - 강조색6 2 4" xfId="4717" xr:uid="{00000000-0005-0000-0000-0000FF130000}"/>
    <cellStyle name="60% - 강조색6 2 4 2" xfId="4718" xr:uid="{00000000-0005-0000-0000-000000140000}"/>
    <cellStyle name="60% - 강조색6 2 5" xfId="4719" xr:uid="{00000000-0005-0000-0000-000001140000}"/>
    <cellStyle name="60% - 강조색6 2 5 2" xfId="4720" xr:uid="{00000000-0005-0000-0000-000002140000}"/>
    <cellStyle name="60% - 강조색6 2 6" xfId="4721" xr:uid="{00000000-0005-0000-0000-000003140000}"/>
    <cellStyle name="60% - 강조색6 2 6 2" xfId="4722" xr:uid="{00000000-0005-0000-0000-000004140000}"/>
    <cellStyle name="60% - 강조색6 2 7" xfId="4723" xr:uid="{00000000-0005-0000-0000-000005140000}"/>
    <cellStyle name="60% - 강조색6 2 7 2" xfId="4724" xr:uid="{00000000-0005-0000-0000-000006140000}"/>
    <cellStyle name="60% - 강조색6 2 8" xfId="4725" xr:uid="{00000000-0005-0000-0000-000007140000}"/>
    <cellStyle name="60% - 강조색6 2 8 2" xfId="4726" xr:uid="{00000000-0005-0000-0000-000008140000}"/>
    <cellStyle name="60% - 강조색6 2 9" xfId="4727" xr:uid="{00000000-0005-0000-0000-000009140000}"/>
    <cellStyle name="60% - 강조색6 2 9 2" xfId="4728" xr:uid="{00000000-0005-0000-0000-00000A140000}"/>
    <cellStyle name="60% - 강조색6 3" xfId="4729" xr:uid="{00000000-0005-0000-0000-00000B140000}"/>
    <cellStyle name="60% - 강조색6 3 10" xfId="4730" xr:uid="{00000000-0005-0000-0000-00000C140000}"/>
    <cellStyle name="60% - 강조색6 3 11" xfId="16954" xr:uid="{00000000-0005-0000-0000-00000D140000}"/>
    <cellStyle name="60% - 강조색6 3 2" xfId="4731" xr:uid="{00000000-0005-0000-0000-00000E140000}"/>
    <cellStyle name="60% - 강조색6 3 2 2" xfId="4732" xr:uid="{00000000-0005-0000-0000-00000F140000}"/>
    <cellStyle name="60% - 강조색6 3 3" xfId="4733" xr:uid="{00000000-0005-0000-0000-000010140000}"/>
    <cellStyle name="60% - 강조색6 3 3 2" xfId="4734" xr:uid="{00000000-0005-0000-0000-000011140000}"/>
    <cellStyle name="60% - 강조색6 3 4" xfId="4735" xr:uid="{00000000-0005-0000-0000-000012140000}"/>
    <cellStyle name="60% - 강조색6 3 4 2" xfId="4736" xr:uid="{00000000-0005-0000-0000-000013140000}"/>
    <cellStyle name="60% - 강조색6 3 5" xfId="4737" xr:uid="{00000000-0005-0000-0000-000014140000}"/>
    <cellStyle name="60% - 강조색6 3 5 2" xfId="4738" xr:uid="{00000000-0005-0000-0000-000015140000}"/>
    <cellStyle name="60% - 강조색6 3 6" xfId="4739" xr:uid="{00000000-0005-0000-0000-000016140000}"/>
    <cellStyle name="60% - 강조색6 3 6 2" xfId="4740" xr:uid="{00000000-0005-0000-0000-000017140000}"/>
    <cellStyle name="60% - 강조색6 3 7" xfId="4741" xr:uid="{00000000-0005-0000-0000-000018140000}"/>
    <cellStyle name="60% - 강조색6 3 7 2" xfId="4742" xr:uid="{00000000-0005-0000-0000-000019140000}"/>
    <cellStyle name="60% - 강조색6 3 8" xfId="4743" xr:uid="{00000000-0005-0000-0000-00001A140000}"/>
    <cellStyle name="60% - 강조색6 3 8 2" xfId="4744" xr:uid="{00000000-0005-0000-0000-00001B140000}"/>
    <cellStyle name="60% - 강조색6 3 9" xfId="4745" xr:uid="{00000000-0005-0000-0000-00001C140000}"/>
    <cellStyle name="60% - 강조색6 3 9 2" xfId="4746" xr:uid="{00000000-0005-0000-0000-00001D140000}"/>
    <cellStyle name="60% - 강조색6 4" xfId="4747" xr:uid="{00000000-0005-0000-0000-00001E140000}"/>
    <cellStyle name="60% - 강조색6 4 10" xfId="4748" xr:uid="{00000000-0005-0000-0000-00001F140000}"/>
    <cellStyle name="60% - 강조색6 4 2" xfId="4749" xr:uid="{00000000-0005-0000-0000-000020140000}"/>
    <cellStyle name="60% - 강조색6 4 2 2" xfId="4750" xr:uid="{00000000-0005-0000-0000-000021140000}"/>
    <cellStyle name="60% - 강조색6 4 3" xfId="4751" xr:uid="{00000000-0005-0000-0000-000022140000}"/>
    <cellStyle name="60% - 강조색6 4 3 2" xfId="4752" xr:uid="{00000000-0005-0000-0000-000023140000}"/>
    <cellStyle name="60% - 강조색6 4 4" xfId="4753" xr:uid="{00000000-0005-0000-0000-000024140000}"/>
    <cellStyle name="60% - 강조색6 4 4 2" xfId="4754" xr:uid="{00000000-0005-0000-0000-000025140000}"/>
    <cellStyle name="60% - 강조색6 4 5" xfId="4755" xr:uid="{00000000-0005-0000-0000-000026140000}"/>
    <cellStyle name="60% - 강조색6 4 5 2" xfId="4756" xr:uid="{00000000-0005-0000-0000-000027140000}"/>
    <cellStyle name="60% - 강조색6 4 6" xfId="4757" xr:uid="{00000000-0005-0000-0000-000028140000}"/>
    <cellStyle name="60% - 강조색6 4 6 2" xfId="4758" xr:uid="{00000000-0005-0000-0000-000029140000}"/>
    <cellStyle name="60% - 강조색6 4 7" xfId="4759" xr:uid="{00000000-0005-0000-0000-00002A140000}"/>
    <cellStyle name="60% - 강조색6 4 7 2" xfId="4760" xr:uid="{00000000-0005-0000-0000-00002B140000}"/>
    <cellStyle name="60% - 강조색6 4 8" xfId="4761" xr:uid="{00000000-0005-0000-0000-00002C140000}"/>
    <cellStyle name="60% - 강조색6 4 8 2" xfId="4762" xr:uid="{00000000-0005-0000-0000-00002D140000}"/>
    <cellStyle name="60% - 강조색6 4 9" xfId="4763" xr:uid="{00000000-0005-0000-0000-00002E140000}"/>
    <cellStyle name="60% - 강조색6 4 9 2" xfId="4764" xr:uid="{00000000-0005-0000-0000-00002F140000}"/>
    <cellStyle name="60% - 강조색6 5" xfId="4765" xr:uid="{00000000-0005-0000-0000-000030140000}"/>
    <cellStyle name="60% - 강조색6 5 10" xfId="4766" xr:uid="{00000000-0005-0000-0000-000031140000}"/>
    <cellStyle name="60% - 강조색6 5 2" xfId="4767" xr:uid="{00000000-0005-0000-0000-000032140000}"/>
    <cellStyle name="60% - 강조색6 5 2 2" xfId="4768" xr:uid="{00000000-0005-0000-0000-000033140000}"/>
    <cellStyle name="60% - 강조색6 5 3" xfId="4769" xr:uid="{00000000-0005-0000-0000-000034140000}"/>
    <cellStyle name="60% - 강조색6 5 3 2" xfId="4770" xr:uid="{00000000-0005-0000-0000-000035140000}"/>
    <cellStyle name="60% - 강조색6 5 4" xfId="4771" xr:uid="{00000000-0005-0000-0000-000036140000}"/>
    <cellStyle name="60% - 강조색6 5 4 2" xfId="4772" xr:uid="{00000000-0005-0000-0000-000037140000}"/>
    <cellStyle name="60% - 강조색6 5 5" xfId="4773" xr:uid="{00000000-0005-0000-0000-000038140000}"/>
    <cellStyle name="60% - 강조색6 5 5 2" xfId="4774" xr:uid="{00000000-0005-0000-0000-000039140000}"/>
    <cellStyle name="60% - 강조색6 5 6" xfId="4775" xr:uid="{00000000-0005-0000-0000-00003A140000}"/>
    <cellStyle name="60% - 강조색6 5 6 2" xfId="4776" xr:uid="{00000000-0005-0000-0000-00003B140000}"/>
    <cellStyle name="60% - 강조색6 5 7" xfId="4777" xr:uid="{00000000-0005-0000-0000-00003C140000}"/>
    <cellStyle name="60% - 강조색6 5 7 2" xfId="4778" xr:uid="{00000000-0005-0000-0000-00003D140000}"/>
    <cellStyle name="60% - 강조색6 5 8" xfId="4779" xr:uid="{00000000-0005-0000-0000-00003E140000}"/>
    <cellStyle name="60% - 강조색6 5 8 2" xfId="4780" xr:uid="{00000000-0005-0000-0000-00003F140000}"/>
    <cellStyle name="60% - 강조색6 5 9" xfId="4781" xr:uid="{00000000-0005-0000-0000-000040140000}"/>
    <cellStyle name="60% - 강조색6 5 9 2" xfId="4782" xr:uid="{00000000-0005-0000-0000-000041140000}"/>
    <cellStyle name="60% - 강조색6 6" xfId="4783" xr:uid="{00000000-0005-0000-0000-000042140000}"/>
    <cellStyle name="60% - 강조색6 6 10" xfId="4784" xr:uid="{00000000-0005-0000-0000-000043140000}"/>
    <cellStyle name="60% - 강조색6 6 2" xfId="4785" xr:uid="{00000000-0005-0000-0000-000044140000}"/>
    <cellStyle name="60% - 강조색6 6 2 2" xfId="4786" xr:uid="{00000000-0005-0000-0000-000045140000}"/>
    <cellStyle name="60% - 강조색6 6 3" xfId="4787" xr:uid="{00000000-0005-0000-0000-000046140000}"/>
    <cellStyle name="60% - 강조색6 6 3 2" xfId="4788" xr:uid="{00000000-0005-0000-0000-000047140000}"/>
    <cellStyle name="60% - 강조색6 6 4" xfId="4789" xr:uid="{00000000-0005-0000-0000-000048140000}"/>
    <cellStyle name="60% - 강조색6 6 4 2" xfId="4790" xr:uid="{00000000-0005-0000-0000-000049140000}"/>
    <cellStyle name="60% - 강조색6 6 5" xfId="4791" xr:uid="{00000000-0005-0000-0000-00004A140000}"/>
    <cellStyle name="60% - 강조색6 6 5 2" xfId="4792" xr:uid="{00000000-0005-0000-0000-00004B140000}"/>
    <cellStyle name="60% - 강조색6 6 6" xfId="4793" xr:uid="{00000000-0005-0000-0000-00004C140000}"/>
    <cellStyle name="60% - 강조색6 6 6 2" xfId="4794" xr:uid="{00000000-0005-0000-0000-00004D140000}"/>
    <cellStyle name="60% - 강조색6 6 7" xfId="4795" xr:uid="{00000000-0005-0000-0000-00004E140000}"/>
    <cellStyle name="60% - 강조색6 6 7 2" xfId="4796" xr:uid="{00000000-0005-0000-0000-00004F140000}"/>
    <cellStyle name="60% - 강조색6 6 8" xfId="4797" xr:uid="{00000000-0005-0000-0000-000050140000}"/>
    <cellStyle name="60% - 강조색6 6 8 2" xfId="4798" xr:uid="{00000000-0005-0000-0000-000051140000}"/>
    <cellStyle name="60% - 강조색6 6 9" xfId="4799" xr:uid="{00000000-0005-0000-0000-000052140000}"/>
    <cellStyle name="60% - 강조색6 6 9 2" xfId="4800" xr:uid="{00000000-0005-0000-0000-000053140000}"/>
    <cellStyle name="82" xfId="16378" xr:uid="{00000000-0005-0000-0000-000054140000}"/>
    <cellStyle name="90" xfId="4801" xr:uid="{00000000-0005-0000-0000-000055140000}"/>
    <cellStyle name="90 2" xfId="4802" xr:uid="{00000000-0005-0000-0000-000056140000}"/>
    <cellStyle name="90 3" xfId="16379" xr:uid="{00000000-0005-0000-0000-000057140000}"/>
    <cellStyle name="A" xfId="16380" xr:uid="{00000000-0005-0000-0000-000058140000}"/>
    <cellStyle name="A¡§¡ⓒ¡E¡þ¡EO [0]_¡§uc¡§oA " xfId="16381" xr:uid="{00000000-0005-0000-0000-000059140000}"/>
    <cellStyle name="A¡§¡ⓒ¡E¡þ¡EO_¡§uc¡§oA " xfId="16382" xr:uid="{00000000-0005-0000-0000-00005A140000}"/>
    <cellStyle name="A¨­???? [0]_INQUIRY ????¨?¡?A??A?ª " xfId="4803" xr:uid="{00000000-0005-0000-0000-00005B140000}"/>
    <cellStyle name="A¨­????_INQUIRY ????¨?¡?A??A?ª " xfId="4804" xr:uid="{00000000-0005-0000-0000-00005C140000}"/>
    <cellStyle name="A¨­￠￢￠O [0]_ ¨￢n￠￢n¨￢¡Æ ￠?u¨￢¡Æ¡¾a¨uu " xfId="16383" xr:uid="{00000000-0005-0000-0000-00005D140000}"/>
    <cellStyle name="A¨­¢¬¢Ò [0]_¨úc¨öA " xfId="16384" xr:uid="{00000000-0005-0000-0000-00005E140000}"/>
    <cellStyle name="A¨­￠￢￠O [0]_3￠?u¨uoAⓒ÷ " xfId="16385" xr:uid="{00000000-0005-0000-0000-00005F140000}"/>
    <cellStyle name="A¨­¢¬¢Ò [0]_4PART " xfId="16386" xr:uid="{00000000-0005-0000-0000-000060140000}"/>
    <cellStyle name="A¨­￠￢￠O [0]_A|A￠O1¨￢I1¡Æu CoEⓒ÷ " xfId="16387" xr:uid="{00000000-0005-0000-0000-000061140000}"/>
    <cellStyle name="A¨­¢¬¢Ò [0]_C¡Æ¢¬n¨¬¡Æ " xfId="16388" xr:uid="{00000000-0005-0000-0000-000062140000}"/>
    <cellStyle name="A¨­￠￢￠O [0]_ⓒoⓒ¡A¨o¨￢R " xfId="16389" xr:uid="{00000000-0005-0000-0000-000063140000}"/>
    <cellStyle name="A¨­¢¬¢Ò [0]_INQUIRY ¢¯¥ì¨ú¡ÀA©¬A©ª " xfId="4805" xr:uid="{00000000-0005-0000-0000-000064140000}"/>
    <cellStyle name="A¨­￠￢￠O_ ¨￢n￠￢n¨￢¡Æ ￠?u¨￢¡Æ¡¾a¨uu " xfId="16390" xr:uid="{00000000-0005-0000-0000-000065140000}"/>
    <cellStyle name="A¨­¢¬¢Ò_¨úc¨öA " xfId="16391" xr:uid="{00000000-0005-0000-0000-000066140000}"/>
    <cellStyle name="A¨­￠￢￠O_3￠?u¨uoAⓒ÷ " xfId="16392" xr:uid="{00000000-0005-0000-0000-000067140000}"/>
    <cellStyle name="A¨­¢¬¢Ò_95©øaAN¡Æy¨ùo¡¤R " xfId="16393" xr:uid="{00000000-0005-0000-0000-000068140000}"/>
    <cellStyle name="A¨­￠￢￠O_A|A￠O1¨￢I1¡Æu CoEⓒ÷ " xfId="16394" xr:uid="{00000000-0005-0000-0000-000069140000}"/>
    <cellStyle name="A¨­¢¬¢Ò_C¡Æ¢¬n¨¬¡Æ " xfId="16395" xr:uid="{00000000-0005-0000-0000-00006A140000}"/>
    <cellStyle name="A¨­￠￢￠O_ⓒoⓒ¡A¨o¨￢R " xfId="16396" xr:uid="{00000000-0005-0000-0000-00006B140000}"/>
    <cellStyle name="A¨­¢¬¢Ò_INQUIRY ¢¯¥ì¨ú¡ÀA©¬A©ª " xfId="4806" xr:uid="{00000000-0005-0000-0000-00006C140000}"/>
    <cellStyle name="A￠R¡×￠R¨I￠RE￠Rⓒ­￠REO [0]_INQUIRY ￠RE?￠RIi￠R¡×u¡ERAA¡§I￠Rⓒ­A¡§I¡§¡I " xfId="16397" xr:uid="{00000000-0005-0000-0000-00006D140000}"/>
    <cellStyle name="A￠R¡×￠R¨I￠RE￠Rⓒ­￠REO_INQUIRY ￠RE?￠RIi￠R¡×u¡ERAA¡§I￠Rⓒ­A¡§I¡§¡I " xfId="16398" xr:uid="{00000000-0005-0000-0000-00006E140000}"/>
    <cellStyle name="a-4" xfId="16399" xr:uid="{00000000-0005-0000-0000-00006F140000}"/>
    <cellStyle name="AA" xfId="4807" xr:uid="{00000000-0005-0000-0000-000070140000}"/>
    <cellStyle name="AA 2" xfId="4808" xr:uid="{00000000-0005-0000-0000-000071140000}"/>
    <cellStyle name="ac" xfId="16400" xr:uid="{00000000-0005-0000-0000-000072140000}"/>
    <cellStyle name="ac 2" xfId="4809" xr:uid="{00000000-0005-0000-0000-000073140000}"/>
    <cellStyle name="Accent1" xfId="15975" xr:uid="{00000000-0005-0000-0000-000074140000}"/>
    <cellStyle name="Accent2" xfId="15976" xr:uid="{00000000-0005-0000-0000-000075140000}"/>
    <cellStyle name="Accent3" xfId="15977" xr:uid="{00000000-0005-0000-0000-000076140000}"/>
    <cellStyle name="Accent4" xfId="15978" xr:uid="{00000000-0005-0000-0000-000077140000}"/>
    <cellStyle name="Accent5" xfId="15979" xr:uid="{00000000-0005-0000-0000-000078140000}"/>
    <cellStyle name="Accent6" xfId="15980" xr:uid="{00000000-0005-0000-0000-000079140000}"/>
    <cellStyle name="Actual Date" xfId="4810" xr:uid="{00000000-0005-0000-0000-00007A140000}"/>
    <cellStyle name="Actual Date 2" xfId="4811" xr:uid="{00000000-0005-0000-0000-00007B140000}"/>
    <cellStyle name="Ae" xfId="16402" xr:uid="{00000000-0005-0000-0000-00007C140000}"/>
    <cellStyle name="Aee­ " xfId="4812" xr:uid="{00000000-0005-0000-0000-00007D140000}"/>
    <cellStyle name="Aee­  2" xfId="4813" xr:uid="{00000000-0005-0000-0000-00007E140000}"/>
    <cellStyle name="Aee­  2 2" xfId="16404" xr:uid="{00000000-0005-0000-0000-00007F140000}"/>
    <cellStyle name="Aee­  3" xfId="16403" xr:uid="{00000000-0005-0000-0000-000080140000}"/>
    <cellStyle name="AeE­ [0]_  A¾  CO  " xfId="4814" xr:uid="{00000000-0005-0000-0000-000081140000}"/>
    <cellStyle name="ÅëÈ­ [0]_(1.Åä)" xfId="4815" xr:uid="{00000000-0005-0000-0000-000082140000}"/>
    <cellStyle name="AeE­ [0]_´e¿UCN¹R°ø¹R " xfId="16405" xr:uid="{00000000-0005-0000-0000-000083140000}"/>
    <cellStyle name="ÅëÈ­ [0]_¸ÅÃâ" xfId="4816" xr:uid="{00000000-0005-0000-0000-000084140000}"/>
    <cellStyle name="AeE­ [0]_¸ðCu¸·" xfId="4817" xr:uid="{00000000-0005-0000-0000-000085140000}"/>
    <cellStyle name="ÅëÈ­ [0]_¸ðÇü¸·" xfId="4818" xr:uid="{00000000-0005-0000-0000-000086140000}"/>
    <cellStyle name="AeE­ [0]_°ßAu¼­2" xfId="4819" xr:uid="{00000000-0005-0000-0000-000087140000}"/>
    <cellStyle name="ÅëÈ­ [0]_Á¤»ê¼­°©Áö" xfId="4820" xr:uid="{00000000-0005-0000-0000-000088140000}"/>
    <cellStyle name="AeE­ [0]_A¾CO½A¼³ " xfId="4821" xr:uid="{00000000-0005-0000-0000-000089140000}"/>
    <cellStyle name="ÅëÈ­ [0]_Á¾ÇÕÃ¶°ÅºÐ " xfId="4822" xr:uid="{00000000-0005-0000-0000-00008A140000}"/>
    <cellStyle name="AeE­ [0]_AMT " xfId="4823" xr:uid="{00000000-0005-0000-0000-00008B140000}"/>
    <cellStyle name="ÅëÈ­ [0]_FINAL(¿øº») " xfId="4824" xr:uid="{00000000-0005-0000-0000-00008C140000}"/>
    <cellStyle name="AeE­ [0]_INQUIRY ¿μ¾÷AßAø " xfId="4825" xr:uid="{00000000-0005-0000-0000-00008D140000}"/>
    <cellStyle name="ÅëÈ­ [0]_kc-elec system check list" xfId="4826" xr:uid="{00000000-0005-0000-0000-00008E140000}"/>
    <cellStyle name="AeE­ [0]_º≫¼± ±æ¾i±uºI ¼o·R Ay°eC￥ " xfId="4827" xr:uid="{00000000-0005-0000-0000-00008F140000}"/>
    <cellStyle name="ÅëÈ­ [0]_RESULTS" xfId="4828" xr:uid="{00000000-0005-0000-0000-000090140000}"/>
    <cellStyle name="Aee­ _88고속(2공구)투찰40" xfId="4829" xr:uid="{00000000-0005-0000-0000-000091140000}"/>
    <cellStyle name="AeE­_  A¾  CO  " xfId="4830" xr:uid="{00000000-0005-0000-0000-000092140000}"/>
    <cellStyle name="ÅëÈ­_(1.Åä)" xfId="4831" xr:uid="{00000000-0005-0000-0000-000093140000}"/>
    <cellStyle name="AeE­_´e¸²Ei≫e" xfId="4832" xr:uid="{00000000-0005-0000-0000-000094140000}"/>
    <cellStyle name="ÅëÈ­_¸ÅÃâ" xfId="4833" xr:uid="{00000000-0005-0000-0000-000095140000}"/>
    <cellStyle name="AeE­_¸ðCu¸·" xfId="4834" xr:uid="{00000000-0005-0000-0000-000096140000}"/>
    <cellStyle name="ÅëÈ­_¸ðÇü¸·" xfId="4835" xr:uid="{00000000-0005-0000-0000-000097140000}"/>
    <cellStyle name="AeE­_¼oAI¼º " xfId="4836" xr:uid="{00000000-0005-0000-0000-000098140000}"/>
    <cellStyle name="ÅëÈ­_¼öÀÍ¼º " xfId="4837" xr:uid="{00000000-0005-0000-0000-000099140000}"/>
    <cellStyle name="AeE­_¼oAI¼º _1부여부지 콘도미니엄 신축공사 AV설비 견적서_20100121" xfId="4838" xr:uid="{00000000-0005-0000-0000-00009A140000}"/>
    <cellStyle name="ÅëÈ­_Á¤»ê¼­°©Áö" xfId="4839" xr:uid="{00000000-0005-0000-0000-00009B140000}"/>
    <cellStyle name="AeE­_A¾CO½A¼³ " xfId="4840" xr:uid="{00000000-0005-0000-0000-00009C140000}"/>
    <cellStyle name="ÅëÈ­_Á¾ÇÕÃ¶°ÅºÐ " xfId="4841" xr:uid="{00000000-0005-0000-0000-00009D140000}"/>
    <cellStyle name="AeE­_AMT " xfId="4842" xr:uid="{00000000-0005-0000-0000-00009E140000}"/>
    <cellStyle name="ÅëÈ­_FINAL(¿øº») " xfId="4843" xr:uid="{00000000-0005-0000-0000-00009F140000}"/>
    <cellStyle name="AeE­_INQUIRY ¿μ¾÷AßAø " xfId="4844" xr:uid="{00000000-0005-0000-0000-0000A0140000}"/>
    <cellStyle name="ÅëÈ­_kc-elec system check list" xfId="4845" xr:uid="{00000000-0005-0000-0000-0000A1140000}"/>
    <cellStyle name="AeE­_º≫¼± ±æ¾i±uºI ¼o·R Ay°eC￥ " xfId="4846" xr:uid="{00000000-0005-0000-0000-0000A2140000}"/>
    <cellStyle name="ÅëÈ­_RESULTS" xfId="4847" xr:uid="{00000000-0005-0000-0000-0000A3140000}"/>
    <cellStyle name="Aee¡" xfId="16406" xr:uid="{00000000-0005-0000-0000-0000A4140000}"/>
    <cellStyle name="AeE¡? [0]_INQUIRY ????¨?¡?A??A?ª " xfId="4848" xr:uid="{00000000-0005-0000-0000-0000A5140000}"/>
    <cellStyle name="AeE¡?_INQUIRY ????¨?¡?A??A?ª " xfId="4849" xr:uid="{00000000-0005-0000-0000-0000A6140000}"/>
    <cellStyle name="AeE¡© [0]_¨úc¨öA " xfId="16407" xr:uid="{00000000-0005-0000-0000-0000A7140000}"/>
    <cellStyle name="AeE¡©_¨úc¨öA " xfId="16408" xr:uid="{00000000-0005-0000-0000-0000A8140000}"/>
    <cellStyle name="AeE¡ⓒ [0]_ ¨￢n￠￢n¨￢¡Æ ￠?u¨￢¡Æ¡¾a¨uu " xfId="16409" xr:uid="{00000000-0005-0000-0000-0000A9140000}"/>
    <cellStyle name="AeE¡ⓒ_ ¨￢n￠￢n¨￢¡Æ ￠?u¨￢¡Æ¡¾a¨uu " xfId="16410" xr:uid="{00000000-0005-0000-0000-0000AA140000}"/>
    <cellStyle name="AeE¡ER¡§I [0]_INQUIRY ￠RE?￠RIi￠R¡×u¡ERAA¡§I￠Rⓒ­A¡§I¡§¡I " xfId="16411" xr:uid="{00000000-0005-0000-0000-0000AB140000}"/>
    <cellStyle name="AeE¡ER¡§I_INQUIRY ￠RE?￠RIi￠R¡×u¡ERAA¡§I￠Rⓒ­A¡§I¡§¡I " xfId="16412" xr:uid="{00000000-0005-0000-0000-0000AC140000}"/>
    <cellStyle name="AeE￠R¨I [0]_¡§uc¡§oA " xfId="16413" xr:uid="{00000000-0005-0000-0000-0000AD140000}"/>
    <cellStyle name="AeE￠R¨I_¡§uc¡§oA " xfId="16414" xr:uid="{00000000-0005-0000-0000-0000AE140000}"/>
    <cellStyle name="Æu¼ " xfId="4850" xr:uid="{00000000-0005-0000-0000-0000AF140000}"/>
    <cellStyle name="ÆU¼¾ÆR" xfId="4851" xr:uid="{00000000-0005-0000-0000-0000B0140000}"/>
    <cellStyle name="ÆU¼¾ÆR 2" xfId="4852" xr:uid="{00000000-0005-0000-0000-0000B1140000}"/>
    <cellStyle name="Afrundet valuta_PLDT" xfId="4853" xr:uid="{00000000-0005-0000-0000-0000B2140000}"/>
    <cellStyle name="ALIGNMENT" xfId="4854" xr:uid="{00000000-0005-0000-0000-0000B3140000}"/>
    <cellStyle name="ALIGNMENT 2" xfId="4855" xr:uid="{00000000-0005-0000-0000-0000B4140000}"/>
    <cellStyle name="ALIGNMENT 3" xfId="4856" xr:uid="{00000000-0005-0000-0000-0000B5140000}"/>
    <cellStyle name="ALIGNMENT 4" xfId="16415" xr:uid="{00000000-0005-0000-0000-0000B6140000}"/>
    <cellStyle name="AoA¤μCAo ¾EA½" xfId="4857" xr:uid="{00000000-0005-0000-0000-0000B7140000}"/>
    <cellStyle name="args.style" xfId="4858" xr:uid="{00000000-0005-0000-0000-0000B8140000}"/>
    <cellStyle name="args.style 2" xfId="4859" xr:uid="{00000000-0005-0000-0000-0000B9140000}"/>
    <cellStyle name="args.style 3" xfId="16416" xr:uid="{00000000-0005-0000-0000-0000BA140000}"/>
    <cellStyle name="arial12" xfId="4860" xr:uid="{00000000-0005-0000-0000-0000BB140000}"/>
    <cellStyle name="arial12 2" xfId="4861" xr:uid="{00000000-0005-0000-0000-0000BC140000}"/>
    <cellStyle name="arial14" xfId="4862" xr:uid="{00000000-0005-0000-0000-0000BD140000}"/>
    <cellStyle name="arial14 2" xfId="4863" xr:uid="{00000000-0005-0000-0000-0000BE140000}"/>
    <cellStyle name="Aþ¸" xfId="16417" xr:uid="{00000000-0005-0000-0000-0000BF140000}"/>
    <cellStyle name="AÞ¸¶ [0]_  A¾  CO  " xfId="4864" xr:uid="{00000000-0005-0000-0000-0000C0140000}"/>
    <cellStyle name="ÄÞ¸¶ [0]_(1.Åä)" xfId="4865" xr:uid="{00000000-0005-0000-0000-0000C1140000}"/>
    <cellStyle name="AÞ¸¶_  A¾  CO  " xfId="4866" xr:uid="{00000000-0005-0000-0000-0000C2140000}"/>
    <cellStyle name="ÄÞ¸¶_(1.Åä)" xfId="4867" xr:uid="{00000000-0005-0000-0000-0000C3140000}"/>
    <cellStyle name="Au¸r " xfId="4868" xr:uid="{00000000-0005-0000-0000-0000C4140000}"/>
    <cellStyle name="AU¸R¼o" xfId="4869" xr:uid="{00000000-0005-0000-0000-0000C5140000}"/>
    <cellStyle name="AU¸R¼o 2" xfId="4870" xr:uid="{00000000-0005-0000-0000-0000C6140000}"/>
    <cellStyle name="AU¸R¼o0" xfId="4871" xr:uid="{00000000-0005-0000-0000-0000C7140000}"/>
    <cellStyle name="AU¸R¼o0 2" xfId="4872" xr:uid="{00000000-0005-0000-0000-0000C8140000}"/>
    <cellStyle name="_x0001_b" xfId="4873" xr:uid="{00000000-0005-0000-0000-0000C9140000}"/>
    <cellStyle name="_x0001_b 2" xfId="4874" xr:uid="{00000000-0005-0000-0000-0000CA140000}"/>
    <cellStyle name="_x0001_b 3" xfId="16418" xr:uid="{00000000-0005-0000-0000-0000CB140000}"/>
    <cellStyle name="Bad" xfId="15981" xr:uid="{00000000-0005-0000-0000-0000CC140000}"/>
    <cellStyle name="blank" xfId="4875" xr:uid="{00000000-0005-0000-0000-0000CD140000}"/>
    <cellStyle name="blank - Style1" xfId="4876" xr:uid="{00000000-0005-0000-0000-0000CE140000}"/>
    <cellStyle name="blank - Style1 2" xfId="4877" xr:uid="{00000000-0005-0000-0000-0000CF140000}"/>
    <cellStyle name="blank 2" xfId="4878" xr:uid="{00000000-0005-0000-0000-0000D0140000}"/>
    <cellStyle name="blank 3" xfId="4879" xr:uid="{00000000-0005-0000-0000-0000D1140000}"/>
    <cellStyle name="Bold 11" xfId="4880" xr:uid="{00000000-0005-0000-0000-0000D2140000}"/>
    <cellStyle name="Bold 11 2" xfId="4881" xr:uid="{00000000-0005-0000-0000-0000D3140000}"/>
    <cellStyle name="Border" xfId="4882" xr:uid="{00000000-0005-0000-0000-0000D4140000}"/>
    <cellStyle name="Border 2" xfId="4883" xr:uid="{00000000-0005-0000-0000-0000D5140000}"/>
    <cellStyle name="Border 2 2" xfId="4884" xr:uid="{00000000-0005-0000-0000-0000D6140000}"/>
    <cellStyle name="Border 2 2 2" xfId="4885" xr:uid="{00000000-0005-0000-0000-0000D7140000}"/>
    <cellStyle name="Border 2 2 3" xfId="4886" xr:uid="{00000000-0005-0000-0000-0000D8140000}"/>
    <cellStyle name="Border 2 2 4" xfId="4887" xr:uid="{00000000-0005-0000-0000-0000D9140000}"/>
    <cellStyle name="Border 2 2 5" xfId="4888" xr:uid="{00000000-0005-0000-0000-0000DA140000}"/>
    <cellStyle name="Border 3" xfId="4889" xr:uid="{00000000-0005-0000-0000-0000DB140000}"/>
    <cellStyle name="Border 3 2" xfId="4890" xr:uid="{00000000-0005-0000-0000-0000DC140000}"/>
    <cellStyle name="Border 3 3" xfId="4891" xr:uid="{00000000-0005-0000-0000-0000DD140000}"/>
    <cellStyle name="Border 3 4" xfId="4892" xr:uid="{00000000-0005-0000-0000-0000DE140000}"/>
    <cellStyle name="Border 3 5" xfId="4893" xr:uid="{00000000-0005-0000-0000-0000DF140000}"/>
    <cellStyle name="C" xfId="16419" xr:uid="{00000000-0005-0000-0000-0000E0140000}"/>
    <cellStyle name="C¡?A¨ª_¡?c¨?¡?¨?I¨?¡Æ AN¡Æe " xfId="4894" xr:uid="{00000000-0005-0000-0000-0000E1140000}"/>
    <cellStyle name="C¡ERIA￠R¡×¡§¡I_¡ERic￠R¡×u¡ERA￠R¡×￠Rⓒ­I￠R¡×￠Rⓒ­¡ER¡§￠R AN¡ER¡§￠Re " xfId="16420" xr:uid="{00000000-0005-0000-0000-0000E2140000}"/>
    <cellStyle name="C¡ÍA¨ª_  FAB AIA¢´  " xfId="16421" xr:uid="{00000000-0005-0000-0000-0000E3140000}"/>
    <cellStyle name="C¡IA¨ª_ 1-3 " xfId="16422" xr:uid="{00000000-0005-0000-0000-0000E4140000}"/>
    <cellStyle name="C¡ÍA¨ª_¡Æ©øAI OXIDE " xfId="16423" xr:uid="{00000000-0005-0000-0000-0000E5140000}"/>
    <cellStyle name="C¡IA¨ª_¡Æu￠￢RBS('98) " xfId="16424" xr:uid="{00000000-0005-0000-0000-0000E6140000}"/>
    <cellStyle name="C¡ÍA¨ª_¡íc¨ú¡À¨¬I¨¬¡Æ AN¡Æe " xfId="4895" xr:uid="{00000000-0005-0000-0000-0000E7140000}"/>
    <cellStyle name="C¡IA¨ª_¡ioEⓒ÷¡¾a¡¤IAo " xfId="16425" xr:uid="{00000000-0005-0000-0000-0000E8140000}"/>
    <cellStyle name="C¡ÍA¨ª_03 " xfId="16426" xr:uid="{00000000-0005-0000-0000-0000E9140000}"/>
    <cellStyle name="C¡IA¨ª_12￠?u " xfId="16427" xr:uid="{00000000-0005-0000-0000-0000EA140000}"/>
    <cellStyle name="C¡ÍA¨ª_12AO " xfId="16428" xr:uid="{00000000-0005-0000-0000-0000EB140000}"/>
    <cellStyle name="C¡IA¨ª_Ac¡Æi¡Æu￠￢R " xfId="16429" xr:uid="{00000000-0005-0000-0000-0000EC140000}"/>
    <cellStyle name="C¡ÍA¨ª_C¡ÍAo " xfId="16430" xr:uid="{00000000-0005-0000-0000-0000ED140000}"/>
    <cellStyle name="C¡IA¨ª_CD-ROM " xfId="16431" xr:uid="{00000000-0005-0000-0000-0000EE140000}"/>
    <cellStyle name="C¡ÍA¨ª_Sheet1_4PART " xfId="16432" xr:uid="{00000000-0005-0000-0000-0000EF140000}"/>
    <cellStyle name="C￠RIA¡§¨￡_  FAB AIA¡E￠￥  " xfId="16433" xr:uid="{00000000-0005-0000-0000-0000F0140000}"/>
    <cellStyle name="C￥AØ_  A¾  CO  " xfId="4896" xr:uid="{00000000-0005-0000-0000-0000F1140000}"/>
    <cellStyle name="Ç¥ÁØ_´ëºñÇ¥" xfId="4897" xr:uid="{00000000-0005-0000-0000-0000F2140000}"/>
    <cellStyle name="C￥AØ_¸ðCu¸·" xfId="4898" xr:uid="{00000000-0005-0000-0000-0000F3140000}"/>
    <cellStyle name="Ç¥ÁØ_¸ðÇü¸·" xfId="4899" xr:uid="{00000000-0005-0000-0000-0000F4140000}"/>
    <cellStyle name="C￥AØ_¸ðCu¸· 2" xfId="4900" xr:uid="{00000000-0005-0000-0000-0000F5140000}"/>
    <cellStyle name="Ç¥ÁØ_¸ðÇü¸· 2" xfId="4901" xr:uid="{00000000-0005-0000-0000-0000F6140000}"/>
    <cellStyle name="C￥AØ_¸ðCu¸· 3" xfId="4902" xr:uid="{00000000-0005-0000-0000-0000F7140000}"/>
    <cellStyle name="Ç¥ÁØ_¸ðÇü¸· 3" xfId="4903" xr:uid="{00000000-0005-0000-0000-0000F8140000}"/>
    <cellStyle name="C￥AØ_¸ðCu¸· 4" xfId="4904" xr:uid="{00000000-0005-0000-0000-0000F9140000}"/>
    <cellStyle name="Ç¥ÁØ_¸ðÇü¸· 4" xfId="4905" xr:uid="{00000000-0005-0000-0000-0000FA140000}"/>
    <cellStyle name="C￥AØ_¸ðCu¸·_상이군경회견적서" xfId="4906" xr:uid="{00000000-0005-0000-0000-0000FB140000}"/>
    <cellStyle name="Ç¥ÁØ_¸ðÇü¸·_상이군경회견적서" xfId="4907" xr:uid="{00000000-0005-0000-0000-0000FC140000}"/>
    <cellStyle name="C￥AØ_¸ðCu¸·_상이군경회견적서 2" xfId="4908" xr:uid="{00000000-0005-0000-0000-0000FD140000}"/>
    <cellStyle name="Ç¥ÁØ_¸ðÇü¸·_상이군경회견적서 2" xfId="4909" xr:uid="{00000000-0005-0000-0000-0000FE140000}"/>
    <cellStyle name="C￥AØ_¸ðCu¸·_상이군경회견적서 2 2" xfId="4910" xr:uid="{00000000-0005-0000-0000-0000FF140000}"/>
    <cellStyle name="Ç¥ÁØ_¸ðÇü¸·_상이군경회견적서 3" xfId="4911" xr:uid="{00000000-0005-0000-0000-000000150000}"/>
    <cellStyle name="C￥AØ_¸ðCu¸·_상이군경회견적서 4" xfId="4912" xr:uid="{00000000-0005-0000-0000-000001150000}"/>
    <cellStyle name="Ç¥ÁØ_¸ðÇü¸·_성남문화회관" xfId="4913" xr:uid="{00000000-0005-0000-0000-000002150000}"/>
    <cellStyle name="C￥AØ_≫c¾÷ºIº° AN°e " xfId="4914" xr:uid="{00000000-0005-0000-0000-000003150000}"/>
    <cellStyle name="Ç¥ÁØ_°­´ç (2)_광명견적대비1010" xfId="4915" xr:uid="{00000000-0005-0000-0000-000004150000}"/>
    <cellStyle name="C￥AØ_°­´c (2)_광명견적대비1010 10" xfId="4916" xr:uid="{00000000-0005-0000-0000-000005150000}"/>
    <cellStyle name="Ç¥ÁØ_°­´ç (2)_광명견적대비1010 10" xfId="4917" xr:uid="{00000000-0005-0000-0000-000006150000}"/>
    <cellStyle name="C￥AØ_°­´c (2)_광명견적대비1010 10 2" xfId="4918" xr:uid="{00000000-0005-0000-0000-000007150000}"/>
    <cellStyle name="Ç¥ÁØ_°­´ç (2)_광명견적대비1010 10 2" xfId="4919" xr:uid="{00000000-0005-0000-0000-000008150000}"/>
    <cellStyle name="C￥AØ_°­´c (2)_광명견적대비1010 10 3" xfId="4920" xr:uid="{00000000-0005-0000-0000-000009150000}"/>
    <cellStyle name="Ç¥ÁØ_°­´ç (2)_광명견적대비1010 10 3" xfId="4921" xr:uid="{00000000-0005-0000-0000-00000A150000}"/>
    <cellStyle name="C￥AØ_°­´c (2)_광명견적대비1010 11" xfId="4922" xr:uid="{00000000-0005-0000-0000-00000B150000}"/>
    <cellStyle name="Ç¥ÁØ_°­´ç (2)_광명견적대비1010 11" xfId="4923" xr:uid="{00000000-0005-0000-0000-00000C150000}"/>
    <cellStyle name="C￥AØ_°­´c (2)_광명견적대비1010 11 2" xfId="4924" xr:uid="{00000000-0005-0000-0000-00000D150000}"/>
    <cellStyle name="Ç¥ÁØ_°­´ç (2)_광명견적대비1010 11 2" xfId="4925" xr:uid="{00000000-0005-0000-0000-00000E150000}"/>
    <cellStyle name="C￥AØ_°­´c (2)_광명견적대비1010 11 3" xfId="4926" xr:uid="{00000000-0005-0000-0000-00000F150000}"/>
    <cellStyle name="Ç¥ÁØ_°­´ç (2)_광명견적대비1010 11 3" xfId="4927" xr:uid="{00000000-0005-0000-0000-000010150000}"/>
    <cellStyle name="C￥AØ_°­´c (2)_광명견적대비1010 12" xfId="4928" xr:uid="{00000000-0005-0000-0000-000011150000}"/>
    <cellStyle name="Ç¥ÁØ_°­´ç (2)_광명견적대비1010 12" xfId="4929" xr:uid="{00000000-0005-0000-0000-000012150000}"/>
    <cellStyle name="C￥AØ_°­´c (2)_광명견적대비1010 12 2" xfId="4930" xr:uid="{00000000-0005-0000-0000-000013150000}"/>
    <cellStyle name="Ç¥ÁØ_°­´ç (2)_광명견적대비1010 12 2" xfId="4931" xr:uid="{00000000-0005-0000-0000-000014150000}"/>
    <cellStyle name="C￥AØ_°­´c (2)_광명견적대비1010 12 3" xfId="4932" xr:uid="{00000000-0005-0000-0000-000015150000}"/>
    <cellStyle name="Ç¥ÁØ_°­´ç (2)_광명견적대비1010 12 3" xfId="4933" xr:uid="{00000000-0005-0000-0000-000016150000}"/>
    <cellStyle name="C￥AØ_°­´c (2)_광명견적대비1010 13" xfId="4934" xr:uid="{00000000-0005-0000-0000-000017150000}"/>
    <cellStyle name="Ç¥ÁØ_°­´ç (2)_광명견적대비1010 13" xfId="4935" xr:uid="{00000000-0005-0000-0000-000018150000}"/>
    <cellStyle name="C￥AØ_°­´c (2)_광명견적대비1010 13 2" xfId="4936" xr:uid="{00000000-0005-0000-0000-000019150000}"/>
    <cellStyle name="Ç¥ÁØ_°­´ç (2)_광명견적대비1010 13 2" xfId="4937" xr:uid="{00000000-0005-0000-0000-00001A150000}"/>
    <cellStyle name="C￥AØ_°­´c (2)_광명견적대비1010 13 3" xfId="4938" xr:uid="{00000000-0005-0000-0000-00001B150000}"/>
    <cellStyle name="Ç¥ÁØ_°­´ç (2)_광명견적대비1010 13 3" xfId="4939" xr:uid="{00000000-0005-0000-0000-00001C150000}"/>
    <cellStyle name="C￥AØ_°­´c (2)_광명견적대비1010 14" xfId="4940" xr:uid="{00000000-0005-0000-0000-00001D150000}"/>
    <cellStyle name="Ç¥ÁØ_°­´ç (2)_광명견적대비1010 14" xfId="4941" xr:uid="{00000000-0005-0000-0000-00001E150000}"/>
    <cellStyle name="C￥AØ_°­´c (2)_광명견적대비1010 14 2" xfId="4942" xr:uid="{00000000-0005-0000-0000-00001F150000}"/>
    <cellStyle name="Ç¥ÁØ_°­´ç (2)_광명견적대비1010 14 2" xfId="4943" xr:uid="{00000000-0005-0000-0000-000020150000}"/>
    <cellStyle name="C￥AØ_°­´c (2)_광명견적대비1010 14 3" xfId="4944" xr:uid="{00000000-0005-0000-0000-000021150000}"/>
    <cellStyle name="Ç¥ÁØ_°­´ç (2)_광명견적대비1010 14 3" xfId="4945" xr:uid="{00000000-0005-0000-0000-000022150000}"/>
    <cellStyle name="C￥AØ_°­´c (2)_광명견적대비1010 15" xfId="4946" xr:uid="{00000000-0005-0000-0000-000023150000}"/>
    <cellStyle name="Ç¥ÁØ_°­´ç (2)_광명견적대비1010 15" xfId="4947" xr:uid="{00000000-0005-0000-0000-000024150000}"/>
    <cellStyle name="C￥AØ_°­´c (2)_광명견적대비1010 15 2" xfId="4948" xr:uid="{00000000-0005-0000-0000-000025150000}"/>
    <cellStyle name="Ç¥ÁØ_°­´ç (2)_광명견적대비1010 15 2" xfId="4949" xr:uid="{00000000-0005-0000-0000-000026150000}"/>
    <cellStyle name="C￥AØ_°­´c (2)_광명견적대비1010 15 3" xfId="4950" xr:uid="{00000000-0005-0000-0000-000027150000}"/>
    <cellStyle name="Ç¥ÁØ_°­´ç (2)_광명견적대비1010 15 3" xfId="4951" xr:uid="{00000000-0005-0000-0000-000028150000}"/>
    <cellStyle name="C￥AØ_°­´c (2)_광명견적대비1010 16" xfId="4952" xr:uid="{00000000-0005-0000-0000-000029150000}"/>
    <cellStyle name="Ç¥ÁØ_°­´ç (2)_광명견적대비1010 16" xfId="4953" xr:uid="{00000000-0005-0000-0000-00002A150000}"/>
    <cellStyle name="C￥AØ_°­´c (2)_광명견적대비1010 16 2" xfId="4954" xr:uid="{00000000-0005-0000-0000-00002B150000}"/>
    <cellStyle name="Ç¥ÁØ_°­´ç (2)_광명견적대비1010 16 2" xfId="4955" xr:uid="{00000000-0005-0000-0000-00002C150000}"/>
    <cellStyle name="C￥AØ_°­´c (2)_광명견적대비1010 16 3" xfId="4956" xr:uid="{00000000-0005-0000-0000-00002D150000}"/>
    <cellStyle name="Ç¥ÁØ_°­´ç (2)_광명견적대비1010 16 3" xfId="4957" xr:uid="{00000000-0005-0000-0000-00002E150000}"/>
    <cellStyle name="C￥AØ_°­´c (2)_광명견적대비1010 17" xfId="4958" xr:uid="{00000000-0005-0000-0000-00002F150000}"/>
    <cellStyle name="Ç¥ÁØ_°­´ç (2)_광명견적대비1010 17" xfId="4959" xr:uid="{00000000-0005-0000-0000-000030150000}"/>
    <cellStyle name="C￥AØ_°­´c (2)_광명견적대비1010 17 2" xfId="4960" xr:uid="{00000000-0005-0000-0000-000031150000}"/>
    <cellStyle name="Ç¥ÁØ_°­´ç (2)_광명견적대비1010 17 2" xfId="4961" xr:uid="{00000000-0005-0000-0000-000032150000}"/>
    <cellStyle name="C￥AØ_°­´c (2)_광명견적대비1010 17 3" xfId="4962" xr:uid="{00000000-0005-0000-0000-000033150000}"/>
    <cellStyle name="Ç¥ÁØ_°­´ç (2)_광명견적대비1010 17 3" xfId="4963" xr:uid="{00000000-0005-0000-0000-000034150000}"/>
    <cellStyle name="C￥AØ_°­´c (2)_광명견적대비1010 18" xfId="4964" xr:uid="{00000000-0005-0000-0000-000035150000}"/>
    <cellStyle name="Ç¥ÁØ_°­´ç (2)_광명견적대비1010 18" xfId="4965" xr:uid="{00000000-0005-0000-0000-000036150000}"/>
    <cellStyle name="C￥AØ_°­´c (2)_광명견적대비1010 18 2" xfId="4966" xr:uid="{00000000-0005-0000-0000-000037150000}"/>
    <cellStyle name="Ç¥ÁØ_°­´ç (2)_광명견적대비1010 18 2" xfId="4967" xr:uid="{00000000-0005-0000-0000-000038150000}"/>
    <cellStyle name="C￥AØ_°­´c (2)_광명견적대비1010 18 3" xfId="4968" xr:uid="{00000000-0005-0000-0000-000039150000}"/>
    <cellStyle name="Ç¥ÁØ_°­´ç (2)_광명견적대비1010 18 3" xfId="4969" xr:uid="{00000000-0005-0000-0000-00003A150000}"/>
    <cellStyle name="C￥AØ_°­´c (2)_광명견적대비1010 19" xfId="4970" xr:uid="{00000000-0005-0000-0000-00003B150000}"/>
    <cellStyle name="Ç¥ÁØ_°­´ç (2)_광명견적대비1010 19" xfId="4971" xr:uid="{00000000-0005-0000-0000-00003C150000}"/>
    <cellStyle name="C￥AØ_°­´c (2)_광명견적대비1010 19 2" xfId="4972" xr:uid="{00000000-0005-0000-0000-00003D150000}"/>
    <cellStyle name="Ç¥ÁØ_°­´ç (2)_광명견적대비1010 19 2" xfId="4973" xr:uid="{00000000-0005-0000-0000-00003E150000}"/>
    <cellStyle name="C￥AØ_°­´c (2)_광명견적대비1010 19 3" xfId="4974" xr:uid="{00000000-0005-0000-0000-00003F150000}"/>
    <cellStyle name="Ç¥ÁØ_°­´ç (2)_광명견적대비1010 19 3" xfId="4975" xr:uid="{00000000-0005-0000-0000-000040150000}"/>
    <cellStyle name="C￥AØ_°­´c (2)_광명견적대비1010 2" xfId="4976" xr:uid="{00000000-0005-0000-0000-000041150000}"/>
    <cellStyle name="Ç¥ÁØ_°­´ç (2)_광명견적대비1010 2" xfId="4977" xr:uid="{00000000-0005-0000-0000-000042150000}"/>
    <cellStyle name="C￥AØ_°­´c (2)_광명견적대비1010 2 10" xfId="4978" xr:uid="{00000000-0005-0000-0000-000043150000}"/>
    <cellStyle name="Ç¥ÁØ_°­´ç (2)_광명견적대비1010 2 2" xfId="4979" xr:uid="{00000000-0005-0000-0000-000044150000}"/>
    <cellStyle name="C￥AØ_°­´c (2)_광명견적대비1010 2 3" xfId="4980" xr:uid="{00000000-0005-0000-0000-000045150000}"/>
    <cellStyle name="Ç¥ÁØ_°­´ç (2)_광명견적대비1010 2 3" xfId="4981" xr:uid="{00000000-0005-0000-0000-000046150000}"/>
    <cellStyle name="C￥AØ_°­´c (2)_광명견적대비1010 21" xfId="4982" xr:uid="{00000000-0005-0000-0000-000047150000}"/>
    <cellStyle name="Ç¥ÁØ_°­´ç (2)_광명견적대비1010 21" xfId="4983" xr:uid="{00000000-0005-0000-0000-000048150000}"/>
    <cellStyle name="C￥AØ_°­´c (2)_광명견적대비1010 21 2" xfId="4984" xr:uid="{00000000-0005-0000-0000-000049150000}"/>
    <cellStyle name="Ç¥ÁØ_°­´ç (2)_광명견적대비1010 21 2" xfId="4985" xr:uid="{00000000-0005-0000-0000-00004A150000}"/>
    <cellStyle name="C￥AØ_°­´c (2)_광명견적대비1010 21 3" xfId="4986" xr:uid="{00000000-0005-0000-0000-00004B150000}"/>
    <cellStyle name="Ç¥ÁØ_°­´ç (2)_광명견적대비1010 21 3" xfId="4987" xr:uid="{00000000-0005-0000-0000-00004C150000}"/>
    <cellStyle name="C￥AØ_°­´c (2)_광명견적대비1010 22" xfId="4988" xr:uid="{00000000-0005-0000-0000-00004D150000}"/>
    <cellStyle name="Ç¥ÁØ_°­´ç (2)_광명견적대비1010 22" xfId="4989" xr:uid="{00000000-0005-0000-0000-00004E150000}"/>
    <cellStyle name="C￥AØ_°­´c (2)_광명견적대비1010 22 2" xfId="4990" xr:uid="{00000000-0005-0000-0000-00004F150000}"/>
    <cellStyle name="Ç¥ÁØ_°­´ç (2)_광명견적대비1010 22 2" xfId="4991" xr:uid="{00000000-0005-0000-0000-000050150000}"/>
    <cellStyle name="C￥AØ_°­´c (2)_광명견적대비1010 22 3" xfId="4992" xr:uid="{00000000-0005-0000-0000-000051150000}"/>
    <cellStyle name="Ç¥ÁØ_°­´ç (2)_광명견적대비1010 22 3" xfId="4993" xr:uid="{00000000-0005-0000-0000-000052150000}"/>
    <cellStyle name="C￥AØ_°­´c (2)_광명견적대비1010 23" xfId="4994" xr:uid="{00000000-0005-0000-0000-000053150000}"/>
    <cellStyle name="Ç¥ÁØ_°­´ç (2)_광명견적대비1010 23" xfId="4995" xr:uid="{00000000-0005-0000-0000-000054150000}"/>
    <cellStyle name="C￥AØ_°­´c (2)_광명견적대비1010 23 2" xfId="4996" xr:uid="{00000000-0005-0000-0000-000055150000}"/>
    <cellStyle name="Ç¥ÁØ_°­´ç (2)_광명견적대비1010 23 2" xfId="4997" xr:uid="{00000000-0005-0000-0000-000056150000}"/>
    <cellStyle name="C￥AØ_°­´c (2)_광명견적대비1010 23 3" xfId="4998" xr:uid="{00000000-0005-0000-0000-000057150000}"/>
    <cellStyle name="Ç¥ÁØ_°­´ç (2)_광명견적대비1010 23 3" xfId="4999" xr:uid="{00000000-0005-0000-0000-000058150000}"/>
    <cellStyle name="C￥AØ_°­´c (2)_광명견적대비1010 24" xfId="5000" xr:uid="{00000000-0005-0000-0000-000059150000}"/>
    <cellStyle name="Ç¥ÁØ_°­´ç (2)_광명견적대비1010 24" xfId="5001" xr:uid="{00000000-0005-0000-0000-00005A150000}"/>
    <cellStyle name="C￥AØ_°­´c (2)_광명견적대비1010 24 2" xfId="5002" xr:uid="{00000000-0005-0000-0000-00005B150000}"/>
    <cellStyle name="Ç¥ÁØ_°­´ç (2)_광명견적대비1010 24 2" xfId="5003" xr:uid="{00000000-0005-0000-0000-00005C150000}"/>
    <cellStyle name="C￥AØ_°­´c (2)_광명견적대비1010 24 3" xfId="5004" xr:uid="{00000000-0005-0000-0000-00005D150000}"/>
    <cellStyle name="Ç¥ÁØ_°­´ç (2)_광명견적대비1010 24 3" xfId="5005" xr:uid="{00000000-0005-0000-0000-00005E150000}"/>
    <cellStyle name="C￥AØ_°­´c (2)_광명견적대비1010 25" xfId="5006" xr:uid="{00000000-0005-0000-0000-00005F150000}"/>
    <cellStyle name="Ç¥ÁØ_°­´ç (2)_광명견적대비1010 25" xfId="5007" xr:uid="{00000000-0005-0000-0000-000060150000}"/>
    <cellStyle name="C￥AØ_°­´c (2)_광명견적대비1010 25 2" xfId="5008" xr:uid="{00000000-0005-0000-0000-000061150000}"/>
    <cellStyle name="Ç¥ÁØ_°­´ç (2)_광명견적대비1010 25 2" xfId="5009" xr:uid="{00000000-0005-0000-0000-000062150000}"/>
    <cellStyle name="C￥AØ_°­´c (2)_광명견적대비1010 25 3" xfId="5010" xr:uid="{00000000-0005-0000-0000-000063150000}"/>
    <cellStyle name="Ç¥ÁØ_°­´ç (2)_광명견적대비1010 25 3" xfId="5011" xr:uid="{00000000-0005-0000-0000-000064150000}"/>
    <cellStyle name="C￥AØ_°­´c (2)_광명견적대비1010 26" xfId="5012" xr:uid="{00000000-0005-0000-0000-000065150000}"/>
    <cellStyle name="Ç¥ÁØ_°­´ç (2)_광명견적대비1010 26" xfId="5013" xr:uid="{00000000-0005-0000-0000-000066150000}"/>
    <cellStyle name="C￥AØ_°­´c (2)_광명견적대비1010 26 2" xfId="5014" xr:uid="{00000000-0005-0000-0000-000067150000}"/>
    <cellStyle name="Ç¥ÁØ_°­´ç (2)_광명견적대비1010 26 2" xfId="5015" xr:uid="{00000000-0005-0000-0000-000068150000}"/>
    <cellStyle name="C￥AØ_°­´c (2)_광명견적대비1010 26 3" xfId="5016" xr:uid="{00000000-0005-0000-0000-000069150000}"/>
    <cellStyle name="Ç¥ÁØ_°­´ç (2)_광명견적대비1010 26 3" xfId="5017" xr:uid="{00000000-0005-0000-0000-00006A150000}"/>
    <cellStyle name="C￥AØ_°­´c (2)_광명견적대비1010 27" xfId="5018" xr:uid="{00000000-0005-0000-0000-00006B150000}"/>
    <cellStyle name="Ç¥ÁØ_°­´ç (2)_광명견적대비1010 27" xfId="5019" xr:uid="{00000000-0005-0000-0000-00006C150000}"/>
    <cellStyle name="C￥AØ_°­´c (2)_광명견적대비1010 27 2" xfId="5020" xr:uid="{00000000-0005-0000-0000-00006D150000}"/>
    <cellStyle name="Ç¥ÁØ_°­´ç (2)_광명견적대비1010 27 2" xfId="5021" xr:uid="{00000000-0005-0000-0000-00006E150000}"/>
    <cellStyle name="C￥AØ_°­´c (2)_광명견적대비1010 27 3" xfId="5022" xr:uid="{00000000-0005-0000-0000-00006F150000}"/>
    <cellStyle name="Ç¥ÁØ_°­´ç (2)_광명견적대비1010 27 3" xfId="5023" xr:uid="{00000000-0005-0000-0000-000070150000}"/>
    <cellStyle name="C￥AØ_°­´c (2)_광명견적대비1010 28" xfId="5024" xr:uid="{00000000-0005-0000-0000-000071150000}"/>
    <cellStyle name="Ç¥ÁØ_°­´ç (2)_광명견적대비1010 28" xfId="5025" xr:uid="{00000000-0005-0000-0000-000072150000}"/>
    <cellStyle name="C￥AØ_°­´c (2)_광명견적대비1010 28 2" xfId="5026" xr:uid="{00000000-0005-0000-0000-000073150000}"/>
    <cellStyle name="Ç¥ÁØ_°­´ç (2)_광명견적대비1010 28 2" xfId="5027" xr:uid="{00000000-0005-0000-0000-000074150000}"/>
    <cellStyle name="C￥AØ_°­´c (2)_광명견적대비1010 28 3" xfId="5028" xr:uid="{00000000-0005-0000-0000-000075150000}"/>
    <cellStyle name="Ç¥ÁØ_°­´ç (2)_광명견적대비1010 28 3" xfId="5029" xr:uid="{00000000-0005-0000-0000-000076150000}"/>
    <cellStyle name="C￥AØ_°­´c (2)_광명견적대비1010 29" xfId="5030" xr:uid="{00000000-0005-0000-0000-000077150000}"/>
    <cellStyle name="Ç¥ÁØ_°­´ç (2)_광명견적대비1010 29" xfId="5031" xr:uid="{00000000-0005-0000-0000-000078150000}"/>
    <cellStyle name="C￥AØ_°­´c (2)_광명견적대비1010 29 2" xfId="5032" xr:uid="{00000000-0005-0000-0000-000079150000}"/>
    <cellStyle name="Ç¥ÁØ_°­´ç (2)_광명견적대비1010 29 2" xfId="5033" xr:uid="{00000000-0005-0000-0000-00007A150000}"/>
    <cellStyle name="C￥AØ_°­´c (2)_광명견적대비1010 29 3" xfId="5034" xr:uid="{00000000-0005-0000-0000-00007B150000}"/>
    <cellStyle name="Ç¥ÁØ_°­´ç (2)_광명견적대비1010 29 3" xfId="5035" xr:uid="{00000000-0005-0000-0000-00007C150000}"/>
    <cellStyle name="C￥AØ_°­´c (2)_광명견적대비1010 3" xfId="5036" xr:uid="{00000000-0005-0000-0000-00007D150000}"/>
    <cellStyle name="Ç¥ÁØ_°­´ç (2)_광명견적대비1010 3" xfId="5037" xr:uid="{00000000-0005-0000-0000-00007E150000}"/>
    <cellStyle name="C￥AØ_°­´c (2)_광명견적대비1010 3 2" xfId="5038" xr:uid="{00000000-0005-0000-0000-00007F150000}"/>
    <cellStyle name="Ç¥ÁØ_°­´ç (2)_광명견적대비1010 3 2" xfId="5039" xr:uid="{00000000-0005-0000-0000-000080150000}"/>
    <cellStyle name="C￥AØ_°­´c (2)_광명견적대비1010 3 3" xfId="5040" xr:uid="{00000000-0005-0000-0000-000081150000}"/>
    <cellStyle name="Ç¥ÁØ_°­´ç (2)_광명견적대비1010 3 3" xfId="5041" xr:uid="{00000000-0005-0000-0000-000082150000}"/>
    <cellStyle name="C￥AØ_°­´c (2)_광명견적대비1010 30" xfId="5042" xr:uid="{00000000-0005-0000-0000-000083150000}"/>
    <cellStyle name="Ç¥ÁØ_°­´ç (2)_광명견적대비1010 30" xfId="5043" xr:uid="{00000000-0005-0000-0000-000084150000}"/>
    <cellStyle name="C￥AØ_°­´c (2)_광명견적대비1010 30 2" xfId="5044" xr:uid="{00000000-0005-0000-0000-000085150000}"/>
    <cellStyle name="Ç¥ÁØ_°­´ç (2)_광명견적대비1010 30 2" xfId="5045" xr:uid="{00000000-0005-0000-0000-000086150000}"/>
    <cellStyle name="C￥AØ_°­´c (2)_광명견적대비1010 30 3" xfId="5046" xr:uid="{00000000-0005-0000-0000-000087150000}"/>
    <cellStyle name="Ç¥ÁØ_°­´ç (2)_광명견적대비1010 30 3" xfId="5047" xr:uid="{00000000-0005-0000-0000-000088150000}"/>
    <cellStyle name="C￥AØ_°­´c (2)_광명견적대비1010 31" xfId="5048" xr:uid="{00000000-0005-0000-0000-000089150000}"/>
    <cellStyle name="Ç¥ÁØ_°­´ç (2)_광명견적대비1010 31" xfId="5049" xr:uid="{00000000-0005-0000-0000-00008A150000}"/>
    <cellStyle name="C￥AØ_°­´c (2)_광명견적대비1010 31 2" xfId="5050" xr:uid="{00000000-0005-0000-0000-00008B150000}"/>
    <cellStyle name="Ç¥ÁØ_°­´ç (2)_광명견적대비1010 31 2" xfId="5051" xr:uid="{00000000-0005-0000-0000-00008C150000}"/>
    <cellStyle name="C￥AØ_°­´c (2)_광명견적대비1010 31 3" xfId="5052" xr:uid="{00000000-0005-0000-0000-00008D150000}"/>
    <cellStyle name="Ç¥ÁØ_°­´ç (2)_광명견적대비1010 31 3" xfId="5053" xr:uid="{00000000-0005-0000-0000-00008E150000}"/>
    <cellStyle name="C￥AØ_°­´c (2)_광명견적대비1010 32" xfId="5054" xr:uid="{00000000-0005-0000-0000-00008F150000}"/>
    <cellStyle name="Ç¥ÁØ_°­´ç (2)_광명견적대비1010 32" xfId="5055" xr:uid="{00000000-0005-0000-0000-000090150000}"/>
    <cellStyle name="C￥AØ_°­´c (2)_광명견적대비1010 32 2" xfId="5056" xr:uid="{00000000-0005-0000-0000-000091150000}"/>
    <cellStyle name="Ç¥ÁØ_°­´ç (2)_광명견적대비1010 32 2" xfId="5057" xr:uid="{00000000-0005-0000-0000-000092150000}"/>
    <cellStyle name="C￥AØ_°­´c (2)_광명견적대비1010 32 3" xfId="5058" xr:uid="{00000000-0005-0000-0000-000093150000}"/>
    <cellStyle name="Ç¥ÁØ_°­´ç (2)_광명견적대비1010 32 3" xfId="5059" xr:uid="{00000000-0005-0000-0000-000094150000}"/>
    <cellStyle name="C￥AØ_°­´c (2)_광명견적대비1010 33" xfId="5060" xr:uid="{00000000-0005-0000-0000-000095150000}"/>
    <cellStyle name="Ç¥ÁØ_°­´ç (2)_광명견적대비1010 33" xfId="5061" xr:uid="{00000000-0005-0000-0000-000096150000}"/>
    <cellStyle name="C￥AØ_°­´c (2)_광명견적대비1010 33 2" xfId="5062" xr:uid="{00000000-0005-0000-0000-000097150000}"/>
    <cellStyle name="Ç¥ÁØ_°­´ç (2)_광명견적대비1010 33 2" xfId="5063" xr:uid="{00000000-0005-0000-0000-000098150000}"/>
    <cellStyle name="C￥AØ_°­´c (2)_광명견적대비1010 33 3" xfId="5064" xr:uid="{00000000-0005-0000-0000-000099150000}"/>
    <cellStyle name="Ç¥ÁØ_°­´ç (2)_광명견적대비1010 33 3" xfId="5065" xr:uid="{00000000-0005-0000-0000-00009A150000}"/>
    <cellStyle name="C￥AØ_°­´c (2)_광명견적대비1010 34" xfId="5066" xr:uid="{00000000-0005-0000-0000-00009B150000}"/>
    <cellStyle name="Ç¥ÁØ_°­´ç (2)_광명견적대비1010 34" xfId="5067" xr:uid="{00000000-0005-0000-0000-00009C150000}"/>
    <cellStyle name="C￥AØ_°­´c (2)_광명견적대비1010 34 2" xfId="5068" xr:uid="{00000000-0005-0000-0000-00009D150000}"/>
    <cellStyle name="Ç¥ÁØ_°­´ç (2)_광명견적대비1010 34 2" xfId="5069" xr:uid="{00000000-0005-0000-0000-00009E150000}"/>
    <cellStyle name="C￥AØ_°­´c (2)_광명견적대비1010 34 3" xfId="5070" xr:uid="{00000000-0005-0000-0000-00009F150000}"/>
    <cellStyle name="Ç¥ÁØ_°­´ç (2)_광명견적대비1010 34 3" xfId="5071" xr:uid="{00000000-0005-0000-0000-0000A0150000}"/>
    <cellStyle name="C￥AØ_°­´c (2)_광명견적대비1010 35" xfId="5072" xr:uid="{00000000-0005-0000-0000-0000A1150000}"/>
    <cellStyle name="Ç¥ÁØ_°­´ç (2)_광명견적대비1010 35" xfId="5073" xr:uid="{00000000-0005-0000-0000-0000A2150000}"/>
    <cellStyle name="C￥AØ_°­´c (2)_광명견적대비1010 35 2" xfId="5074" xr:uid="{00000000-0005-0000-0000-0000A3150000}"/>
    <cellStyle name="Ç¥ÁØ_°­´ç (2)_광명견적대비1010 35 2" xfId="5075" xr:uid="{00000000-0005-0000-0000-0000A4150000}"/>
    <cellStyle name="C￥AØ_°­´c (2)_광명견적대비1010 35 3" xfId="5076" xr:uid="{00000000-0005-0000-0000-0000A5150000}"/>
    <cellStyle name="Ç¥ÁØ_°­´ç (2)_광명견적대비1010 35 3" xfId="5077" xr:uid="{00000000-0005-0000-0000-0000A6150000}"/>
    <cellStyle name="C￥AØ_°­´c (2)_광명견적대비1010 36" xfId="5078" xr:uid="{00000000-0005-0000-0000-0000A7150000}"/>
    <cellStyle name="Ç¥ÁØ_°­´ç (2)_광명견적대비1010 36" xfId="5079" xr:uid="{00000000-0005-0000-0000-0000A8150000}"/>
    <cellStyle name="C￥AØ_°­´c (2)_광명견적대비1010 36 2" xfId="5080" xr:uid="{00000000-0005-0000-0000-0000A9150000}"/>
    <cellStyle name="Ç¥ÁØ_°­´ç (2)_광명견적대비1010 36 2" xfId="5081" xr:uid="{00000000-0005-0000-0000-0000AA150000}"/>
    <cellStyle name="C￥AØ_°­´c (2)_광명견적대비1010 36 3" xfId="5082" xr:uid="{00000000-0005-0000-0000-0000AB150000}"/>
    <cellStyle name="Ç¥ÁØ_°­´ç (2)_광명견적대비1010 36 3" xfId="5083" xr:uid="{00000000-0005-0000-0000-0000AC150000}"/>
    <cellStyle name="C￥AØ_°­´c (2)_광명견적대비1010 37" xfId="5084" xr:uid="{00000000-0005-0000-0000-0000AD150000}"/>
    <cellStyle name="Ç¥ÁØ_°­´ç (2)_광명견적대비1010 37" xfId="5085" xr:uid="{00000000-0005-0000-0000-0000AE150000}"/>
    <cellStyle name="C￥AØ_°­´c (2)_광명견적대비1010 37 2" xfId="5086" xr:uid="{00000000-0005-0000-0000-0000AF150000}"/>
    <cellStyle name="Ç¥ÁØ_°­´ç (2)_광명견적대비1010 37 2" xfId="5087" xr:uid="{00000000-0005-0000-0000-0000B0150000}"/>
    <cellStyle name="C￥AØ_°­´c (2)_광명견적대비1010 37 3" xfId="5088" xr:uid="{00000000-0005-0000-0000-0000B1150000}"/>
    <cellStyle name="Ç¥ÁØ_°­´ç (2)_광명견적대비1010 37 3" xfId="5089" xr:uid="{00000000-0005-0000-0000-0000B2150000}"/>
    <cellStyle name="C￥AØ_°­´c (2)_광명견적대비1010 38" xfId="5090" xr:uid="{00000000-0005-0000-0000-0000B3150000}"/>
    <cellStyle name="Ç¥ÁØ_°­´ç (2)_광명견적대비1010 38" xfId="5091" xr:uid="{00000000-0005-0000-0000-0000B4150000}"/>
    <cellStyle name="C￥AØ_°­´c (2)_광명견적대비1010 38 2" xfId="5092" xr:uid="{00000000-0005-0000-0000-0000B5150000}"/>
    <cellStyle name="Ç¥ÁØ_°­´ç (2)_광명견적대비1010 38 2" xfId="5093" xr:uid="{00000000-0005-0000-0000-0000B6150000}"/>
    <cellStyle name="C￥AØ_°­´c (2)_광명견적대비1010 38 3" xfId="5094" xr:uid="{00000000-0005-0000-0000-0000B7150000}"/>
    <cellStyle name="Ç¥ÁØ_°­´ç (2)_광명견적대비1010 38 3" xfId="5095" xr:uid="{00000000-0005-0000-0000-0000B8150000}"/>
    <cellStyle name="C￥AØ_°­´c (2)_광명견적대비1010 39" xfId="5096" xr:uid="{00000000-0005-0000-0000-0000B9150000}"/>
    <cellStyle name="Ç¥ÁØ_°­´ç (2)_광명견적대비1010 39" xfId="5097" xr:uid="{00000000-0005-0000-0000-0000BA150000}"/>
    <cellStyle name="C￥AØ_°­´c (2)_광명견적대비1010 39 2" xfId="5098" xr:uid="{00000000-0005-0000-0000-0000BB150000}"/>
    <cellStyle name="Ç¥ÁØ_°­´ç (2)_광명견적대비1010 39 2" xfId="5099" xr:uid="{00000000-0005-0000-0000-0000BC150000}"/>
    <cellStyle name="C￥AØ_°­´c (2)_광명견적대비1010 39 3" xfId="5100" xr:uid="{00000000-0005-0000-0000-0000BD150000}"/>
    <cellStyle name="Ç¥ÁØ_°­´ç (2)_광명견적대비1010 39 3" xfId="5101" xr:uid="{00000000-0005-0000-0000-0000BE150000}"/>
    <cellStyle name="C￥AØ_°­´c (2)_광명견적대비1010 4" xfId="5102" xr:uid="{00000000-0005-0000-0000-0000BF150000}"/>
    <cellStyle name="Ç¥ÁØ_°­´ç (2)_광명견적대비1010 4" xfId="5103" xr:uid="{00000000-0005-0000-0000-0000C0150000}"/>
    <cellStyle name="C￥AØ_°­´c (2)_광명견적대비1010 4 2" xfId="5104" xr:uid="{00000000-0005-0000-0000-0000C1150000}"/>
    <cellStyle name="Ç¥ÁØ_°­´ç (2)_광명견적대비1010 4 2" xfId="5105" xr:uid="{00000000-0005-0000-0000-0000C2150000}"/>
    <cellStyle name="C￥AØ_°­´c (2)_광명견적대비1010 4 3" xfId="5106" xr:uid="{00000000-0005-0000-0000-0000C3150000}"/>
    <cellStyle name="Ç¥ÁØ_°­´ç (2)_광명견적대비1010 4 3" xfId="5107" xr:uid="{00000000-0005-0000-0000-0000C4150000}"/>
    <cellStyle name="C￥AØ_°­´c (2)_광명견적대비1010 40" xfId="5108" xr:uid="{00000000-0005-0000-0000-0000C5150000}"/>
    <cellStyle name="Ç¥ÁØ_°­´ç (2)_광명견적대비1010 40" xfId="5109" xr:uid="{00000000-0005-0000-0000-0000C6150000}"/>
    <cellStyle name="C￥AØ_°­´c (2)_광명견적대비1010 40 2" xfId="5110" xr:uid="{00000000-0005-0000-0000-0000C7150000}"/>
    <cellStyle name="Ç¥ÁØ_°­´ç (2)_광명견적대비1010 40 2" xfId="5111" xr:uid="{00000000-0005-0000-0000-0000C8150000}"/>
    <cellStyle name="C￥AØ_°­´c (2)_광명견적대비1010 40 3" xfId="5112" xr:uid="{00000000-0005-0000-0000-0000C9150000}"/>
    <cellStyle name="Ç¥ÁØ_°­´ç (2)_광명견적대비1010 40 3" xfId="5113" xr:uid="{00000000-0005-0000-0000-0000CA150000}"/>
    <cellStyle name="C￥AØ_°­´c (2)_광명견적대비1010 41" xfId="5114" xr:uid="{00000000-0005-0000-0000-0000CB150000}"/>
    <cellStyle name="Ç¥ÁØ_°­´ç (2)_광명견적대비1010 41" xfId="5115" xr:uid="{00000000-0005-0000-0000-0000CC150000}"/>
    <cellStyle name="C￥AØ_°­´c (2)_광명견적대비1010 41 2" xfId="5116" xr:uid="{00000000-0005-0000-0000-0000CD150000}"/>
    <cellStyle name="Ç¥ÁØ_°­´ç (2)_광명견적대비1010 41 2" xfId="5117" xr:uid="{00000000-0005-0000-0000-0000CE150000}"/>
    <cellStyle name="C￥AØ_°­´c (2)_광명견적대비1010 41 3" xfId="5118" xr:uid="{00000000-0005-0000-0000-0000CF150000}"/>
    <cellStyle name="Ç¥ÁØ_°­´ç (2)_광명견적대비1010 41 3" xfId="5119" xr:uid="{00000000-0005-0000-0000-0000D0150000}"/>
    <cellStyle name="C￥AØ_°­´c (2)_광명견적대비1010 42" xfId="5120" xr:uid="{00000000-0005-0000-0000-0000D1150000}"/>
    <cellStyle name="Ç¥ÁØ_°­´ç (2)_광명견적대비1010 42" xfId="5121" xr:uid="{00000000-0005-0000-0000-0000D2150000}"/>
    <cellStyle name="C￥AØ_°­´c (2)_광명견적대비1010 42 2" xfId="5122" xr:uid="{00000000-0005-0000-0000-0000D3150000}"/>
    <cellStyle name="Ç¥ÁØ_°­´ç (2)_광명견적대비1010 42 2" xfId="5123" xr:uid="{00000000-0005-0000-0000-0000D4150000}"/>
    <cellStyle name="C￥AØ_°­´c (2)_광명견적대비1010 42 3" xfId="5124" xr:uid="{00000000-0005-0000-0000-0000D5150000}"/>
    <cellStyle name="Ç¥ÁØ_°­´ç (2)_광명견적대비1010 42 3" xfId="5125" xr:uid="{00000000-0005-0000-0000-0000D6150000}"/>
    <cellStyle name="C￥AØ_°­´c (2)_광명견적대비1010 43" xfId="5126" xr:uid="{00000000-0005-0000-0000-0000D7150000}"/>
    <cellStyle name="Ç¥ÁØ_°­´ç (2)_광명견적대비1010 43" xfId="5127" xr:uid="{00000000-0005-0000-0000-0000D8150000}"/>
    <cellStyle name="C￥AØ_°­´c (2)_광명견적대비1010 43 2" xfId="5128" xr:uid="{00000000-0005-0000-0000-0000D9150000}"/>
    <cellStyle name="Ç¥ÁØ_°­´ç (2)_광명견적대비1010 43 2" xfId="5129" xr:uid="{00000000-0005-0000-0000-0000DA150000}"/>
    <cellStyle name="C￥AØ_°­´c (2)_광명견적대비1010 43 3" xfId="5130" xr:uid="{00000000-0005-0000-0000-0000DB150000}"/>
    <cellStyle name="Ç¥ÁØ_°­´ç (2)_광명견적대비1010 43 3" xfId="5131" xr:uid="{00000000-0005-0000-0000-0000DC150000}"/>
    <cellStyle name="C￥AØ_°­´c (2)_광명견적대비1010 44" xfId="5132" xr:uid="{00000000-0005-0000-0000-0000DD150000}"/>
    <cellStyle name="Ç¥ÁØ_°­´ç (2)_광명견적대비1010 44" xfId="5133" xr:uid="{00000000-0005-0000-0000-0000DE150000}"/>
    <cellStyle name="C￥AØ_°­´c (2)_광명견적대비1010 44 2" xfId="5134" xr:uid="{00000000-0005-0000-0000-0000DF150000}"/>
    <cellStyle name="Ç¥ÁØ_°­´ç (2)_광명견적대비1010 44 2" xfId="5135" xr:uid="{00000000-0005-0000-0000-0000E0150000}"/>
    <cellStyle name="C￥AØ_°­´c (2)_광명견적대비1010 44 3" xfId="5136" xr:uid="{00000000-0005-0000-0000-0000E1150000}"/>
    <cellStyle name="Ç¥ÁØ_°­´ç (2)_광명견적대비1010 44 3" xfId="5137" xr:uid="{00000000-0005-0000-0000-0000E2150000}"/>
    <cellStyle name="C￥AØ_°­´c (2)_광명견적대비1010 45" xfId="5138" xr:uid="{00000000-0005-0000-0000-0000E3150000}"/>
    <cellStyle name="Ç¥ÁØ_°­´ç (2)_광명견적대비1010 45" xfId="5139" xr:uid="{00000000-0005-0000-0000-0000E4150000}"/>
    <cellStyle name="C￥AØ_°­´c (2)_광명견적대비1010 45 2" xfId="5140" xr:uid="{00000000-0005-0000-0000-0000E5150000}"/>
    <cellStyle name="Ç¥ÁØ_°­´ç (2)_광명견적대비1010 45 2" xfId="5141" xr:uid="{00000000-0005-0000-0000-0000E6150000}"/>
    <cellStyle name="C￥AØ_°­´c (2)_광명견적대비1010 45 3" xfId="5142" xr:uid="{00000000-0005-0000-0000-0000E7150000}"/>
    <cellStyle name="Ç¥ÁØ_°­´ç (2)_광명견적대비1010 45 3" xfId="5143" xr:uid="{00000000-0005-0000-0000-0000E8150000}"/>
    <cellStyle name="C￥AØ_°­´c (2)_광명견적대비1010 46" xfId="5144" xr:uid="{00000000-0005-0000-0000-0000E9150000}"/>
    <cellStyle name="Ç¥ÁØ_°­´ç (2)_광명견적대비1010 46" xfId="5145" xr:uid="{00000000-0005-0000-0000-0000EA150000}"/>
    <cellStyle name="C￥AØ_°­´c (2)_광명견적대비1010 46 2" xfId="5146" xr:uid="{00000000-0005-0000-0000-0000EB150000}"/>
    <cellStyle name="Ç¥ÁØ_°­´ç (2)_광명견적대비1010 46 2" xfId="5147" xr:uid="{00000000-0005-0000-0000-0000EC150000}"/>
    <cellStyle name="C￥AØ_°­´c (2)_광명견적대비1010 46 3" xfId="5148" xr:uid="{00000000-0005-0000-0000-0000ED150000}"/>
    <cellStyle name="Ç¥ÁØ_°­´ç (2)_광명견적대비1010 46 3" xfId="5149" xr:uid="{00000000-0005-0000-0000-0000EE150000}"/>
    <cellStyle name="C￥AØ_°­´c (2)_광명견적대비1010 5" xfId="5150" xr:uid="{00000000-0005-0000-0000-0000EF150000}"/>
    <cellStyle name="Ç¥ÁØ_°­´ç (2)_광명견적대비1010 5" xfId="5151" xr:uid="{00000000-0005-0000-0000-0000F0150000}"/>
    <cellStyle name="C￥AØ_°­´c (2)_광명견적대비1010 5 2" xfId="5152" xr:uid="{00000000-0005-0000-0000-0000F1150000}"/>
    <cellStyle name="Ç¥ÁØ_°­´ç (2)_광명견적대비1010 5 2" xfId="5153" xr:uid="{00000000-0005-0000-0000-0000F2150000}"/>
    <cellStyle name="C￥AØ_°­´c (2)_광명견적대비1010 5 3" xfId="5154" xr:uid="{00000000-0005-0000-0000-0000F3150000}"/>
    <cellStyle name="Ç¥ÁØ_°­´ç (2)_광명견적대비1010 5 3" xfId="5155" xr:uid="{00000000-0005-0000-0000-0000F4150000}"/>
    <cellStyle name="C￥AØ_°­´c (2)_광명견적대비1010 6" xfId="5156" xr:uid="{00000000-0005-0000-0000-0000F5150000}"/>
    <cellStyle name="Ç¥ÁØ_°­´ç (2)_광명견적대비1010 6" xfId="5157" xr:uid="{00000000-0005-0000-0000-0000F6150000}"/>
    <cellStyle name="C￥AØ_°­´c (2)_광명견적대비1010 6 2" xfId="5158" xr:uid="{00000000-0005-0000-0000-0000F7150000}"/>
    <cellStyle name="Ç¥ÁØ_°­´ç (2)_광명견적대비1010 6 2" xfId="5159" xr:uid="{00000000-0005-0000-0000-0000F8150000}"/>
    <cellStyle name="C￥AØ_°­´c (2)_광명견적대비1010 6 3" xfId="5160" xr:uid="{00000000-0005-0000-0000-0000F9150000}"/>
    <cellStyle name="Ç¥ÁØ_°­´ç (2)_광명견적대비1010 6 3" xfId="5161" xr:uid="{00000000-0005-0000-0000-0000FA150000}"/>
    <cellStyle name="C￥AØ_°­´c (2)_광명견적대비1010 7" xfId="5162" xr:uid="{00000000-0005-0000-0000-0000FB150000}"/>
    <cellStyle name="Ç¥ÁØ_°­´ç (2)_광명견적대비1010 7" xfId="5163" xr:uid="{00000000-0005-0000-0000-0000FC150000}"/>
    <cellStyle name="C￥AØ_°­´c (2)_광명견적대비1010 7 2" xfId="5164" xr:uid="{00000000-0005-0000-0000-0000FD150000}"/>
    <cellStyle name="Ç¥ÁØ_°­´ç (2)_광명견적대비1010 7 2" xfId="5165" xr:uid="{00000000-0005-0000-0000-0000FE150000}"/>
    <cellStyle name="C￥AØ_°­´c (2)_광명견적대비1010 7 3" xfId="5166" xr:uid="{00000000-0005-0000-0000-0000FF150000}"/>
    <cellStyle name="Ç¥ÁØ_°­´ç (2)_광명견적대비1010 7 3" xfId="5167" xr:uid="{00000000-0005-0000-0000-000000160000}"/>
    <cellStyle name="C￥AØ_°­´c (2)_광명견적대비1010 8" xfId="5168" xr:uid="{00000000-0005-0000-0000-000001160000}"/>
    <cellStyle name="Ç¥ÁØ_°­´ç (2)_광명견적대비1010 8" xfId="5169" xr:uid="{00000000-0005-0000-0000-000002160000}"/>
    <cellStyle name="C￥AØ_°­´c (2)_광명견적대비1010 8 2" xfId="5170" xr:uid="{00000000-0005-0000-0000-000003160000}"/>
    <cellStyle name="Ç¥ÁØ_°­´ç (2)_광명견적대비1010 8 2" xfId="5171" xr:uid="{00000000-0005-0000-0000-000004160000}"/>
    <cellStyle name="C￥AØ_°­´c (2)_광명견적대비1010 8 3" xfId="5172" xr:uid="{00000000-0005-0000-0000-000005160000}"/>
    <cellStyle name="Ç¥ÁØ_°­´ç (2)_광명견적대비1010 8 3" xfId="5173" xr:uid="{00000000-0005-0000-0000-000006160000}"/>
    <cellStyle name="C￥AØ_°­´c (2)_광명견적대비1010 9" xfId="5174" xr:uid="{00000000-0005-0000-0000-000007160000}"/>
    <cellStyle name="Ç¥ÁØ_°­´ç (2)_광명견적대비1010 9" xfId="5175" xr:uid="{00000000-0005-0000-0000-000008160000}"/>
    <cellStyle name="C￥AØ_°­´c (2)_광명견적대비1010 9 2" xfId="5176" xr:uid="{00000000-0005-0000-0000-000009160000}"/>
    <cellStyle name="Ç¥ÁØ_°­´ç (2)_광명견적대비1010 9 2" xfId="5177" xr:uid="{00000000-0005-0000-0000-00000A160000}"/>
    <cellStyle name="C￥AØ_°­´c (2)_광명견적대비1010 9 3" xfId="5178" xr:uid="{00000000-0005-0000-0000-00000B160000}"/>
    <cellStyle name="Ç¥ÁØ_°­´ç (2)_광명견적대비1010 9 3" xfId="5179" xr:uid="{00000000-0005-0000-0000-00000C160000}"/>
    <cellStyle name="C￥AØ_°­´c (2)_광명견적대비1010_롯데 일산점 무대조명_총괄표_100503_수정" xfId="5180" xr:uid="{00000000-0005-0000-0000-00000D160000}"/>
    <cellStyle name="Ç¥ÁØ_°­´ç (2)_광명견적대비1010_롯데 일산점 무대조명_총괄표_100503_수정" xfId="5181" xr:uid="{00000000-0005-0000-0000-00000E160000}"/>
    <cellStyle name="C￥AØ_°­´c (2)_광명견적대비1010_롯데 일산점 무대조명_총괄표_100503_수정 2" xfId="5182" xr:uid="{00000000-0005-0000-0000-00000F160000}"/>
    <cellStyle name="Ç¥ÁØ_°­´ç (2)_광명견적대비1010_롯데 일산점 무대조명_총괄표_100503_수정 2" xfId="5183" xr:uid="{00000000-0005-0000-0000-000010160000}"/>
    <cellStyle name="C￥AØ_°­´c (2)_광명견적대비1010_롯데 일산점 무대조명_총괄표_100503_수정 3" xfId="5184" xr:uid="{00000000-0005-0000-0000-000011160000}"/>
    <cellStyle name="Ç¥ÁØ_°­´ç (2)_광명견적대비1010_롯데 일산점 무대조명_총괄표_100503_수정 3" xfId="5185" xr:uid="{00000000-0005-0000-0000-000012160000}"/>
    <cellStyle name="C￥AØ_°­´c (2)_광명관급" xfId="5186" xr:uid="{00000000-0005-0000-0000-000013160000}"/>
    <cellStyle name="Ç¥ÁØ_°­´ç (2)_광명관급" xfId="5187" xr:uid="{00000000-0005-0000-0000-000014160000}"/>
    <cellStyle name="C￥AØ_°­´c (2)_광명관급 2" xfId="5188" xr:uid="{00000000-0005-0000-0000-000015160000}"/>
    <cellStyle name="Ç¥ÁØ_°­´ç (2)_광명관급 2" xfId="5189" xr:uid="{00000000-0005-0000-0000-000016160000}"/>
    <cellStyle name="C￥AØ_°­´c (2)_광명관급 2 2" xfId="5190" xr:uid="{00000000-0005-0000-0000-000017160000}"/>
    <cellStyle name="Ç¥ÁØ_°­´ç (2)_광명관급 3" xfId="5191" xr:uid="{00000000-0005-0000-0000-000018160000}"/>
    <cellStyle name="C￥AØ_°­´c (2)_광명관급 4" xfId="5192" xr:uid="{00000000-0005-0000-0000-000019160000}"/>
    <cellStyle name="Ç¥ÁØ_°­´ç (2)_금광" xfId="5193" xr:uid="{00000000-0005-0000-0000-00001A160000}"/>
    <cellStyle name="C￥AØ_°­´c (2)_금광 2" xfId="5194" xr:uid="{00000000-0005-0000-0000-00001B160000}"/>
    <cellStyle name="Ç¥ÁØ_°­´ç (2)_금광 2" xfId="5195" xr:uid="{00000000-0005-0000-0000-00001C160000}"/>
    <cellStyle name="C￥AØ_°­´c (2)_금광 2 10" xfId="5196" xr:uid="{00000000-0005-0000-0000-00001D160000}"/>
    <cellStyle name="Ç¥ÁØ_°­´ç (2)_금광 2 2" xfId="5197" xr:uid="{00000000-0005-0000-0000-00001E160000}"/>
    <cellStyle name="C￥AØ_°­´c (2)_금광 2 3" xfId="5198" xr:uid="{00000000-0005-0000-0000-00001F160000}"/>
    <cellStyle name="Ç¥ÁØ_°­´ç (2)_금광 2 3" xfId="5199" xr:uid="{00000000-0005-0000-0000-000020160000}"/>
    <cellStyle name="C￥AØ_°­´c (2)_삼사" xfId="5200" xr:uid="{00000000-0005-0000-0000-000021160000}"/>
    <cellStyle name="Ç¥ÁØ_°­´ç (2)_삼사" xfId="5201" xr:uid="{00000000-0005-0000-0000-000022160000}"/>
    <cellStyle name="C￥AØ_°­´c (2)_삼사 10" xfId="5202" xr:uid="{00000000-0005-0000-0000-000023160000}"/>
    <cellStyle name="Ç¥ÁØ_°­´ç (2)_삼사 10" xfId="5203" xr:uid="{00000000-0005-0000-0000-000024160000}"/>
    <cellStyle name="C￥AØ_°­´c (2)_삼사 10 2" xfId="5204" xr:uid="{00000000-0005-0000-0000-000025160000}"/>
    <cellStyle name="Ç¥ÁØ_°­´ç (2)_삼사 10 2" xfId="5205" xr:uid="{00000000-0005-0000-0000-000026160000}"/>
    <cellStyle name="C￥AØ_°­´c (2)_삼사 10 3" xfId="5206" xr:uid="{00000000-0005-0000-0000-000027160000}"/>
    <cellStyle name="Ç¥ÁØ_°­´ç (2)_삼사 10 3" xfId="5207" xr:uid="{00000000-0005-0000-0000-000028160000}"/>
    <cellStyle name="C￥AØ_°­´c (2)_삼사 11" xfId="5208" xr:uid="{00000000-0005-0000-0000-000029160000}"/>
    <cellStyle name="Ç¥ÁØ_°­´ç (2)_삼사 11" xfId="5209" xr:uid="{00000000-0005-0000-0000-00002A160000}"/>
    <cellStyle name="C￥AØ_°­´c (2)_삼사 11 2" xfId="5210" xr:uid="{00000000-0005-0000-0000-00002B160000}"/>
    <cellStyle name="Ç¥ÁØ_°­´ç (2)_삼사 11 2" xfId="5211" xr:uid="{00000000-0005-0000-0000-00002C160000}"/>
    <cellStyle name="C￥AØ_°­´c (2)_삼사 11 3" xfId="5212" xr:uid="{00000000-0005-0000-0000-00002D160000}"/>
    <cellStyle name="Ç¥ÁØ_°­´ç (2)_삼사 11 3" xfId="5213" xr:uid="{00000000-0005-0000-0000-00002E160000}"/>
    <cellStyle name="C￥AØ_°­´c (2)_삼사 12" xfId="5214" xr:uid="{00000000-0005-0000-0000-00002F160000}"/>
    <cellStyle name="Ç¥ÁØ_°­´ç (2)_삼사 12" xfId="5215" xr:uid="{00000000-0005-0000-0000-000030160000}"/>
    <cellStyle name="C￥AØ_°­´c (2)_삼사 12 2" xfId="5216" xr:uid="{00000000-0005-0000-0000-000031160000}"/>
    <cellStyle name="Ç¥ÁØ_°­´ç (2)_삼사 12 2" xfId="5217" xr:uid="{00000000-0005-0000-0000-000032160000}"/>
    <cellStyle name="C￥AØ_°­´c (2)_삼사 12 3" xfId="5218" xr:uid="{00000000-0005-0000-0000-000033160000}"/>
    <cellStyle name="Ç¥ÁØ_°­´ç (2)_삼사 12 3" xfId="5219" xr:uid="{00000000-0005-0000-0000-000034160000}"/>
    <cellStyle name="C￥AØ_°­´c (2)_삼사 13" xfId="5220" xr:uid="{00000000-0005-0000-0000-000035160000}"/>
    <cellStyle name="Ç¥ÁØ_°­´ç (2)_삼사 13" xfId="5221" xr:uid="{00000000-0005-0000-0000-000036160000}"/>
    <cellStyle name="C￥AØ_°­´c (2)_삼사 13 2" xfId="5222" xr:uid="{00000000-0005-0000-0000-000037160000}"/>
    <cellStyle name="Ç¥ÁØ_°­´ç (2)_삼사 13 2" xfId="5223" xr:uid="{00000000-0005-0000-0000-000038160000}"/>
    <cellStyle name="C￥AØ_°­´c (2)_삼사 13 3" xfId="5224" xr:uid="{00000000-0005-0000-0000-000039160000}"/>
    <cellStyle name="Ç¥ÁØ_°­´ç (2)_삼사 13 3" xfId="5225" xr:uid="{00000000-0005-0000-0000-00003A160000}"/>
    <cellStyle name="C￥AØ_°­´c (2)_삼사 14" xfId="5226" xr:uid="{00000000-0005-0000-0000-00003B160000}"/>
    <cellStyle name="Ç¥ÁØ_°­´ç (2)_삼사 14" xfId="5227" xr:uid="{00000000-0005-0000-0000-00003C160000}"/>
    <cellStyle name="C￥AØ_°­´c (2)_삼사 14 2" xfId="5228" xr:uid="{00000000-0005-0000-0000-00003D160000}"/>
    <cellStyle name="Ç¥ÁØ_°­´ç (2)_삼사 14 2" xfId="5229" xr:uid="{00000000-0005-0000-0000-00003E160000}"/>
    <cellStyle name="C￥AØ_°­´c (2)_삼사 14 3" xfId="5230" xr:uid="{00000000-0005-0000-0000-00003F160000}"/>
    <cellStyle name="Ç¥ÁØ_°­´ç (2)_삼사 14 3" xfId="5231" xr:uid="{00000000-0005-0000-0000-000040160000}"/>
    <cellStyle name="C￥AØ_°­´c (2)_삼사 15" xfId="5232" xr:uid="{00000000-0005-0000-0000-000041160000}"/>
    <cellStyle name="Ç¥ÁØ_°­´ç (2)_삼사 15" xfId="5233" xr:uid="{00000000-0005-0000-0000-000042160000}"/>
    <cellStyle name="C￥AØ_°­´c (2)_삼사 15 2" xfId="5234" xr:uid="{00000000-0005-0000-0000-000043160000}"/>
    <cellStyle name="Ç¥ÁØ_°­´ç (2)_삼사 15 2" xfId="5235" xr:uid="{00000000-0005-0000-0000-000044160000}"/>
    <cellStyle name="C￥AØ_°­´c (2)_삼사 15 3" xfId="5236" xr:uid="{00000000-0005-0000-0000-000045160000}"/>
    <cellStyle name="Ç¥ÁØ_°­´ç (2)_삼사 15 3" xfId="5237" xr:uid="{00000000-0005-0000-0000-000046160000}"/>
    <cellStyle name="C￥AØ_°­´c (2)_삼사 16" xfId="5238" xr:uid="{00000000-0005-0000-0000-000047160000}"/>
    <cellStyle name="Ç¥ÁØ_°­´ç (2)_삼사 16" xfId="5239" xr:uid="{00000000-0005-0000-0000-000048160000}"/>
    <cellStyle name="C￥AØ_°­´c (2)_삼사 16 2" xfId="5240" xr:uid="{00000000-0005-0000-0000-000049160000}"/>
    <cellStyle name="Ç¥ÁØ_°­´ç (2)_삼사 16 2" xfId="5241" xr:uid="{00000000-0005-0000-0000-00004A160000}"/>
    <cellStyle name="C￥AØ_°­´c (2)_삼사 16 3" xfId="5242" xr:uid="{00000000-0005-0000-0000-00004B160000}"/>
    <cellStyle name="Ç¥ÁØ_°­´ç (2)_삼사 16 3" xfId="5243" xr:uid="{00000000-0005-0000-0000-00004C160000}"/>
    <cellStyle name="C￥AØ_°­´c (2)_삼사 17" xfId="5244" xr:uid="{00000000-0005-0000-0000-00004D160000}"/>
    <cellStyle name="Ç¥ÁØ_°­´ç (2)_삼사 17" xfId="5245" xr:uid="{00000000-0005-0000-0000-00004E160000}"/>
    <cellStyle name="C￥AØ_°­´c (2)_삼사 17 2" xfId="5246" xr:uid="{00000000-0005-0000-0000-00004F160000}"/>
    <cellStyle name="Ç¥ÁØ_°­´ç (2)_삼사 17 2" xfId="5247" xr:uid="{00000000-0005-0000-0000-000050160000}"/>
    <cellStyle name="C￥AØ_°­´c (2)_삼사 17 3" xfId="5248" xr:uid="{00000000-0005-0000-0000-000051160000}"/>
    <cellStyle name="Ç¥ÁØ_°­´ç (2)_삼사 17 3" xfId="5249" xr:uid="{00000000-0005-0000-0000-000052160000}"/>
    <cellStyle name="C￥AØ_°­´c (2)_삼사 18" xfId="5250" xr:uid="{00000000-0005-0000-0000-000053160000}"/>
    <cellStyle name="Ç¥ÁØ_°­´ç (2)_삼사 18" xfId="5251" xr:uid="{00000000-0005-0000-0000-000054160000}"/>
    <cellStyle name="C￥AØ_°­´c (2)_삼사 18 2" xfId="5252" xr:uid="{00000000-0005-0000-0000-000055160000}"/>
    <cellStyle name="Ç¥ÁØ_°­´ç (2)_삼사 18 2" xfId="5253" xr:uid="{00000000-0005-0000-0000-000056160000}"/>
    <cellStyle name="C￥AØ_°­´c (2)_삼사 18 3" xfId="5254" xr:uid="{00000000-0005-0000-0000-000057160000}"/>
    <cellStyle name="Ç¥ÁØ_°­´ç (2)_삼사 18 3" xfId="5255" xr:uid="{00000000-0005-0000-0000-000058160000}"/>
    <cellStyle name="C￥AØ_°­´c (2)_삼사 19" xfId="5256" xr:uid="{00000000-0005-0000-0000-000059160000}"/>
    <cellStyle name="Ç¥ÁØ_°­´ç (2)_삼사 19" xfId="5257" xr:uid="{00000000-0005-0000-0000-00005A160000}"/>
    <cellStyle name="C￥AØ_°­´c (2)_삼사 19 2" xfId="5258" xr:uid="{00000000-0005-0000-0000-00005B160000}"/>
    <cellStyle name="Ç¥ÁØ_°­´ç (2)_삼사 19 2" xfId="5259" xr:uid="{00000000-0005-0000-0000-00005C160000}"/>
    <cellStyle name="C￥AØ_°­´c (2)_삼사 19 3" xfId="5260" xr:uid="{00000000-0005-0000-0000-00005D160000}"/>
    <cellStyle name="Ç¥ÁØ_°­´ç (2)_삼사 19 3" xfId="5261" xr:uid="{00000000-0005-0000-0000-00005E160000}"/>
    <cellStyle name="C￥AØ_°­´c (2)_삼사 2" xfId="5262" xr:uid="{00000000-0005-0000-0000-00005F160000}"/>
    <cellStyle name="Ç¥ÁØ_°­´ç (2)_삼사 2" xfId="5263" xr:uid="{00000000-0005-0000-0000-000060160000}"/>
    <cellStyle name="C￥AØ_°­´c (2)_삼사 2 10" xfId="5264" xr:uid="{00000000-0005-0000-0000-000061160000}"/>
    <cellStyle name="Ç¥ÁØ_°­´ç (2)_삼사 2 2" xfId="5265" xr:uid="{00000000-0005-0000-0000-000062160000}"/>
    <cellStyle name="C￥AØ_°­´c (2)_삼사 2 3" xfId="5266" xr:uid="{00000000-0005-0000-0000-000063160000}"/>
    <cellStyle name="Ç¥ÁØ_°­´ç (2)_삼사 2 3" xfId="5267" xr:uid="{00000000-0005-0000-0000-000064160000}"/>
    <cellStyle name="C￥AØ_°­´c (2)_삼사 20" xfId="5268" xr:uid="{00000000-0005-0000-0000-000065160000}"/>
    <cellStyle name="Ç¥ÁØ_°­´ç (2)_삼사 20" xfId="5269" xr:uid="{00000000-0005-0000-0000-000066160000}"/>
    <cellStyle name="C￥AØ_°­´c (2)_삼사 21" xfId="5270" xr:uid="{00000000-0005-0000-0000-000067160000}"/>
    <cellStyle name="Ç¥ÁØ_°­´ç (2)_삼사 21" xfId="5271" xr:uid="{00000000-0005-0000-0000-000068160000}"/>
    <cellStyle name="C￥AØ_°­´c (2)_삼사 21 2" xfId="5272" xr:uid="{00000000-0005-0000-0000-000069160000}"/>
    <cellStyle name="Ç¥ÁØ_°­´ç (2)_삼사 21 2" xfId="5273" xr:uid="{00000000-0005-0000-0000-00006A160000}"/>
    <cellStyle name="C￥AØ_°­´c (2)_삼사 21 3" xfId="5274" xr:uid="{00000000-0005-0000-0000-00006B160000}"/>
    <cellStyle name="Ç¥ÁØ_°­´ç (2)_삼사 21 3" xfId="5275" xr:uid="{00000000-0005-0000-0000-00006C160000}"/>
    <cellStyle name="C￥AØ_°­´c (2)_삼사 22" xfId="5276" xr:uid="{00000000-0005-0000-0000-00006D160000}"/>
    <cellStyle name="Ç¥ÁØ_°­´ç (2)_삼사 22" xfId="5277" xr:uid="{00000000-0005-0000-0000-00006E160000}"/>
    <cellStyle name="C￥AØ_°­´c (2)_삼사 22 2" xfId="5278" xr:uid="{00000000-0005-0000-0000-00006F160000}"/>
    <cellStyle name="Ç¥ÁØ_°­´ç (2)_삼사 22 2" xfId="5279" xr:uid="{00000000-0005-0000-0000-000070160000}"/>
    <cellStyle name="C￥AØ_°­´c (2)_삼사 22 3" xfId="5280" xr:uid="{00000000-0005-0000-0000-000071160000}"/>
    <cellStyle name="Ç¥ÁØ_°­´ç (2)_삼사 22 3" xfId="5281" xr:uid="{00000000-0005-0000-0000-000072160000}"/>
    <cellStyle name="C￥AØ_°­´c (2)_삼사 23" xfId="5282" xr:uid="{00000000-0005-0000-0000-000073160000}"/>
    <cellStyle name="Ç¥ÁØ_°­´ç (2)_삼사 23" xfId="5283" xr:uid="{00000000-0005-0000-0000-000074160000}"/>
    <cellStyle name="C￥AØ_°­´c (2)_삼사 23 2" xfId="5284" xr:uid="{00000000-0005-0000-0000-000075160000}"/>
    <cellStyle name="Ç¥ÁØ_°­´ç (2)_삼사 23 2" xfId="5285" xr:uid="{00000000-0005-0000-0000-000076160000}"/>
    <cellStyle name="C￥AØ_°­´c (2)_삼사 23 3" xfId="5286" xr:uid="{00000000-0005-0000-0000-000077160000}"/>
    <cellStyle name="Ç¥ÁØ_°­´ç (2)_삼사 23 3" xfId="5287" xr:uid="{00000000-0005-0000-0000-000078160000}"/>
    <cellStyle name="C￥AØ_°­´c (2)_삼사 24" xfId="5288" xr:uid="{00000000-0005-0000-0000-000079160000}"/>
    <cellStyle name="Ç¥ÁØ_°­´ç (2)_삼사 24" xfId="5289" xr:uid="{00000000-0005-0000-0000-00007A160000}"/>
    <cellStyle name="C￥AØ_°­´c (2)_삼사 24 2" xfId="5290" xr:uid="{00000000-0005-0000-0000-00007B160000}"/>
    <cellStyle name="Ç¥ÁØ_°­´ç (2)_삼사 24 2" xfId="5291" xr:uid="{00000000-0005-0000-0000-00007C160000}"/>
    <cellStyle name="C￥AØ_°­´c (2)_삼사 24 3" xfId="5292" xr:uid="{00000000-0005-0000-0000-00007D160000}"/>
    <cellStyle name="Ç¥ÁØ_°­´ç (2)_삼사 24 3" xfId="5293" xr:uid="{00000000-0005-0000-0000-00007E160000}"/>
    <cellStyle name="C￥AØ_°­´c (2)_삼사 25" xfId="5294" xr:uid="{00000000-0005-0000-0000-00007F160000}"/>
    <cellStyle name="Ç¥ÁØ_°­´ç (2)_삼사 25" xfId="5295" xr:uid="{00000000-0005-0000-0000-000080160000}"/>
    <cellStyle name="C￥AØ_°­´c (2)_삼사 25 2" xfId="5296" xr:uid="{00000000-0005-0000-0000-000081160000}"/>
    <cellStyle name="Ç¥ÁØ_°­´ç (2)_삼사 25 2" xfId="5297" xr:uid="{00000000-0005-0000-0000-000082160000}"/>
    <cellStyle name="C￥AØ_°­´c (2)_삼사 25 3" xfId="5298" xr:uid="{00000000-0005-0000-0000-000083160000}"/>
    <cellStyle name="Ç¥ÁØ_°­´ç (2)_삼사 25 3" xfId="5299" xr:uid="{00000000-0005-0000-0000-000084160000}"/>
    <cellStyle name="C￥AØ_°­´c (2)_삼사 26" xfId="5300" xr:uid="{00000000-0005-0000-0000-000085160000}"/>
    <cellStyle name="Ç¥ÁØ_°­´ç (2)_삼사 26" xfId="5301" xr:uid="{00000000-0005-0000-0000-000086160000}"/>
    <cellStyle name="C￥AØ_°­´c (2)_삼사 26 2" xfId="5302" xr:uid="{00000000-0005-0000-0000-000087160000}"/>
    <cellStyle name="Ç¥ÁØ_°­´ç (2)_삼사 26 2" xfId="5303" xr:uid="{00000000-0005-0000-0000-000088160000}"/>
    <cellStyle name="C￥AØ_°­´c (2)_삼사 26 3" xfId="5304" xr:uid="{00000000-0005-0000-0000-000089160000}"/>
    <cellStyle name="Ç¥ÁØ_°­´ç (2)_삼사 26 3" xfId="5305" xr:uid="{00000000-0005-0000-0000-00008A160000}"/>
    <cellStyle name="C￥AØ_°­´c (2)_삼사 27" xfId="5306" xr:uid="{00000000-0005-0000-0000-00008B160000}"/>
    <cellStyle name="Ç¥ÁØ_°­´ç (2)_삼사 27" xfId="5307" xr:uid="{00000000-0005-0000-0000-00008C160000}"/>
    <cellStyle name="C￥AØ_°­´c (2)_삼사 27 2" xfId="5308" xr:uid="{00000000-0005-0000-0000-00008D160000}"/>
    <cellStyle name="Ç¥ÁØ_°­´ç (2)_삼사 27 2" xfId="5309" xr:uid="{00000000-0005-0000-0000-00008E160000}"/>
    <cellStyle name="C￥AØ_°­´c (2)_삼사 27 3" xfId="5310" xr:uid="{00000000-0005-0000-0000-00008F160000}"/>
    <cellStyle name="Ç¥ÁØ_°­´ç (2)_삼사 27 3" xfId="5311" xr:uid="{00000000-0005-0000-0000-000090160000}"/>
    <cellStyle name="C￥AØ_°­´c (2)_삼사 28" xfId="5312" xr:uid="{00000000-0005-0000-0000-000091160000}"/>
    <cellStyle name="Ç¥ÁØ_°­´ç (2)_삼사 28" xfId="5313" xr:uid="{00000000-0005-0000-0000-000092160000}"/>
    <cellStyle name="C￥AØ_°­´c (2)_삼사 28 2" xfId="5314" xr:uid="{00000000-0005-0000-0000-000093160000}"/>
    <cellStyle name="Ç¥ÁØ_°­´ç (2)_삼사 28 2" xfId="5315" xr:uid="{00000000-0005-0000-0000-000094160000}"/>
    <cellStyle name="C￥AØ_°­´c (2)_삼사 28 3" xfId="5316" xr:uid="{00000000-0005-0000-0000-000095160000}"/>
    <cellStyle name="Ç¥ÁØ_°­´ç (2)_삼사 28 3" xfId="5317" xr:uid="{00000000-0005-0000-0000-000096160000}"/>
    <cellStyle name="C￥AØ_°­´c (2)_삼사 29" xfId="5318" xr:uid="{00000000-0005-0000-0000-000097160000}"/>
    <cellStyle name="Ç¥ÁØ_°­´ç (2)_삼사 29" xfId="5319" xr:uid="{00000000-0005-0000-0000-000098160000}"/>
    <cellStyle name="C￥AØ_°­´c (2)_삼사 29 2" xfId="5320" xr:uid="{00000000-0005-0000-0000-000099160000}"/>
    <cellStyle name="Ç¥ÁØ_°­´ç (2)_삼사 29 2" xfId="5321" xr:uid="{00000000-0005-0000-0000-00009A160000}"/>
    <cellStyle name="C￥AØ_°­´c (2)_삼사 29 3" xfId="5322" xr:uid="{00000000-0005-0000-0000-00009B160000}"/>
    <cellStyle name="Ç¥ÁØ_°­´ç (2)_삼사 29 3" xfId="5323" xr:uid="{00000000-0005-0000-0000-00009C160000}"/>
    <cellStyle name="C￥AØ_°­´c (2)_삼사 3" xfId="5324" xr:uid="{00000000-0005-0000-0000-00009D160000}"/>
    <cellStyle name="Ç¥ÁØ_°­´ç (2)_삼사 3" xfId="5325" xr:uid="{00000000-0005-0000-0000-00009E160000}"/>
    <cellStyle name="C￥AØ_°­´c (2)_삼사 3 2" xfId="5326" xr:uid="{00000000-0005-0000-0000-00009F160000}"/>
    <cellStyle name="Ç¥ÁØ_°­´ç (2)_삼사 3 2" xfId="5327" xr:uid="{00000000-0005-0000-0000-0000A0160000}"/>
    <cellStyle name="C￥AØ_°­´c (2)_삼사 3 3" xfId="5328" xr:uid="{00000000-0005-0000-0000-0000A1160000}"/>
    <cellStyle name="Ç¥ÁØ_°­´ç (2)_삼사 3 3" xfId="5329" xr:uid="{00000000-0005-0000-0000-0000A2160000}"/>
    <cellStyle name="C￥AØ_°­´c (2)_삼사 3_방통환경공사견적제출" xfId="5330" xr:uid="{00000000-0005-0000-0000-0000A3160000}"/>
    <cellStyle name="Ç¥ÁØ_°­´ç (2)_삼사 3_방통환경공사견적제출" xfId="5331" xr:uid="{00000000-0005-0000-0000-0000A4160000}"/>
    <cellStyle name="C￥AØ_°­´c (2)_삼사 3_방통환경공사견적제출 2" xfId="5332" xr:uid="{00000000-0005-0000-0000-0000A5160000}"/>
    <cellStyle name="Ç¥ÁØ_°­´ç (2)_삼사 3_방통환경공사견적제출 2" xfId="5333" xr:uid="{00000000-0005-0000-0000-0000A6160000}"/>
    <cellStyle name="C￥AØ_°­´c (2)_삼사 3_방통환경공사견적제출 3" xfId="5334" xr:uid="{00000000-0005-0000-0000-0000A7160000}"/>
    <cellStyle name="Ç¥ÁØ_°­´ç (2)_삼사 3_방통환경공사견적제출 3" xfId="5335" xr:uid="{00000000-0005-0000-0000-0000A8160000}"/>
    <cellStyle name="C￥AØ_°­´c (2)_삼사 3_방통환경내역산출" xfId="5336" xr:uid="{00000000-0005-0000-0000-0000A9160000}"/>
    <cellStyle name="Ç¥ÁØ_°­´ç (2)_삼사 3_방통환경내역산출" xfId="5337" xr:uid="{00000000-0005-0000-0000-0000AA160000}"/>
    <cellStyle name="C￥AØ_°­´c (2)_삼사 3_방통환경내역산출 2" xfId="5338" xr:uid="{00000000-0005-0000-0000-0000AB160000}"/>
    <cellStyle name="Ç¥ÁØ_°­´ç (2)_삼사 3_방통환경내역산출 2" xfId="5339" xr:uid="{00000000-0005-0000-0000-0000AC160000}"/>
    <cellStyle name="C￥AØ_°­´c (2)_삼사 3_방통환경내역산출 3" xfId="5340" xr:uid="{00000000-0005-0000-0000-0000AD160000}"/>
    <cellStyle name="Ç¥ÁØ_°­´ç (2)_삼사 3_방통환경내역산출 3" xfId="5341" xr:uid="{00000000-0005-0000-0000-0000AE160000}"/>
    <cellStyle name="C￥AØ_°­´c (2)_삼사 30" xfId="5342" xr:uid="{00000000-0005-0000-0000-0000AF160000}"/>
    <cellStyle name="Ç¥ÁØ_°­´ç (2)_삼사 30" xfId="5343" xr:uid="{00000000-0005-0000-0000-0000B0160000}"/>
    <cellStyle name="C￥AØ_°­´c (2)_삼사 30 2" xfId="5344" xr:uid="{00000000-0005-0000-0000-0000B1160000}"/>
    <cellStyle name="Ç¥ÁØ_°­´ç (2)_삼사 30 2" xfId="5345" xr:uid="{00000000-0005-0000-0000-0000B2160000}"/>
    <cellStyle name="C￥AØ_°­´c (2)_삼사 30 3" xfId="5346" xr:uid="{00000000-0005-0000-0000-0000B3160000}"/>
    <cellStyle name="Ç¥ÁØ_°­´ç (2)_삼사 30 3" xfId="5347" xr:uid="{00000000-0005-0000-0000-0000B4160000}"/>
    <cellStyle name="C￥AØ_°­´c (2)_삼사 31" xfId="5348" xr:uid="{00000000-0005-0000-0000-0000B5160000}"/>
    <cellStyle name="Ç¥ÁØ_°­´ç (2)_삼사 31" xfId="5349" xr:uid="{00000000-0005-0000-0000-0000B6160000}"/>
    <cellStyle name="C￥AØ_°­´c (2)_삼사 31 2" xfId="5350" xr:uid="{00000000-0005-0000-0000-0000B7160000}"/>
    <cellStyle name="Ç¥ÁØ_°­´ç (2)_삼사 31 2" xfId="5351" xr:uid="{00000000-0005-0000-0000-0000B8160000}"/>
    <cellStyle name="C￥AØ_°­´c (2)_삼사 31 3" xfId="5352" xr:uid="{00000000-0005-0000-0000-0000B9160000}"/>
    <cellStyle name="Ç¥ÁØ_°­´ç (2)_삼사 31 3" xfId="5353" xr:uid="{00000000-0005-0000-0000-0000BA160000}"/>
    <cellStyle name="C￥AØ_°­´c (2)_삼사 32" xfId="5354" xr:uid="{00000000-0005-0000-0000-0000BB160000}"/>
    <cellStyle name="Ç¥ÁØ_°­´ç (2)_삼사 32" xfId="5355" xr:uid="{00000000-0005-0000-0000-0000BC160000}"/>
    <cellStyle name="C￥AØ_°­´c (2)_삼사 32 2" xfId="5356" xr:uid="{00000000-0005-0000-0000-0000BD160000}"/>
    <cellStyle name="Ç¥ÁØ_°­´ç (2)_삼사 32 2" xfId="5357" xr:uid="{00000000-0005-0000-0000-0000BE160000}"/>
    <cellStyle name="C￥AØ_°­´c (2)_삼사 32 3" xfId="5358" xr:uid="{00000000-0005-0000-0000-0000BF160000}"/>
    <cellStyle name="Ç¥ÁØ_°­´ç (2)_삼사 32 3" xfId="5359" xr:uid="{00000000-0005-0000-0000-0000C0160000}"/>
    <cellStyle name="C￥AØ_°­´c (2)_삼사 33" xfId="5360" xr:uid="{00000000-0005-0000-0000-0000C1160000}"/>
    <cellStyle name="Ç¥ÁØ_°­´ç (2)_삼사 33" xfId="5361" xr:uid="{00000000-0005-0000-0000-0000C2160000}"/>
    <cellStyle name="C￥AØ_°­´c (2)_삼사 33 2" xfId="5362" xr:uid="{00000000-0005-0000-0000-0000C3160000}"/>
    <cellStyle name="Ç¥ÁØ_°­´ç (2)_삼사 33 2" xfId="5363" xr:uid="{00000000-0005-0000-0000-0000C4160000}"/>
    <cellStyle name="C￥AØ_°­´c (2)_삼사 33 3" xfId="5364" xr:uid="{00000000-0005-0000-0000-0000C5160000}"/>
    <cellStyle name="Ç¥ÁØ_°­´ç (2)_삼사 33 3" xfId="5365" xr:uid="{00000000-0005-0000-0000-0000C6160000}"/>
    <cellStyle name="C￥AØ_°­´c (2)_삼사 34" xfId="5366" xr:uid="{00000000-0005-0000-0000-0000C7160000}"/>
    <cellStyle name="Ç¥ÁØ_°­´ç (2)_삼사 34" xfId="5367" xr:uid="{00000000-0005-0000-0000-0000C8160000}"/>
    <cellStyle name="C￥AØ_°­´c (2)_삼사 34 2" xfId="5368" xr:uid="{00000000-0005-0000-0000-0000C9160000}"/>
    <cellStyle name="Ç¥ÁØ_°­´ç (2)_삼사 34 2" xfId="5369" xr:uid="{00000000-0005-0000-0000-0000CA160000}"/>
    <cellStyle name="C￥AØ_°­´c (2)_삼사 34 3" xfId="5370" xr:uid="{00000000-0005-0000-0000-0000CB160000}"/>
    <cellStyle name="Ç¥ÁØ_°­´ç (2)_삼사 34 3" xfId="5371" xr:uid="{00000000-0005-0000-0000-0000CC160000}"/>
    <cellStyle name="C￥AØ_°­´c (2)_삼사 35" xfId="5372" xr:uid="{00000000-0005-0000-0000-0000CD160000}"/>
    <cellStyle name="Ç¥ÁØ_°­´ç (2)_삼사 35" xfId="5373" xr:uid="{00000000-0005-0000-0000-0000CE160000}"/>
    <cellStyle name="C￥AØ_°­´c (2)_삼사 35 2" xfId="5374" xr:uid="{00000000-0005-0000-0000-0000CF160000}"/>
    <cellStyle name="Ç¥ÁØ_°­´ç (2)_삼사 35 2" xfId="5375" xr:uid="{00000000-0005-0000-0000-0000D0160000}"/>
    <cellStyle name="C￥AØ_°­´c (2)_삼사 35 3" xfId="5376" xr:uid="{00000000-0005-0000-0000-0000D1160000}"/>
    <cellStyle name="Ç¥ÁØ_°­´ç (2)_삼사 35 3" xfId="5377" xr:uid="{00000000-0005-0000-0000-0000D2160000}"/>
    <cellStyle name="C￥AØ_°­´c (2)_삼사 36" xfId="5378" xr:uid="{00000000-0005-0000-0000-0000D3160000}"/>
    <cellStyle name="Ç¥ÁØ_°­´ç (2)_삼사 36" xfId="5379" xr:uid="{00000000-0005-0000-0000-0000D4160000}"/>
    <cellStyle name="C￥AØ_°­´c (2)_삼사 36 2" xfId="5380" xr:uid="{00000000-0005-0000-0000-0000D5160000}"/>
    <cellStyle name="Ç¥ÁØ_°­´ç (2)_삼사 36 2" xfId="5381" xr:uid="{00000000-0005-0000-0000-0000D6160000}"/>
    <cellStyle name="C￥AØ_°­´c (2)_삼사 36 3" xfId="5382" xr:uid="{00000000-0005-0000-0000-0000D7160000}"/>
    <cellStyle name="Ç¥ÁØ_°­´ç (2)_삼사 36 3" xfId="5383" xr:uid="{00000000-0005-0000-0000-0000D8160000}"/>
    <cellStyle name="C￥AØ_°­´c (2)_삼사 37" xfId="5384" xr:uid="{00000000-0005-0000-0000-0000D9160000}"/>
    <cellStyle name="Ç¥ÁØ_°­´ç (2)_삼사 37" xfId="5385" xr:uid="{00000000-0005-0000-0000-0000DA160000}"/>
    <cellStyle name="C￥AØ_°­´c (2)_삼사 37 2" xfId="5386" xr:uid="{00000000-0005-0000-0000-0000DB160000}"/>
    <cellStyle name="Ç¥ÁØ_°­´ç (2)_삼사 37 2" xfId="5387" xr:uid="{00000000-0005-0000-0000-0000DC160000}"/>
    <cellStyle name="C￥AØ_°­´c (2)_삼사 37 3" xfId="5388" xr:uid="{00000000-0005-0000-0000-0000DD160000}"/>
    <cellStyle name="Ç¥ÁØ_°­´ç (2)_삼사 37 3" xfId="5389" xr:uid="{00000000-0005-0000-0000-0000DE160000}"/>
    <cellStyle name="C￥AØ_°­´c (2)_삼사 38" xfId="5390" xr:uid="{00000000-0005-0000-0000-0000DF160000}"/>
    <cellStyle name="Ç¥ÁØ_°­´ç (2)_삼사 38" xfId="5391" xr:uid="{00000000-0005-0000-0000-0000E0160000}"/>
    <cellStyle name="C￥AØ_°­´c (2)_삼사 38 2" xfId="5392" xr:uid="{00000000-0005-0000-0000-0000E1160000}"/>
    <cellStyle name="Ç¥ÁØ_°­´ç (2)_삼사 38 2" xfId="5393" xr:uid="{00000000-0005-0000-0000-0000E2160000}"/>
    <cellStyle name="C￥AØ_°­´c (2)_삼사 38 3" xfId="5394" xr:uid="{00000000-0005-0000-0000-0000E3160000}"/>
    <cellStyle name="Ç¥ÁØ_°­´ç (2)_삼사 38 3" xfId="5395" xr:uid="{00000000-0005-0000-0000-0000E4160000}"/>
    <cellStyle name="C￥AØ_°­´c (2)_삼사 39" xfId="5396" xr:uid="{00000000-0005-0000-0000-0000E5160000}"/>
    <cellStyle name="Ç¥ÁØ_°­´ç (2)_삼사 39" xfId="5397" xr:uid="{00000000-0005-0000-0000-0000E6160000}"/>
    <cellStyle name="C￥AØ_°­´c (2)_삼사 39 2" xfId="5398" xr:uid="{00000000-0005-0000-0000-0000E7160000}"/>
    <cellStyle name="Ç¥ÁØ_°­´ç (2)_삼사 39 2" xfId="5399" xr:uid="{00000000-0005-0000-0000-0000E8160000}"/>
    <cellStyle name="C￥AØ_°­´c (2)_삼사 39 3" xfId="5400" xr:uid="{00000000-0005-0000-0000-0000E9160000}"/>
    <cellStyle name="Ç¥ÁØ_°­´ç (2)_삼사 39 3" xfId="5401" xr:uid="{00000000-0005-0000-0000-0000EA160000}"/>
    <cellStyle name="C￥AØ_°­´c (2)_삼사 4" xfId="5402" xr:uid="{00000000-0005-0000-0000-0000EB160000}"/>
    <cellStyle name="Ç¥ÁØ_°­´ç (2)_삼사 4" xfId="5403" xr:uid="{00000000-0005-0000-0000-0000EC160000}"/>
    <cellStyle name="C￥AØ_°­´c (2)_삼사 4 2" xfId="5404" xr:uid="{00000000-0005-0000-0000-0000ED160000}"/>
    <cellStyle name="Ç¥ÁØ_°­´ç (2)_삼사 4 2" xfId="5405" xr:uid="{00000000-0005-0000-0000-0000EE160000}"/>
    <cellStyle name="C￥AØ_°­´c (2)_삼사 4 3" xfId="5406" xr:uid="{00000000-0005-0000-0000-0000EF160000}"/>
    <cellStyle name="Ç¥ÁØ_°­´ç (2)_삼사 4 3" xfId="5407" xr:uid="{00000000-0005-0000-0000-0000F0160000}"/>
    <cellStyle name="C￥AØ_°­´c (2)_삼사 4_방통환경공사견적제출" xfId="5408" xr:uid="{00000000-0005-0000-0000-0000F1160000}"/>
    <cellStyle name="Ç¥ÁØ_°­´ç (2)_삼사 4_방통환경공사견적제출" xfId="5409" xr:uid="{00000000-0005-0000-0000-0000F2160000}"/>
    <cellStyle name="C￥AØ_°­´c (2)_삼사 4_방통환경공사견적제출 2" xfId="5410" xr:uid="{00000000-0005-0000-0000-0000F3160000}"/>
    <cellStyle name="Ç¥ÁØ_°­´ç (2)_삼사 4_방통환경공사견적제출 2" xfId="5411" xr:uid="{00000000-0005-0000-0000-0000F4160000}"/>
    <cellStyle name="C￥AØ_°­´c (2)_삼사 4_방통환경공사견적제출 3" xfId="5412" xr:uid="{00000000-0005-0000-0000-0000F5160000}"/>
    <cellStyle name="Ç¥ÁØ_°­´ç (2)_삼사 4_방통환경공사견적제출 3" xfId="5413" xr:uid="{00000000-0005-0000-0000-0000F6160000}"/>
    <cellStyle name="C￥AØ_°­´c (2)_삼사 4_방통환경내역산출" xfId="5414" xr:uid="{00000000-0005-0000-0000-0000F7160000}"/>
    <cellStyle name="Ç¥ÁØ_°­´ç (2)_삼사 4_방통환경내역산출" xfId="5415" xr:uid="{00000000-0005-0000-0000-0000F8160000}"/>
    <cellStyle name="C￥AØ_°­´c (2)_삼사 4_방통환경내역산출 2" xfId="5416" xr:uid="{00000000-0005-0000-0000-0000F9160000}"/>
    <cellStyle name="Ç¥ÁØ_°­´ç (2)_삼사 4_방통환경내역산출 2" xfId="5417" xr:uid="{00000000-0005-0000-0000-0000FA160000}"/>
    <cellStyle name="C￥AØ_°­´c (2)_삼사 4_방통환경내역산출 3" xfId="5418" xr:uid="{00000000-0005-0000-0000-0000FB160000}"/>
    <cellStyle name="Ç¥ÁØ_°­´ç (2)_삼사 4_방통환경내역산출 3" xfId="5419" xr:uid="{00000000-0005-0000-0000-0000FC160000}"/>
    <cellStyle name="C￥AØ_°­´c (2)_삼사 40" xfId="5420" xr:uid="{00000000-0005-0000-0000-0000FD160000}"/>
    <cellStyle name="Ç¥ÁØ_°­´ç (2)_삼사 40" xfId="5421" xr:uid="{00000000-0005-0000-0000-0000FE160000}"/>
    <cellStyle name="C￥AØ_°­´c (2)_삼사 40 2" xfId="5422" xr:uid="{00000000-0005-0000-0000-0000FF160000}"/>
    <cellStyle name="Ç¥ÁØ_°­´ç (2)_삼사 40 2" xfId="5423" xr:uid="{00000000-0005-0000-0000-000000170000}"/>
    <cellStyle name="C￥AØ_°­´c (2)_삼사 40 3" xfId="5424" xr:uid="{00000000-0005-0000-0000-000001170000}"/>
    <cellStyle name="Ç¥ÁØ_°­´ç (2)_삼사 40 3" xfId="5425" xr:uid="{00000000-0005-0000-0000-000002170000}"/>
    <cellStyle name="C￥AØ_°­´c (2)_삼사 41" xfId="5426" xr:uid="{00000000-0005-0000-0000-000003170000}"/>
    <cellStyle name="Ç¥ÁØ_°­´ç (2)_삼사 41" xfId="5427" xr:uid="{00000000-0005-0000-0000-000004170000}"/>
    <cellStyle name="C￥AØ_°­´c (2)_삼사 41 2" xfId="5428" xr:uid="{00000000-0005-0000-0000-000005170000}"/>
    <cellStyle name="Ç¥ÁØ_°­´ç (2)_삼사 41 2" xfId="5429" xr:uid="{00000000-0005-0000-0000-000006170000}"/>
    <cellStyle name="C￥AØ_°­´c (2)_삼사 41 3" xfId="5430" xr:uid="{00000000-0005-0000-0000-000007170000}"/>
    <cellStyle name="Ç¥ÁØ_°­´ç (2)_삼사 41 3" xfId="5431" xr:uid="{00000000-0005-0000-0000-000008170000}"/>
    <cellStyle name="C￥AØ_°­´c (2)_삼사 42" xfId="5432" xr:uid="{00000000-0005-0000-0000-000009170000}"/>
    <cellStyle name="Ç¥ÁØ_°­´ç (2)_삼사 42" xfId="5433" xr:uid="{00000000-0005-0000-0000-00000A170000}"/>
    <cellStyle name="C￥AØ_°­´c (2)_삼사 42 2" xfId="5434" xr:uid="{00000000-0005-0000-0000-00000B170000}"/>
    <cellStyle name="Ç¥ÁØ_°­´ç (2)_삼사 42 2" xfId="5435" xr:uid="{00000000-0005-0000-0000-00000C170000}"/>
    <cellStyle name="C￥AØ_°­´c (2)_삼사 42 3" xfId="5436" xr:uid="{00000000-0005-0000-0000-00000D170000}"/>
    <cellStyle name="Ç¥ÁØ_°­´ç (2)_삼사 42 3" xfId="5437" xr:uid="{00000000-0005-0000-0000-00000E170000}"/>
    <cellStyle name="C￥AØ_°­´c (2)_삼사 43" xfId="5438" xr:uid="{00000000-0005-0000-0000-00000F170000}"/>
    <cellStyle name="Ç¥ÁØ_°­´ç (2)_삼사 43" xfId="5439" xr:uid="{00000000-0005-0000-0000-000010170000}"/>
    <cellStyle name="C￥AØ_°­´c (2)_삼사 43 2" xfId="5440" xr:uid="{00000000-0005-0000-0000-000011170000}"/>
    <cellStyle name="Ç¥ÁØ_°­´ç (2)_삼사 43 2" xfId="5441" xr:uid="{00000000-0005-0000-0000-000012170000}"/>
    <cellStyle name="C￥AØ_°­´c (2)_삼사 43 3" xfId="5442" xr:uid="{00000000-0005-0000-0000-000013170000}"/>
    <cellStyle name="Ç¥ÁØ_°­´ç (2)_삼사 43 3" xfId="5443" xr:uid="{00000000-0005-0000-0000-000014170000}"/>
    <cellStyle name="C￥AØ_°­´c (2)_삼사 44" xfId="5444" xr:uid="{00000000-0005-0000-0000-000015170000}"/>
    <cellStyle name="Ç¥ÁØ_°­´ç (2)_삼사 44" xfId="5445" xr:uid="{00000000-0005-0000-0000-000016170000}"/>
    <cellStyle name="C￥AØ_°­´c (2)_삼사 44 2" xfId="5446" xr:uid="{00000000-0005-0000-0000-000017170000}"/>
    <cellStyle name="Ç¥ÁØ_°­´ç (2)_삼사 44 2" xfId="5447" xr:uid="{00000000-0005-0000-0000-000018170000}"/>
    <cellStyle name="C￥AØ_°­´c (2)_삼사 44 3" xfId="5448" xr:uid="{00000000-0005-0000-0000-000019170000}"/>
    <cellStyle name="Ç¥ÁØ_°­´ç (2)_삼사 44 3" xfId="5449" xr:uid="{00000000-0005-0000-0000-00001A170000}"/>
    <cellStyle name="C￥AØ_°­´c (2)_삼사 45" xfId="5450" xr:uid="{00000000-0005-0000-0000-00001B170000}"/>
    <cellStyle name="Ç¥ÁØ_°­´ç (2)_삼사 45" xfId="5451" xr:uid="{00000000-0005-0000-0000-00001C170000}"/>
    <cellStyle name="C￥AØ_°­´c (2)_삼사 45 2" xfId="5452" xr:uid="{00000000-0005-0000-0000-00001D170000}"/>
    <cellStyle name="Ç¥ÁØ_°­´ç (2)_삼사 45 2" xfId="5453" xr:uid="{00000000-0005-0000-0000-00001E170000}"/>
    <cellStyle name="C￥AØ_°­´c (2)_삼사 45 3" xfId="5454" xr:uid="{00000000-0005-0000-0000-00001F170000}"/>
    <cellStyle name="Ç¥ÁØ_°­´ç (2)_삼사 45 3" xfId="5455" xr:uid="{00000000-0005-0000-0000-000020170000}"/>
    <cellStyle name="C￥AØ_°­´c (2)_삼사 46" xfId="5456" xr:uid="{00000000-0005-0000-0000-000021170000}"/>
    <cellStyle name="Ç¥ÁØ_°­´ç (2)_삼사 46" xfId="5457" xr:uid="{00000000-0005-0000-0000-000022170000}"/>
    <cellStyle name="C￥AØ_°­´c (2)_삼사 46 2" xfId="5458" xr:uid="{00000000-0005-0000-0000-000023170000}"/>
    <cellStyle name="Ç¥ÁØ_°­´ç (2)_삼사 46 2" xfId="5459" xr:uid="{00000000-0005-0000-0000-000024170000}"/>
    <cellStyle name="C￥AØ_°­´c (2)_삼사 46 3" xfId="5460" xr:uid="{00000000-0005-0000-0000-000025170000}"/>
    <cellStyle name="Ç¥ÁØ_°­´ç (2)_삼사 46 3" xfId="5461" xr:uid="{00000000-0005-0000-0000-000026170000}"/>
    <cellStyle name="C￥AØ_°­´c (2)_삼사 47" xfId="5462" xr:uid="{00000000-0005-0000-0000-000027170000}"/>
    <cellStyle name="Ç¥ÁØ_°­´ç (2)_삼사 47" xfId="5463" xr:uid="{00000000-0005-0000-0000-000028170000}"/>
    <cellStyle name="C￥AØ_°­´c (2)_삼사 5" xfId="5464" xr:uid="{00000000-0005-0000-0000-000029170000}"/>
    <cellStyle name="Ç¥ÁØ_°­´ç (2)_삼사 5" xfId="5465" xr:uid="{00000000-0005-0000-0000-00002A170000}"/>
    <cellStyle name="C￥AØ_°­´c (2)_삼사 5 2" xfId="5466" xr:uid="{00000000-0005-0000-0000-00002B170000}"/>
    <cellStyle name="Ç¥ÁØ_°­´ç (2)_삼사 5 2" xfId="5467" xr:uid="{00000000-0005-0000-0000-00002C170000}"/>
    <cellStyle name="C￥AØ_°­´c (2)_삼사 5 3" xfId="5468" xr:uid="{00000000-0005-0000-0000-00002D170000}"/>
    <cellStyle name="Ç¥ÁØ_°­´ç (2)_삼사 5 3" xfId="5469" xr:uid="{00000000-0005-0000-0000-00002E170000}"/>
    <cellStyle name="C￥AØ_°­´c (2)_삼사 5_방통환경공사견적제출" xfId="5470" xr:uid="{00000000-0005-0000-0000-00002F170000}"/>
    <cellStyle name="Ç¥ÁØ_°­´ç (2)_삼사 5_방통환경공사견적제출" xfId="5471" xr:uid="{00000000-0005-0000-0000-000030170000}"/>
    <cellStyle name="C￥AØ_°­´c (2)_삼사 5_방통환경공사견적제출 2" xfId="5472" xr:uid="{00000000-0005-0000-0000-000031170000}"/>
    <cellStyle name="Ç¥ÁØ_°­´ç (2)_삼사 5_방통환경공사견적제출 2" xfId="5473" xr:uid="{00000000-0005-0000-0000-000032170000}"/>
    <cellStyle name="C￥AØ_°­´c (2)_삼사 5_방통환경공사견적제출 3" xfId="5474" xr:uid="{00000000-0005-0000-0000-000033170000}"/>
    <cellStyle name="Ç¥ÁØ_°­´ç (2)_삼사 5_방통환경공사견적제출 3" xfId="5475" xr:uid="{00000000-0005-0000-0000-000034170000}"/>
    <cellStyle name="C￥AØ_°­´c (2)_삼사 5_방통환경내역산출" xfId="5476" xr:uid="{00000000-0005-0000-0000-000035170000}"/>
    <cellStyle name="Ç¥ÁØ_°­´ç (2)_삼사 5_방통환경내역산출" xfId="5477" xr:uid="{00000000-0005-0000-0000-000036170000}"/>
    <cellStyle name="C￥AØ_°­´c (2)_삼사 5_방통환경내역산출 2" xfId="5478" xr:uid="{00000000-0005-0000-0000-000037170000}"/>
    <cellStyle name="Ç¥ÁØ_°­´ç (2)_삼사 5_방통환경내역산출 2" xfId="5479" xr:uid="{00000000-0005-0000-0000-000038170000}"/>
    <cellStyle name="C￥AØ_°­´c (2)_삼사 5_방통환경내역산출 3" xfId="5480" xr:uid="{00000000-0005-0000-0000-000039170000}"/>
    <cellStyle name="Ç¥ÁØ_°­´ç (2)_삼사 5_방통환경내역산출 3" xfId="5481" xr:uid="{00000000-0005-0000-0000-00003A170000}"/>
    <cellStyle name="C￥AØ_°­´c (2)_삼사 6" xfId="5482" xr:uid="{00000000-0005-0000-0000-00003B170000}"/>
    <cellStyle name="Ç¥ÁØ_°­´ç (2)_삼사 6" xfId="5483" xr:uid="{00000000-0005-0000-0000-00003C170000}"/>
    <cellStyle name="C￥AØ_°­´c (2)_삼사 6 2" xfId="5484" xr:uid="{00000000-0005-0000-0000-00003D170000}"/>
    <cellStyle name="Ç¥ÁØ_°­´ç (2)_삼사 6 2" xfId="5485" xr:uid="{00000000-0005-0000-0000-00003E170000}"/>
    <cellStyle name="C￥AØ_°­´c (2)_삼사 6 3" xfId="5486" xr:uid="{00000000-0005-0000-0000-00003F170000}"/>
    <cellStyle name="Ç¥ÁØ_°­´ç (2)_삼사 6 3" xfId="5487" xr:uid="{00000000-0005-0000-0000-000040170000}"/>
    <cellStyle name="C￥AØ_°­´c (2)_삼사 6_방통환경공사견적제출" xfId="5488" xr:uid="{00000000-0005-0000-0000-000041170000}"/>
    <cellStyle name="Ç¥ÁØ_°­´ç (2)_삼사 6_방통환경공사견적제출" xfId="5489" xr:uid="{00000000-0005-0000-0000-000042170000}"/>
    <cellStyle name="C￥AØ_°­´c (2)_삼사 6_방통환경공사견적제출 2" xfId="5490" xr:uid="{00000000-0005-0000-0000-000043170000}"/>
    <cellStyle name="Ç¥ÁØ_°­´ç (2)_삼사 6_방통환경공사견적제출 2" xfId="5491" xr:uid="{00000000-0005-0000-0000-000044170000}"/>
    <cellStyle name="C￥AØ_°­´c (2)_삼사 6_방통환경공사견적제출 3" xfId="5492" xr:uid="{00000000-0005-0000-0000-000045170000}"/>
    <cellStyle name="Ç¥ÁØ_°­´ç (2)_삼사 6_방통환경공사견적제출 3" xfId="5493" xr:uid="{00000000-0005-0000-0000-000046170000}"/>
    <cellStyle name="C￥AØ_°­´c (2)_삼사 6_방통환경내역산출" xfId="5494" xr:uid="{00000000-0005-0000-0000-000047170000}"/>
    <cellStyle name="Ç¥ÁØ_°­´ç (2)_삼사 6_방통환경내역산출" xfId="5495" xr:uid="{00000000-0005-0000-0000-000048170000}"/>
    <cellStyle name="C￥AØ_°­´c (2)_삼사 6_방통환경내역산출 2" xfId="5496" xr:uid="{00000000-0005-0000-0000-000049170000}"/>
    <cellStyle name="Ç¥ÁØ_°­´ç (2)_삼사 6_방통환경내역산출 2" xfId="5497" xr:uid="{00000000-0005-0000-0000-00004A170000}"/>
    <cellStyle name="C￥AØ_°­´c (2)_삼사 6_방통환경내역산출 3" xfId="5498" xr:uid="{00000000-0005-0000-0000-00004B170000}"/>
    <cellStyle name="Ç¥ÁØ_°­´ç (2)_삼사 6_방통환경내역산출 3" xfId="5499" xr:uid="{00000000-0005-0000-0000-00004C170000}"/>
    <cellStyle name="C￥AØ_°­´c (2)_삼사 7" xfId="5500" xr:uid="{00000000-0005-0000-0000-00004D170000}"/>
    <cellStyle name="Ç¥ÁØ_°­´ç (2)_삼사 7" xfId="5501" xr:uid="{00000000-0005-0000-0000-00004E170000}"/>
    <cellStyle name="C￥AØ_°­´c (2)_삼사 7 2" xfId="5502" xr:uid="{00000000-0005-0000-0000-00004F170000}"/>
    <cellStyle name="Ç¥ÁØ_°­´ç (2)_삼사 7 2" xfId="5503" xr:uid="{00000000-0005-0000-0000-000050170000}"/>
    <cellStyle name="C￥AØ_°­´c (2)_삼사 7 3" xfId="5504" xr:uid="{00000000-0005-0000-0000-000051170000}"/>
    <cellStyle name="Ç¥ÁØ_°­´ç (2)_삼사 7 3" xfId="5505" xr:uid="{00000000-0005-0000-0000-000052170000}"/>
    <cellStyle name="C￥AØ_°­´c (2)_삼사 7_방통환경공사견적제출" xfId="5506" xr:uid="{00000000-0005-0000-0000-000053170000}"/>
    <cellStyle name="Ç¥ÁØ_°­´ç (2)_삼사 7_방통환경공사견적제출" xfId="5507" xr:uid="{00000000-0005-0000-0000-000054170000}"/>
    <cellStyle name="C￥AØ_°­´c (2)_삼사 7_방통환경공사견적제출 2" xfId="5508" xr:uid="{00000000-0005-0000-0000-000055170000}"/>
    <cellStyle name="Ç¥ÁØ_°­´ç (2)_삼사 7_방통환경공사견적제출 2" xfId="5509" xr:uid="{00000000-0005-0000-0000-000056170000}"/>
    <cellStyle name="C￥AØ_°­´c (2)_삼사 7_방통환경공사견적제출 3" xfId="5510" xr:uid="{00000000-0005-0000-0000-000057170000}"/>
    <cellStyle name="Ç¥ÁØ_°­´ç (2)_삼사 7_방통환경공사견적제출 3" xfId="5511" xr:uid="{00000000-0005-0000-0000-000058170000}"/>
    <cellStyle name="C￥AØ_°­´c (2)_삼사 7_방통환경내역산출" xfId="5512" xr:uid="{00000000-0005-0000-0000-000059170000}"/>
    <cellStyle name="Ç¥ÁØ_°­´ç (2)_삼사 7_방통환경내역산출" xfId="5513" xr:uid="{00000000-0005-0000-0000-00005A170000}"/>
    <cellStyle name="C￥AØ_°­´c (2)_삼사 7_방통환경내역산출 2" xfId="5514" xr:uid="{00000000-0005-0000-0000-00005B170000}"/>
    <cellStyle name="Ç¥ÁØ_°­´ç (2)_삼사 7_방통환경내역산출 2" xfId="5515" xr:uid="{00000000-0005-0000-0000-00005C170000}"/>
    <cellStyle name="C￥AØ_°­´c (2)_삼사 7_방통환경내역산출 3" xfId="5516" xr:uid="{00000000-0005-0000-0000-00005D170000}"/>
    <cellStyle name="Ç¥ÁØ_°­´ç (2)_삼사 7_방통환경내역산출 3" xfId="5517" xr:uid="{00000000-0005-0000-0000-00005E170000}"/>
    <cellStyle name="C￥AØ_°­´c (2)_삼사 8" xfId="5518" xr:uid="{00000000-0005-0000-0000-00005F170000}"/>
    <cellStyle name="Ç¥ÁØ_°­´ç (2)_삼사 8" xfId="5519" xr:uid="{00000000-0005-0000-0000-000060170000}"/>
    <cellStyle name="C￥AØ_°­´c (2)_삼사 8 2" xfId="5520" xr:uid="{00000000-0005-0000-0000-000061170000}"/>
    <cellStyle name="Ç¥ÁØ_°­´ç (2)_삼사 8 2" xfId="5521" xr:uid="{00000000-0005-0000-0000-000062170000}"/>
    <cellStyle name="C￥AØ_°­´c (2)_삼사 8 3" xfId="5522" xr:uid="{00000000-0005-0000-0000-000063170000}"/>
    <cellStyle name="Ç¥ÁØ_°­´ç (2)_삼사 8 3" xfId="5523" xr:uid="{00000000-0005-0000-0000-000064170000}"/>
    <cellStyle name="C￥AØ_°­´c (2)_삼사 8_방통환경공사견적제출" xfId="5524" xr:uid="{00000000-0005-0000-0000-000065170000}"/>
    <cellStyle name="Ç¥ÁØ_°­´ç (2)_삼사 8_방통환경공사견적제출" xfId="5525" xr:uid="{00000000-0005-0000-0000-000066170000}"/>
    <cellStyle name="C￥AØ_°­´c (2)_삼사 8_방통환경공사견적제출 2" xfId="5526" xr:uid="{00000000-0005-0000-0000-000067170000}"/>
    <cellStyle name="Ç¥ÁØ_°­´ç (2)_삼사 8_방통환경공사견적제출 2" xfId="5527" xr:uid="{00000000-0005-0000-0000-000068170000}"/>
    <cellStyle name="C￥AØ_°­´c (2)_삼사 8_방통환경공사견적제출 3" xfId="5528" xr:uid="{00000000-0005-0000-0000-000069170000}"/>
    <cellStyle name="Ç¥ÁØ_°­´ç (2)_삼사 8_방통환경공사견적제출 3" xfId="5529" xr:uid="{00000000-0005-0000-0000-00006A170000}"/>
    <cellStyle name="C￥AØ_°­´c (2)_삼사 8_방통환경내역산출" xfId="5530" xr:uid="{00000000-0005-0000-0000-00006B170000}"/>
    <cellStyle name="Ç¥ÁØ_°­´ç (2)_삼사 8_방통환경내역산출" xfId="5531" xr:uid="{00000000-0005-0000-0000-00006C170000}"/>
    <cellStyle name="C￥AØ_°­´c (2)_삼사 8_방통환경내역산출 2" xfId="5532" xr:uid="{00000000-0005-0000-0000-00006D170000}"/>
    <cellStyle name="Ç¥ÁØ_°­´ç (2)_삼사 8_방통환경내역산출 2" xfId="5533" xr:uid="{00000000-0005-0000-0000-00006E170000}"/>
    <cellStyle name="C￥AØ_°­´c (2)_삼사 8_방통환경내역산출 3" xfId="5534" xr:uid="{00000000-0005-0000-0000-00006F170000}"/>
    <cellStyle name="Ç¥ÁØ_°­´ç (2)_삼사 8_방통환경내역산출 3" xfId="5535" xr:uid="{00000000-0005-0000-0000-000070170000}"/>
    <cellStyle name="C￥AØ_°­´c (2)_삼사 9" xfId="5536" xr:uid="{00000000-0005-0000-0000-000071170000}"/>
    <cellStyle name="Ç¥ÁØ_°­´ç (2)_삼사 9" xfId="5537" xr:uid="{00000000-0005-0000-0000-000072170000}"/>
    <cellStyle name="C￥AØ_°­´c (2)_삼사 9 2" xfId="5538" xr:uid="{00000000-0005-0000-0000-000073170000}"/>
    <cellStyle name="Ç¥ÁØ_°­´ç (2)_삼사 9 2" xfId="5539" xr:uid="{00000000-0005-0000-0000-000074170000}"/>
    <cellStyle name="C￥AØ_°­´c (2)_삼사 9 3" xfId="5540" xr:uid="{00000000-0005-0000-0000-000075170000}"/>
    <cellStyle name="Ç¥ÁØ_°­´ç (2)_삼사 9 3" xfId="5541" xr:uid="{00000000-0005-0000-0000-000076170000}"/>
    <cellStyle name="C￥AØ_°­´c (2)_삼사_방통환경공사견적제출" xfId="5542" xr:uid="{00000000-0005-0000-0000-000077170000}"/>
    <cellStyle name="Ç¥ÁØ_°­´ç (2)_삼사_방통환경공사견적제출" xfId="5543" xr:uid="{00000000-0005-0000-0000-000078170000}"/>
    <cellStyle name="C￥AØ_°­´c (2)_삼사_방통환경공사견적제출 2" xfId="5544" xr:uid="{00000000-0005-0000-0000-000079170000}"/>
    <cellStyle name="Ç¥ÁØ_°­´ç (2)_삼사_방통환경공사견적제출 2" xfId="5545" xr:uid="{00000000-0005-0000-0000-00007A170000}"/>
    <cellStyle name="C￥AØ_°­´c (2)_삼사_방통환경공사견적제출 3" xfId="5546" xr:uid="{00000000-0005-0000-0000-00007B170000}"/>
    <cellStyle name="Ç¥ÁØ_°­´ç (2)_삼사_방통환경공사견적제출 3" xfId="5547" xr:uid="{00000000-0005-0000-0000-00007C170000}"/>
    <cellStyle name="C￥AØ_°­´c (2)_삼사_방통환경내역산출" xfId="5548" xr:uid="{00000000-0005-0000-0000-00007D170000}"/>
    <cellStyle name="Ç¥ÁØ_°­´ç (2)_삼사_방통환경내역산출" xfId="5549" xr:uid="{00000000-0005-0000-0000-00007E170000}"/>
    <cellStyle name="C￥AØ_°­´c (2)_삼사_방통환경내역산출 2" xfId="5550" xr:uid="{00000000-0005-0000-0000-00007F170000}"/>
    <cellStyle name="Ç¥ÁØ_°­´ç (2)_삼사_방통환경내역산출 2" xfId="5551" xr:uid="{00000000-0005-0000-0000-000080170000}"/>
    <cellStyle name="C￥AØ_°­´c (2)_삼사_방통환경내역산출 3" xfId="5552" xr:uid="{00000000-0005-0000-0000-000081170000}"/>
    <cellStyle name="Ç¥ÁØ_°­´ç (2)_삼사_방통환경내역산출 3" xfId="5553" xr:uid="{00000000-0005-0000-0000-000082170000}"/>
    <cellStyle name="C￥AØ_°­´c (2)_상이군경회견적서" xfId="5554" xr:uid="{00000000-0005-0000-0000-000083170000}"/>
    <cellStyle name="Ç¥ÁØ_°­´ç (2)_상이군경회견적서" xfId="5555" xr:uid="{00000000-0005-0000-0000-000084170000}"/>
    <cellStyle name="C￥AØ_°­´c (2)_상이군경회견적서 2" xfId="5556" xr:uid="{00000000-0005-0000-0000-000085170000}"/>
    <cellStyle name="Ç¥ÁØ_°­´ç (2)_상이군경회견적서 2" xfId="5557" xr:uid="{00000000-0005-0000-0000-000086170000}"/>
    <cellStyle name="C￥AØ_°­´c (2)_상이군경회견적서 2 2" xfId="5558" xr:uid="{00000000-0005-0000-0000-000087170000}"/>
    <cellStyle name="Ç¥ÁØ_°­´ç (2)_상이군경회견적서 3" xfId="5559" xr:uid="{00000000-0005-0000-0000-000088170000}"/>
    <cellStyle name="C￥AØ_°­´c (2)_상이군경회견적서 4" xfId="5560" xr:uid="{00000000-0005-0000-0000-000089170000}"/>
    <cellStyle name="Ç¥ÁØ_°­´ç (2)_성남문화회관" xfId="5561" xr:uid="{00000000-0005-0000-0000-00008A170000}"/>
    <cellStyle name="C￥AØ_°³AI OXIDE " xfId="16434" xr:uid="{00000000-0005-0000-0000-00008B170000}"/>
    <cellStyle name="Ç¥ÁØ_°ø¹®" xfId="5562" xr:uid="{00000000-0005-0000-0000-00008C170000}"/>
    <cellStyle name="C￥AØ_0N-HANDLING  3" xfId="5563" xr:uid="{00000000-0005-0000-0000-00008D170000}"/>
    <cellStyle name="Ç¥ÁØ_0N-HANDLING  3" xfId="5564" xr:uid="{00000000-0005-0000-0000-00008E170000}"/>
    <cellStyle name="C￥AØ_¼oAI¼º " xfId="5565" xr:uid="{00000000-0005-0000-0000-00008F170000}"/>
    <cellStyle name="Ç¥ÁØ_¼öÀÍ¼º " xfId="5566" xr:uid="{00000000-0005-0000-0000-000090170000}"/>
    <cellStyle name="C￥AØ_¼oAI¼º  2" xfId="5567" xr:uid="{00000000-0005-0000-0000-000091170000}"/>
    <cellStyle name="Ç¥ÁØ_¼öÀÍ¼º  2" xfId="5568" xr:uid="{00000000-0005-0000-0000-000092170000}"/>
    <cellStyle name="C￥AØ_¼oAI¼º  3" xfId="5569" xr:uid="{00000000-0005-0000-0000-000093170000}"/>
    <cellStyle name="Ç¥ÁØ_¼öÀÍ¼º  3" xfId="5570" xr:uid="{00000000-0005-0000-0000-000094170000}"/>
    <cellStyle name="C￥AØ_¾c½A " xfId="5571" xr:uid="{00000000-0005-0000-0000-000095170000}"/>
    <cellStyle name="Ç¥ÁØ_5-1±¤°í " xfId="5572" xr:uid="{00000000-0005-0000-0000-000096170000}"/>
    <cellStyle name="C￥AØ_95,96 ºn±³ " xfId="16435" xr:uid="{00000000-0005-0000-0000-000097170000}"/>
    <cellStyle name="Ç¥ÁØ_95,96 ºñ±³ " xfId="16436" xr:uid="{00000000-0005-0000-0000-000098170000}"/>
    <cellStyle name="C￥AØ_95³aAN°y¼o·R " xfId="5573" xr:uid="{00000000-0005-0000-0000-000099170000}"/>
    <cellStyle name="Ç¥ÁØ_Á¾ÇÕ½Å¼³ " xfId="5574" xr:uid="{00000000-0005-0000-0000-00009A170000}"/>
    <cellStyle name="C￥AØ_A¾CO½A¼³  2" xfId="5575" xr:uid="{00000000-0005-0000-0000-00009B170000}"/>
    <cellStyle name="Ç¥ÁØ_Á¾ÇÕ½Å¼³  2" xfId="5576" xr:uid="{00000000-0005-0000-0000-00009C170000}"/>
    <cellStyle name="C￥AØ_A¾CO½A¼³  2 2" xfId="5577" xr:uid="{00000000-0005-0000-0000-00009D170000}"/>
    <cellStyle name="Ç¥ÁØ_Á¾ÇÕ½Å¼³  3" xfId="5578" xr:uid="{00000000-0005-0000-0000-00009E170000}"/>
    <cellStyle name="C￥AØ_A¾COA¶°AºÐ  2" xfId="5579" xr:uid="{00000000-0005-0000-0000-00009F170000}"/>
    <cellStyle name="Ç¥ÁØ_Á¾ÇÕÃ¶°ÅºÐ  2" xfId="5580" xr:uid="{00000000-0005-0000-0000-0000A0170000}"/>
    <cellStyle name="C￥AØ_A¾COA¶°AºÐ  2 2" xfId="5581" xr:uid="{00000000-0005-0000-0000-0000A1170000}"/>
    <cellStyle name="Ç¥ÁØ_Á¾ÇÕÃ¶°ÅºÐ  3" xfId="5582" xr:uid="{00000000-0005-0000-0000-0000A2170000}"/>
    <cellStyle name="C￥AØ_AN°y(1.25) " xfId="5583" xr:uid="{00000000-0005-0000-0000-0000A3170000}"/>
    <cellStyle name="Ç¥ÁØ_Àü·Â¼ÕÀÍºÐ¼®" xfId="16437" xr:uid="{00000000-0005-0000-0000-0000A4170000}"/>
    <cellStyle name="C￥AØ_C￥Ao " xfId="16438" xr:uid="{00000000-0005-0000-0000-0000A5170000}"/>
    <cellStyle name="Ç¥ÁØ_CD-ROM " xfId="16439" xr:uid="{00000000-0005-0000-0000-0000A6170000}"/>
    <cellStyle name="C￥AØ_CoAo¹yAI °A¾×¿ⓒ½A " xfId="5584" xr:uid="{00000000-0005-0000-0000-0000A7170000}"/>
    <cellStyle name="Ç¥ÁØ_ÇöÈ²_¹®Á¦Á¡ " xfId="5585" xr:uid="{00000000-0005-0000-0000-0000A8170000}"/>
    <cellStyle name="C￥AØ_E¸AaAO½A " xfId="5586" xr:uid="{00000000-0005-0000-0000-0000A9170000}"/>
    <cellStyle name="Ç¥ÁØ_ÈÞÀÏ±Ù·Î" xfId="5587" xr:uid="{00000000-0005-0000-0000-0000AA170000}"/>
    <cellStyle name="C￥AØ_FIRE " xfId="5588" xr:uid="{00000000-0005-0000-0000-0000AB170000}"/>
    <cellStyle name="Ç¥ÁØ_HATCO HQ" xfId="5589" xr:uid="{00000000-0005-0000-0000-0000AC170000}"/>
    <cellStyle name="C￥AØ_LIGHTNING " xfId="5590" xr:uid="{00000000-0005-0000-0000-0000AD170000}"/>
    <cellStyle name="Ç¥ÁØ_º¯°æ(ÃÖÁ¾)" xfId="5591" xr:uid="{00000000-0005-0000-0000-0000AE170000}"/>
    <cellStyle name="C￥AØ_PERSONAL" xfId="5592" xr:uid="{00000000-0005-0000-0000-0000AF170000}"/>
    <cellStyle name="Ç¥ÁØ_Sheet1_0N-HANDLING " xfId="5593" xr:uid="{00000000-0005-0000-0000-0000B0170000}"/>
    <cellStyle name="C￥AØ_Sheet1_Ay°eC￥(2¿u) " xfId="5594" xr:uid="{00000000-0005-0000-0000-0000B1170000}"/>
    <cellStyle name="Ç¥ÁØ_Sheet1_Áý°èÇ¥(2¿ù) " xfId="5595" xr:uid="{00000000-0005-0000-0000-0000B2170000}"/>
    <cellStyle name="C￥AØ_Sheet1_Ay°eC￥(2¿u)  2" xfId="5596" xr:uid="{00000000-0005-0000-0000-0000B3170000}"/>
    <cellStyle name="Ç¥ÁØ_Sheet1_Áý°èÇ¥(2¿ù)  2" xfId="5597" xr:uid="{00000000-0005-0000-0000-0000B4170000}"/>
    <cellStyle name="C￥AØ_Sheet1_Ay°eC￥(2¿u)  3" xfId="5598" xr:uid="{00000000-0005-0000-0000-0000B5170000}"/>
    <cellStyle name="Ç¥ÁØ_Sheet1_Áý°èÇ¥(2¿ù)  3" xfId="5599" xr:uid="{00000000-0005-0000-0000-0000B6170000}"/>
    <cellStyle name="C￥AØ_SOON1 " xfId="5600" xr:uid="{00000000-0005-0000-0000-0000B7170000}"/>
    <cellStyle name="Ç¥ÁØ_TEL_FA" xfId="5601" xr:uid="{00000000-0005-0000-0000-0000B8170000}"/>
    <cellStyle name="Calc Currency (0)" xfId="5602" xr:uid="{00000000-0005-0000-0000-0000B9170000}"/>
    <cellStyle name="Calc Currency (0) 10" xfId="5603" xr:uid="{00000000-0005-0000-0000-0000BA170000}"/>
    <cellStyle name="Calc Currency (0) 10 2" xfId="5604" xr:uid="{00000000-0005-0000-0000-0000BB170000}"/>
    <cellStyle name="Calc Currency (0) 11" xfId="5605" xr:uid="{00000000-0005-0000-0000-0000BC170000}"/>
    <cellStyle name="Calc Currency (0) 11 2" xfId="5606" xr:uid="{00000000-0005-0000-0000-0000BD170000}"/>
    <cellStyle name="Calc Currency (0) 12" xfId="5607" xr:uid="{00000000-0005-0000-0000-0000BE170000}"/>
    <cellStyle name="Calc Currency (0) 12 2" xfId="5608" xr:uid="{00000000-0005-0000-0000-0000BF170000}"/>
    <cellStyle name="Calc Currency (0) 13" xfId="5609" xr:uid="{00000000-0005-0000-0000-0000C0170000}"/>
    <cellStyle name="Calc Currency (0) 13 2" xfId="5610" xr:uid="{00000000-0005-0000-0000-0000C1170000}"/>
    <cellStyle name="Calc Currency (0) 14" xfId="5611" xr:uid="{00000000-0005-0000-0000-0000C2170000}"/>
    <cellStyle name="Calc Currency (0) 14 2" xfId="5612" xr:uid="{00000000-0005-0000-0000-0000C3170000}"/>
    <cellStyle name="Calc Currency (0) 15" xfId="5613" xr:uid="{00000000-0005-0000-0000-0000C4170000}"/>
    <cellStyle name="Calc Currency (0) 15 2" xfId="5614" xr:uid="{00000000-0005-0000-0000-0000C5170000}"/>
    <cellStyle name="Calc Currency (0) 16" xfId="5615" xr:uid="{00000000-0005-0000-0000-0000C6170000}"/>
    <cellStyle name="Calc Currency (0) 16 2" xfId="5616" xr:uid="{00000000-0005-0000-0000-0000C7170000}"/>
    <cellStyle name="Calc Currency (0) 17" xfId="5617" xr:uid="{00000000-0005-0000-0000-0000C8170000}"/>
    <cellStyle name="Calc Currency (0) 17 2" xfId="5618" xr:uid="{00000000-0005-0000-0000-0000C9170000}"/>
    <cellStyle name="Calc Currency (0) 18" xfId="5619" xr:uid="{00000000-0005-0000-0000-0000CA170000}"/>
    <cellStyle name="Calc Currency (0) 18 2" xfId="5620" xr:uid="{00000000-0005-0000-0000-0000CB170000}"/>
    <cellStyle name="Calc Currency (0) 19" xfId="5621" xr:uid="{00000000-0005-0000-0000-0000CC170000}"/>
    <cellStyle name="Calc Currency (0) 19 2" xfId="5622" xr:uid="{00000000-0005-0000-0000-0000CD170000}"/>
    <cellStyle name="Calc Currency (0) 2" xfId="5623" xr:uid="{00000000-0005-0000-0000-0000CE170000}"/>
    <cellStyle name="Calc Currency (0) 2 10" xfId="5624" xr:uid="{00000000-0005-0000-0000-0000CF170000}"/>
    <cellStyle name="Calc Currency (0) 2 10 2" xfId="5625" xr:uid="{00000000-0005-0000-0000-0000D0170000}"/>
    <cellStyle name="Calc Currency (0) 2 11" xfId="5626" xr:uid="{00000000-0005-0000-0000-0000D1170000}"/>
    <cellStyle name="Calc Currency (0) 2 11 2" xfId="5627" xr:uid="{00000000-0005-0000-0000-0000D2170000}"/>
    <cellStyle name="Calc Currency (0) 2 12" xfId="5628" xr:uid="{00000000-0005-0000-0000-0000D3170000}"/>
    <cellStyle name="Calc Currency (0) 2 13" xfId="16441" xr:uid="{00000000-0005-0000-0000-0000D4170000}"/>
    <cellStyle name="Calc Currency (0) 2 2" xfId="5629" xr:uid="{00000000-0005-0000-0000-0000D5170000}"/>
    <cellStyle name="Calc Currency (0) 2 2 2" xfId="5630" xr:uid="{00000000-0005-0000-0000-0000D6170000}"/>
    <cellStyle name="Calc Currency (0) 2 3" xfId="5631" xr:uid="{00000000-0005-0000-0000-0000D7170000}"/>
    <cellStyle name="Calc Currency (0) 2 3 2" xfId="5632" xr:uid="{00000000-0005-0000-0000-0000D8170000}"/>
    <cellStyle name="Calc Currency (0) 2 4" xfId="5633" xr:uid="{00000000-0005-0000-0000-0000D9170000}"/>
    <cellStyle name="Calc Currency (0) 2 4 2" xfId="5634" xr:uid="{00000000-0005-0000-0000-0000DA170000}"/>
    <cellStyle name="Calc Currency (0) 2 5" xfId="5635" xr:uid="{00000000-0005-0000-0000-0000DB170000}"/>
    <cellStyle name="Calc Currency (0) 2 5 2" xfId="5636" xr:uid="{00000000-0005-0000-0000-0000DC170000}"/>
    <cellStyle name="Calc Currency (0) 2 6" xfId="5637" xr:uid="{00000000-0005-0000-0000-0000DD170000}"/>
    <cellStyle name="Calc Currency (0) 2 6 2" xfId="5638" xr:uid="{00000000-0005-0000-0000-0000DE170000}"/>
    <cellStyle name="Calc Currency (0) 2 7" xfId="5639" xr:uid="{00000000-0005-0000-0000-0000DF170000}"/>
    <cellStyle name="Calc Currency (0) 2 7 2" xfId="5640" xr:uid="{00000000-0005-0000-0000-0000E0170000}"/>
    <cellStyle name="Calc Currency (0) 2 8" xfId="5641" xr:uid="{00000000-0005-0000-0000-0000E1170000}"/>
    <cellStyle name="Calc Currency (0) 2 8 2" xfId="5642" xr:uid="{00000000-0005-0000-0000-0000E2170000}"/>
    <cellStyle name="Calc Currency (0) 2 9" xfId="5643" xr:uid="{00000000-0005-0000-0000-0000E3170000}"/>
    <cellStyle name="Calc Currency (0) 2 9 2" xfId="5644" xr:uid="{00000000-0005-0000-0000-0000E4170000}"/>
    <cellStyle name="Calc Currency (0) 20" xfId="5645" xr:uid="{00000000-0005-0000-0000-0000E5170000}"/>
    <cellStyle name="Calc Currency (0) 20 2" xfId="5646" xr:uid="{00000000-0005-0000-0000-0000E6170000}"/>
    <cellStyle name="Calc Currency (0) 21" xfId="5647" xr:uid="{00000000-0005-0000-0000-0000E7170000}"/>
    <cellStyle name="Calc Currency (0) 21 2" xfId="5648" xr:uid="{00000000-0005-0000-0000-0000E8170000}"/>
    <cellStyle name="Calc Currency (0) 22" xfId="5649" xr:uid="{00000000-0005-0000-0000-0000E9170000}"/>
    <cellStyle name="Calc Currency (0) 22 2" xfId="5650" xr:uid="{00000000-0005-0000-0000-0000EA170000}"/>
    <cellStyle name="Calc Currency (0) 23" xfId="5651" xr:uid="{00000000-0005-0000-0000-0000EB170000}"/>
    <cellStyle name="Calc Currency (0) 23 2" xfId="5652" xr:uid="{00000000-0005-0000-0000-0000EC170000}"/>
    <cellStyle name="Calc Currency (0) 24" xfId="5653" xr:uid="{00000000-0005-0000-0000-0000ED170000}"/>
    <cellStyle name="Calc Currency (0) 24 2" xfId="5654" xr:uid="{00000000-0005-0000-0000-0000EE170000}"/>
    <cellStyle name="Calc Currency (0) 25" xfId="5655" xr:uid="{00000000-0005-0000-0000-0000EF170000}"/>
    <cellStyle name="Calc Currency (0) 25 2" xfId="5656" xr:uid="{00000000-0005-0000-0000-0000F0170000}"/>
    <cellStyle name="Calc Currency (0) 26" xfId="5657" xr:uid="{00000000-0005-0000-0000-0000F1170000}"/>
    <cellStyle name="Calc Currency (0) 26 2" xfId="5658" xr:uid="{00000000-0005-0000-0000-0000F2170000}"/>
    <cellStyle name="Calc Currency (0) 27" xfId="5659" xr:uid="{00000000-0005-0000-0000-0000F3170000}"/>
    <cellStyle name="Calc Currency (0) 27 2" xfId="5660" xr:uid="{00000000-0005-0000-0000-0000F4170000}"/>
    <cellStyle name="Calc Currency (0) 28" xfId="5661" xr:uid="{00000000-0005-0000-0000-0000F5170000}"/>
    <cellStyle name="Calc Currency (0) 28 2" xfId="5662" xr:uid="{00000000-0005-0000-0000-0000F6170000}"/>
    <cellStyle name="Calc Currency (0) 29" xfId="5663" xr:uid="{00000000-0005-0000-0000-0000F7170000}"/>
    <cellStyle name="Calc Currency (0) 29 2" xfId="5664" xr:uid="{00000000-0005-0000-0000-0000F8170000}"/>
    <cellStyle name="Calc Currency (0) 3" xfId="5665" xr:uid="{00000000-0005-0000-0000-0000F9170000}"/>
    <cellStyle name="Calc Currency (0) 3 2" xfId="5666" xr:uid="{00000000-0005-0000-0000-0000FA170000}"/>
    <cellStyle name="Calc Currency (0) 3 3" xfId="16442" xr:uid="{00000000-0005-0000-0000-0000FB170000}"/>
    <cellStyle name="Calc Currency (0) 30" xfId="5667" xr:uid="{00000000-0005-0000-0000-0000FC170000}"/>
    <cellStyle name="Calc Currency (0) 30 2" xfId="5668" xr:uid="{00000000-0005-0000-0000-0000FD170000}"/>
    <cellStyle name="Calc Currency (0) 31" xfId="5669" xr:uid="{00000000-0005-0000-0000-0000FE170000}"/>
    <cellStyle name="Calc Currency (0) 31 2" xfId="5670" xr:uid="{00000000-0005-0000-0000-0000FF170000}"/>
    <cellStyle name="Calc Currency (0) 32" xfId="5671" xr:uid="{00000000-0005-0000-0000-000000180000}"/>
    <cellStyle name="Calc Currency (0) 32 2" xfId="5672" xr:uid="{00000000-0005-0000-0000-000001180000}"/>
    <cellStyle name="Calc Currency (0) 33" xfId="5673" xr:uid="{00000000-0005-0000-0000-000002180000}"/>
    <cellStyle name="Calc Currency (0) 33 2" xfId="5674" xr:uid="{00000000-0005-0000-0000-000003180000}"/>
    <cellStyle name="Calc Currency (0) 34" xfId="5675" xr:uid="{00000000-0005-0000-0000-000004180000}"/>
    <cellStyle name="Calc Currency (0) 34 2" xfId="5676" xr:uid="{00000000-0005-0000-0000-000005180000}"/>
    <cellStyle name="Calc Currency (0) 35" xfId="5677" xr:uid="{00000000-0005-0000-0000-000006180000}"/>
    <cellStyle name="Calc Currency (0) 35 2" xfId="5678" xr:uid="{00000000-0005-0000-0000-000007180000}"/>
    <cellStyle name="Calc Currency (0) 36" xfId="5679" xr:uid="{00000000-0005-0000-0000-000008180000}"/>
    <cellStyle name="Calc Currency (0) 36 2" xfId="5680" xr:uid="{00000000-0005-0000-0000-000009180000}"/>
    <cellStyle name="Calc Currency (0) 37" xfId="5681" xr:uid="{00000000-0005-0000-0000-00000A180000}"/>
    <cellStyle name="Calc Currency (0) 37 2" xfId="5682" xr:uid="{00000000-0005-0000-0000-00000B180000}"/>
    <cellStyle name="Calc Currency (0) 38" xfId="5683" xr:uid="{00000000-0005-0000-0000-00000C180000}"/>
    <cellStyle name="Calc Currency (0) 38 2" xfId="5684" xr:uid="{00000000-0005-0000-0000-00000D180000}"/>
    <cellStyle name="Calc Currency (0) 39" xfId="5685" xr:uid="{00000000-0005-0000-0000-00000E180000}"/>
    <cellStyle name="Calc Currency (0) 39 2" xfId="5686" xr:uid="{00000000-0005-0000-0000-00000F180000}"/>
    <cellStyle name="Calc Currency (0) 4" xfId="5687" xr:uid="{00000000-0005-0000-0000-000010180000}"/>
    <cellStyle name="Calc Currency (0) 4 2" xfId="5688" xr:uid="{00000000-0005-0000-0000-000011180000}"/>
    <cellStyle name="Calc Currency (0) 40" xfId="5689" xr:uid="{00000000-0005-0000-0000-000012180000}"/>
    <cellStyle name="Calc Currency (0) 40 2" xfId="5690" xr:uid="{00000000-0005-0000-0000-000013180000}"/>
    <cellStyle name="Calc Currency (0) 41" xfId="5691" xr:uid="{00000000-0005-0000-0000-000014180000}"/>
    <cellStyle name="Calc Currency (0) 41 2" xfId="5692" xr:uid="{00000000-0005-0000-0000-000015180000}"/>
    <cellStyle name="Calc Currency (0) 42" xfId="5693" xr:uid="{00000000-0005-0000-0000-000016180000}"/>
    <cellStyle name="Calc Currency (0) 42 2" xfId="5694" xr:uid="{00000000-0005-0000-0000-000017180000}"/>
    <cellStyle name="Calc Currency (0) 43" xfId="5695" xr:uid="{00000000-0005-0000-0000-000018180000}"/>
    <cellStyle name="Calc Currency (0) 43 2" xfId="5696" xr:uid="{00000000-0005-0000-0000-000019180000}"/>
    <cellStyle name="Calc Currency (0) 44" xfId="5697" xr:uid="{00000000-0005-0000-0000-00001A180000}"/>
    <cellStyle name="Calc Currency (0) 45" xfId="5698" xr:uid="{00000000-0005-0000-0000-00001B180000}"/>
    <cellStyle name="Calc Currency (0) 46" xfId="16440" xr:uid="{00000000-0005-0000-0000-00001C180000}"/>
    <cellStyle name="Calc Currency (0) 47" xfId="16963" xr:uid="{00000000-0005-0000-0000-00001D180000}"/>
    <cellStyle name="Calc Currency (0) 5" xfId="5699" xr:uid="{00000000-0005-0000-0000-00001E180000}"/>
    <cellStyle name="Calc Currency (0) 5 2" xfId="5700" xr:uid="{00000000-0005-0000-0000-00001F180000}"/>
    <cellStyle name="Calc Currency (0) 6" xfId="5701" xr:uid="{00000000-0005-0000-0000-000020180000}"/>
    <cellStyle name="Calc Currency (0) 6 2" xfId="5702" xr:uid="{00000000-0005-0000-0000-000021180000}"/>
    <cellStyle name="Calc Currency (0) 7" xfId="5703" xr:uid="{00000000-0005-0000-0000-000022180000}"/>
    <cellStyle name="Calc Currency (0) 7 2" xfId="5704" xr:uid="{00000000-0005-0000-0000-000023180000}"/>
    <cellStyle name="Calc Currency (0) 8" xfId="5705" xr:uid="{00000000-0005-0000-0000-000024180000}"/>
    <cellStyle name="Calc Currency (0) 8 2" xfId="5706" xr:uid="{00000000-0005-0000-0000-000025180000}"/>
    <cellStyle name="Calc Currency (0) 9" xfId="5707" xr:uid="{00000000-0005-0000-0000-000026180000}"/>
    <cellStyle name="Calc Currency (0) 9 2" xfId="5708" xr:uid="{00000000-0005-0000-0000-000027180000}"/>
    <cellStyle name="Calc Currency (0)_091118 방송통신대학 영상강의실 견적서e-mail" xfId="5709" xr:uid="{00000000-0005-0000-0000-000028180000}"/>
    <cellStyle name="Calc Currency (2)" xfId="5710" xr:uid="{00000000-0005-0000-0000-000029180000}"/>
    <cellStyle name="Calc Currency (2) 2" xfId="5711" xr:uid="{00000000-0005-0000-0000-00002A180000}"/>
    <cellStyle name="Calc Percent (0)" xfId="5712" xr:uid="{00000000-0005-0000-0000-00002B180000}"/>
    <cellStyle name="Calc Percent (0) 2" xfId="5713" xr:uid="{00000000-0005-0000-0000-00002C180000}"/>
    <cellStyle name="Calc Percent (1)" xfId="5714" xr:uid="{00000000-0005-0000-0000-00002D180000}"/>
    <cellStyle name="Calc Percent (1) 2" xfId="5715" xr:uid="{00000000-0005-0000-0000-00002E180000}"/>
    <cellStyle name="Calc Percent (2)" xfId="5716" xr:uid="{00000000-0005-0000-0000-00002F180000}"/>
    <cellStyle name="Calc Percent (2) 2" xfId="5717" xr:uid="{00000000-0005-0000-0000-000030180000}"/>
    <cellStyle name="Calc Units (0)" xfId="5718" xr:uid="{00000000-0005-0000-0000-000031180000}"/>
    <cellStyle name="Calc Units (0) 2" xfId="5719" xr:uid="{00000000-0005-0000-0000-000032180000}"/>
    <cellStyle name="Calc Units (1)" xfId="5720" xr:uid="{00000000-0005-0000-0000-000033180000}"/>
    <cellStyle name="Calc Units (1) 2" xfId="5721" xr:uid="{00000000-0005-0000-0000-000034180000}"/>
    <cellStyle name="Calc Units (2)" xfId="5722" xr:uid="{00000000-0005-0000-0000-000035180000}"/>
    <cellStyle name="Calc Units (2) 2" xfId="5723" xr:uid="{00000000-0005-0000-0000-000036180000}"/>
    <cellStyle name="Calculation" xfId="15982" xr:uid="{00000000-0005-0000-0000-000037180000}"/>
    <cellStyle name="Calculation 2" xfId="16909" xr:uid="{00000000-0005-0000-0000-000038180000}"/>
    <cellStyle name="Calculation 3" xfId="16983" xr:uid="{00000000-0005-0000-0000-000039180000}"/>
    <cellStyle name="category" xfId="5724" xr:uid="{00000000-0005-0000-0000-00003A180000}"/>
    <cellStyle name="category 2" xfId="5725" xr:uid="{00000000-0005-0000-0000-00003B180000}"/>
    <cellStyle name="category 3" xfId="5726" xr:uid="{00000000-0005-0000-0000-00003C180000}"/>
    <cellStyle name="category 4" xfId="16443" xr:uid="{00000000-0005-0000-0000-00003D180000}"/>
    <cellStyle name="Check Cell" xfId="15983" xr:uid="{00000000-0005-0000-0000-00003E180000}"/>
    <cellStyle name="ÇÏÀÌÆÛ¸µÅ©" xfId="5727" xr:uid="{00000000-0005-0000-0000-00003F180000}"/>
    <cellStyle name="CIAIÆU¸μAⓒ" xfId="5728" xr:uid="{00000000-0005-0000-0000-000040180000}"/>
    <cellStyle name="CIAIÆU¸μAⓒ 2" xfId="5729" xr:uid="{00000000-0005-0000-0000-000041180000}"/>
    <cellStyle name="CIAIÆU¸μAⓒ 3" xfId="16444" xr:uid="{00000000-0005-0000-0000-000042180000}"/>
    <cellStyle name="Cmma_을지 (2)_갑지 (2)_집계표 (2)_집계표 (3)_견적서 (2)" xfId="16445" xr:uid="{00000000-0005-0000-0000-000043180000}"/>
    <cellStyle name="ⓒo" xfId="16446" xr:uid="{00000000-0005-0000-0000-000044180000}"/>
    <cellStyle name="CO≫e" xfId="5730" xr:uid="{00000000-0005-0000-0000-000045180000}"/>
    <cellStyle name="CO≫e 2" xfId="5731" xr:uid="{00000000-0005-0000-0000-000046180000}"/>
    <cellStyle name="Column Heading" xfId="5732" xr:uid="{00000000-0005-0000-0000-000047180000}"/>
    <cellStyle name="columns_array" xfId="5733" xr:uid="{00000000-0005-0000-0000-000048180000}"/>
    <cellStyle name="Comma" xfId="5734" xr:uid="{00000000-0005-0000-0000-000049180000}"/>
    <cellStyle name="Comma  - Style2" xfId="5735" xr:uid="{00000000-0005-0000-0000-00004A180000}"/>
    <cellStyle name="Comma  - Style2 2" xfId="5736" xr:uid="{00000000-0005-0000-0000-00004B180000}"/>
    <cellStyle name="Comma  - Style3" xfId="5737" xr:uid="{00000000-0005-0000-0000-00004C180000}"/>
    <cellStyle name="Comma  - Style3 2" xfId="5738" xr:uid="{00000000-0005-0000-0000-00004D180000}"/>
    <cellStyle name="Comma  - Style4" xfId="5739" xr:uid="{00000000-0005-0000-0000-00004E180000}"/>
    <cellStyle name="Comma  - Style4 2" xfId="5740" xr:uid="{00000000-0005-0000-0000-00004F180000}"/>
    <cellStyle name="Comma  - Style5" xfId="5741" xr:uid="{00000000-0005-0000-0000-000050180000}"/>
    <cellStyle name="Comma  - Style5 2" xfId="5742" xr:uid="{00000000-0005-0000-0000-000051180000}"/>
    <cellStyle name="Comma  - Style6" xfId="5743" xr:uid="{00000000-0005-0000-0000-000052180000}"/>
    <cellStyle name="Comma  - Style6 2" xfId="5744" xr:uid="{00000000-0005-0000-0000-000053180000}"/>
    <cellStyle name="Comma  - Style7" xfId="5745" xr:uid="{00000000-0005-0000-0000-000054180000}"/>
    <cellStyle name="Comma  - Style7 2" xfId="5746" xr:uid="{00000000-0005-0000-0000-000055180000}"/>
    <cellStyle name="Comma  - Style8" xfId="5747" xr:uid="{00000000-0005-0000-0000-000056180000}"/>
    <cellStyle name="Comma  - Style8 2" xfId="5748" xr:uid="{00000000-0005-0000-0000-000057180000}"/>
    <cellStyle name="Comma [0]" xfId="5749" xr:uid="{00000000-0005-0000-0000-000058180000}"/>
    <cellStyle name="Comma [0] 10" xfId="5750" xr:uid="{00000000-0005-0000-0000-000059180000}"/>
    <cellStyle name="Comma [0] 10 2" xfId="5751" xr:uid="{00000000-0005-0000-0000-00005A180000}"/>
    <cellStyle name="Comma [0] 11" xfId="5752" xr:uid="{00000000-0005-0000-0000-00005B180000}"/>
    <cellStyle name="Comma [0] 11 2" xfId="5753" xr:uid="{00000000-0005-0000-0000-00005C180000}"/>
    <cellStyle name="Comma [0] 12" xfId="5754" xr:uid="{00000000-0005-0000-0000-00005D180000}"/>
    <cellStyle name="Comma [0] 12 2" xfId="5755" xr:uid="{00000000-0005-0000-0000-00005E180000}"/>
    <cellStyle name="Comma [0] 13" xfId="5756" xr:uid="{00000000-0005-0000-0000-00005F180000}"/>
    <cellStyle name="Comma [0] 13 2" xfId="5757" xr:uid="{00000000-0005-0000-0000-000060180000}"/>
    <cellStyle name="Comma [0] 14" xfId="5758" xr:uid="{00000000-0005-0000-0000-000061180000}"/>
    <cellStyle name="Comma [0] 14 2" xfId="5759" xr:uid="{00000000-0005-0000-0000-000062180000}"/>
    <cellStyle name="Comma [0] 15" xfId="5760" xr:uid="{00000000-0005-0000-0000-000063180000}"/>
    <cellStyle name="Comma [0] 15 2" xfId="5761" xr:uid="{00000000-0005-0000-0000-000064180000}"/>
    <cellStyle name="Comma [0] 16" xfId="5762" xr:uid="{00000000-0005-0000-0000-000065180000}"/>
    <cellStyle name="Comma [0] 16 2" xfId="5763" xr:uid="{00000000-0005-0000-0000-000066180000}"/>
    <cellStyle name="Comma [0] 17" xfId="5764" xr:uid="{00000000-0005-0000-0000-000067180000}"/>
    <cellStyle name="Comma [0] 17 2" xfId="5765" xr:uid="{00000000-0005-0000-0000-000068180000}"/>
    <cellStyle name="Comma [0] 18" xfId="5766" xr:uid="{00000000-0005-0000-0000-000069180000}"/>
    <cellStyle name="Comma [0] 18 2" xfId="5767" xr:uid="{00000000-0005-0000-0000-00006A180000}"/>
    <cellStyle name="Comma [0] 19" xfId="5768" xr:uid="{00000000-0005-0000-0000-00006B180000}"/>
    <cellStyle name="Comma [0] 19 2" xfId="5769" xr:uid="{00000000-0005-0000-0000-00006C180000}"/>
    <cellStyle name="Comma [0] 2" xfId="5770" xr:uid="{00000000-0005-0000-0000-00006D180000}"/>
    <cellStyle name="Comma [0] 2 2" xfId="5771" xr:uid="{00000000-0005-0000-0000-00006E180000}"/>
    <cellStyle name="Comma [0] 20" xfId="5772" xr:uid="{00000000-0005-0000-0000-00006F180000}"/>
    <cellStyle name="Comma [0] 20 2" xfId="5773" xr:uid="{00000000-0005-0000-0000-000070180000}"/>
    <cellStyle name="Comma [0] 21" xfId="5774" xr:uid="{00000000-0005-0000-0000-000071180000}"/>
    <cellStyle name="Comma [0] 21 2" xfId="5775" xr:uid="{00000000-0005-0000-0000-000072180000}"/>
    <cellStyle name="Comma [0] 22" xfId="5776" xr:uid="{00000000-0005-0000-0000-000073180000}"/>
    <cellStyle name="Comma [0] 22 2" xfId="5777" xr:uid="{00000000-0005-0000-0000-000074180000}"/>
    <cellStyle name="Comma [0] 23" xfId="5778" xr:uid="{00000000-0005-0000-0000-000075180000}"/>
    <cellStyle name="Comma [0] 23 2" xfId="5779" xr:uid="{00000000-0005-0000-0000-000076180000}"/>
    <cellStyle name="Comma [0] 24" xfId="5780" xr:uid="{00000000-0005-0000-0000-000077180000}"/>
    <cellStyle name="Comma [0] 24 2" xfId="5781" xr:uid="{00000000-0005-0000-0000-000078180000}"/>
    <cellStyle name="Comma [0] 25" xfId="5782" xr:uid="{00000000-0005-0000-0000-000079180000}"/>
    <cellStyle name="Comma [0] 25 2" xfId="5783" xr:uid="{00000000-0005-0000-0000-00007A180000}"/>
    <cellStyle name="Comma [0] 26" xfId="5784" xr:uid="{00000000-0005-0000-0000-00007B180000}"/>
    <cellStyle name="Comma [0] 26 2" xfId="5785" xr:uid="{00000000-0005-0000-0000-00007C180000}"/>
    <cellStyle name="Comma [0] 27" xfId="5786" xr:uid="{00000000-0005-0000-0000-00007D180000}"/>
    <cellStyle name="Comma [0] 27 2" xfId="5787" xr:uid="{00000000-0005-0000-0000-00007E180000}"/>
    <cellStyle name="Comma [0] 28" xfId="5788" xr:uid="{00000000-0005-0000-0000-00007F180000}"/>
    <cellStyle name="Comma [0] 28 2" xfId="5789" xr:uid="{00000000-0005-0000-0000-000080180000}"/>
    <cellStyle name="Comma [0] 29" xfId="5790" xr:uid="{00000000-0005-0000-0000-000081180000}"/>
    <cellStyle name="Comma [0] 29 2" xfId="5791" xr:uid="{00000000-0005-0000-0000-000082180000}"/>
    <cellStyle name="Comma [0] 3" xfId="5792" xr:uid="{00000000-0005-0000-0000-000083180000}"/>
    <cellStyle name="Comma [0] 3 2" xfId="5793" xr:uid="{00000000-0005-0000-0000-000084180000}"/>
    <cellStyle name="Comma [0] 30" xfId="5794" xr:uid="{00000000-0005-0000-0000-000085180000}"/>
    <cellStyle name="Comma [0] 30 2" xfId="5795" xr:uid="{00000000-0005-0000-0000-000086180000}"/>
    <cellStyle name="Comma [0] 31" xfId="5796" xr:uid="{00000000-0005-0000-0000-000087180000}"/>
    <cellStyle name="Comma [0] 31 2" xfId="5797" xr:uid="{00000000-0005-0000-0000-000088180000}"/>
    <cellStyle name="Comma [0] 32" xfId="5798" xr:uid="{00000000-0005-0000-0000-000089180000}"/>
    <cellStyle name="Comma [0] 33" xfId="16448" xr:uid="{00000000-0005-0000-0000-00008A180000}"/>
    <cellStyle name="Comma [0] 4" xfId="5799" xr:uid="{00000000-0005-0000-0000-00008B180000}"/>
    <cellStyle name="Comma [0] 4 2" xfId="5800" xr:uid="{00000000-0005-0000-0000-00008C180000}"/>
    <cellStyle name="Comma [0] 5" xfId="5801" xr:uid="{00000000-0005-0000-0000-00008D180000}"/>
    <cellStyle name="Comma [0] 5 2" xfId="5802" xr:uid="{00000000-0005-0000-0000-00008E180000}"/>
    <cellStyle name="Comma [0] 6" xfId="5803" xr:uid="{00000000-0005-0000-0000-00008F180000}"/>
    <cellStyle name="Comma [0] 6 2" xfId="5804" xr:uid="{00000000-0005-0000-0000-000090180000}"/>
    <cellStyle name="Comma [0] 7" xfId="5805" xr:uid="{00000000-0005-0000-0000-000091180000}"/>
    <cellStyle name="Comma [0] 7 2" xfId="5806" xr:uid="{00000000-0005-0000-0000-000092180000}"/>
    <cellStyle name="Comma [0] 8" xfId="5807" xr:uid="{00000000-0005-0000-0000-000093180000}"/>
    <cellStyle name="Comma [0] 8 2" xfId="5808" xr:uid="{00000000-0005-0000-0000-000094180000}"/>
    <cellStyle name="Comma [0] 9" xfId="5809" xr:uid="{00000000-0005-0000-0000-000095180000}"/>
    <cellStyle name="Comma [0] 9 2" xfId="5810" xr:uid="{00000000-0005-0000-0000-000096180000}"/>
    <cellStyle name="Comma [0]_ SG&amp;A Bridge " xfId="5811" xr:uid="{00000000-0005-0000-0000-000097180000}"/>
    <cellStyle name="Comma [00]" xfId="5812" xr:uid="{00000000-0005-0000-0000-000098180000}"/>
    <cellStyle name="Comma [00] 2" xfId="5813" xr:uid="{00000000-0005-0000-0000-000099180000}"/>
    <cellStyle name="Comma 2" xfId="5814" xr:uid="{00000000-0005-0000-0000-00009A180000}"/>
    <cellStyle name="Comma 3" xfId="5815" xr:uid="{00000000-0005-0000-0000-00009B180000}"/>
    <cellStyle name="Comma 4" xfId="16447" xr:uid="{00000000-0005-0000-0000-00009C180000}"/>
    <cellStyle name="Comma 5" xfId="16910" xr:uid="{00000000-0005-0000-0000-00009D180000}"/>
    <cellStyle name="Comma 6" xfId="16795" xr:uid="{00000000-0005-0000-0000-00009E180000}"/>
    <cellStyle name="Comma 7" xfId="16982" xr:uid="{00000000-0005-0000-0000-00009F180000}"/>
    <cellStyle name="Comma 8" xfId="16984" xr:uid="{00000000-0005-0000-0000-0000A0180000}"/>
    <cellStyle name="Comma 9" xfId="16401" xr:uid="{00000000-0005-0000-0000-0000A1180000}"/>
    <cellStyle name="comma zerodec" xfId="5816" xr:uid="{00000000-0005-0000-0000-0000A2180000}"/>
    <cellStyle name="comma zerodec 10" xfId="5817" xr:uid="{00000000-0005-0000-0000-0000A3180000}"/>
    <cellStyle name="comma zerodec 10 2" xfId="5818" xr:uid="{00000000-0005-0000-0000-0000A4180000}"/>
    <cellStyle name="comma zerodec 11" xfId="5819" xr:uid="{00000000-0005-0000-0000-0000A5180000}"/>
    <cellStyle name="comma zerodec 11 2" xfId="5820" xr:uid="{00000000-0005-0000-0000-0000A6180000}"/>
    <cellStyle name="comma zerodec 12" xfId="5821" xr:uid="{00000000-0005-0000-0000-0000A7180000}"/>
    <cellStyle name="comma zerodec 12 2" xfId="5822" xr:uid="{00000000-0005-0000-0000-0000A8180000}"/>
    <cellStyle name="comma zerodec 13" xfId="5823" xr:uid="{00000000-0005-0000-0000-0000A9180000}"/>
    <cellStyle name="comma zerodec 13 2" xfId="5824" xr:uid="{00000000-0005-0000-0000-0000AA180000}"/>
    <cellStyle name="comma zerodec 14" xfId="5825" xr:uid="{00000000-0005-0000-0000-0000AB180000}"/>
    <cellStyle name="comma zerodec 15" xfId="5826" xr:uid="{00000000-0005-0000-0000-0000AC180000}"/>
    <cellStyle name="comma zerodec 16" xfId="5827" xr:uid="{00000000-0005-0000-0000-0000AD180000}"/>
    <cellStyle name="comma zerodec 17" xfId="5828" xr:uid="{00000000-0005-0000-0000-0000AE180000}"/>
    <cellStyle name="comma zerodec 18" xfId="5829" xr:uid="{00000000-0005-0000-0000-0000AF180000}"/>
    <cellStyle name="comma zerodec 19" xfId="16449" xr:uid="{00000000-0005-0000-0000-0000B0180000}"/>
    <cellStyle name="comma zerodec 2" xfId="5830" xr:uid="{00000000-0005-0000-0000-0000B1180000}"/>
    <cellStyle name="comma zerodec 2 2" xfId="5831" xr:uid="{00000000-0005-0000-0000-0000B2180000}"/>
    <cellStyle name="comma zerodec 2 2 2" xfId="5832" xr:uid="{00000000-0005-0000-0000-0000B3180000}"/>
    <cellStyle name="comma zerodec 2 2 2 2" xfId="5833" xr:uid="{00000000-0005-0000-0000-0000B4180000}"/>
    <cellStyle name="comma zerodec 2 2 3" xfId="5834" xr:uid="{00000000-0005-0000-0000-0000B5180000}"/>
    <cellStyle name="comma zerodec 2 3" xfId="5835" xr:uid="{00000000-0005-0000-0000-0000B6180000}"/>
    <cellStyle name="comma zerodec 2 3 2" xfId="5836" xr:uid="{00000000-0005-0000-0000-0000B7180000}"/>
    <cellStyle name="comma zerodec 2 4" xfId="5837" xr:uid="{00000000-0005-0000-0000-0000B8180000}"/>
    <cellStyle name="comma zerodec 2 4 2" xfId="5838" xr:uid="{00000000-0005-0000-0000-0000B9180000}"/>
    <cellStyle name="comma zerodec 2 5" xfId="5839" xr:uid="{00000000-0005-0000-0000-0000BA180000}"/>
    <cellStyle name="comma zerodec 2 6" xfId="16450" xr:uid="{00000000-0005-0000-0000-0000BB180000}"/>
    <cellStyle name="comma zerodec 3" xfId="5840" xr:uid="{00000000-0005-0000-0000-0000BC180000}"/>
    <cellStyle name="comma zerodec 3 2" xfId="5841" xr:uid="{00000000-0005-0000-0000-0000BD180000}"/>
    <cellStyle name="comma zerodec 4" xfId="5842" xr:uid="{00000000-0005-0000-0000-0000BE180000}"/>
    <cellStyle name="comma zerodec 4 2" xfId="5843" xr:uid="{00000000-0005-0000-0000-0000BF180000}"/>
    <cellStyle name="comma zerodec 5" xfId="5844" xr:uid="{00000000-0005-0000-0000-0000C0180000}"/>
    <cellStyle name="comma zerodec 5 2" xfId="5845" xr:uid="{00000000-0005-0000-0000-0000C1180000}"/>
    <cellStyle name="comma zerodec 6" xfId="5846" xr:uid="{00000000-0005-0000-0000-0000C2180000}"/>
    <cellStyle name="comma zerodec 6 2" xfId="5847" xr:uid="{00000000-0005-0000-0000-0000C3180000}"/>
    <cellStyle name="comma zerodec 7" xfId="5848" xr:uid="{00000000-0005-0000-0000-0000C4180000}"/>
    <cellStyle name="comma zerodec 7 2" xfId="5849" xr:uid="{00000000-0005-0000-0000-0000C5180000}"/>
    <cellStyle name="comma zerodec 7 2 2" xfId="5850" xr:uid="{00000000-0005-0000-0000-0000C6180000}"/>
    <cellStyle name="comma zerodec 7 3" xfId="5851" xr:uid="{00000000-0005-0000-0000-0000C7180000}"/>
    <cellStyle name="comma zerodec 8" xfId="5852" xr:uid="{00000000-0005-0000-0000-0000C8180000}"/>
    <cellStyle name="comma zerodec 8 2" xfId="5853" xr:uid="{00000000-0005-0000-0000-0000C9180000}"/>
    <cellStyle name="comma zerodec 9" xfId="5854" xr:uid="{00000000-0005-0000-0000-0000CA180000}"/>
    <cellStyle name="comma zerodec 9 2" xfId="5855" xr:uid="{00000000-0005-0000-0000-0000CB180000}"/>
    <cellStyle name="comma zerodec_☆견적서" xfId="5856" xr:uid="{00000000-0005-0000-0000-0000CC180000}"/>
    <cellStyle name="Comma_ " xfId="5857" xr:uid="{00000000-0005-0000-0000-0000CD180000}"/>
    <cellStyle name="Comma0" xfId="5858" xr:uid="{00000000-0005-0000-0000-0000CE180000}"/>
    <cellStyle name="Comma0 2" xfId="5859" xr:uid="{00000000-0005-0000-0000-0000CF180000}"/>
    <cellStyle name="Comma0 3" xfId="16451" xr:uid="{00000000-0005-0000-0000-0000D0180000}"/>
    <cellStyle name="Comm뼬_E&amp;ONW2" xfId="5860" xr:uid="{00000000-0005-0000-0000-0000D1180000}"/>
    <cellStyle name="Copied" xfId="5861" xr:uid="{00000000-0005-0000-0000-0000D2180000}"/>
    <cellStyle name="Copied 2" xfId="5862" xr:uid="{00000000-0005-0000-0000-0000D3180000}"/>
    <cellStyle name="Copied 2 2" xfId="5863" xr:uid="{00000000-0005-0000-0000-0000D4180000}"/>
    <cellStyle name="Copied 2 2 2" xfId="5864" xr:uid="{00000000-0005-0000-0000-0000D5180000}"/>
    <cellStyle name="Copied 2 3" xfId="5865" xr:uid="{00000000-0005-0000-0000-0000D6180000}"/>
    <cellStyle name="Copied 3" xfId="5866" xr:uid="{00000000-0005-0000-0000-0000D7180000}"/>
    <cellStyle name="Copied 3 2" xfId="5867" xr:uid="{00000000-0005-0000-0000-0000D8180000}"/>
    <cellStyle name="Copied 4" xfId="5868" xr:uid="{00000000-0005-0000-0000-0000D9180000}"/>
    <cellStyle name="Copied 4 2" xfId="5869" xr:uid="{00000000-0005-0000-0000-0000DA180000}"/>
    <cellStyle name="Copied 5" xfId="5870" xr:uid="{00000000-0005-0000-0000-0000DB180000}"/>
    <cellStyle name="Copied 6" xfId="16452" xr:uid="{00000000-0005-0000-0000-0000DC180000}"/>
    <cellStyle name="COST1" xfId="5871" xr:uid="{00000000-0005-0000-0000-0000DD180000}"/>
    <cellStyle name="COST1 2" xfId="5872" xr:uid="{00000000-0005-0000-0000-0000DE180000}"/>
    <cellStyle name="COST1 3" xfId="16453" xr:uid="{00000000-0005-0000-0000-0000DF180000}"/>
    <cellStyle name="Curr" xfId="5873" xr:uid="{00000000-0005-0000-0000-0000E0180000}"/>
    <cellStyle name="Curr 2" xfId="5874" xr:uid="{00000000-0005-0000-0000-0000E1180000}"/>
    <cellStyle name="Curre~cy [0]_MATERAL2" xfId="5875" xr:uid="{00000000-0005-0000-0000-0000E2180000}"/>
    <cellStyle name="Curren?_x0012_퐀_x0017_?" xfId="5876" xr:uid="{00000000-0005-0000-0000-0000E3180000}"/>
    <cellStyle name="Curren?_x0012_퐀_x0017_? 2" xfId="5877" xr:uid="{00000000-0005-0000-0000-0000E4180000}"/>
    <cellStyle name="Curren?_x0012_퐀_x0017_? 3" xfId="16454" xr:uid="{00000000-0005-0000-0000-0000E5180000}"/>
    <cellStyle name="Currenby_Cash&amp;DSO Chart" xfId="5878" xr:uid="{00000000-0005-0000-0000-0000E6180000}"/>
    <cellStyle name="Currency" xfId="5879" xr:uid="{00000000-0005-0000-0000-0000E7180000}"/>
    <cellStyle name="Currency (0)" xfId="5880" xr:uid="{00000000-0005-0000-0000-0000E8180000}"/>
    <cellStyle name="Currency (0) 2" xfId="5881" xr:uid="{00000000-0005-0000-0000-0000E9180000}"/>
    <cellStyle name="Currency (2)" xfId="5882" xr:uid="{00000000-0005-0000-0000-0000EA180000}"/>
    <cellStyle name="Currency (2) 2" xfId="5883" xr:uid="{00000000-0005-0000-0000-0000EB180000}"/>
    <cellStyle name="Currency [0]" xfId="5884" xr:uid="{00000000-0005-0000-0000-0000EC180000}"/>
    <cellStyle name="Currency [0] 10" xfId="5885" xr:uid="{00000000-0005-0000-0000-0000ED180000}"/>
    <cellStyle name="Currency [0] 10 2" xfId="5886" xr:uid="{00000000-0005-0000-0000-0000EE180000}"/>
    <cellStyle name="Currency [0] 11" xfId="5887" xr:uid="{00000000-0005-0000-0000-0000EF180000}"/>
    <cellStyle name="Currency [0] 11 2" xfId="5888" xr:uid="{00000000-0005-0000-0000-0000F0180000}"/>
    <cellStyle name="Currency [0] 12" xfId="5889" xr:uid="{00000000-0005-0000-0000-0000F1180000}"/>
    <cellStyle name="Currency [0] 12 2" xfId="5890" xr:uid="{00000000-0005-0000-0000-0000F2180000}"/>
    <cellStyle name="Currency [0] 13" xfId="5891" xr:uid="{00000000-0005-0000-0000-0000F3180000}"/>
    <cellStyle name="Currency [0] 13 2" xfId="5892" xr:uid="{00000000-0005-0000-0000-0000F4180000}"/>
    <cellStyle name="Currency [0] 14" xfId="5893" xr:uid="{00000000-0005-0000-0000-0000F5180000}"/>
    <cellStyle name="Currency [0] 14 2" xfId="5894" xr:uid="{00000000-0005-0000-0000-0000F6180000}"/>
    <cellStyle name="Currency [0] 15" xfId="5895" xr:uid="{00000000-0005-0000-0000-0000F7180000}"/>
    <cellStyle name="Currency [0] 15 2" xfId="5896" xr:uid="{00000000-0005-0000-0000-0000F8180000}"/>
    <cellStyle name="Currency [0] 16" xfId="5897" xr:uid="{00000000-0005-0000-0000-0000F9180000}"/>
    <cellStyle name="Currency [0] 16 2" xfId="5898" xr:uid="{00000000-0005-0000-0000-0000FA180000}"/>
    <cellStyle name="Currency [0] 17" xfId="5899" xr:uid="{00000000-0005-0000-0000-0000FB180000}"/>
    <cellStyle name="Currency [0] 17 2" xfId="5900" xr:uid="{00000000-0005-0000-0000-0000FC180000}"/>
    <cellStyle name="Currency [0] 18" xfId="5901" xr:uid="{00000000-0005-0000-0000-0000FD180000}"/>
    <cellStyle name="Currency [0] 18 2" xfId="5902" xr:uid="{00000000-0005-0000-0000-0000FE180000}"/>
    <cellStyle name="Currency [0] 19" xfId="5903" xr:uid="{00000000-0005-0000-0000-0000FF180000}"/>
    <cellStyle name="Currency [0] 19 2" xfId="5904" xr:uid="{00000000-0005-0000-0000-000000190000}"/>
    <cellStyle name="Currency [0] 2" xfId="5905" xr:uid="{00000000-0005-0000-0000-000001190000}"/>
    <cellStyle name="Currency [0] 2 2" xfId="5906" xr:uid="{00000000-0005-0000-0000-000002190000}"/>
    <cellStyle name="Currency [0] 20" xfId="5907" xr:uid="{00000000-0005-0000-0000-000003190000}"/>
    <cellStyle name="Currency [0] 20 2" xfId="5908" xr:uid="{00000000-0005-0000-0000-000004190000}"/>
    <cellStyle name="Currency [0] 21" xfId="5909" xr:uid="{00000000-0005-0000-0000-000005190000}"/>
    <cellStyle name="Currency [0] 21 2" xfId="5910" xr:uid="{00000000-0005-0000-0000-000006190000}"/>
    <cellStyle name="Currency [0] 22" xfId="5911" xr:uid="{00000000-0005-0000-0000-000007190000}"/>
    <cellStyle name="Currency [0] 22 2" xfId="5912" xr:uid="{00000000-0005-0000-0000-000008190000}"/>
    <cellStyle name="Currency [0] 23" xfId="5913" xr:uid="{00000000-0005-0000-0000-000009190000}"/>
    <cellStyle name="Currency [0] 23 2" xfId="5914" xr:uid="{00000000-0005-0000-0000-00000A190000}"/>
    <cellStyle name="Currency [0] 24" xfId="5915" xr:uid="{00000000-0005-0000-0000-00000B190000}"/>
    <cellStyle name="Currency [0] 24 2" xfId="5916" xr:uid="{00000000-0005-0000-0000-00000C190000}"/>
    <cellStyle name="Currency [0] 25" xfId="5917" xr:uid="{00000000-0005-0000-0000-00000D190000}"/>
    <cellStyle name="Currency [0] 25 2" xfId="5918" xr:uid="{00000000-0005-0000-0000-00000E190000}"/>
    <cellStyle name="Currency [0] 26" xfId="5919" xr:uid="{00000000-0005-0000-0000-00000F190000}"/>
    <cellStyle name="Currency [0] 26 2" xfId="5920" xr:uid="{00000000-0005-0000-0000-000010190000}"/>
    <cellStyle name="Currency [0] 27" xfId="5921" xr:uid="{00000000-0005-0000-0000-000011190000}"/>
    <cellStyle name="Currency [0] 27 2" xfId="5922" xr:uid="{00000000-0005-0000-0000-000012190000}"/>
    <cellStyle name="Currency [0] 28" xfId="5923" xr:uid="{00000000-0005-0000-0000-000013190000}"/>
    <cellStyle name="Currency [0] 28 2" xfId="5924" xr:uid="{00000000-0005-0000-0000-000014190000}"/>
    <cellStyle name="Currency [0] 29" xfId="5925" xr:uid="{00000000-0005-0000-0000-000015190000}"/>
    <cellStyle name="Currency [0] 29 2" xfId="5926" xr:uid="{00000000-0005-0000-0000-000016190000}"/>
    <cellStyle name="Currency [0] 3" xfId="5927" xr:uid="{00000000-0005-0000-0000-000017190000}"/>
    <cellStyle name="Currency [0] 3 2" xfId="5928" xr:uid="{00000000-0005-0000-0000-000018190000}"/>
    <cellStyle name="Currency [0] 30" xfId="5929" xr:uid="{00000000-0005-0000-0000-000019190000}"/>
    <cellStyle name="Currency [0] 30 2" xfId="5930" xr:uid="{00000000-0005-0000-0000-00001A190000}"/>
    <cellStyle name="Currency [0] 31" xfId="5931" xr:uid="{00000000-0005-0000-0000-00001B190000}"/>
    <cellStyle name="Currency [0] 31 2" xfId="5932" xr:uid="{00000000-0005-0000-0000-00001C190000}"/>
    <cellStyle name="Currency [0] 32" xfId="5933" xr:uid="{00000000-0005-0000-0000-00001D190000}"/>
    <cellStyle name="Currency [0] 33" xfId="16456" xr:uid="{00000000-0005-0000-0000-00001E190000}"/>
    <cellStyle name="Currency [0] 4" xfId="5934" xr:uid="{00000000-0005-0000-0000-00001F190000}"/>
    <cellStyle name="Currency [0] 4 2" xfId="5935" xr:uid="{00000000-0005-0000-0000-000020190000}"/>
    <cellStyle name="Currency [0] 5" xfId="5936" xr:uid="{00000000-0005-0000-0000-000021190000}"/>
    <cellStyle name="Currency [0] 5 2" xfId="5937" xr:uid="{00000000-0005-0000-0000-000022190000}"/>
    <cellStyle name="Currency [0] 6" xfId="5938" xr:uid="{00000000-0005-0000-0000-000023190000}"/>
    <cellStyle name="Currency [0] 6 2" xfId="5939" xr:uid="{00000000-0005-0000-0000-000024190000}"/>
    <cellStyle name="Currency [0] 7" xfId="5940" xr:uid="{00000000-0005-0000-0000-000025190000}"/>
    <cellStyle name="Currency [0] 7 2" xfId="5941" xr:uid="{00000000-0005-0000-0000-000026190000}"/>
    <cellStyle name="Currency [0] 8" xfId="5942" xr:uid="{00000000-0005-0000-0000-000027190000}"/>
    <cellStyle name="Currency [0] 8 2" xfId="5943" xr:uid="{00000000-0005-0000-0000-000028190000}"/>
    <cellStyle name="Currency [0] 9" xfId="5944" xr:uid="{00000000-0005-0000-0000-000029190000}"/>
    <cellStyle name="Currency [0] 9 2" xfId="5945" xr:uid="{00000000-0005-0000-0000-00002A190000}"/>
    <cellStyle name="Currency [0]_ SG&amp;A Bridge " xfId="5946" xr:uid="{00000000-0005-0000-0000-00002B190000}"/>
    <cellStyle name="Currency [0]͢laroux_1" xfId="5947" xr:uid="{00000000-0005-0000-0000-00002C190000}"/>
    <cellStyle name="Currency [00]" xfId="5948" xr:uid="{00000000-0005-0000-0000-00002D190000}"/>
    <cellStyle name="Currency [00] 2" xfId="5949" xr:uid="{00000000-0005-0000-0000-00002E190000}"/>
    <cellStyle name="Currency 10" xfId="5950" xr:uid="{00000000-0005-0000-0000-00002F190000}"/>
    <cellStyle name="Currency 10 2" xfId="5951" xr:uid="{00000000-0005-0000-0000-000030190000}"/>
    <cellStyle name="Currency 11" xfId="5952" xr:uid="{00000000-0005-0000-0000-000031190000}"/>
    <cellStyle name="Currency 11 2" xfId="5953" xr:uid="{00000000-0005-0000-0000-000032190000}"/>
    <cellStyle name="Currency 12" xfId="5954" xr:uid="{00000000-0005-0000-0000-000033190000}"/>
    <cellStyle name="Currency 12 2" xfId="5955" xr:uid="{00000000-0005-0000-0000-000034190000}"/>
    <cellStyle name="Currency 13" xfId="5956" xr:uid="{00000000-0005-0000-0000-000035190000}"/>
    <cellStyle name="Currency 13 2" xfId="5957" xr:uid="{00000000-0005-0000-0000-000036190000}"/>
    <cellStyle name="Currency 14" xfId="5958" xr:uid="{00000000-0005-0000-0000-000037190000}"/>
    <cellStyle name="Currency 14 2" xfId="5959" xr:uid="{00000000-0005-0000-0000-000038190000}"/>
    <cellStyle name="Currency 15" xfId="5960" xr:uid="{00000000-0005-0000-0000-000039190000}"/>
    <cellStyle name="Currency 15 2" xfId="5961" xr:uid="{00000000-0005-0000-0000-00003A190000}"/>
    <cellStyle name="Currency 16" xfId="5962" xr:uid="{00000000-0005-0000-0000-00003B190000}"/>
    <cellStyle name="Currency 16 2" xfId="5963" xr:uid="{00000000-0005-0000-0000-00003C190000}"/>
    <cellStyle name="Currency 17" xfId="5964" xr:uid="{00000000-0005-0000-0000-00003D190000}"/>
    <cellStyle name="Currency 17 2" xfId="5965" xr:uid="{00000000-0005-0000-0000-00003E190000}"/>
    <cellStyle name="Currency 18" xfId="5966" xr:uid="{00000000-0005-0000-0000-00003F190000}"/>
    <cellStyle name="Currency 18 2" xfId="5967" xr:uid="{00000000-0005-0000-0000-000040190000}"/>
    <cellStyle name="Currency 19" xfId="5968" xr:uid="{00000000-0005-0000-0000-000041190000}"/>
    <cellStyle name="Currency 19 2" xfId="5969" xr:uid="{00000000-0005-0000-0000-000042190000}"/>
    <cellStyle name="Currency 2" xfId="5970" xr:uid="{00000000-0005-0000-0000-000043190000}"/>
    <cellStyle name="Currency 2 10" xfId="5971" xr:uid="{00000000-0005-0000-0000-000044190000}"/>
    <cellStyle name="Currency 2 10 2" xfId="5972" xr:uid="{00000000-0005-0000-0000-000045190000}"/>
    <cellStyle name="Currency 2 11" xfId="5973" xr:uid="{00000000-0005-0000-0000-000046190000}"/>
    <cellStyle name="Currency 2 11 2" xfId="5974" xr:uid="{00000000-0005-0000-0000-000047190000}"/>
    <cellStyle name="Currency 2 12" xfId="5975" xr:uid="{00000000-0005-0000-0000-000048190000}"/>
    <cellStyle name="Currency 2 13" xfId="16457" xr:uid="{00000000-0005-0000-0000-000049190000}"/>
    <cellStyle name="Currency 2 2" xfId="5976" xr:uid="{00000000-0005-0000-0000-00004A190000}"/>
    <cellStyle name="Currency 2 2 2" xfId="5977" xr:uid="{00000000-0005-0000-0000-00004B190000}"/>
    <cellStyle name="Currency 2 2 2 2" xfId="5978" xr:uid="{00000000-0005-0000-0000-00004C190000}"/>
    <cellStyle name="Currency 2 2 3" xfId="5979" xr:uid="{00000000-0005-0000-0000-00004D190000}"/>
    <cellStyle name="Currency 2 3" xfId="5980" xr:uid="{00000000-0005-0000-0000-00004E190000}"/>
    <cellStyle name="Currency 2 3 2" xfId="5981" xr:uid="{00000000-0005-0000-0000-00004F190000}"/>
    <cellStyle name="Currency 2 4" xfId="5982" xr:uid="{00000000-0005-0000-0000-000050190000}"/>
    <cellStyle name="Currency 2 4 2" xfId="5983" xr:uid="{00000000-0005-0000-0000-000051190000}"/>
    <cellStyle name="Currency 2 5" xfId="5984" xr:uid="{00000000-0005-0000-0000-000052190000}"/>
    <cellStyle name="Currency 2 5 2" xfId="5985" xr:uid="{00000000-0005-0000-0000-000053190000}"/>
    <cellStyle name="Currency 2 6" xfId="5986" xr:uid="{00000000-0005-0000-0000-000054190000}"/>
    <cellStyle name="Currency 2 6 2" xfId="5987" xr:uid="{00000000-0005-0000-0000-000055190000}"/>
    <cellStyle name="Currency 2 7" xfId="5988" xr:uid="{00000000-0005-0000-0000-000056190000}"/>
    <cellStyle name="Currency 2 7 2" xfId="5989" xr:uid="{00000000-0005-0000-0000-000057190000}"/>
    <cellStyle name="Currency 2 8" xfId="5990" xr:uid="{00000000-0005-0000-0000-000058190000}"/>
    <cellStyle name="Currency 2 8 2" xfId="5991" xr:uid="{00000000-0005-0000-0000-000059190000}"/>
    <cellStyle name="Currency 2 9" xfId="5992" xr:uid="{00000000-0005-0000-0000-00005A190000}"/>
    <cellStyle name="Currency 2 9 2" xfId="5993" xr:uid="{00000000-0005-0000-0000-00005B190000}"/>
    <cellStyle name="Currency 20" xfId="5994" xr:uid="{00000000-0005-0000-0000-00005C190000}"/>
    <cellStyle name="Currency 20 2" xfId="5995" xr:uid="{00000000-0005-0000-0000-00005D190000}"/>
    <cellStyle name="Currency 21" xfId="5996" xr:uid="{00000000-0005-0000-0000-00005E190000}"/>
    <cellStyle name="Currency 21 2" xfId="5997" xr:uid="{00000000-0005-0000-0000-00005F190000}"/>
    <cellStyle name="Currency 22" xfId="5998" xr:uid="{00000000-0005-0000-0000-000060190000}"/>
    <cellStyle name="Currency 22 2" xfId="5999" xr:uid="{00000000-0005-0000-0000-000061190000}"/>
    <cellStyle name="Currency 23" xfId="6000" xr:uid="{00000000-0005-0000-0000-000062190000}"/>
    <cellStyle name="Currency 23 2" xfId="6001" xr:uid="{00000000-0005-0000-0000-000063190000}"/>
    <cellStyle name="Currency 24" xfId="6002" xr:uid="{00000000-0005-0000-0000-000064190000}"/>
    <cellStyle name="Currency 24 2" xfId="6003" xr:uid="{00000000-0005-0000-0000-000065190000}"/>
    <cellStyle name="Currency 25" xfId="6004" xr:uid="{00000000-0005-0000-0000-000066190000}"/>
    <cellStyle name="Currency 25 2" xfId="6005" xr:uid="{00000000-0005-0000-0000-000067190000}"/>
    <cellStyle name="Currency 26" xfId="6006" xr:uid="{00000000-0005-0000-0000-000068190000}"/>
    <cellStyle name="Currency 26 2" xfId="6007" xr:uid="{00000000-0005-0000-0000-000069190000}"/>
    <cellStyle name="Currency 27" xfId="6008" xr:uid="{00000000-0005-0000-0000-00006A190000}"/>
    <cellStyle name="Currency 27 2" xfId="6009" xr:uid="{00000000-0005-0000-0000-00006B190000}"/>
    <cellStyle name="Currency 28" xfId="6010" xr:uid="{00000000-0005-0000-0000-00006C190000}"/>
    <cellStyle name="Currency 28 2" xfId="6011" xr:uid="{00000000-0005-0000-0000-00006D190000}"/>
    <cellStyle name="Currency 29" xfId="6012" xr:uid="{00000000-0005-0000-0000-00006E190000}"/>
    <cellStyle name="Currency 29 2" xfId="6013" xr:uid="{00000000-0005-0000-0000-00006F190000}"/>
    <cellStyle name="Currency 3" xfId="6014" xr:uid="{00000000-0005-0000-0000-000070190000}"/>
    <cellStyle name="Currency 3 2" xfId="6015" xr:uid="{00000000-0005-0000-0000-000071190000}"/>
    <cellStyle name="Currency 3 3" xfId="16458" xr:uid="{00000000-0005-0000-0000-000072190000}"/>
    <cellStyle name="Currency 30" xfId="6016" xr:uid="{00000000-0005-0000-0000-000073190000}"/>
    <cellStyle name="Currency 30 2" xfId="6017" xr:uid="{00000000-0005-0000-0000-000074190000}"/>
    <cellStyle name="Currency 31" xfId="6018" xr:uid="{00000000-0005-0000-0000-000075190000}"/>
    <cellStyle name="Currency 31 2" xfId="6019" xr:uid="{00000000-0005-0000-0000-000076190000}"/>
    <cellStyle name="Currency 32" xfId="6020" xr:uid="{00000000-0005-0000-0000-000077190000}"/>
    <cellStyle name="Currency 33" xfId="6021" xr:uid="{00000000-0005-0000-0000-000078190000}"/>
    <cellStyle name="Currency 34" xfId="16455" xr:uid="{00000000-0005-0000-0000-000079190000}"/>
    <cellStyle name="Currency 35" xfId="16911" xr:uid="{00000000-0005-0000-0000-00007A190000}"/>
    <cellStyle name="Currency 36" xfId="16966" xr:uid="{00000000-0005-0000-0000-00007B190000}"/>
    <cellStyle name="Currency 37" xfId="16964" xr:uid="{00000000-0005-0000-0000-00007C190000}"/>
    <cellStyle name="Currency 38" xfId="16985" xr:uid="{00000000-0005-0000-0000-00007D190000}"/>
    <cellStyle name="Currency 39" xfId="16371" xr:uid="{00000000-0005-0000-0000-00007E190000}"/>
    <cellStyle name="Currency 4" xfId="6022" xr:uid="{00000000-0005-0000-0000-00007F190000}"/>
    <cellStyle name="Currency 4 2" xfId="6023" xr:uid="{00000000-0005-0000-0000-000080190000}"/>
    <cellStyle name="Currency 4 3" xfId="16459" xr:uid="{00000000-0005-0000-0000-000081190000}"/>
    <cellStyle name="Currency 5" xfId="6024" xr:uid="{00000000-0005-0000-0000-000082190000}"/>
    <cellStyle name="Currency 5 2" xfId="6025" xr:uid="{00000000-0005-0000-0000-000083190000}"/>
    <cellStyle name="Currency 5 3" xfId="16460" xr:uid="{00000000-0005-0000-0000-000084190000}"/>
    <cellStyle name="Currency 6" xfId="6026" xr:uid="{00000000-0005-0000-0000-000085190000}"/>
    <cellStyle name="Currency 6 2" xfId="6027" xr:uid="{00000000-0005-0000-0000-000086190000}"/>
    <cellStyle name="Currency 6 3" xfId="16461" xr:uid="{00000000-0005-0000-0000-000087190000}"/>
    <cellStyle name="Currency 7" xfId="6028" xr:uid="{00000000-0005-0000-0000-000088190000}"/>
    <cellStyle name="Currency 7 2" xfId="6029" xr:uid="{00000000-0005-0000-0000-000089190000}"/>
    <cellStyle name="Currency 7 2 2" xfId="6030" xr:uid="{00000000-0005-0000-0000-00008A190000}"/>
    <cellStyle name="Currency 7 3" xfId="6031" xr:uid="{00000000-0005-0000-0000-00008B190000}"/>
    <cellStyle name="Currency 8" xfId="6032" xr:uid="{00000000-0005-0000-0000-00008C190000}"/>
    <cellStyle name="Currency 8 2" xfId="6033" xr:uid="{00000000-0005-0000-0000-00008D190000}"/>
    <cellStyle name="Currency 9" xfId="6034" xr:uid="{00000000-0005-0000-0000-00008E190000}"/>
    <cellStyle name="Currency 9 2" xfId="6035" xr:uid="{00000000-0005-0000-0000-00008F190000}"/>
    <cellStyle name="currency-$" xfId="6036" xr:uid="{00000000-0005-0000-0000-000090190000}"/>
    <cellStyle name="currency-$ 10" xfId="6037" xr:uid="{00000000-0005-0000-0000-000091190000}"/>
    <cellStyle name="currency-$ 10 2" xfId="6038" xr:uid="{00000000-0005-0000-0000-000092190000}"/>
    <cellStyle name="currency-$ 10 2 2" xfId="6039" xr:uid="{00000000-0005-0000-0000-000093190000}"/>
    <cellStyle name="currency-$ 10 2 2 2" xfId="6040" xr:uid="{00000000-0005-0000-0000-000094190000}"/>
    <cellStyle name="currency-$ 10 2 2 3" xfId="6041" xr:uid="{00000000-0005-0000-0000-000095190000}"/>
    <cellStyle name="currency-$ 10 2 2 4" xfId="6042" xr:uid="{00000000-0005-0000-0000-000096190000}"/>
    <cellStyle name="currency-$ 10 2 2 5" xfId="6043" xr:uid="{00000000-0005-0000-0000-000097190000}"/>
    <cellStyle name="currency-$ 10 3" xfId="6044" xr:uid="{00000000-0005-0000-0000-000098190000}"/>
    <cellStyle name="currency-$ 10 3 2" xfId="6045" xr:uid="{00000000-0005-0000-0000-000099190000}"/>
    <cellStyle name="currency-$ 10 3 3" xfId="6046" xr:uid="{00000000-0005-0000-0000-00009A190000}"/>
    <cellStyle name="currency-$ 10 3 4" xfId="6047" xr:uid="{00000000-0005-0000-0000-00009B190000}"/>
    <cellStyle name="currency-$ 10 3 5" xfId="6048" xr:uid="{00000000-0005-0000-0000-00009C190000}"/>
    <cellStyle name="currency-$ 11" xfId="6049" xr:uid="{00000000-0005-0000-0000-00009D190000}"/>
    <cellStyle name="currency-$ 11 2" xfId="6050" xr:uid="{00000000-0005-0000-0000-00009E190000}"/>
    <cellStyle name="currency-$ 11 2 2" xfId="6051" xr:uid="{00000000-0005-0000-0000-00009F190000}"/>
    <cellStyle name="currency-$ 11 2 2 2" xfId="6052" xr:uid="{00000000-0005-0000-0000-0000A0190000}"/>
    <cellStyle name="currency-$ 11 2 2 3" xfId="6053" xr:uid="{00000000-0005-0000-0000-0000A1190000}"/>
    <cellStyle name="currency-$ 11 2 2 4" xfId="6054" xr:uid="{00000000-0005-0000-0000-0000A2190000}"/>
    <cellStyle name="currency-$ 11 2 2 5" xfId="6055" xr:uid="{00000000-0005-0000-0000-0000A3190000}"/>
    <cellStyle name="currency-$ 11 3" xfId="6056" xr:uid="{00000000-0005-0000-0000-0000A4190000}"/>
    <cellStyle name="currency-$ 11 3 2" xfId="6057" xr:uid="{00000000-0005-0000-0000-0000A5190000}"/>
    <cellStyle name="currency-$ 11 3 3" xfId="6058" xr:uid="{00000000-0005-0000-0000-0000A6190000}"/>
    <cellStyle name="currency-$ 11 3 4" xfId="6059" xr:uid="{00000000-0005-0000-0000-0000A7190000}"/>
    <cellStyle name="currency-$ 11 3 5" xfId="6060" xr:uid="{00000000-0005-0000-0000-0000A8190000}"/>
    <cellStyle name="currency-$ 12" xfId="6061" xr:uid="{00000000-0005-0000-0000-0000A9190000}"/>
    <cellStyle name="currency-$ 12 2" xfId="6062" xr:uid="{00000000-0005-0000-0000-0000AA190000}"/>
    <cellStyle name="currency-$ 12 2 2" xfId="6063" xr:uid="{00000000-0005-0000-0000-0000AB190000}"/>
    <cellStyle name="currency-$ 12 2 2 2" xfId="6064" xr:uid="{00000000-0005-0000-0000-0000AC190000}"/>
    <cellStyle name="currency-$ 12 2 2 3" xfId="6065" xr:uid="{00000000-0005-0000-0000-0000AD190000}"/>
    <cellStyle name="currency-$ 12 2 2 4" xfId="6066" xr:uid="{00000000-0005-0000-0000-0000AE190000}"/>
    <cellStyle name="currency-$ 12 2 2 5" xfId="6067" xr:uid="{00000000-0005-0000-0000-0000AF190000}"/>
    <cellStyle name="currency-$ 12 3" xfId="6068" xr:uid="{00000000-0005-0000-0000-0000B0190000}"/>
    <cellStyle name="currency-$ 12 3 2" xfId="6069" xr:uid="{00000000-0005-0000-0000-0000B1190000}"/>
    <cellStyle name="currency-$ 12 3 3" xfId="6070" xr:uid="{00000000-0005-0000-0000-0000B2190000}"/>
    <cellStyle name="currency-$ 12 3 4" xfId="6071" xr:uid="{00000000-0005-0000-0000-0000B3190000}"/>
    <cellStyle name="currency-$ 12 3 5" xfId="6072" xr:uid="{00000000-0005-0000-0000-0000B4190000}"/>
    <cellStyle name="currency-$ 13" xfId="6073" xr:uid="{00000000-0005-0000-0000-0000B5190000}"/>
    <cellStyle name="currency-$ 13 2" xfId="6074" xr:uid="{00000000-0005-0000-0000-0000B6190000}"/>
    <cellStyle name="currency-$ 13 2 2" xfId="6075" xr:uid="{00000000-0005-0000-0000-0000B7190000}"/>
    <cellStyle name="currency-$ 13 2 2 2" xfId="6076" xr:uid="{00000000-0005-0000-0000-0000B8190000}"/>
    <cellStyle name="currency-$ 13 2 2 3" xfId="6077" xr:uid="{00000000-0005-0000-0000-0000B9190000}"/>
    <cellStyle name="currency-$ 13 2 2 4" xfId="6078" xr:uid="{00000000-0005-0000-0000-0000BA190000}"/>
    <cellStyle name="currency-$ 13 2 2 5" xfId="6079" xr:uid="{00000000-0005-0000-0000-0000BB190000}"/>
    <cellStyle name="currency-$ 13 3" xfId="6080" xr:uid="{00000000-0005-0000-0000-0000BC190000}"/>
    <cellStyle name="currency-$ 13 3 2" xfId="6081" xr:uid="{00000000-0005-0000-0000-0000BD190000}"/>
    <cellStyle name="currency-$ 13 3 3" xfId="6082" xr:uid="{00000000-0005-0000-0000-0000BE190000}"/>
    <cellStyle name="currency-$ 13 3 4" xfId="6083" xr:uid="{00000000-0005-0000-0000-0000BF190000}"/>
    <cellStyle name="currency-$ 13 3 5" xfId="6084" xr:uid="{00000000-0005-0000-0000-0000C0190000}"/>
    <cellStyle name="currency-$ 14" xfId="6085" xr:uid="{00000000-0005-0000-0000-0000C1190000}"/>
    <cellStyle name="currency-$ 14 2" xfId="6086" xr:uid="{00000000-0005-0000-0000-0000C2190000}"/>
    <cellStyle name="currency-$ 14 2 2" xfId="6087" xr:uid="{00000000-0005-0000-0000-0000C3190000}"/>
    <cellStyle name="currency-$ 14 2 2 2" xfId="6088" xr:uid="{00000000-0005-0000-0000-0000C4190000}"/>
    <cellStyle name="currency-$ 14 2 2 3" xfId="6089" xr:uid="{00000000-0005-0000-0000-0000C5190000}"/>
    <cellStyle name="currency-$ 14 2 2 4" xfId="6090" xr:uid="{00000000-0005-0000-0000-0000C6190000}"/>
    <cellStyle name="currency-$ 14 2 2 5" xfId="6091" xr:uid="{00000000-0005-0000-0000-0000C7190000}"/>
    <cellStyle name="currency-$ 14 3" xfId="6092" xr:uid="{00000000-0005-0000-0000-0000C8190000}"/>
    <cellStyle name="currency-$ 14 3 2" xfId="6093" xr:uid="{00000000-0005-0000-0000-0000C9190000}"/>
    <cellStyle name="currency-$ 14 3 3" xfId="6094" xr:uid="{00000000-0005-0000-0000-0000CA190000}"/>
    <cellStyle name="currency-$ 14 3 4" xfId="6095" xr:uid="{00000000-0005-0000-0000-0000CB190000}"/>
    <cellStyle name="currency-$ 14 3 5" xfId="6096" xr:uid="{00000000-0005-0000-0000-0000CC190000}"/>
    <cellStyle name="currency-$ 15" xfId="6097" xr:uid="{00000000-0005-0000-0000-0000CD190000}"/>
    <cellStyle name="currency-$ 15 2" xfId="6098" xr:uid="{00000000-0005-0000-0000-0000CE190000}"/>
    <cellStyle name="currency-$ 15 2 2" xfId="6099" xr:uid="{00000000-0005-0000-0000-0000CF190000}"/>
    <cellStyle name="currency-$ 15 2 2 2" xfId="6100" xr:uid="{00000000-0005-0000-0000-0000D0190000}"/>
    <cellStyle name="currency-$ 15 2 2 3" xfId="6101" xr:uid="{00000000-0005-0000-0000-0000D1190000}"/>
    <cellStyle name="currency-$ 15 2 2 4" xfId="6102" xr:uid="{00000000-0005-0000-0000-0000D2190000}"/>
    <cellStyle name="currency-$ 15 2 2 5" xfId="6103" xr:uid="{00000000-0005-0000-0000-0000D3190000}"/>
    <cellStyle name="currency-$ 15 3" xfId="6104" xr:uid="{00000000-0005-0000-0000-0000D4190000}"/>
    <cellStyle name="currency-$ 15 3 2" xfId="6105" xr:uid="{00000000-0005-0000-0000-0000D5190000}"/>
    <cellStyle name="currency-$ 15 3 3" xfId="6106" xr:uid="{00000000-0005-0000-0000-0000D6190000}"/>
    <cellStyle name="currency-$ 15 3 4" xfId="6107" xr:uid="{00000000-0005-0000-0000-0000D7190000}"/>
    <cellStyle name="currency-$ 15 3 5" xfId="6108" xr:uid="{00000000-0005-0000-0000-0000D8190000}"/>
    <cellStyle name="currency-$ 16" xfId="6109" xr:uid="{00000000-0005-0000-0000-0000D9190000}"/>
    <cellStyle name="currency-$ 16 2" xfId="6110" xr:uid="{00000000-0005-0000-0000-0000DA190000}"/>
    <cellStyle name="currency-$ 16 2 2" xfId="6111" xr:uid="{00000000-0005-0000-0000-0000DB190000}"/>
    <cellStyle name="currency-$ 16 2 2 2" xfId="6112" xr:uid="{00000000-0005-0000-0000-0000DC190000}"/>
    <cellStyle name="currency-$ 16 2 2 3" xfId="6113" xr:uid="{00000000-0005-0000-0000-0000DD190000}"/>
    <cellStyle name="currency-$ 16 2 2 4" xfId="6114" xr:uid="{00000000-0005-0000-0000-0000DE190000}"/>
    <cellStyle name="currency-$ 16 2 2 5" xfId="6115" xr:uid="{00000000-0005-0000-0000-0000DF190000}"/>
    <cellStyle name="currency-$ 16 3" xfId="6116" xr:uid="{00000000-0005-0000-0000-0000E0190000}"/>
    <cellStyle name="currency-$ 16 3 2" xfId="6117" xr:uid="{00000000-0005-0000-0000-0000E1190000}"/>
    <cellStyle name="currency-$ 16 3 3" xfId="6118" xr:uid="{00000000-0005-0000-0000-0000E2190000}"/>
    <cellStyle name="currency-$ 16 3 4" xfId="6119" xr:uid="{00000000-0005-0000-0000-0000E3190000}"/>
    <cellStyle name="currency-$ 16 3 5" xfId="6120" xr:uid="{00000000-0005-0000-0000-0000E4190000}"/>
    <cellStyle name="currency-$ 17" xfId="6121" xr:uid="{00000000-0005-0000-0000-0000E5190000}"/>
    <cellStyle name="currency-$ 17 2" xfId="6122" xr:uid="{00000000-0005-0000-0000-0000E6190000}"/>
    <cellStyle name="currency-$ 17 2 2" xfId="6123" xr:uid="{00000000-0005-0000-0000-0000E7190000}"/>
    <cellStyle name="currency-$ 17 2 2 2" xfId="6124" xr:uid="{00000000-0005-0000-0000-0000E8190000}"/>
    <cellStyle name="currency-$ 17 2 2 3" xfId="6125" xr:uid="{00000000-0005-0000-0000-0000E9190000}"/>
    <cellStyle name="currency-$ 17 2 2 4" xfId="6126" xr:uid="{00000000-0005-0000-0000-0000EA190000}"/>
    <cellStyle name="currency-$ 17 2 2 5" xfId="6127" xr:uid="{00000000-0005-0000-0000-0000EB190000}"/>
    <cellStyle name="currency-$ 17 3" xfId="6128" xr:uid="{00000000-0005-0000-0000-0000EC190000}"/>
    <cellStyle name="currency-$ 17 3 2" xfId="6129" xr:uid="{00000000-0005-0000-0000-0000ED190000}"/>
    <cellStyle name="currency-$ 17 3 3" xfId="6130" xr:uid="{00000000-0005-0000-0000-0000EE190000}"/>
    <cellStyle name="currency-$ 17 3 4" xfId="6131" xr:uid="{00000000-0005-0000-0000-0000EF190000}"/>
    <cellStyle name="currency-$ 17 3 5" xfId="6132" xr:uid="{00000000-0005-0000-0000-0000F0190000}"/>
    <cellStyle name="currency-$ 18" xfId="6133" xr:uid="{00000000-0005-0000-0000-0000F1190000}"/>
    <cellStyle name="currency-$ 18 2" xfId="6134" xr:uid="{00000000-0005-0000-0000-0000F2190000}"/>
    <cellStyle name="currency-$ 18 2 2" xfId="6135" xr:uid="{00000000-0005-0000-0000-0000F3190000}"/>
    <cellStyle name="currency-$ 18 2 2 2" xfId="6136" xr:uid="{00000000-0005-0000-0000-0000F4190000}"/>
    <cellStyle name="currency-$ 18 2 2 3" xfId="6137" xr:uid="{00000000-0005-0000-0000-0000F5190000}"/>
    <cellStyle name="currency-$ 18 2 2 4" xfId="6138" xr:uid="{00000000-0005-0000-0000-0000F6190000}"/>
    <cellStyle name="currency-$ 18 2 2 5" xfId="6139" xr:uid="{00000000-0005-0000-0000-0000F7190000}"/>
    <cellStyle name="currency-$ 18 3" xfId="6140" xr:uid="{00000000-0005-0000-0000-0000F8190000}"/>
    <cellStyle name="currency-$ 18 3 2" xfId="6141" xr:uid="{00000000-0005-0000-0000-0000F9190000}"/>
    <cellStyle name="currency-$ 18 3 3" xfId="6142" xr:uid="{00000000-0005-0000-0000-0000FA190000}"/>
    <cellStyle name="currency-$ 18 3 4" xfId="6143" xr:uid="{00000000-0005-0000-0000-0000FB190000}"/>
    <cellStyle name="currency-$ 18 3 5" xfId="6144" xr:uid="{00000000-0005-0000-0000-0000FC190000}"/>
    <cellStyle name="currency-$ 19" xfId="6145" xr:uid="{00000000-0005-0000-0000-0000FD190000}"/>
    <cellStyle name="currency-$ 19 2" xfId="6146" xr:uid="{00000000-0005-0000-0000-0000FE190000}"/>
    <cellStyle name="currency-$ 19 2 2" xfId="6147" xr:uid="{00000000-0005-0000-0000-0000FF190000}"/>
    <cellStyle name="currency-$ 19 2 2 2" xfId="6148" xr:uid="{00000000-0005-0000-0000-0000001A0000}"/>
    <cellStyle name="currency-$ 19 2 2 3" xfId="6149" xr:uid="{00000000-0005-0000-0000-0000011A0000}"/>
    <cellStyle name="currency-$ 19 2 2 4" xfId="6150" xr:uid="{00000000-0005-0000-0000-0000021A0000}"/>
    <cellStyle name="currency-$ 19 2 2 5" xfId="6151" xr:uid="{00000000-0005-0000-0000-0000031A0000}"/>
    <cellStyle name="currency-$ 19 3" xfId="6152" xr:uid="{00000000-0005-0000-0000-0000041A0000}"/>
    <cellStyle name="currency-$ 19 3 2" xfId="6153" xr:uid="{00000000-0005-0000-0000-0000051A0000}"/>
    <cellStyle name="currency-$ 19 3 3" xfId="6154" xr:uid="{00000000-0005-0000-0000-0000061A0000}"/>
    <cellStyle name="currency-$ 19 3 4" xfId="6155" xr:uid="{00000000-0005-0000-0000-0000071A0000}"/>
    <cellStyle name="currency-$ 19 3 5" xfId="6156" xr:uid="{00000000-0005-0000-0000-0000081A0000}"/>
    <cellStyle name="currency-$ 2" xfId="6157" xr:uid="{00000000-0005-0000-0000-0000091A0000}"/>
    <cellStyle name="currency-$ 2 2" xfId="6158" xr:uid="{00000000-0005-0000-0000-00000A1A0000}"/>
    <cellStyle name="currency-$ 2 2 2" xfId="6159" xr:uid="{00000000-0005-0000-0000-00000B1A0000}"/>
    <cellStyle name="currency-$ 2 2 2 2" xfId="6160" xr:uid="{00000000-0005-0000-0000-00000C1A0000}"/>
    <cellStyle name="currency-$ 2 2 2 3" xfId="6161" xr:uid="{00000000-0005-0000-0000-00000D1A0000}"/>
    <cellStyle name="currency-$ 2 2 2 4" xfId="6162" xr:uid="{00000000-0005-0000-0000-00000E1A0000}"/>
    <cellStyle name="currency-$ 2 2 2 5" xfId="6163" xr:uid="{00000000-0005-0000-0000-00000F1A0000}"/>
    <cellStyle name="currency-$ 2 3" xfId="6164" xr:uid="{00000000-0005-0000-0000-0000101A0000}"/>
    <cellStyle name="currency-$ 2 3 2" xfId="6165" xr:uid="{00000000-0005-0000-0000-0000111A0000}"/>
    <cellStyle name="currency-$ 2 3 3" xfId="6166" xr:uid="{00000000-0005-0000-0000-0000121A0000}"/>
    <cellStyle name="currency-$ 2 3 4" xfId="6167" xr:uid="{00000000-0005-0000-0000-0000131A0000}"/>
    <cellStyle name="currency-$ 2 3 5" xfId="6168" xr:uid="{00000000-0005-0000-0000-0000141A0000}"/>
    <cellStyle name="currency-$ 20" xfId="6169" xr:uid="{00000000-0005-0000-0000-0000151A0000}"/>
    <cellStyle name="currency-$ 20 2" xfId="6170" xr:uid="{00000000-0005-0000-0000-0000161A0000}"/>
    <cellStyle name="currency-$ 20 2 2" xfId="6171" xr:uid="{00000000-0005-0000-0000-0000171A0000}"/>
    <cellStyle name="currency-$ 20 2 2 2" xfId="6172" xr:uid="{00000000-0005-0000-0000-0000181A0000}"/>
    <cellStyle name="currency-$ 20 2 2 3" xfId="6173" xr:uid="{00000000-0005-0000-0000-0000191A0000}"/>
    <cellStyle name="currency-$ 20 2 2 4" xfId="6174" xr:uid="{00000000-0005-0000-0000-00001A1A0000}"/>
    <cellStyle name="currency-$ 20 2 2 5" xfId="6175" xr:uid="{00000000-0005-0000-0000-00001B1A0000}"/>
    <cellStyle name="currency-$ 20 3" xfId="6176" xr:uid="{00000000-0005-0000-0000-00001C1A0000}"/>
    <cellStyle name="currency-$ 20 3 2" xfId="6177" xr:uid="{00000000-0005-0000-0000-00001D1A0000}"/>
    <cellStyle name="currency-$ 20 3 3" xfId="6178" xr:uid="{00000000-0005-0000-0000-00001E1A0000}"/>
    <cellStyle name="currency-$ 20 3 4" xfId="6179" xr:uid="{00000000-0005-0000-0000-00001F1A0000}"/>
    <cellStyle name="currency-$ 20 3 5" xfId="6180" xr:uid="{00000000-0005-0000-0000-0000201A0000}"/>
    <cellStyle name="currency-$ 21" xfId="6181" xr:uid="{00000000-0005-0000-0000-0000211A0000}"/>
    <cellStyle name="currency-$ 21 2" xfId="6182" xr:uid="{00000000-0005-0000-0000-0000221A0000}"/>
    <cellStyle name="currency-$ 21 2 2" xfId="6183" xr:uid="{00000000-0005-0000-0000-0000231A0000}"/>
    <cellStyle name="currency-$ 21 2 2 2" xfId="6184" xr:uid="{00000000-0005-0000-0000-0000241A0000}"/>
    <cellStyle name="currency-$ 21 2 2 3" xfId="6185" xr:uid="{00000000-0005-0000-0000-0000251A0000}"/>
    <cellStyle name="currency-$ 21 2 2 4" xfId="6186" xr:uid="{00000000-0005-0000-0000-0000261A0000}"/>
    <cellStyle name="currency-$ 21 2 2 5" xfId="6187" xr:uid="{00000000-0005-0000-0000-0000271A0000}"/>
    <cellStyle name="currency-$ 21 3" xfId="6188" xr:uid="{00000000-0005-0000-0000-0000281A0000}"/>
    <cellStyle name="currency-$ 21 3 2" xfId="6189" xr:uid="{00000000-0005-0000-0000-0000291A0000}"/>
    <cellStyle name="currency-$ 21 3 3" xfId="6190" xr:uid="{00000000-0005-0000-0000-00002A1A0000}"/>
    <cellStyle name="currency-$ 21 3 4" xfId="6191" xr:uid="{00000000-0005-0000-0000-00002B1A0000}"/>
    <cellStyle name="currency-$ 21 3 5" xfId="6192" xr:uid="{00000000-0005-0000-0000-00002C1A0000}"/>
    <cellStyle name="currency-$ 22" xfId="6193" xr:uid="{00000000-0005-0000-0000-00002D1A0000}"/>
    <cellStyle name="currency-$ 22 2" xfId="6194" xr:uid="{00000000-0005-0000-0000-00002E1A0000}"/>
    <cellStyle name="currency-$ 22 2 2" xfId="6195" xr:uid="{00000000-0005-0000-0000-00002F1A0000}"/>
    <cellStyle name="currency-$ 22 2 2 2" xfId="6196" xr:uid="{00000000-0005-0000-0000-0000301A0000}"/>
    <cellStyle name="currency-$ 22 2 2 3" xfId="6197" xr:uid="{00000000-0005-0000-0000-0000311A0000}"/>
    <cellStyle name="currency-$ 22 2 2 4" xfId="6198" xr:uid="{00000000-0005-0000-0000-0000321A0000}"/>
    <cellStyle name="currency-$ 22 2 2 5" xfId="6199" xr:uid="{00000000-0005-0000-0000-0000331A0000}"/>
    <cellStyle name="currency-$ 22 3" xfId="6200" xr:uid="{00000000-0005-0000-0000-0000341A0000}"/>
    <cellStyle name="currency-$ 22 3 2" xfId="6201" xr:uid="{00000000-0005-0000-0000-0000351A0000}"/>
    <cellStyle name="currency-$ 22 3 3" xfId="6202" xr:uid="{00000000-0005-0000-0000-0000361A0000}"/>
    <cellStyle name="currency-$ 22 3 4" xfId="6203" xr:uid="{00000000-0005-0000-0000-0000371A0000}"/>
    <cellStyle name="currency-$ 22 3 5" xfId="6204" xr:uid="{00000000-0005-0000-0000-0000381A0000}"/>
    <cellStyle name="currency-$ 23" xfId="6205" xr:uid="{00000000-0005-0000-0000-0000391A0000}"/>
    <cellStyle name="currency-$ 23 2" xfId="6206" xr:uid="{00000000-0005-0000-0000-00003A1A0000}"/>
    <cellStyle name="currency-$ 23 2 2" xfId="6207" xr:uid="{00000000-0005-0000-0000-00003B1A0000}"/>
    <cellStyle name="currency-$ 23 2 2 2" xfId="6208" xr:uid="{00000000-0005-0000-0000-00003C1A0000}"/>
    <cellStyle name="currency-$ 23 2 2 3" xfId="6209" xr:uid="{00000000-0005-0000-0000-00003D1A0000}"/>
    <cellStyle name="currency-$ 23 2 2 4" xfId="6210" xr:uid="{00000000-0005-0000-0000-00003E1A0000}"/>
    <cellStyle name="currency-$ 23 2 2 5" xfId="6211" xr:uid="{00000000-0005-0000-0000-00003F1A0000}"/>
    <cellStyle name="currency-$ 23 3" xfId="6212" xr:uid="{00000000-0005-0000-0000-0000401A0000}"/>
    <cellStyle name="currency-$ 23 3 2" xfId="6213" xr:uid="{00000000-0005-0000-0000-0000411A0000}"/>
    <cellStyle name="currency-$ 23 3 3" xfId="6214" xr:uid="{00000000-0005-0000-0000-0000421A0000}"/>
    <cellStyle name="currency-$ 23 3 4" xfId="6215" xr:uid="{00000000-0005-0000-0000-0000431A0000}"/>
    <cellStyle name="currency-$ 23 3 5" xfId="6216" xr:uid="{00000000-0005-0000-0000-0000441A0000}"/>
    <cellStyle name="currency-$ 24" xfId="6217" xr:uid="{00000000-0005-0000-0000-0000451A0000}"/>
    <cellStyle name="currency-$ 24 2" xfId="6218" xr:uid="{00000000-0005-0000-0000-0000461A0000}"/>
    <cellStyle name="currency-$ 24 2 2" xfId="6219" xr:uid="{00000000-0005-0000-0000-0000471A0000}"/>
    <cellStyle name="currency-$ 24 2 2 2" xfId="6220" xr:uid="{00000000-0005-0000-0000-0000481A0000}"/>
    <cellStyle name="currency-$ 24 2 2 3" xfId="6221" xr:uid="{00000000-0005-0000-0000-0000491A0000}"/>
    <cellStyle name="currency-$ 24 2 2 4" xfId="6222" xr:uid="{00000000-0005-0000-0000-00004A1A0000}"/>
    <cellStyle name="currency-$ 24 2 2 5" xfId="6223" xr:uid="{00000000-0005-0000-0000-00004B1A0000}"/>
    <cellStyle name="currency-$ 24 3" xfId="6224" xr:uid="{00000000-0005-0000-0000-00004C1A0000}"/>
    <cellStyle name="currency-$ 24 3 2" xfId="6225" xr:uid="{00000000-0005-0000-0000-00004D1A0000}"/>
    <cellStyle name="currency-$ 24 3 3" xfId="6226" xr:uid="{00000000-0005-0000-0000-00004E1A0000}"/>
    <cellStyle name="currency-$ 24 3 4" xfId="6227" xr:uid="{00000000-0005-0000-0000-00004F1A0000}"/>
    <cellStyle name="currency-$ 24 3 5" xfId="6228" xr:uid="{00000000-0005-0000-0000-0000501A0000}"/>
    <cellStyle name="currency-$ 25" xfId="6229" xr:uid="{00000000-0005-0000-0000-0000511A0000}"/>
    <cellStyle name="currency-$ 25 2" xfId="6230" xr:uid="{00000000-0005-0000-0000-0000521A0000}"/>
    <cellStyle name="currency-$ 25 2 2" xfId="6231" xr:uid="{00000000-0005-0000-0000-0000531A0000}"/>
    <cellStyle name="currency-$ 25 2 2 2" xfId="6232" xr:uid="{00000000-0005-0000-0000-0000541A0000}"/>
    <cellStyle name="currency-$ 25 2 2 3" xfId="6233" xr:uid="{00000000-0005-0000-0000-0000551A0000}"/>
    <cellStyle name="currency-$ 25 2 2 4" xfId="6234" xr:uid="{00000000-0005-0000-0000-0000561A0000}"/>
    <cellStyle name="currency-$ 25 2 2 5" xfId="6235" xr:uid="{00000000-0005-0000-0000-0000571A0000}"/>
    <cellStyle name="currency-$ 25 3" xfId="6236" xr:uid="{00000000-0005-0000-0000-0000581A0000}"/>
    <cellStyle name="currency-$ 25 3 2" xfId="6237" xr:uid="{00000000-0005-0000-0000-0000591A0000}"/>
    <cellStyle name="currency-$ 25 3 3" xfId="6238" xr:uid="{00000000-0005-0000-0000-00005A1A0000}"/>
    <cellStyle name="currency-$ 25 3 4" xfId="6239" xr:uid="{00000000-0005-0000-0000-00005B1A0000}"/>
    <cellStyle name="currency-$ 25 3 5" xfId="6240" xr:uid="{00000000-0005-0000-0000-00005C1A0000}"/>
    <cellStyle name="currency-$ 26" xfId="6241" xr:uid="{00000000-0005-0000-0000-00005D1A0000}"/>
    <cellStyle name="currency-$ 26 2" xfId="6242" xr:uid="{00000000-0005-0000-0000-00005E1A0000}"/>
    <cellStyle name="currency-$ 26 2 2" xfId="6243" xr:uid="{00000000-0005-0000-0000-00005F1A0000}"/>
    <cellStyle name="currency-$ 26 2 2 2" xfId="6244" xr:uid="{00000000-0005-0000-0000-0000601A0000}"/>
    <cellStyle name="currency-$ 26 2 2 3" xfId="6245" xr:uid="{00000000-0005-0000-0000-0000611A0000}"/>
    <cellStyle name="currency-$ 26 2 2 4" xfId="6246" xr:uid="{00000000-0005-0000-0000-0000621A0000}"/>
    <cellStyle name="currency-$ 26 2 2 5" xfId="6247" xr:uid="{00000000-0005-0000-0000-0000631A0000}"/>
    <cellStyle name="currency-$ 26 3" xfId="6248" xr:uid="{00000000-0005-0000-0000-0000641A0000}"/>
    <cellStyle name="currency-$ 26 3 2" xfId="6249" xr:uid="{00000000-0005-0000-0000-0000651A0000}"/>
    <cellStyle name="currency-$ 26 3 3" xfId="6250" xr:uid="{00000000-0005-0000-0000-0000661A0000}"/>
    <cellStyle name="currency-$ 26 3 4" xfId="6251" xr:uid="{00000000-0005-0000-0000-0000671A0000}"/>
    <cellStyle name="currency-$ 26 3 5" xfId="6252" xr:uid="{00000000-0005-0000-0000-0000681A0000}"/>
    <cellStyle name="currency-$ 27" xfId="6253" xr:uid="{00000000-0005-0000-0000-0000691A0000}"/>
    <cellStyle name="currency-$ 27 2" xfId="6254" xr:uid="{00000000-0005-0000-0000-00006A1A0000}"/>
    <cellStyle name="currency-$ 27 2 2" xfId="6255" xr:uid="{00000000-0005-0000-0000-00006B1A0000}"/>
    <cellStyle name="currency-$ 27 2 2 2" xfId="6256" xr:uid="{00000000-0005-0000-0000-00006C1A0000}"/>
    <cellStyle name="currency-$ 27 2 2 3" xfId="6257" xr:uid="{00000000-0005-0000-0000-00006D1A0000}"/>
    <cellStyle name="currency-$ 27 2 2 4" xfId="6258" xr:uid="{00000000-0005-0000-0000-00006E1A0000}"/>
    <cellStyle name="currency-$ 27 2 2 5" xfId="6259" xr:uid="{00000000-0005-0000-0000-00006F1A0000}"/>
    <cellStyle name="currency-$ 27 3" xfId="6260" xr:uid="{00000000-0005-0000-0000-0000701A0000}"/>
    <cellStyle name="currency-$ 27 3 2" xfId="6261" xr:uid="{00000000-0005-0000-0000-0000711A0000}"/>
    <cellStyle name="currency-$ 27 3 3" xfId="6262" xr:uid="{00000000-0005-0000-0000-0000721A0000}"/>
    <cellStyle name="currency-$ 27 3 4" xfId="6263" xr:uid="{00000000-0005-0000-0000-0000731A0000}"/>
    <cellStyle name="currency-$ 27 3 5" xfId="6264" xr:uid="{00000000-0005-0000-0000-0000741A0000}"/>
    <cellStyle name="currency-$ 28" xfId="6265" xr:uid="{00000000-0005-0000-0000-0000751A0000}"/>
    <cellStyle name="currency-$ 28 2" xfId="6266" xr:uid="{00000000-0005-0000-0000-0000761A0000}"/>
    <cellStyle name="currency-$ 28 2 2" xfId="6267" xr:uid="{00000000-0005-0000-0000-0000771A0000}"/>
    <cellStyle name="currency-$ 28 2 2 2" xfId="6268" xr:uid="{00000000-0005-0000-0000-0000781A0000}"/>
    <cellStyle name="currency-$ 28 2 2 3" xfId="6269" xr:uid="{00000000-0005-0000-0000-0000791A0000}"/>
    <cellStyle name="currency-$ 28 2 2 4" xfId="6270" xr:uid="{00000000-0005-0000-0000-00007A1A0000}"/>
    <cellStyle name="currency-$ 28 2 2 5" xfId="6271" xr:uid="{00000000-0005-0000-0000-00007B1A0000}"/>
    <cellStyle name="currency-$ 28 3" xfId="6272" xr:uid="{00000000-0005-0000-0000-00007C1A0000}"/>
    <cellStyle name="currency-$ 28 3 2" xfId="6273" xr:uid="{00000000-0005-0000-0000-00007D1A0000}"/>
    <cellStyle name="currency-$ 28 3 3" xfId="6274" xr:uid="{00000000-0005-0000-0000-00007E1A0000}"/>
    <cellStyle name="currency-$ 28 3 4" xfId="6275" xr:uid="{00000000-0005-0000-0000-00007F1A0000}"/>
    <cellStyle name="currency-$ 28 3 5" xfId="6276" xr:uid="{00000000-0005-0000-0000-0000801A0000}"/>
    <cellStyle name="currency-$ 29" xfId="6277" xr:uid="{00000000-0005-0000-0000-0000811A0000}"/>
    <cellStyle name="currency-$ 29 2" xfId="6278" xr:uid="{00000000-0005-0000-0000-0000821A0000}"/>
    <cellStyle name="currency-$ 29 2 2" xfId="6279" xr:uid="{00000000-0005-0000-0000-0000831A0000}"/>
    <cellStyle name="currency-$ 29 2 2 2" xfId="6280" xr:uid="{00000000-0005-0000-0000-0000841A0000}"/>
    <cellStyle name="currency-$ 29 2 2 3" xfId="6281" xr:uid="{00000000-0005-0000-0000-0000851A0000}"/>
    <cellStyle name="currency-$ 29 2 2 4" xfId="6282" xr:uid="{00000000-0005-0000-0000-0000861A0000}"/>
    <cellStyle name="currency-$ 29 2 2 5" xfId="6283" xr:uid="{00000000-0005-0000-0000-0000871A0000}"/>
    <cellStyle name="currency-$ 29 3" xfId="6284" xr:uid="{00000000-0005-0000-0000-0000881A0000}"/>
    <cellStyle name="currency-$ 29 3 2" xfId="6285" xr:uid="{00000000-0005-0000-0000-0000891A0000}"/>
    <cellStyle name="currency-$ 29 3 3" xfId="6286" xr:uid="{00000000-0005-0000-0000-00008A1A0000}"/>
    <cellStyle name="currency-$ 29 3 4" xfId="6287" xr:uid="{00000000-0005-0000-0000-00008B1A0000}"/>
    <cellStyle name="currency-$ 29 3 5" xfId="6288" xr:uid="{00000000-0005-0000-0000-00008C1A0000}"/>
    <cellStyle name="currency-$ 3" xfId="6289" xr:uid="{00000000-0005-0000-0000-00008D1A0000}"/>
    <cellStyle name="currency-$ 3 2" xfId="6290" xr:uid="{00000000-0005-0000-0000-00008E1A0000}"/>
    <cellStyle name="currency-$ 3 2 2" xfId="6291" xr:uid="{00000000-0005-0000-0000-00008F1A0000}"/>
    <cellStyle name="currency-$ 3 2 2 2" xfId="6292" xr:uid="{00000000-0005-0000-0000-0000901A0000}"/>
    <cellStyle name="currency-$ 3 2 2 3" xfId="6293" xr:uid="{00000000-0005-0000-0000-0000911A0000}"/>
    <cellStyle name="currency-$ 3 2 2 4" xfId="6294" xr:uid="{00000000-0005-0000-0000-0000921A0000}"/>
    <cellStyle name="currency-$ 3 2 2 5" xfId="6295" xr:uid="{00000000-0005-0000-0000-0000931A0000}"/>
    <cellStyle name="currency-$ 3 3" xfId="6296" xr:uid="{00000000-0005-0000-0000-0000941A0000}"/>
    <cellStyle name="currency-$ 3 3 2" xfId="6297" xr:uid="{00000000-0005-0000-0000-0000951A0000}"/>
    <cellStyle name="currency-$ 3 3 3" xfId="6298" xr:uid="{00000000-0005-0000-0000-0000961A0000}"/>
    <cellStyle name="currency-$ 3 3 4" xfId="6299" xr:uid="{00000000-0005-0000-0000-0000971A0000}"/>
    <cellStyle name="currency-$ 3 3 5" xfId="6300" xr:uid="{00000000-0005-0000-0000-0000981A0000}"/>
    <cellStyle name="currency-$ 30" xfId="6301" xr:uid="{00000000-0005-0000-0000-0000991A0000}"/>
    <cellStyle name="currency-$ 30 2" xfId="6302" xr:uid="{00000000-0005-0000-0000-00009A1A0000}"/>
    <cellStyle name="currency-$ 30 2 2" xfId="6303" xr:uid="{00000000-0005-0000-0000-00009B1A0000}"/>
    <cellStyle name="currency-$ 30 2 2 2" xfId="6304" xr:uid="{00000000-0005-0000-0000-00009C1A0000}"/>
    <cellStyle name="currency-$ 30 2 2 3" xfId="6305" xr:uid="{00000000-0005-0000-0000-00009D1A0000}"/>
    <cellStyle name="currency-$ 30 2 2 4" xfId="6306" xr:uid="{00000000-0005-0000-0000-00009E1A0000}"/>
    <cellStyle name="currency-$ 30 2 2 5" xfId="6307" xr:uid="{00000000-0005-0000-0000-00009F1A0000}"/>
    <cellStyle name="currency-$ 30 3" xfId="6308" xr:uid="{00000000-0005-0000-0000-0000A01A0000}"/>
    <cellStyle name="currency-$ 30 3 2" xfId="6309" xr:uid="{00000000-0005-0000-0000-0000A11A0000}"/>
    <cellStyle name="currency-$ 30 3 3" xfId="6310" xr:uid="{00000000-0005-0000-0000-0000A21A0000}"/>
    <cellStyle name="currency-$ 30 3 4" xfId="6311" xr:uid="{00000000-0005-0000-0000-0000A31A0000}"/>
    <cellStyle name="currency-$ 30 3 5" xfId="6312" xr:uid="{00000000-0005-0000-0000-0000A41A0000}"/>
    <cellStyle name="currency-$ 31" xfId="6313" xr:uid="{00000000-0005-0000-0000-0000A51A0000}"/>
    <cellStyle name="currency-$ 31 2" xfId="6314" xr:uid="{00000000-0005-0000-0000-0000A61A0000}"/>
    <cellStyle name="currency-$ 31 2 2" xfId="6315" xr:uid="{00000000-0005-0000-0000-0000A71A0000}"/>
    <cellStyle name="currency-$ 31 2 2 2" xfId="6316" xr:uid="{00000000-0005-0000-0000-0000A81A0000}"/>
    <cellStyle name="currency-$ 31 2 2 3" xfId="6317" xr:uid="{00000000-0005-0000-0000-0000A91A0000}"/>
    <cellStyle name="currency-$ 31 2 2 4" xfId="6318" xr:uid="{00000000-0005-0000-0000-0000AA1A0000}"/>
    <cellStyle name="currency-$ 31 2 2 5" xfId="6319" xr:uid="{00000000-0005-0000-0000-0000AB1A0000}"/>
    <cellStyle name="currency-$ 31 3" xfId="6320" xr:uid="{00000000-0005-0000-0000-0000AC1A0000}"/>
    <cellStyle name="currency-$ 31 3 2" xfId="6321" xr:uid="{00000000-0005-0000-0000-0000AD1A0000}"/>
    <cellStyle name="currency-$ 31 3 3" xfId="6322" xr:uid="{00000000-0005-0000-0000-0000AE1A0000}"/>
    <cellStyle name="currency-$ 31 3 4" xfId="6323" xr:uid="{00000000-0005-0000-0000-0000AF1A0000}"/>
    <cellStyle name="currency-$ 31 3 5" xfId="6324" xr:uid="{00000000-0005-0000-0000-0000B01A0000}"/>
    <cellStyle name="currency-$ 32" xfId="6325" xr:uid="{00000000-0005-0000-0000-0000B11A0000}"/>
    <cellStyle name="currency-$ 32 2" xfId="6326" xr:uid="{00000000-0005-0000-0000-0000B21A0000}"/>
    <cellStyle name="currency-$ 32 2 2" xfId="6327" xr:uid="{00000000-0005-0000-0000-0000B31A0000}"/>
    <cellStyle name="currency-$ 32 2 2 2" xfId="6328" xr:uid="{00000000-0005-0000-0000-0000B41A0000}"/>
    <cellStyle name="currency-$ 32 2 2 3" xfId="6329" xr:uid="{00000000-0005-0000-0000-0000B51A0000}"/>
    <cellStyle name="currency-$ 32 2 2 4" xfId="6330" xr:uid="{00000000-0005-0000-0000-0000B61A0000}"/>
    <cellStyle name="currency-$ 32 2 2 5" xfId="6331" xr:uid="{00000000-0005-0000-0000-0000B71A0000}"/>
    <cellStyle name="currency-$ 32 3" xfId="6332" xr:uid="{00000000-0005-0000-0000-0000B81A0000}"/>
    <cellStyle name="currency-$ 32 3 2" xfId="6333" xr:uid="{00000000-0005-0000-0000-0000B91A0000}"/>
    <cellStyle name="currency-$ 32 3 3" xfId="6334" xr:uid="{00000000-0005-0000-0000-0000BA1A0000}"/>
    <cellStyle name="currency-$ 32 3 4" xfId="6335" xr:uid="{00000000-0005-0000-0000-0000BB1A0000}"/>
    <cellStyle name="currency-$ 32 3 5" xfId="6336" xr:uid="{00000000-0005-0000-0000-0000BC1A0000}"/>
    <cellStyle name="currency-$ 33" xfId="6337" xr:uid="{00000000-0005-0000-0000-0000BD1A0000}"/>
    <cellStyle name="currency-$ 33 2" xfId="6338" xr:uid="{00000000-0005-0000-0000-0000BE1A0000}"/>
    <cellStyle name="currency-$ 33 2 2" xfId="6339" xr:uid="{00000000-0005-0000-0000-0000BF1A0000}"/>
    <cellStyle name="currency-$ 33 2 2 2" xfId="6340" xr:uid="{00000000-0005-0000-0000-0000C01A0000}"/>
    <cellStyle name="currency-$ 33 2 2 3" xfId="6341" xr:uid="{00000000-0005-0000-0000-0000C11A0000}"/>
    <cellStyle name="currency-$ 33 2 2 4" xfId="6342" xr:uid="{00000000-0005-0000-0000-0000C21A0000}"/>
    <cellStyle name="currency-$ 33 2 2 5" xfId="6343" xr:uid="{00000000-0005-0000-0000-0000C31A0000}"/>
    <cellStyle name="currency-$ 33 3" xfId="6344" xr:uid="{00000000-0005-0000-0000-0000C41A0000}"/>
    <cellStyle name="currency-$ 33 3 2" xfId="6345" xr:uid="{00000000-0005-0000-0000-0000C51A0000}"/>
    <cellStyle name="currency-$ 33 3 3" xfId="6346" xr:uid="{00000000-0005-0000-0000-0000C61A0000}"/>
    <cellStyle name="currency-$ 33 3 4" xfId="6347" xr:uid="{00000000-0005-0000-0000-0000C71A0000}"/>
    <cellStyle name="currency-$ 33 3 5" xfId="6348" xr:uid="{00000000-0005-0000-0000-0000C81A0000}"/>
    <cellStyle name="currency-$ 34" xfId="6349" xr:uid="{00000000-0005-0000-0000-0000C91A0000}"/>
    <cellStyle name="currency-$ 34 2" xfId="6350" xr:uid="{00000000-0005-0000-0000-0000CA1A0000}"/>
    <cellStyle name="currency-$ 34 2 2" xfId="6351" xr:uid="{00000000-0005-0000-0000-0000CB1A0000}"/>
    <cellStyle name="currency-$ 34 2 2 2" xfId="6352" xr:uid="{00000000-0005-0000-0000-0000CC1A0000}"/>
    <cellStyle name="currency-$ 34 2 2 3" xfId="6353" xr:uid="{00000000-0005-0000-0000-0000CD1A0000}"/>
    <cellStyle name="currency-$ 34 2 2 4" xfId="6354" xr:uid="{00000000-0005-0000-0000-0000CE1A0000}"/>
    <cellStyle name="currency-$ 34 2 2 5" xfId="6355" xr:uid="{00000000-0005-0000-0000-0000CF1A0000}"/>
    <cellStyle name="currency-$ 34 3" xfId="6356" xr:uid="{00000000-0005-0000-0000-0000D01A0000}"/>
    <cellStyle name="currency-$ 34 3 2" xfId="6357" xr:uid="{00000000-0005-0000-0000-0000D11A0000}"/>
    <cellStyle name="currency-$ 34 3 3" xfId="6358" xr:uid="{00000000-0005-0000-0000-0000D21A0000}"/>
    <cellStyle name="currency-$ 34 3 4" xfId="6359" xr:uid="{00000000-0005-0000-0000-0000D31A0000}"/>
    <cellStyle name="currency-$ 34 3 5" xfId="6360" xr:uid="{00000000-0005-0000-0000-0000D41A0000}"/>
    <cellStyle name="currency-$ 35" xfId="6361" xr:uid="{00000000-0005-0000-0000-0000D51A0000}"/>
    <cellStyle name="currency-$ 35 2" xfId="6362" xr:uid="{00000000-0005-0000-0000-0000D61A0000}"/>
    <cellStyle name="currency-$ 35 2 2" xfId="6363" xr:uid="{00000000-0005-0000-0000-0000D71A0000}"/>
    <cellStyle name="currency-$ 35 2 2 2" xfId="6364" xr:uid="{00000000-0005-0000-0000-0000D81A0000}"/>
    <cellStyle name="currency-$ 35 2 2 3" xfId="6365" xr:uid="{00000000-0005-0000-0000-0000D91A0000}"/>
    <cellStyle name="currency-$ 35 2 2 4" xfId="6366" xr:uid="{00000000-0005-0000-0000-0000DA1A0000}"/>
    <cellStyle name="currency-$ 35 2 2 5" xfId="6367" xr:uid="{00000000-0005-0000-0000-0000DB1A0000}"/>
    <cellStyle name="currency-$ 35 3" xfId="6368" xr:uid="{00000000-0005-0000-0000-0000DC1A0000}"/>
    <cellStyle name="currency-$ 35 3 2" xfId="6369" xr:uid="{00000000-0005-0000-0000-0000DD1A0000}"/>
    <cellStyle name="currency-$ 35 3 3" xfId="6370" xr:uid="{00000000-0005-0000-0000-0000DE1A0000}"/>
    <cellStyle name="currency-$ 35 3 4" xfId="6371" xr:uid="{00000000-0005-0000-0000-0000DF1A0000}"/>
    <cellStyle name="currency-$ 35 3 5" xfId="6372" xr:uid="{00000000-0005-0000-0000-0000E01A0000}"/>
    <cellStyle name="currency-$ 36" xfId="6373" xr:uid="{00000000-0005-0000-0000-0000E11A0000}"/>
    <cellStyle name="currency-$ 36 2" xfId="6374" xr:uid="{00000000-0005-0000-0000-0000E21A0000}"/>
    <cellStyle name="currency-$ 36 2 2" xfId="6375" xr:uid="{00000000-0005-0000-0000-0000E31A0000}"/>
    <cellStyle name="currency-$ 36 2 2 2" xfId="6376" xr:uid="{00000000-0005-0000-0000-0000E41A0000}"/>
    <cellStyle name="currency-$ 36 2 2 3" xfId="6377" xr:uid="{00000000-0005-0000-0000-0000E51A0000}"/>
    <cellStyle name="currency-$ 36 2 2 4" xfId="6378" xr:uid="{00000000-0005-0000-0000-0000E61A0000}"/>
    <cellStyle name="currency-$ 36 2 2 5" xfId="6379" xr:uid="{00000000-0005-0000-0000-0000E71A0000}"/>
    <cellStyle name="currency-$ 36 3" xfId="6380" xr:uid="{00000000-0005-0000-0000-0000E81A0000}"/>
    <cellStyle name="currency-$ 36 3 2" xfId="6381" xr:uid="{00000000-0005-0000-0000-0000E91A0000}"/>
    <cellStyle name="currency-$ 36 3 3" xfId="6382" xr:uid="{00000000-0005-0000-0000-0000EA1A0000}"/>
    <cellStyle name="currency-$ 36 3 4" xfId="6383" xr:uid="{00000000-0005-0000-0000-0000EB1A0000}"/>
    <cellStyle name="currency-$ 36 3 5" xfId="6384" xr:uid="{00000000-0005-0000-0000-0000EC1A0000}"/>
    <cellStyle name="currency-$ 37" xfId="6385" xr:uid="{00000000-0005-0000-0000-0000ED1A0000}"/>
    <cellStyle name="currency-$ 37 2" xfId="6386" xr:uid="{00000000-0005-0000-0000-0000EE1A0000}"/>
    <cellStyle name="currency-$ 37 2 2" xfId="6387" xr:uid="{00000000-0005-0000-0000-0000EF1A0000}"/>
    <cellStyle name="currency-$ 37 2 2 2" xfId="6388" xr:uid="{00000000-0005-0000-0000-0000F01A0000}"/>
    <cellStyle name="currency-$ 37 2 2 3" xfId="6389" xr:uid="{00000000-0005-0000-0000-0000F11A0000}"/>
    <cellStyle name="currency-$ 37 2 2 4" xfId="6390" xr:uid="{00000000-0005-0000-0000-0000F21A0000}"/>
    <cellStyle name="currency-$ 37 2 2 5" xfId="6391" xr:uid="{00000000-0005-0000-0000-0000F31A0000}"/>
    <cellStyle name="currency-$ 37 3" xfId="6392" xr:uid="{00000000-0005-0000-0000-0000F41A0000}"/>
    <cellStyle name="currency-$ 37 3 2" xfId="6393" xr:uid="{00000000-0005-0000-0000-0000F51A0000}"/>
    <cellStyle name="currency-$ 37 3 3" xfId="6394" xr:uid="{00000000-0005-0000-0000-0000F61A0000}"/>
    <cellStyle name="currency-$ 37 3 4" xfId="6395" xr:uid="{00000000-0005-0000-0000-0000F71A0000}"/>
    <cellStyle name="currency-$ 37 3 5" xfId="6396" xr:uid="{00000000-0005-0000-0000-0000F81A0000}"/>
    <cellStyle name="currency-$ 38" xfId="6397" xr:uid="{00000000-0005-0000-0000-0000F91A0000}"/>
    <cellStyle name="currency-$ 38 2" xfId="6398" xr:uid="{00000000-0005-0000-0000-0000FA1A0000}"/>
    <cellStyle name="currency-$ 38 2 2" xfId="6399" xr:uid="{00000000-0005-0000-0000-0000FB1A0000}"/>
    <cellStyle name="currency-$ 38 2 2 2" xfId="6400" xr:uid="{00000000-0005-0000-0000-0000FC1A0000}"/>
    <cellStyle name="currency-$ 38 2 2 3" xfId="6401" xr:uid="{00000000-0005-0000-0000-0000FD1A0000}"/>
    <cellStyle name="currency-$ 38 2 2 4" xfId="6402" xr:uid="{00000000-0005-0000-0000-0000FE1A0000}"/>
    <cellStyle name="currency-$ 38 2 2 5" xfId="6403" xr:uid="{00000000-0005-0000-0000-0000FF1A0000}"/>
    <cellStyle name="currency-$ 38 3" xfId="6404" xr:uid="{00000000-0005-0000-0000-0000001B0000}"/>
    <cellStyle name="currency-$ 38 3 2" xfId="6405" xr:uid="{00000000-0005-0000-0000-0000011B0000}"/>
    <cellStyle name="currency-$ 38 3 3" xfId="6406" xr:uid="{00000000-0005-0000-0000-0000021B0000}"/>
    <cellStyle name="currency-$ 38 3 4" xfId="6407" xr:uid="{00000000-0005-0000-0000-0000031B0000}"/>
    <cellStyle name="currency-$ 38 3 5" xfId="6408" xr:uid="{00000000-0005-0000-0000-0000041B0000}"/>
    <cellStyle name="currency-$ 39" xfId="6409" xr:uid="{00000000-0005-0000-0000-0000051B0000}"/>
    <cellStyle name="currency-$ 39 2" xfId="6410" xr:uid="{00000000-0005-0000-0000-0000061B0000}"/>
    <cellStyle name="currency-$ 39 2 2" xfId="6411" xr:uid="{00000000-0005-0000-0000-0000071B0000}"/>
    <cellStyle name="currency-$ 39 2 2 2" xfId="6412" xr:uid="{00000000-0005-0000-0000-0000081B0000}"/>
    <cellStyle name="currency-$ 39 2 2 3" xfId="6413" xr:uid="{00000000-0005-0000-0000-0000091B0000}"/>
    <cellStyle name="currency-$ 39 2 2 4" xfId="6414" xr:uid="{00000000-0005-0000-0000-00000A1B0000}"/>
    <cellStyle name="currency-$ 39 2 2 5" xfId="6415" xr:uid="{00000000-0005-0000-0000-00000B1B0000}"/>
    <cellStyle name="currency-$ 39 3" xfId="6416" xr:uid="{00000000-0005-0000-0000-00000C1B0000}"/>
    <cellStyle name="currency-$ 39 3 2" xfId="6417" xr:uid="{00000000-0005-0000-0000-00000D1B0000}"/>
    <cellStyle name="currency-$ 39 3 3" xfId="6418" xr:uid="{00000000-0005-0000-0000-00000E1B0000}"/>
    <cellStyle name="currency-$ 39 3 4" xfId="6419" xr:uid="{00000000-0005-0000-0000-00000F1B0000}"/>
    <cellStyle name="currency-$ 39 3 5" xfId="6420" xr:uid="{00000000-0005-0000-0000-0000101B0000}"/>
    <cellStyle name="currency-$ 4" xfId="6421" xr:uid="{00000000-0005-0000-0000-0000111B0000}"/>
    <cellStyle name="currency-$ 4 2" xfId="6422" xr:uid="{00000000-0005-0000-0000-0000121B0000}"/>
    <cellStyle name="currency-$ 4 2 2" xfId="6423" xr:uid="{00000000-0005-0000-0000-0000131B0000}"/>
    <cellStyle name="currency-$ 4 2 2 2" xfId="6424" xr:uid="{00000000-0005-0000-0000-0000141B0000}"/>
    <cellStyle name="currency-$ 4 2 2 3" xfId="6425" xr:uid="{00000000-0005-0000-0000-0000151B0000}"/>
    <cellStyle name="currency-$ 4 2 2 4" xfId="6426" xr:uid="{00000000-0005-0000-0000-0000161B0000}"/>
    <cellStyle name="currency-$ 4 2 2 5" xfId="6427" xr:uid="{00000000-0005-0000-0000-0000171B0000}"/>
    <cellStyle name="currency-$ 4 3" xfId="6428" xr:uid="{00000000-0005-0000-0000-0000181B0000}"/>
    <cellStyle name="currency-$ 4 3 2" xfId="6429" xr:uid="{00000000-0005-0000-0000-0000191B0000}"/>
    <cellStyle name="currency-$ 4 3 3" xfId="6430" xr:uid="{00000000-0005-0000-0000-00001A1B0000}"/>
    <cellStyle name="currency-$ 4 3 4" xfId="6431" xr:uid="{00000000-0005-0000-0000-00001B1B0000}"/>
    <cellStyle name="currency-$ 4 3 5" xfId="6432" xr:uid="{00000000-0005-0000-0000-00001C1B0000}"/>
    <cellStyle name="currency-$ 40" xfId="6433" xr:uid="{00000000-0005-0000-0000-00001D1B0000}"/>
    <cellStyle name="currency-$ 40 2" xfId="6434" xr:uid="{00000000-0005-0000-0000-00001E1B0000}"/>
    <cellStyle name="currency-$ 40 2 2" xfId="6435" xr:uid="{00000000-0005-0000-0000-00001F1B0000}"/>
    <cellStyle name="currency-$ 40 2 2 2" xfId="6436" xr:uid="{00000000-0005-0000-0000-0000201B0000}"/>
    <cellStyle name="currency-$ 40 2 2 3" xfId="6437" xr:uid="{00000000-0005-0000-0000-0000211B0000}"/>
    <cellStyle name="currency-$ 40 2 2 4" xfId="6438" xr:uid="{00000000-0005-0000-0000-0000221B0000}"/>
    <cellStyle name="currency-$ 40 2 2 5" xfId="6439" xr:uid="{00000000-0005-0000-0000-0000231B0000}"/>
    <cellStyle name="currency-$ 40 3" xfId="6440" xr:uid="{00000000-0005-0000-0000-0000241B0000}"/>
    <cellStyle name="currency-$ 40 3 2" xfId="6441" xr:uid="{00000000-0005-0000-0000-0000251B0000}"/>
    <cellStyle name="currency-$ 40 3 3" xfId="6442" xr:uid="{00000000-0005-0000-0000-0000261B0000}"/>
    <cellStyle name="currency-$ 40 3 4" xfId="6443" xr:uid="{00000000-0005-0000-0000-0000271B0000}"/>
    <cellStyle name="currency-$ 40 3 5" xfId="6444" xr:uid="{00000000-0005-0000-0000-0000281B0000}"/>
    <cellStyle name="currency-$ 41" xfId="6445" xr:uid="{00000000-0005-0000-0000-0000291B0000}"/>
    <cellStyle name="currency-$ 41 2" xfId="6446" xr:uid="{00000000-0005-0000-0000-00002A1B0000}"/>
    <cellStyle name="currency-$ 41 2 2" xfId="6447" xr:uid="{00000000-0005-0000-0000-00002B1B0000}"/>
    <cellStyle name="currency-$ 41 2 2 2" xfId="6448" xr:uid="{00000000-0005-0000-0000-00002C1B0000}"/>
    <cellStyle name="currency-$ 41 2 2 3" xfId="6449" xr:uid="{00000000-0005-0000-0000-00002D1B0000}"/>
    <cellStyle name="currency-$ 41 2 2 4" xfId="6450" xr:uid="{00000000-0005-0000-0000-00002E1B0000}"/>
    <cellStyle name="currency-$ 41 2 2 5" xfId="6451" xr:uid="{00000000-0005-0000-0000-00002F1B0000}"/>
    <cellStyle name="currency-$ 41 3" xfId="6452" xr:uid="{00000000-0005-0000-0000-0000301B0000}"/>
    <cellStyle name="currency-$ 41 3 2" xfId="6453" xr:uid="{00000000-0005-0000-0000-0000311B0000}"/>
    <cellStyle name="currency-$ 41 3 3" xfId="6454" xr:uid="{00000000-0005-0000-0000-0000321B0000}"/>
    <cellStyle name="currency-$ 41 3 4" xfId="6455" xr:uid="{00000000-0005-0000-0000-0000331B0000}"/>
    <cellStyle name="currency-$ 41 3 5" xfId="6456" xr:uid="{00000000-0005-0000-0000-0000341B0000}"/>
    <cellStyle name="currency-$ 42" xfId="6457" xr:uid="{00000000-0005-0000-0000-0000351B0000}"/>
    <cellStyle name="currency-$ 42 2" xfId="6458" xr:uid="{00000000-0005-0000-0000-0000361B0000}"/>
    <cellStyle name="currency-$ 42 2 2" xfId="6459" xr:uid="{00000000-0005-0000-0000-0000371B0000}"/>
    <cellStyle name="currency-$ 42 2 2 2" xfId="6460" xr:uid="{00000000-0005-0000-0000-0000381B0000}"/>
    <cellStyle name="currency-$ 42 2 2 3" xfId="6461" xr:uid="{00000000-0005-0000-0000-0000391B0000}"/>
    <cellStyle name="currency-$ 42 2 2 4" xfId="6462" xr:uid="{00000000-0005-0000-0000-00003A1B0000}"/>
    <cellStyle name="currency-$ 42 2 2 5" xfId="6463" xr:uid="{00000000-0005-0000-0000-00003B1B0000}"/>
    <cellStyle name="currency-$ 42 3" xfId="6464" xr:uid="{00000000-0005-0000-0000-00003C1B0000}"/>
    <cellStyle name="currency-$ 42 3 2" xfId="6465" xr:uid="{00000000-0005-0000-0000-00003D1B0000}"/>
    <cellStyle name="currency-$ 42 3 3" xfId="6466" xr:uid="{00000000-0005-0000-0000-00003E1B0000}"/>
    <cellStyle name="currency-$ 42 3 4" xfId="6467" xr:uid="{00000000-0005-0000-0000-00003F1B0000}"/>
    <cellStyle name="currency-$ 42 3 5" xfId="6468" xr:uid="{00000000-0005-0000-0000-0000401B0000}"/>
    <cellStyle name="currency-$ 43" xfId="6469" xr:uid="{00000000-0005-0000-0000-0000411B0000}"/>
    <cellStyle name="currency-$ 43 2" xfId="6470" xr:uid="{00000000-0005-0000-0000-0000421B0000}"/>
    <cellStyle name="currency-$ 43 2 2" xfId="6471" xr:uid="{00000000-0005-0000-0000-0000431B0000}"/>
    <cellStyle name="currency-$ 43 2 2 2" xfId="6472" xr:uid="{00000000-0005-0000-0000-0000441B0000}"/>
    <cellStyle name="currency-$ 43 2 2 3" xfId="6473" xr:uid="{00000000-0005-0000-0000-0000451B0000}"/>
    <cellStyle name="currency-$ 43 2 2 4" xfId="6474" xr:uid="{00000000-0005-0000-0000-0000461B0000}"/>
    <cellStyle name="currency-$ 43 2 2 5" xfId="6475" xr:uid="{00000000-0005-0000-0000-0000471B0000}"/>
    <cellStyle name="currency-$ 43 3" xfId="6476" xr:uid="{00000000-0005-0000-0000-0000481B0000}"/>
    <cellStyle name="currency-$ 43 3 2" xfId="6477" xr:uid="{00000000-0005-0000-0000-0000491B0000}"/>
    <cellStyle name="currency-$ 43 3 3" xfId="6478" xr:uid="{00000000-0005-0000-0000-00004A1B0000}"/>
    <cellStyle name="currency-$ 43 3 4" xfId="6479" xr:uid="{00000000-0005-0000-0000-00004B1B0000}"/>
    <cellStyle name="currency-$ 43 3 5" xfId="6480" xr:uid="{00000000-0005-0000-0000-00004C1B0000}"/>
    <cellStyle name="currency-$ 44" xfId="6481" xr:uid="{00000000-0005-0000-0000-00004D1B0000}"/>
    <cellStyle name="currency-$ 44 2" xfId="6482" xr:uid="{00000000-0005-0000-0000-00004E1B0000}"/>
    <cellStyle name="currency-$ 44 2 2" xfId="6483" xr:uid="{00000000-0005-0000-0000-00004F1B0000}"/>
    <cellStyle name="currency-$ 44 2 2 2" xfId="6484" xr:uid="{00000000-0005-0000-0000-0000501B0000}"/>
    <cellStyle name="currency-$ 44 2 2 3" xfId="6485" xr:uid="{00000000-0005-0000-0000-0000511B0000}"/>
    <cellStyle name="currency-$ 44 2 2 4" xfId="6486" xr:uid="{00000000-0005-0000-0000-0000521B0000}"/>
    <cellStyle name="currency-$ 44 2 2 5" xfId="6487" xr:uid="{00000000-0005-0000-0000-0000531B0000}"/>
    <cellStyle name="currency-$ 44 3" xfId="6488" xr:uid="{00000000-0005-0000-0000-0000541B0000}"/>
    <cellStyle name="currency-$ 44 3 2" xfId="6489" xr:uid="{00000000-0005-0000-0000-0000551B0000}"/>
    <cellStyle name="currency-$ 44 3 3" xfId="6490" xr:uid="{00000000-0005-0000-0000-0000561B0000}"/>
    <cellStyle name="currency-$ 44 3 4" xfId="6491" xr:uid="{00000000-0005-0000-0000-0000571B0000}"/>
    <cellStyle name="currency-$ 44 3 5" xfId="6492" xr:uid="{00000000-0005-0000-0000-0000581B0000}"/>
    <cellStyle name="currency-$ 45" xfId="6493" xr:uid="{00000000-0005-0000-0000-0000591B0000}"/>
    <cellStyle name="currency-$ 45 2" xfId="6494" xr:uid="{00000000-0005-0000-0000-00005A1B0000}"/>
    <cellStyle name="currency-$ 45 2 2" xfId="6495" xr:uid="{00000000-0005-0000-0000-00005B1B0000}"/>
    <cellStyle name="currency-$ 45 2 2 2" xfId="6496" xr:uid="{00000000-0005-0000-0000-00005C1B0000}"/>
    <cellStyle name="currency-$ 45 2 2 3" xfId="6497" xr:uid="{00000000-0005-0000-0000-00005D1B0000}"/>
    <cellStyle name="currency-$ 45 2 2 4" xfId="6498" xr:uid="{00000000-0005-0000-0000-00005E1B0000}"/>
    <cellStyle name="currency-$ 45 2 2 5" xfId="6499" xr:uid="{00000000-0005-0000-0000-00005F1B0000}"/>
    <cellStyle name="currency-$ 45 3" xfId="6500" xr:uid="{00000000-0005-0000-0000-0000601B0000}"/>
    <cellStyle name="currency-$ 45 3 2" xfId="6501" xr:uid="{00000000-0005-0000-0000-0000611B0000}"/>
    <cellStyle name="currency-$ 45 3 3" xfId="6502" xr:uid="{00000000-0005-0000-0000-0000621B0000}"/>
    <cellStyle name="currency-$ 45 3 4" xfId="6503" xr:uid="{00000000-0005-0000-0000-0000631B0000}"/>
    <cellStyle name="currency-$ 45 3 5" xfId="6504" xr:uid="{00000000-0005-0000-0000-0000641B0000}"/>
    <cellStyle name="currency-$ 46" xfId="6505" xr:uid="{00000000-0005-0000-0000-0000651B0000}"/>
    <cellStyle name="currency-$ 46 2" xfId="6506" xr:uid="{00000000-0005-0000-0000-0000661B0000}"/>
    <cellStyle name="currency-$ 46 2 2" xfId="6507" xr:uid="{00000000-0005-0000-0000-0000671B0000}"/>
    <cellStyle name="currency-$ 46 2 2 2" xfId="6508" xr:uid="{00000000-0005-0000-0000-0000681B0000}"/>
    <cellStyle name="currency-$ 46 2 2 3" xfId="6509" xr:uid="{00000000-0005-0000-0000-0000691B0000}"/>
    <cellStyle name="currency-$ 46 2 2 4" xfId="6510" xr:uid="{00000000-0005-0000-0000-00006A1B0000}"/>
    <cellStyle name="currency-$ 46 2 2 5" xfId="6511" xr:uid="{00000000-0005-0000-0000-00006B1B0000}"/>
    <cellStyle name="currency-$ 46 3" xfId="6512" xr:uid="{00000000-0005-0000-0000-00006C1B0000}"/>
    <cellStyle name="currency-$ 46 3 2" xfId="6513" xr:uid="{00000000-0005-0000-0000-00006D1B0000}"/>
    <cellStyle name="currency-$ 46 3 3" xfId="6514" xr:uid="{00000000-0005-0000-0000-00006E1B0000}"/>
    <cellStyle name="currency-$ 46 3 4" xfId="6515" xr:uid="{00000000-0005-0000-0000-00006F1B0000}"/>
    <cellStyle name="currency-$ 46 3 5" xfId="6516" xr:uid="{00000000-0005-0000-0000-0000701B0000}"/>
    <cellStyle name="currency-$ 47" xfId="6517" xr:uid="{00000000-0005-0000-0000-0000711B0000}"/>
    <cellStyle name="currency-$ 47 2" xfId="6518" xr:uid="{00000000-0005-0000-0000-0000721B0000}"/>
    <cellStyle name="currency-$ 47 2 2" xfId="6519" xr:uid="{00000000-0005-0000-0000-0000731B0000}"/>
    <cellStyle name="currency-$ 47 2 2 2" xfId="6520" xr:uid="{00000000-0005-0000-0000-0000741B0000}"/>
    <cellStyle name="currency-$ 47 2 2 3" xfId="6521" xr:uid="{00000000-0005-0000-0000-0000751B0000}"/>
    <cellStyle name="currency-$ 47 2 2 4" xfId="6522" xr:uid="{00000000-0005-0000-0000-0000761B0000}"/>
    <cellStyle name="currency-$ 47 2 2 5" xfId="6523" xr:uid="{00000000-0005-0000-0000-0000771B0000}"/>
    <cellStyle name="currency-$ 47 3" xfId="6524" xr:uid="{00000000-0005-0000-0000-0000781B0000}"/>
    <cellStyle name="currency-$ 47 3 2" xfId="6525" xr:uid="{00000000-0005-0000-0000-0000791B0000}"/>
    <cellStyle name="currency-$ 47 3 3" xfId="6526" xr:uid="{00000000-0005-0000-0000-00007A1B0000}"/>
    <cellStyle name="currency-$ 47 3 4" xfId="6527" xr:uid="{00000000-0005-0000-0000-00007B1B0000}"/>
    <cellStyle name="currency-$ 47 3 5" xfId="6528" xr:uid="{00000000-0005-0000-0000-00007C1B0000}"/>
    <cellStyle name="currency-$ 48" xfId="6529" xr:uid="{00000000-0005-0000-0000-00007D1B0000}"/>
    <cellStyle name="currency-$ 48 2" xfId="6530" xr:uid="{00000000-0005-0000-0000-00007E1B0000}"/>
    <cellStyle name="currency-$ 48 2 2" xfId="6531" xr:uid="{00000000-0005-0000-0000-00007F1B0000}"/>
    <cellStyle name="currency-$ 48 2 2 2" xfId="6532" xr:uid="{00000000-0005-0000-0000-0000801B0000}"/>
    <cellStyle name="currency-$ 48 2 2 3" xfId="6533" xr:uid="{00000000-0005-0000-0000-0000811B0000}"/>
    <cellStyle name="currency-$ 48 2 2 4" xfId="6534" xr:uid="{00000000-0005-0000-0000-0000821B0000}"/>
    <cellStyle name="currency-$ 48 2 2 5" xfId="6535" xr:uid="{00000000-0005-0000-0000-0000831B0000}"/>
    <cellStyle name="currency-$ 48 3" xfId="6536" xr:uid="{00000000-0005-0000-0000-0000841B0000}"/>
    <cellStyle name="currency-$ 48 3 2" xfId="6537" xr:uid="{00000000-0005-0000-0000-0000851B0000}"/>
    <cellStyle name="currency-$ 48 3 3" xfId="6538" xr:uid="{00000000-0005-0000-0000-0000861B0000}"/>
    <cellStyle name="currency-$ 48 3 4" xfId="6539" xr:uid="{00000000-0005-0000-0000-0000871B0000}"/>
    <cellStyle name="currency-$ 48 3 5" xfId="6540" xr:uid="{00000000-0005-0000-0000-0000881B0000}"/>
    <cellStyle name="currency-$ 49" xfId="6541" xr:uid="{00000000-0005-0000-0000-0000891B0000}"/>
    <cellStyle name="currency-$ 49 2" xfId="6542" xr:uid="{00000000-0005-0000-0000-00008A1B0000}"/>
    <cellStyle name="currency-$ 49 2 2" xfId="6543" xr:uid="{00000000-0005-0000-0000-00008B1B0000}"/>
    <cellStyle name="currency-$ 49 2 2 2" xfId="6544" xr:uid="{00000000-0005-0000-0000-00008C1B0000}"/>
    <cellStyle name="currency-$ 49 2 2 3" xfId="6545" xr:uid="{00000000-0005-0000-0000-00008D1B0000}"/>
    <cellStyle name="currency-$ 49 2 2 4" xfId="6546" xr:uid="{00000000-0005-0000-0000-00008E1B0000}"/>
    <cellStyle name="currency-$ 49 2 2 5" xfId="6547" xr:uid="{00000000-0005-0000-0000-00008F1B0000}"/>
    <cellStyle name="currency-$ 49 3" xfId="6548" xr:uid="{00000000-0005-0000-0000-0000901B0000}"/>
    <cellStyle name="currency-$ 49 3 2" xfId="6549" xr:uid="{00000000-0005-0000-0000-0000911B0000}"/>
    <cellStyle name="currency-$ 49 3 3" xfId="6550" xr:uid="{00000000-0005-0000-0000-0000921B0000}"/>
    <cellStyle name="currency-$ 49 3 4" xfId="6551" xr:uid="{00000000-0005-0000-0000-0000931B0000}"/>
    <cellStyle name="currency-$ 49 3 5" xfId="6552" xr:uid="{00000000-0005-0000-0000-0000941B0000}"/>
    <cellStyle name="currency-$ 5" xfId="6553" xr:uid="{00000000-0005-0000-0000-0000951B0000}"/>
    <cellStyle name="currency-$ 5 2" xfId="6554" xr:uid="{00000000-0005-0000-0000-0000961B0000}"/>
    <cellStyle name="currency-$ 5 2 2" xfId="6555" xr:uid="{00000000-0005-0000-0000-0000971B0000}"/>
    <cellStyle name="currency-$ 5 2 2 2" xfId="6556" xr:uid="{00000000-0005-0000-0000-0000981B0000}"/>
    <cellStyle name="currency-$ 5 2 2 3" xfId="6557" xr:uid="{00000000-0005-0000-0000-0000991B0000}"/>
    <cellStyle name="currency-$ 5 2 2 4" xfId="6558" xr:uid="{00000000-0005-0000-0000-00009A1B0000}"/>
    <cellStyle name="currency-$ 5 2 2 5" xfId="6559" xr:uid="{00000000-0005-0000-0000-00009B1B0000}"/>
    <cellStyle name="currency-$ 5 3" xfId="6560" xr:uid="{00000000-0005-0000-0000-00009C1B0000}"/>
    <cellStyle name="currency-$ 5 3 2" xfId="6561" xr:uid="{00000000-0005-0000-0000-00009D1B0000}"/>
    <cellStyle name="currency-$ 5 3 3" xfId="6562" xr:uid="{00000000-0005-0000-0000-00009E1B0000}"/>
    <cellStyle name="currency-$ 5 3 4" xfId="6563" xr:uid="{00000000-0005-0000-0000-00009F1B0000}"/>
    <cellStyle name="currency-$ 5 3 5" xfId="6564" xr:uid="{00000000-0005-0000-0000-0000A01B0000}"/>
    <cellStyle name="currency-$ 50" xfId="6565" xr:uid="{00000000-0005-0000-0000-0000A11B0000}"/>
    <cellStyle name="currency-$ 50 2" xfId="6566" xr:uid="{00000000-0005-0000-0000-0000A21B0000}"/>
    <cellStyle name="currency-$ 50 2 2" xfId="6567" xr:uid="{00000000-0005-0000-0000-0000A31B0000}"/>
    <cellStyle name="currency-$ 50 2 2 2" xfId="6568" xr:uid="{00000000-0005-0000-0000-0000A41B0000}"/>
    <cellStyle name="currency-$ 50 2 2 3" xfId="6569" xr:uid="{00000000-0005-0000-0000-0000A51B0000}"/>
    <cellStyle name="currency-$ 50 2 2 4" xfId="6570" xr:uid="{00000000-0005-0000-0000-0000A61B0000}"/>
    <cellStyle name="currency-$ 50 2 2 5" xfId="6571" xr:uid="{00000000-0005-0000-0000-0000A71B0000}"/>
    <cellStyle name="currency-$ 50 3" xfId="6572" xr:uid="{00000000-0005-0000-0000-0000A81B0000}"/>
    <cellStyle name="currency-$ 50 3 2" xfId="6573" xr:uid="{00000000-0005-0000-0000-0000A91B0000}"/>
    <cellStyle name="currency-$ 50 3 3" xfId="6574" xr:uid="{00000000-0005-0000-0000-0000AA1B0000}"/>
    <cellStyle name="currency-$ 50 3 4" xfId="6575" xr:uid="{00000000-0005-0000-0000-0000AB1B0000}"/>
    <cellStyle name="currency-$ 50 3 5" xfId="6576" xr:uid="{00000000-0005-0000-0000-0000AC1B0000}"/>
    <cellStyle name="currency-$ 51" xfId="6577" xr:uid="{00000000-0005-0000-0000-0000AD1B0000}"/>
    <cellStyle name="currency-$ 51 2" xfId="6578" xr:uid="{00000000-0005-0000-0000-0000AE1B0000}"/>
    <cellStyle name="currency-$ 51 2 2" xfId="6579" xr:uid="{00000000-0005-0000-0000-0000AF1B0000}"/>
    <cellStyle name="currency-$ 51 2 2 2" xfId="6580" xr:uid="{00000000-0005-0000-0000-0000B01B0000}"/>
    <cellStyle name="currency-$ 51 2 2 3" xfId="6581" xr:uid="{00000000-0005-0000-0000-0000B11B0000}"/>
    <cellStyle name="currency-$ 51 2 2 4" xfId="6582" xr:uid="{00000000-0005-0000-0000-0000B21B0000}"/>
    <cellStyle name="currency-$ 51 2 2 5" xfId="6583" xr:uid="{00000000-0005-0000-0000-0000B31B0000}"/>
    <cellStyle name="currency-$ 51 3" xfId="6584" xr:uid="{00000000-0005-0000-0000-0000B41B0000}"/>
    <cellStyle name="currency-$ 51 3 2" xfId="6585" xr:uid="{00000000-0005-0000-0000-0000B51B0000}"/>
    <cellStyle name="currency-$ 51 3 3" xfId="6586" xr:uid="{00000000-0005-0000-0000-0000B61B0000}"/>
    <cellStyle name="currency-$ 51 3 4" xfId="6587" xr:uid="{00000000-0005-0000-0000-0000B71B0000}"/>
    <cellStyle name="currency-$ 51 3 5" xfId="6588" xr:uid="{00000000-0005-0000-0000-0000B81B0000}"/>
    <cellStyle name="currency-$ 52" xfId="6589" xr:uid="{00000000-0005-0000-0000-0000B91B0000}"/>
    <cellStyle name="currency-$ 52 2" xfId="6590" xr:uid="{00000000-0005-0000-0000-0000BA1B0000}"/>
    <cellStyle name="currency-$ 52 2 2" xfId="6591" xr:uid="{00000000-0005-0000-0000-0000BB1B0000}"/>
    <cellStyle name="currency-$ 52 2 2 2" xfId="6592" xr:uid="{00000000-0005-0000-0000-0000BC1B0000}"/>
    <cellStyle name="currency-$ 52 2 2 3" xfId="6593" xr:uid="{00000000-0005-0000-0000-0000BD1B0000}"/>
    <cellStyle name="currency-$ 52 2 2 4" xfId="6594" xr:uid="{00000000-0005-0000-0000-0000BE1B0000}"/>
    <cellStyle name="currency-$ 52 2 2 5" xfId="6595" xr:uid="{00000000-0005-0000-0000-0000BF1B0000}"/>
    <cellStyle name="currency-$ 52 3" xfId="6596" xr:uid="{00000000-0005-0000-0000-0000C01B0000}"/>
    <cellStyle name="currency-$ 52 3 2" xfId="6597" xr:uid="{00000000-0005-0000-0000-0000C11B0000}"/>
    <cellStyle name="currency-$ 52 3 3" xfId="6598" xr:uid="{00000000-0005-0000-0000-0000C21B0000}"/>
    <cellStyle name="currency-$ 52 3 4" xfId="6599" xr:uid="{00000000-0005-0000-0000-0000C31B0000}"/>
    <cellStyle name="currency-$ 52 3 5" xfId="6600" xr:uid="{00000000-0005-0000-0000-0000C41B0000}"/>
    <cellStyle name="currency-$ 53" xfId="6601" xr:uid="{00000000-0005-0000-0000-0000C51B0000}"/>
    <cellStyle name="currency-$ 53 2" xfId="6602" xr:uid="{00000000-0005-0000-0000-0000C61B0000}"/>
    <cellStyle name="currency-$ 53 2 2" xfId="6603" xr:uid="{00000000-0005-0000-0000-0000C71B0000}"/>
    <cellStyle name="currency-$ 53 2 2 2" xfId="6604" xr:uid="{00000000-0005-0000-0000-0000C81B0000}"/>
    <cellStyle name="currency-$ 53 2 2 3" xfId="6605" xr:uid="{00000000-0005-0000-0000-0000C91B0000}"/>
    <cellStyle name="currency-$ 53 2 2 4" xfId="6606" xr:uid="{00000000-0005-0000-0000-0000CA1B0000}"/>
    <cellStyle name="currency-$ 53 2 2 5" xfId="6607" xr:uid="{00000000-0005-0000-0000-0000CB1B0000}"/>
    <cellStyle name="currency-$ 53 3" xfId="6608" xr:uid="{00000000-0005-0000-0000-0000CC1B0000}"/>
    <cellStyle name="currency-$ 53 3 2" xfId="6609" xr:uid="{00000000-0005-0000-0000-0000CD1B0000}"/>
    <cellStyle name="currency-$ 53 3 3" xfId="6610" xr:uid="{00000000-0005-0000-0000-0000CE1B0000}"/>
    <cellStyle name="currency-$ 53 3 4" xfId="6611" xr:uid="{00000000-0005-0000-0000-0000CF1B0000}"/>
    <cellStyle name="currency-$ 53 3 5" xfId="6612" xr:uid="{00000000-0005-0000-0000-0000D01B0000}"/>
    <cellStyle name="currency-$ 54" xfId="6613" xr:uid="{00000000-0005-0000-0000-0000D11B0000}"/>
    <cellStyle name="currency-$ 54 2" xfId="6614" xr:uid="{00000000-0005-0000-0000-0000D21B0000}"/>
    <cellStyle name="currency-$ 54 2 2" xfId="6615" xr:uid="{00000000-0005-0000-0000-0000D31B0000}"/>
    <cellStyle name="currency-$ 54 2 2 2" xfId="6616" xr:uid="{00000000-0005-0000-0000-0000D41B0000}"/>
    <cellStyle name="currency-$ 54 2 2 3" xfId="6617" xr:uid="{00000000-0005-0000-0000-0000D51B0000}"/>
    <cellStyle name="currency-$ 54 2 2 4" xfId="6618" xr:uid="{00000000-0005-0000-0000-0000D61B0000}"/>
    <cellStyle name="currency-$ 54 2 2 5" xfId="6619" xr:uid="{00000000-0005-0000-0000-0000D71B0000}"/>
    <cellStyle name="currency-$ 54 3" xfId="6620" xr:uid="{00000000-0005-0000-0000-0000D81B0000}"/>
    <cellStyle name="currency-$ 54 3 2" xfId="6621" xr:uid="{00000000-0005-0000-0000-0000D91B0000}"/>
    <cellStyle name="currency-$ 54 3 3" xfId="6622" xr:uid="{00000000-0005-0000-0000-0000DA1B0000}"/>
    <cellStyle name="currency-$ 54 3 4" xfId="6623" xr:uid="{00000000-0005-0000-0000-0000DB1B0000}"/>
    <cellStyle name="currency-$ 54 3 5" xfId="6624" xr:uid="{00000000-0005-0000-0000-0000DC1B0000}"/>
    <cellStyle name="currency-$ 55" xfId="6625" xr:uid="{00000000-0005-0000-0000-0000DD1B0000}"/>
    <cellStyle name="currency-$ 55 2" xfId="6626" xr:uid="{00000000-0005-0000-0000-0000DE1B0000}"/>
    <cellStyle name="currency-$ 55 2 2" xfId="6627" xr:uid="{00000000-0005-0000-0000-0000DF1B0000}"/>
    <cellStyle name="currency-$ 55 2 2 2" xfId="6628" xr:uid="{00000000-0005-0000-0000-0000E01B0000}"/>
    <cellStyle name="currency-$ 55 2 2 3" xfId="6629" xr:uid="{00000000-0005-0000-0000-0000E11B0000}"/>
    <cellStyle name="currency-$ 55 2 2 4" xfId="6630" xr:uid="{00000000-0005-0000-0000-0000E21B0000}"/>
    <cellStyle name="currency-$ 55 2 2 5" xfId="6631" xr:uid="{00000000-0005-0000-0000-0000E31B0000}"/>
    <cellStyle name="currency-$ 55 3" xfId="6632" xr:uid="{00000000-0005-0000-0000-0000E41B0000}"/>
    <cellStyle name="currency-$ 55 3 2" xfId="6633" xr:uid="{00000000-0005-0000-0000-0000E51B0000}"/>
    <cellStyle name="currency-$ 55 3 3" xfId="6634" xr:uid="{00000000-0005-0000-0000-0000E61B0000}"/>
    <cellStyle name="currency-$ 55 3 4" xfId="6635" xr:uid="{00000000-0005-0000-0000-0000E71B0000}"/>
    <cellStyle name="currency-$ 55 3 5" xfId="6636" xr:uid="{00000000-0005-0000-0000-0000E81B0000}"/>
    <cellStyle name="currency-$ 56" xfId="6637" xr:uid="{00000000-0005-0000-0000-0000E91B0000}"/>
    <cellStyle name="currency-$ 56 2" xfId="6638" xr:uid="{00000000-0005-0000-0000-0000EA1B0000}"/>
    <cellStyle name="currency-$ 56 2 2" xfId="6639" xr:uid="{00000000-0005-0000-0000-0000EB1B0000}"/>
    <cellStyle name="currency-$ 56 2 2 2" xfId="6640" xr:uid="{00000000-0005-0000-0000-0000EC1B0000}"/>
    <cellStyle name="currency-$ 56 2 2 3" xfId="6641" xr:uid="{00000000-0005-0000-0000-0000ED1B0000}"/>
    <cellStyle name="currency-$ 56 2 2 4" xfId="6642" xr:uid="{00000000-0005-0000-0000-0000EE1B0000}"/>
    <cellStyle name="currency-$ 56 2 2 5" xfId="6643" xr:uid="{00000000-0005-0000-0000-0000EF1B0000}"/>
    <cellStyle name="currency-$ 56 3" xfId="6644" xr:uid="{00000000-0005-0000-0000-0000F01B0000}"/>
    <cellStyle name="currency-$ 56 3 2" xfId="6645" xr:uid="{00000000-0005-0000-0000-0000F11B0000}"/>
    <cellStyle name="currency-$ 56 3 3" xfId="6646" xr:uid="{00000000-0005-0000-0000-0000F21B0000}"/>
    <cellStyle name="currency-$ 56 3 4" xfId="6647" xr:uid="{00000000-0005-0000-0000-0000F31B0000}"/>
    <cellStyle name="currency-$ 56 3 5" xfId="6648" xr:uid="{00000000-0005-0000-0000-0000F41B0000}"/>
    <cellStyle name="currency-$ 57" xfId="6649" xr:uid="{00000000-0005-0000-0000-0000F51B0000}"/>
    <cellStyle name="currency-$ 57 2" xfId="6650" xr:uid="{00000000-0005-0000-0000-0000F61B0000}"/>
    <cellStyle name="currency-$ 57 2 2" xfId="6651" xr:uid="{00000000-0005-0000-0000-0000F71B0000}"/>
    <cellStyle name="currency-$ 57 2 3" xfId="6652" xr:uid="{00000000-0005-0000-0000-0000F81B0000}"/>
    <cellStyle name="currency-$ 57 2 4" xfId="6653" xr:uid="{00000000-0005-0000-0000-0000F91B0000}"/>
    <cellStyle name="currency-$ 57 2 5" xfId="6654" xr:uid="{00000000-0005-0000-0000-0000FA1B0000}"/>
    <cellStyle name="currency-$ 58" xfId="6655" xr:uid="{00000000-0005-0000-0000-0000FB1B0000}"/>
    <cellStyle name="currency-$ 58 2" xfId="6656" xr:uid="{00000000-0005-0000-0000-0000FC1B0000}"/>
    <cellStyle name="currency-$ 58 3" xfId="6657" xr:uid="{00000000-0005-0000-0000-0000FD1B0000}"/>
    <cellStyle name="currency-$ 58 4" xfId="6658" xr:uid="{00000000-0005-0000-0000-0000FE1B0000}"/>
    <cellStyle name="currency-$ 58 5" xfId="6659" xr:uid="{00000000-0005-0000-0000-0000FF1B0000}"/>
    <cellStyle name="currency-$ 59" xfId="16462" xr:uid="{00000000-0005-0000-0000-0000001C0000}"/>
    <cellStyle name="currency-$ 6" xfId="6660" xr:uid="{00000000-0005-0000-0000-0000011C0000}"/>
    <cellStyle name="currency-$ 6 2" xfId="6661" xr:uid="{00000000-0005-0000-0000-0000021C0000}"/>
    <cellStyle name="currency-$ 6 2 2" xfId="6662" xr:uid="{00000000-0005-0000-0000-0000031C0000}"/>
    <cellStyle name="currency-$ 6 2 2 2" xfId="6663" xr:uid="{00000000-0005-0000-0000-0000041C0000}"/>
    <cellStyle name="currency-$ 6 2 2 3" xfId="6664" xr:uid="{00000000-0005-0000-0000-0000051C0000}"/>
    <cellStyle name="currency-$ 6 2 2 4" xfId="6665" xr:uid="{00000000-0005-0000-0000-0000061C0000}"/>
    <cellStyle name="currency-$ 6 2 2 5" xfId="6666" xr:uid="{00000000-0005-0000-0000-0000071C0000}"/>
    <cellStyle name="currency-$ 6 3" xfId="6667" xr:uid="{00000000-0005-0000-0000-0000081C0000}"/>
    <cellStyle name="currency-$ 6 3 2" xfId="6668" xr:uid="{00000000-0005-0000-0000-0000091C0000}"/>
    <cellStyle name="currency-$ 6 3 3" xfId="6669" xr:uid="{00000000-0005-0000-0000-00000A1C0000}"/>
    <cellStyle name="currency-$ 6 3 4" xfId="6670" xr:uid="{00000000-0005-0000-0000-00000B1C0000}"/>
    <cellStyle name="currency-$ 6 3 5" xfId="6671" xr:uid="{00000000-0005-0000-0000-00000C1C0000}"/>
    <cellStyle name="currency-$ 7" xfId="6672" xr:uid="{00000000-0005-0000-0000-00000D1C0000}"/>
    <cellStyle name="currency-$ 7 2" xfId="6673" xr:uid="{00000000-0005-0000-0000-00000E1C0000}"/>
    <cellStyle name="currency-$ 7 2 2" xfId="6674" xr:uid="{00000000-0005-0000-0000-00000F1C0000}"/>
    <cellStyle name="currency-$ 7 2 2 2" xfId="6675" xr:uid="{00000000-0005-0000-0000-0000101C0000}"/>
    <cellStyle name="currency-$ 7 2 2 3" xfId="6676" xr:uid="{00000000-0005-0000-0000-0000111C0000}"/>
    <cellStyle name="currency-$ 7 2 2 4" xfId="6677" xr:uid="{00000000-0005-0000-0000-0000121C0000}"/>
    <cellStyle name="currency-$ 7 2 2 5" xfId="6678" xr:uid="{00000000-0005-0000-0000-0000131C0000}"/>
    <cellStyle name="currency-$ 7 3" xfId="6679" xr:uid="{00000000-0005-0000-0000-0000141C0000}"/>
    <cellStyle name="currency-$ 7 3 2" xfId="6680" xr:uid="{00000000-0005-0000-0000-0000151C0000}"/>
    <cellStyle name="currency-$ 7 3 3" xfId="6681" xr:uid="{00000000-0005-0000-0000-0000161C0000}"/>
    <cellStyle name="currency-$ 7 3 4" xfId="6682" xr:uid="{00000000-0005-0000-0000-0000171C0000}"/>
    <cellStyle name="currency-$ 7 3 5" xfId="6683" xr:uid="{00000000-0005-0000-0000-0000181C0000}"/>
    <cellStyle name="currency-$ 8" xfId="6684" xr:uid="{00000000-0005-0000-0000-0000191C0000}"/>
    <cellStyle name="currency-$ 8 2" xfId="6685" xr:uid="{00000000-0005-0000-0000-00001A1C0000}"/>
    <cellStyle name="currency-$ 8 2 2" xfId="6686" xr:uid="{00000000-0005-0000-0000-00001B1C0000}"/>
    <cellStyle name="currency-$ 8 2 2 2" xfId="6687" xr:uid="{00000000-0005-0000-0000-00001C1C0000}"/>
    <cellStyle name="currency-$ 8 2 2 3" xfId="6688" xr:uid="{00000000-0005-0000-0000-00001D1C0000}"/>
    <cellStyle name="currency-$ 8 2 2 4" xfId="6689" xr:uid="{00000000-0005-0000-0000-00001E1C0000}"/>
    <cellStyle name="currency-$ 8 2 2 5" xfId="6690" xr:uid="{00000000-0005-0000-0000-00001F1C0000}"/>
    <cellStyle name="currency-$ 8 3" xfId="6691" xr:uid="{00000000-0005-0000-0000-0000201C0000}"/>
    <cellStyle name="currency-$ 8 3 2" xfId="6692" xr:uid="{00000000-0005-0000-0000-0000211C0000}"/>
    <cellStyle name="currency-$ 8 3 3" xfId="6693" xr:uid="{00000000-0005-0000-0000-0000221C0000}"/>
    <cellStyle name="currency-$ 8 3 4" xfId="6694" xr:uid="{00000000-0005-0000-0000-0000231C0000}"/>
    <cellStyle name="currency-$ 8 3 5" xfId="6695" xr:uid="{00000000-0005-0000-0000-0000241C0000}"/>
    <cellStyle name="currency-$ 9" xfId="6696" xr:uid="{00000000-0005-0000-0000-0000251C0000}"/>
    <cellStyle name="currency-$ 9 2" xfId="6697" xr:uid="{00000000-0005-0000-0000-0000261C0000}"/>
    <cellStyle name="currency-$ 9 2 2" xfId="6698" xr:uid="{00000000-0005-0000-0000-0000271C0000}"/>
    <cellStyle name="currency-$ 9 2 2 2" xfId="6699" xr:uid="{00000000-0005-0000-0000-0000281C0000}"/>
    <cellStyle name="currency-$ 9 2 2 3" xfId="6700" xr:uid="{00000000-0005-0000-0000-0000291C0000}"/>
    <cellStyle name="currency-$ 9 2 2 4" xfId="6701" xr:uid="{00000000-0005-0000-0000-00002A1C0000}"/>
    <cellStyle name="currency-$ 9 2 2 5" xfId="6702" xr:uid="{00000000-0005-0000-0000-00002B1C0000}"/>
    <cellStyle name="currency-$ 9 3" xfId="6703" xr:uid="{00000000-0005-0000-0000-00002C1C0000}"/>
    <cellStyle name="currency-$ 9 3 2" xfId="6704" xr:uid="{00000000-0005-0000-0000-00002D1C0000}"/>
    <cellStyle name="currency-$ 9 3 3" xfId="6705" xr:uid="{00000000-0005-0000-0000-00002E1C0000}"/>
    <cellStyle name="currency-$ 9 3 4" xfId="6706" xr:uid="{00000000-0005-0000-0000-00002F1C0000}"/>
    <cellStyle name="currency-$ 9 3 5" xfId="6707" xr:uid="{00000000-0005-0000-0000-0000301C0000}"/>
    <cellStyle name="currency-$_표지 " xfId="6708" xr:uid="{00000000-0005-0000-0000-0000311C0000}"/>
    <cellStyle name="Currency_ " xfId="6709" xr:uid="{00000000-0005-0000-0000-0000321C0000}"/>
    <cellStyle name="Currency0" xfId="6710" xr:uid="{00000000-0005-0000-0000-0000331C0000}"/>
    <cellStyle name="Currency0 10" xfId="16463" xr:uid="{00000000-0005-0000-0000-0000341C0000}"/>
    <cellStyle name="Currency0 2" xfId="6711" xr:uid="{00000000-0005-0000-0000-0000351C0000}"/>
    <cellStyle name="Currency0 2 2" xfId="6712" xr:uid="{00000000-0005-0000-0000-0000361C0000}"/>
    <cellStyle name="Currency0 2 2 2" xfId="6713" xr:uid="{00000000-0005-0000-0000-0000371C0000}"/>
    <cellStyle name="Currency0 2 2 2 2" xfId="6714" xr:uid="{00000000-0005-0000-0000-0000381C0000}"/>
    <cellStyle name="Currency0 2 2 3" xfId="6715" xr:uid="{00000000-0005-0000-0000-0000391C0000}"/>
    <cellStyle name="Currency0 2 3" xfId="6716" xr:uid="{00000000-0005-0000-0000-00003A1C0000}"/>
    <cellStyle name="Currency0 2 3 2" xfId="6717" xr:uid="{00000000-0005-0000-0000-00003B1C0000}"/>
    <cellStyle name="Currency0 2 4" xfId="6718" xr:uid="{00000000-0005-0000-0000-00003C1C0000}"/>
    <cellStyle name="Currency0 2 4 2" xfId="6719" xr:uid="{00000000-0005-0000-0000-00003D1C0000}"/>
    <cellStyle name="Currency0 2 5" xfId="6720" xr:uid="{00000000-0005-0000-0000-00003E1C0000}"/>
    <cellStyle name="Currency0 3" xfId="6721" xr:uid="{00000000-0005-0000-0000-00003F1C0000}"/>
    <cellStyle name="Currency0 3 2" xfId="6722" xr:uid="{00000000-0005-0000-0000-0000401C0000}"/>
    <cellStyle name="Currency0 4" xfId="6723" xr:uid="{00000000-0005-0000-0000-0000411C0000}"/>
    <cellStyle name="Currency0 4 2" xfId="6724" xr:uid="{00000000-0005-0000-0000-0000421C0000}"/>
    <cellStyle name="Currency0 5" xfId="6725" xr:uid="{00000000-0005-0000-0000-0000431C0000}"/>
    <cellStyle name="Currency0 5 2" xfId="6726" xr:uid="{00000000-0005-0000-0000-0000441C0000}"/>
    <cellStyle name="Currency0 6" xfId="6727" xr:uid="{00000000-0005-0000-0000-0000451C0000}"/>
    <cellStyle name="Currency0 6 2" xfId="6728" xr:uid="{00000000-0005-0000-0000-0000461C0000}"/>
    <cellStyle name="Currency0 7" xfId="6729" xr:uid="{00000000-0005-0000-0000-0000471C0000}"/>
    <cellStyle name="Currency0 7 2" xfId="6730" xr:uid="{00000000-0005-0000-0000-0000481C0000}"/>
    <cellStyle name="Currency0 7 2 2" xfId="6731" xr:uid="{00000000-0005-0000-0000-0000491C0000}"/>
    <cellStyle name="Currency0 7 3" xfId="6732" xr:uid="{00000000-0005-0000-0000-00004A1C0000}"/>
    <cellStyle name="Currency0 8" xfId="6733" xr:uid="{00000000-0005-0000-0000-00004B1C0000}"/>
    <cellStyle name="Currency0 8 2" xfId="6734" xr:uid="{00000000-0005-0000-0000-00004C1C0000}"/>
    <cellStyle name="Currency0 9" xfId="6735" xr:uid="{00000000-0005-0000-0000-00004D1C0000}"/>
    <cellStyle name="Currency1" xfId="6736" xr:uid="{00000000-0005-0000-0000-00004E1C0000}"/>
    <cellStyle name="Currency1 10" xfId="6737" xr:uid="{00000000-0005-0000-0000-00004F1C0000}"/>
    <cellStyle name="Currency1 10 2" xfId="6738" xr:uid="{00000000-0005-0000-0000-0000501C0000}"/>
    <cellStyle name="Currency1 11" xfId="6739" xr:uid="{00000000-0005-0000-0000-0000511C0000}"/>
    <cellStyle name="Currency1 11 2" xfId="6740" xr:uid="{00000000-0005-0000-0000-0000521C0000}"/>
    <cellStyle name="Currency1 12" xfId="6741" xr:uid="{00000000-0005-0000-0000-0000531C0000}"/>
    <cellStyle name="Currency1 12 2" xfId="6742" xr:uid="{00000000-0005-0000-0000-0000541C0000}"/>
    <cellStyle name="Currency1 13" xfId="6743" xr:uid="{00000000-0005-0000-0000-0000551C0000}"/>
    <cellStyle name="Currency1 13 2" xfId="6744" xr:uid="{00000000-0005-0000-0000-0000561C0000}"/>
    <cellStyle name="Currency1 14" xfId="6745" xr:uid="{00000000-0005-0000-0000-0000571C0000}"/>
    <cellStyle name="Currency1 15" xfId="6746" xr:uid="{00000000-0005-0000-0000-0000581C0000}"/>
    <cellStyle name="Currency1 16" xfId="6747" xr:uid="{00000000-0005-0000-0000-0000591C0000}"/>
    <cellStyle name="Currency1 17" xfId="6748" xr:uid="{00000000-0005-0000-0000-00005A1C0000}"/>
    <cellStyle name="Currency1 18" xfId="6749" xr:uid="{00000000-0005-0000-0000-00005B1C0000}"/>
    <cellStyle name="Currency1 19" xfId="16464" xr:uid="{00000000-0005-0000-0000-00005C1C0000}"/>
    <cellStyle name="Currency1 2" xfId="6750" xr:uid="{00000000-0005-0000-0000-00005D1C0000}"/>
    <cellStyle name="Currency1 2 2" xfId="6751" xr:uid="{00000000-0005-0000-0000-00005E1C0000}"/>
    <cellStyle name="Currency1 2 2 2" xfId="6752" xr:uid="{00000000-0005-0000-0000-00005F1C0000}"/>
    <cellStyle name="Currency1 2 2 2 2" xfId="6753" xr:uid="{00000000-0005-0000-0000-0000601C0000}"/>
    <cellStyle name="Currency1 2 2 3" xfId="6754" xr:uid="{00000000-0005-0000-0000-0000611C0000}"/>
    <cellStyle name="Currency1 2 3" xfId="6755" xr:uid="{00000000-0005-0000-0000-0000621C0000}"/>
    <cellStyle name="Currency1 2 3 2" xfId="6756" xr:uid="{00000000-0005-0000-0000-0000631C0000}"/>
    <cellStyle name="Currency1 2 4" xfId="6757" xr:uid="{00000000-0005-0000-0000-0000641C0000}"/>
    <cellStyle name="Currency1 2 4 2" xfId="6758" xr:uid="{00000000-0005-0000-0000-0000651C0000}"/>
    <cellStyle name="Currency1 2 5" xfId="6759" xr:uid="{00000000-0005-0000-0000-0000661C0000}"/>
    <cellStyle name="Currency1 2 6" xfId="16465" xr:uid="{00000000-0005-0000-0000-0000671C0000}"/>
    <cellStyle name="Currency1 3" xfId="6760" xr:uid="{00000000-0005-0000-0000-0000681C0000}"/>
    <cellStyle name="Currency1 3 2" xfId="6761" xr:uid="{00000000-0005-0000-0000-0000691C0000}"/>
    <cellStyle name="Currency1 3 3" xfId="16466" xr:uid="{00000000-0005-0000-0000-00006A1C0000}"/>
    <cellStyle name="Currency1 4" xfId="6762" xr:uid="{00000000-0005-0000-0000-00006B1C0000}"/>
    <cellStyle name="Currency1 4 2" xfId="6763" xr:uid="{00000000-0005-0000-0000-00006C1C0000}"/>
    <cellStyle name="Currency1 4 3" xfId="16467" xr:uid="{00000000-0005-0000-0000-00006D1C0000}"/>
    <cellStyle name="Currency1 5" xfId="6764" xr:uid="{00000000-0005-0000-0000-00006E1C0000}"/>
    <cellStyle name="Currency1 5 2" xfId="6765" xr:uid="{00000000-0005-0000-0000-00006F1C0000}"/>
    <cellStyle name="Currency1 5 3" xfId="16468" xr:uid="{00000000-0005-0000-0000-0000701C0000}"/>
    <cellStyle name="Currency1 6" xfId="6766" xr:uid="{00000000-0005-0000-0000-0000711C0000}"/>
    <cellStyle name="Currency1 6 2" xfId="6767" xr:uid="{00000000-0005-0000-0000-0000721C0000}"/>
    <cellStyle name="Currency1 7" xfId="6768" xr:uid="{00000000-0005-0000-0000-0000731C0000}"/>
    <cellStyle name="Currency1 7 2" xfId="6769" xr:uid="{00000000-0005-0000-0000-0000741C0000}"/>
    <cellStyle name="Currency1 7 2 2" xfId="6770" xr:uid="{00000000-0005-0000-0000-0000751C0000}"/>
    <cellStyle name="Currency1 7 3" xfId="6771" xr:uid="{00000000-0005-0000-0000-0000761C0000}"/>
    <cellStyle name="Currency1 8" xfId="6772" xr:uid="{00000000-0005-0000-0000-0000771C0000}"/>
    <cellStyle name="Currency1 8 2" xfId="6773" xr:uid="{00000000-0005-0000-0000-0000781C0000}"/>
    <cellStyle name="Currency1 9" xfId="6774" xr:uid="{00000000-0005-0000-0000-0000791C0000}"/>
    <cellStyle name="Currency1 9 2" xfId="6775" xr:uid="{00000000-0005-0000-0000-00007A1C0000}"/>
    <cellStyle name="Currency1_1부여부지 콘도미니엄 신축공사 AV설비 견적서_20100121" xfId="6776" xr:uid="{00000000-0005-0000-0000-00007B1C0000}"/>
    <cellStyle name="Date" xfId="6777" xr:uid="{00000000-0005-0000-0000-00007C1C0000}"/>
    <cellStyle name="Date 10" xfId="6778" xr:uid="{00000000-0005-0000-0000-00007D1C0000}"/>
    <cellStyle name="Date 10 2" xfId="6779" xr:uid="{00000000-0005-0000-0000-00007E1C0000}"/>
    <cellStyle name="Date 11" xfId="6780" xr:uid="{00000000-0005-0000-0000-00007F1C0000}"/>
    <cellStyle name="Date 11 2" xfId="6781" xr:uid="{00000000-0005-0000-0000-0000801C0000}"/>
    <cellStyle name="Date 12" xfId="6782" xr:uid="{00000000-0005-0000-0000-0000811C0000}"/>
    <cellStyle name="Date 12 2" xfId="6783" xr:uid="{00000000-0005-0000-0000-0000821C0000}"/>
    <cellStyle name="Date 13" xfId="6784" xr:uid="{00000000-0005-0000-0000-0000831C0000}"/>
    <cellStyle name="Date 13 2" xfId="6785" xr:uid="{00000000-0005-0000-0000-0000841C0000}"/>
    <cellStyle name="Date 14" xfId="6786" xr:uid="{00000000-0005-0000-0000-0000851C0000}"/>
    <cellStyle name="Date 15" xfId="16469" xr:uid="{00000000-0005-0000-0000-0000861C0000}"/>
    <cellStyle name="Date 2" xfId="6787" xr:uid="{00000000-0005-0000-0000-0000871C0000}"/>
    <cellStyle name="Date 2 2" xfId="6788" xr:uid="{00000000-0005-0000-0000-0000881C0000}"/>
    <cellStyle name="Date 2 2 2" xfId="6789" xr:uid="{00000000-0005-0000-0000-0000891C0000}"/>
    <cellStyle name="Date 2 3" xfId="6790" xr:uid="{00000000-0005-0000-0000-00008A1C0000}"/>
    <cellStyle name="Date 2 4" xfId="16470" xr:uid="{00000000-0005-0000-0000-00008B1C0000}"/>
    <cellStyle name="Date 3" xfId="6791" xr:uid="{00000000-0005-0000-0000-00008C1C0000}"/>
    <cellStyle name="Date 3 2" xfId="6792" xr:uid="{00000000-0005-0000-0000-00008D1C0000}"/>
    <cellStyle name="Date 4" xfId="6793" xr:uid="{00000000-0005-0000-0000-00008E1C0000}"/>
    <cellStyle name="Date 4 2" xfId="6794" xr:uid="{00000000-0005-0000-0000-00008F1C0000}"/>
    <cellStyle name="Date 5" xfId="6795" xr:uid="{00000000-0005-0000-0000-0000901C0000}"/>
    <cellStyle name="Date 5 2" xfId="6796" xr:uid="{00000000-0005-0000-0000-0000911C0000}"/>
    <cellStyle name="Date 6" xfId="6797" xr:uid="{00000000-0005-0000-0000-0000921C0000}"/>
    <cellStyle name="Date 6 2" xfId="6798" xr:uid="{00000000-0005-0000-0000-0000931C0000}"/>
    <cellStyle name="Date 7" xfId="6799" xr:uid="{00000000-0005-0000-0000-0000941C0000}"/>
    <cellStyle name="Date 7 2" xfId="6800" xr:uid="{00000000-0005-0000-0000-0000951C0000}"/>
    <cellStyle name="Date 8" xfId="6801" xr:uid="{00000000-0005-0000-0000-0000961C0000}"/>
    <cellStyle name="Date 8 2" xfId="6802" xr:uid="{00000000-0005-0000-0000-0000971C0000}"/>
    <cellStyle name="Date 9" xfId="6803" xr:uid="{00000000-0005-0000-0000-0000981C0000}"/>
    <cellStyle name="Date 9 2" xfId="6804" xr:uid="{00000000-0005-0000-0000-0000991C0000}"/>
    <cellStyle name="Date Short" xfId="6805" xr:uid="{00000000-0005-0000-0000-00009A1C0000}"/>
    <cellStyle name="Date Short 2" xfId="6806" xr:uid="{00000000-0005-0000-0000-00009B1C0000}"/>
    <cellStyle name="Date_(060116)음향보정장치공사 내역서" xfId="6807" xr:uid="{00000000-0005-0000-0000-00009C1C0000}"/>
    <cellStyle name="Date-Time" xfId="6808" xr:uid="{00000000-0005-0000-0000-00009D1C0000}"/>
    <cellStyle name="Date-Time 2" xfId="6809" xr:uid="{00000000-0005-0000-0000-00009E1C0000}"/>
    <cellStyle name="Decimal 1" xfId="6810" xr:uid="{00000000-0005-0000-0000-00009F1C0000}"/>
    <cellStyle name="Decimal 1 2" xfId="6811" xr:uid="{00000000-0005-0000-0000-0000A01C0000}"/>
    <cellStyle name="Decimal 2" xfId="6812" xr:uid="{00000000-0005-0000-0000-0000A11C0000}"/>
    <cellStyle name="Decimal 2 2" xfId="6813" xr:uid="{00000000-0005-0000-0000-0000A21C0000}"/>
    <cellStyle name="Decimal 3" xfId="6814" xr:uid="{00000000-0005-0000-0000-0000A31C0000}"/>
    <cellStyle name="Decimal 3 2" xfId="6815" xr:uid="{00000000-0005-0000-0000-0000A41C0000}"/>
    <cellStyle name="DELTA" xfId="6816" xr:uid="{00000000-0005-0000-0000-0000A51C0000}"/>
    <cellStyle name="DELTA 2" xfId="6817" xr:uid="{00000000-0005-0000-0000-0000A61C0000}"/>
    <cellStyle name="description" xfId="16471" xr:uid="{00000000-0005-0000-0000-0000A71C0000}"/>
    <cellStyle name="Dezimal [0]_Ausdruck RUND (D)" xfId="6818" xr:uid="{00000000-0005-0000-0000-0000A81C0000}"/>
    <cellStyle name="Dezimal_Ausdruck RUND (D)" xfId="6819" xr:uid="{00000000-0005-0000-0000-0000A91C0000}"/>
    <cellStyle name="Dollar (zero dec)" xfId="6820" xr:uid="{00000000-0005-0000-0000-0000AA1C0000}"/>
    <cellStyle name="Dollar (zero dec) 10" xfId="6821" xr:uid="{00000000-0005-0000-0000-0000AB1C0000}"/>
    <cellStyle name="Dollar (zero dec) 10 2" xfId="6822" xr:uid="{00000000-0005-0000-0000-0000AC1C0000}"/>
    <cellStyle name="Dollar (zero dec) 11" xfId="6823" xr:uid="{00000000-0005-0000-0000-0000AD1C0000}"/>
    <cellStyle name="Dollar (zero dec) 11 2" xfId="6824" xr:uid="{00000000-0005-0000-0000-0000AE1C0000}"/>
    <cellStyle name="Dollar (zero dec) 12" xfId="6825" xr:uid="{00000000-0005-0000-0000-0000AF1C0000}"/>
    <cellStyle name="Dollar (zero dec) 12 2" xfId="6826" xr:uid="{00000000-0005-0000-0000-0000B01C0000}"/>
    <cellStyle name="Dollar (zero dec) 13" xfId="6827" xr:uid="{00000000-0005-0000-0000-0000B11C0000}"/>
    <cellStyle name="Dollar (zero dec) 13 2" xfId="6828" xr:uid="{00000000-0005-0000-0000-0000B21C0000}"/>
    <cellStyle name="Dollar (zero dec) 14" xfId="6829" xr:uid="{00000000-0005-0000-0000-0000B31C0000}"/>
    <cellStyle name="Dollar (zero dec) 15" xfId="6830" xr:uid="{00000000-0005-0000-0000-0000B41C0000}"/>
    <cellStyle name="Dollar (zero dec) 16" xfId="6831" xr:uid="{00000000-0005-0000-0000-0000B51C0000}"/>
    <cellStyle name="Dollar (zero dec) 17" xfId="6832" xr:uid="{00000000-0005-0000-0000-0000B61C0000}"/>
    <cellStyle name="Dollar (zero dec) 18" xfId="6833" xr:uid="{00000000-0005-0000-0000-0000B71C0000}"/>
    <cellStyle name="Dollar (zero dec) 19" xfId="16472" xr:uid="{00000000-0005-0000-0000-0000B81C0000}"/>
    <cellStyle name="Dollar (zero dec) 2" xfId="6834" xr:uid="{00000000-0005-0000-0000-0000B91C0000}"/>
    <cellStyle name="Dollar (zero dec) 2 2" xfId="6835" xr:uid="{00000000-0005-0000-0000-0000BA1C0000}"/>
    <cellStyle name="Dollar (zero dec) 2 2 2" xfId="6836" xr:uid="{00000000-0005-0000-0000-0000BB1C0000}"/>
    <cellStyle name="Dollar (zero dec) 2 2 2 2" xfId="6837" xr:uid="{00000000-0005-0000-0000-0000BC1C0000}"/>
    <cellStyle name="Dollar (zero dec) 2 2 3" xfId="6838" xr:uid="{00000000-0005-0000-0000-0000BD1C0000}"/>
    <cellStyle name="Dollar (zero dec) 2 3" xfId="6839" xr:uid="{00000000-0005-0000-0000-0000BE1C0000}"/>
    <cellStyle name="Dollar (zero dec) 2 3 2" xfId="6840" xr:uid="{00000000-0005-0000-0000-0000BF1C0000}"/>
    <cellStyle name="Dollar (zero dec) 2 4" xfId="6841" xr:uid="{00000000-0005-0000-0000-0000C01C0000}"/>
    <cellStyle name="Dollar (zero dec) 2 4 2" xfId="6842" xr:uid="{00000000-0005-0000-0000-0000C11C0000}"/>
    <cellStyle name="Dollar (zero dec) 2 5" xfId="6843" xr:uid="{00000000-0005-0000-0000-0000C21C0000}"/>
    <cellStyle name="Dollar (zero dec) 2 6" xfId="16473" xr:uid="{00000000-0005-0000-0000-0000C31C0000}"/>
    <cellStyle name="Dollar (zero dec) 3" xfId="6844" xr:uid="{00000000-0005-0000-0000-0000C41C0000}"/>
    <cellStyle name="Dollar (zero dec) 3 2" xfId="6845" xr:uid="{00000000-0005-0000-0000-0000C51C0000}"/>
    <cellStyle name="Dollar (zero dec) 4" xfId="6846" xr:uid="{00000000-0005-0000-0000-0000C61C0000}"/>
    <cellStyle name="Dollar (zero dec) 4 2" xfId="6847" xr:uid="{00000000-0005-0000-0000-0000C71C0000}"/>
    <cellStyle name="Dollar (zero dec) 5" xfId="6848" xr:uid="{00000000-0005-0000-0000-0000C81C0000}"/>
    <cellStyle name="Dollar (zero dec) 5 2" xfId="6849" xr:uid="{00000000-0005-0000-0000-0000C91C0000}"/>
    <cellStyle name="Dollar (zero dec) 6" xfId="6850" xr:uid="{00000000-0005-0000-0000-0000CA1C0000}"/>
    <cellStyle name="Dollar (zero dec) 6 2" xfId="6851" xr:uid="{00000000-0005-0000-0000-0000CB1C0000}"/>
    <cellStyle name="Dollar (zero dec) 7" xfId="6852" xr:uid="{00000000-0005-0000-0000-0000CC1C0000}"/>
    <cellStyle name="Dollar (zero dec) 7 2" xfId="6853" xr:uid="{00000000-0005-0000-0000-0000CD1C0000}"/>
    <cellStyle name="Dollar (zero dec) 7 2 2" xfId="6854" xr:uid="{00000000-0005-0000-0000-0000CE1C0000}"/>
    <cellStyle name="Dollar (zero dec) 7 3" xfId="6855" xr:uid="{00000000-0005-0000-0000-0000CF1C0000}"/>
    <cellStyle name="Dollar (zero dec) 8" xfId="6856" xr:uid="{00000000-0005-0000-0000-0000D01C0000}"/>
    <cellStyle name="Dollar (zero dec) 8 2" xfId="6857" xr:uid="{00000000-0005-0000-0000-0000D11C0000}"/>
    <cellStyle name="Dollar (zero dec) 9" xfId="6858" xr:uid="{00000000-0005-0000-0000-0000D21C0000}"/>
    <cellStyle name="Dollar (zero dec) 9 2" xfId="6859" xr:uid="{00000000-0005-0000-0000-0000D31C0000}"/>
    <cellStyle name="Dollar (zero dec)_1부여부지 콘도미니엄 신축공사 AV설비 견적서_20100121" xfId="6860" xr:uid="{00000000-0005-0000-0000-0000D41C0000}"/>
    <cellStyle name="E­Æo±aE￡" xfId="6861" xr:uid="{00000000-0005-0000-0000-0000D51C0000}"/>
    <cellStyle name="E­Æo±aE￡ 2" xfId="6862" xr:uid="{00000000-0005-0000-0000-0000D61C0000}"/>
    <cellStyle name="E­Æo±aE￡0" xfId="6863" xr:uid="{00000000-0005-0000-0000-0000D71C0000}"/>
    <cellStyle name="E­Æo±aE￡0 2" xfId="6864" xr:uid="{00000000-0005-0000-0000-0000D81C0000}"/>
    <cellStyle name="Enter Currency (0)" xfId="6865" xr:uid="{00000000-0005-0000-0000-0000D91C0000}"/>
    <cellStyle name="Enter Currency (0) 2" xfId="6866" xr:uid="{00000000-0005-0000-0000-0000DA1C0000}"/>
    <cellStyle name="Enter Currency (2)" xfId="6867" xr:uid="{00000000-0005-0000-0000-0000DB1C0000}"/>
    <cellStyle name="Enter Currency (2) 2" xfId="6868" xr:uid="{00000000-0005-0000-0000-0000DC1C0000}"/>
    <cellStyle name="Enter Units (0)" xfId="6869" xr:uid="{00000000-0005-0000-0000-0000DD1C0000}"/>
    <cellStyle name="Enter Units (0) 2" xfId="6870" xr:uid="{00000000-0005-0000-0000-0000DE1C0000}"/>
    <cellStyle name="Enter Units (1)" xfId="6871" xr:uid="{00000000-0005-0000-0000-0000DF1C0000}"/>
    <cellStyle name="Enter Units (1) 2" xfId="6872" xr:uid="{00000000-0005-0000-0000-0000E01C0000}"/>
    <cellStyle name="Enter Units (2)" xfId="6873" xr:uid="{00000000-0005-0000-0000-0000E11C0000}"/>
    <cellStyle name="Enter Units (2) 2" xfId="6874" xr:uid="{00000000-0005-0000-0000-0000E21C0000}"/>
    <cellStyle name="Entered" xfId="6875" xr:uid="{00000000-0005-0000-0000-0000E31C0000}"/>
    <cellStyle name="Entered 2" xfId="6876" xr:uid="{00000000-0005-0000-0000-0000E41C0000}"/>
    <cellStyle name="Entered 2 2" xfId="6877" xr:uid="{00000000-0005-0000-0000-0000E51C0000}"/>
    <cellStyle name="Entered 2 2 2" xfId="6878" xr:uid="{00000000-0005-0000-0000-0000E61C0000}"/>
    <cellStyle name="Entered 2 3" xfId="6879" xr:uid="{00000000-0005-0000-0000-0000E71C0000}"/>
    <cellStyle name="Entered 3" xfId="6880" xr:uid="{00000000-0005-0000-0000-0000E81C0000}"/>
    <cellStyle name="Entered 3 2" xfId="6881" xr:uid="{00000000-0005-0000-0000-0000E91C0000}"/>
    <cellStyle name="Entered 4" xfId="6882" xr:uid="{00000000-0005-0000-0000-0000EA1C0000}"/>
    <cellStyle name="Entered 4 2" xfId="6883" xr:uid="{00000000-0005-0000-0000-0000EB1C0000}"/>
    <cellStyle name="Entered 5" xfId="6884" xr:uid="{00000000-0005-0000-0000-0000EC1C0000}"/>
    <cellStyle name="Entered 6" xfId="16474" xr:uid="{00000000-0005-0000-0000-0000ED1C0000}"/>
    <cellStyle name="Euro" xfId="16475" xr:uid="{00000000-0005-0000-0000-0000EE1C0000}"/>
    <cellStyle name="Euro 2" xfId="16476" xr:uid="{00000000-0005-0000-0000-0000EF1C0000}"/>
    <cellStyle name="Explanatory Text" xfId="15984" xr:uid="{00000000-0005-0000-0000-0000F01C0000}"/>
    <cellStyle name="F2" xfId="6885" xr:uid="{00000000-0005-0000-0000-0000F11C0000}"/>
    <cellStyle name="F2 2" xfId="6886" xr:uid="{00000000-0005-0000-0000-0000F21C0000}"/>
    <cellStyle name="F2 2 2" xfId="16478" xr:uid="{00000000-0005-0000-0000-0000F31C0000}"/>
    <cellStyle name="F2 3" xfId="16477" xr:uid="{00000000-0005-0000-0000-0000F41C0000}"/>
    <cellStyle name="F3" xfId="6887" xr:uid="{00000000-0005-0000-0000-0000F51C0000}"/>
    <cellStyle name="F3 2" xfId="6888" xr:uid="{00000000-0005-0000-0000-0000F61C0000}"/>
    <cellStyle name="F3 3" xfId="16479" xr:uid="{00000000-0005-0000-0000-0000F71C0000}"/>
    <cellStyle name="F4" xfId="6889" xr:uid="{00000000-0005-0000-0000-0000F81C0000}"/>
    <cellStyle name="F4 2" xfId="6890" xr:uid="{00000000-0005-0000-0000-0000F91C0000}"/>
    <cellStyle name="F4 3" xfId="16480" xr:uid="{00000000-0005-0000-0000-0000FA1C0000}"/>
    <cellStyle name="F5" xfId="6891" xr:uid="{00000000-0005-0000-0000-0000FB1C0000}"/>
    <cellStyle name="F5 2" xfId="6892" xr:uid="{00000000-0005-0000-0000-0000FC1C0000}"/>
    <cellStyle name="F5 3" xfId="16481" xr:uid="{00000000-0005-0000-0000-0000FD1C0000}"/>
    <cellStyle name="F6" xfId="6893" xr:uid="{00000000-0005-0000-0000-0000FE1C0000}"/>
    <cellStyle name="F6 2" xfId="6894" xr:uid="{00000000-0005-0000-0000-0000FF1C0000}"/>
    <cellStyle name="F6 3" xfId="16482" xr:uid="{00000000-0005-0000-0000-0000001D0000}"/>
    <cellStyle name="F7" xfId="6895" xr:uid="{00000000-0005-0000-0000-0000011D0000}"/>
    <cellStyle name="F7 2" xfId="6896" xr:uid="{00000000-0005-0000-0000-0000021D0000}"/>
    <cellStyle name="F7 3" xfId="16483" xr:uid="{00000000-0005-0000-0000-0000031D0000}"/>
    <cellStyle name="F8" xfId="6897" xr:uid="{00000000-0005-0000-0000-0000041D0000}"/>
    <cellStyle name="F8 2" xfId="6898" xr:uid="{00000000-0005-0000-0000-0000051D0000}"/>
    <cellStyle name="F8 2 2" xfId="16485" xr:uid="{00000000-0005-0000-0000-0000061D0000}"/>
    <cellStyle name="F8 3" xfId="16484" xr:uid="{00000000-0005-0000-0000-0000071D0000}"/>
    <cellStyle name="Fixed" xfId="6899" xr:uid="{00000000-0005-0000-0000-0000081D0000}"/>
    <cellStyle name="Fixed 10" xfId="6900" xr:uid="{00000000-0005-0000-0000-0000091D0000}"/>
    <cellStyle name="Fixed 10 2" xfId="6901" xr:uid="{00000000-0005-0000-0000-00000A1D0000}"/>
    <cellStyle name="Fixed 11" xfId="6902" xr:uid="{00000000-0005-0000-0000-00000B1D0000}"/>
    <cellStyle name="Fixed 11 2" xfId="6903" xr:uid="{00000000-0005-0000-0000-00000C1D0000}"/>
    <cellStyle name="Fixed 12" xfId="6904" xr:uid="{00000000-0005-0000-0000-00000D1D0000}"/>
    <cellStyle name="Fixed 12 2" xfId="6905" xr:uid="{00000000-0005-0000-0000-00000E1D0000}"/>
    <cellStyle name="Fixed 13" xfId="6906" xr:uid="{00000000-0005-0000-0000-00000F1D0000}"/>
    <cellStyle name="Fixed 13 2" xfId="6907" xr:uid="{00000000-0005-0000-0000-0000101D0000}"/>
    <cellStyle name="Fixed 14" xfId="6908" xr:uid="{00000000-0005-0000-0000-0000111D0000}"/>
    <cellStyle name="Fixed 15" xfId="16486" xr:uid="{00000000-0005-0000-0000-0000121D0000}"/>
    <cellStyle name="Fixed 2" xfId="6909" xr:uid="{00000000-0005-0000-0000-0000131D0000}"/>
    <cellStyle name="Fixed 2 2" xfId="6910" xr:uid="{00000000-0005-0000-0000-0000141D0000}"/>
    <cellStyle name="Fixed 2 2 2" xfId="6911" xr:uid="{00000000-0005-0000-0000-0000151D0000}"/>
    <cellStyle name="Fixed 2 3" xfId="6912" xr:uid="{00000000-0005-0000-0000-0000161D0000}"/>
    <cellStyle name="Fixed 2 4" xfId="16487" xr:uid="{00000000-0005-0000-0000-0000171D0000}"/>
    <cellStyle name="Fixed 3" xfId="6913" xr:uid="{00000000-0005-0000-0000-0000181D0000}"/>
    <cellStyle name="Fixed 3 2" xfId="6914" xr:uid="{00000000-0005-0000-0000-0000191D0000}"/>
    <cellStyle name="Fixed 4" xfId="6915" xr:uid="{00000000-0005-0000-0000-00001A1D0000}"/>
    <cellStyle name="Fixed 4 2" xfId="6916" xr:uid="{00000000-0005-0000-0000-00001B1D0000}"/>
    <cellStyle name="Fixed 5" xfId="6917" xr:uid="{00000000-0005-0000-0000-00001C1D0000}"/>
    <cellStyle name="Fixed 5 2" xfId="6918" xr:uid="{00000000-0005-0000-0000-00001D1D0000}"/>
    <cellStyle name="Fixed 6" xfId="6919" xr:uid="{00000000-0005-0000-0000-00001E1D0000}"/>
    <cellStyle name="Fixed 6 2" xfId="6920" xr:uid="{00000000-0005-0000-0000-00001F1D0000}"/>
    <cellStyle name="Fixed 7" xfId="6921" xr:uid="{00000000-0005-0000-0000-0000201D0000}"/>
    <cellStyle name="Fixed 7 2" xfId="6922" xr:uid="{00000000-0005-0000-0000-0000211D0000}"/>
    <cellStyle name="Fixed 8" xfId="6923" xr:uid="{00000000-0005-0000-0000-0000221D0000}"/>
    <cellStyle name="Fixed 8 2" xfId="6924" xr:uid="{00000000-0005-0000-0000-0000231D0000}"/>
    <cellStyle name="Fixed 9" xfId="6925" xr:uid="{00000000-0005-0000-0000-0000241D0000}"/>
    <cellStyle name="Fixed 9 2" xfId="6926" xr:uid="{00000000-0005-0000-0000-0000251D0000}"/>
    <cellStyle name="Fixed_1부여부지 콘도미니엄 신축공사 AV설비 견적서_20100121" xfId="6927" xr:uid="{00000000-0005-0000-0000-0000261D0000}"/>
    <cellStyle name="Followed Hyperlink" xfId="6928" xr:uid="{00000000-0005-0000-0000-0000271D0000}"/>
    <cellStyle name="Followed Hyperlink 2" xfId="16488" xr:uid="{00000000-0005-0000-0000-0000281D0000}"/>
    <cellStyle name="G10" xfId="6929" xr:uid="{00000000-0005-0000-0000-0000291D0000}"/>
    <cellStyle name="G10 2" xfId="6930" xr:uid="{00000000-0005-0000-0000-00002A1D0000}"/>
    <cellStyle name="ǦǦ_x0003_" xfId="6931" xr:uid="{00000000-0005-0000-0000-00002B1D0000}"/>
    <cellStyle name="ǦǦ_x0003_ 2" xfId="6932" xr:uid="{00000000-0005-0000-0000-00002C1D0000}"/>
    <cellStyle name="Good" xfId="15985" xr:uid="{00000000-0005-0000-0000-00002D1D0000}"/>
    <cellStyle name="Grey" xfId="6933" xr:uid="{00000000-0005-0000-0000-00002E1D0000}"/>
    <cellStyle name="Grey 10" xfId="6934" xr:uid="{00000000-0005-0000-0000-00002F1D0000}"/>
    <cellStyle name="Grey 10 2" xfId="6935" xr:uid="{00000000-0005-0000-0000-0000301D0000}"/>
    <cellStyle name="Grey 11" xfId="6936" xr:uid="{00000000-0005-0000-0000-0000311D0000}"/>
    <cellStyle name="Grey 11 2" xfId="6937" xr:uid="{00000000-0005-0000-0000-0000321D0000}"/>
    <cellStyle name="Grey 12" xfId="6938" xr:uid="{00000000-0005-0000-0000-0000331D0000}"/>
    <cellStyle name="Grey 12 2" xfId="6939" xr:uid="{00000000-0005-0000-0000-0000341D0000}"/>
    <cellStyle name="Grey 13" xfId="6940" xr:uid="{00000000-0005-0000-0000-0000351D0000}"/>
    <cellStyle name="Grey 13 2" xfId="6941" xr:uid="{00000000-0005-0000-0000-0000361D0000}"/>
    <cellStyle name="Grey 14" xfId="6942" xr:uid="{00000000-0005-0000-0000-0000371D0000}"/>
    <cellStyle name="Grey 14 2" xfId="6943" xr:uid="{00000000-0005-0000-0000-0000381D0000}"/>
    <cellStyle name="Grey 15" xfId="6944" xr:uid="{00000000-0005-0000-0000-0000391D0000}"/>
    <cellStyle name="Grey 15 2" xfId="6945" xr:uid="{00000000-0005-0000-0000-00003A1D0000}"/>
    <cellStyle name="Grey 15 2 2" xfId="6946" xr:uid="{00000000-0005-0000-0000-00003B1D0000}"/>
    <cellStyle name="Grey 15 3" xfId="6947" xr:uid="{00000000-0005-0000-0000-00003C1D0000}"/>
    <cellStyle name="Grey 16" xfId="6948" xr:uid="{00000000-0005-0000-0000-00003D1D0000}"/>
    <cellStyle name="Grey 16 2" xfId="6949" xr:uid="{00000000-0005-0000-0000-00003E1D0000}"/>
    <cellStyle name="Grey 17" xfId="6950" xr:uid="{00000000-0005-0000-0000-00003F1D0000}"/>
    <cellStyle name="Grey 18" xfId="6951" xr:uid="{00000000-0005-0000-0000-0000401D0000}"/>
    <cellStyle name="Grey 19" xfId="16489" xr:uid="{00000000-0005-0000-0000-0000411D0000}"/>
    <cellStyle name="Grey 2" xfId="6952" xr:uid="{00000000-0005-0000-0000-0000421D0000}"/>
    <cellStyle name="Grey 2 2" xfId="6953" xr:uid="{00000000-0005-0000-0000-0000431D0000}"/>
    <cellStyle name="Grey 2 2 2" xfId="6954" xr:uid="{00000000-0005-0000-0000-0000441D0000}"/>
    <cellStyle name="Grey 2 2 2 2" xfId="6955" xr:uid="{00000000-0005-0000-0000-0000451D0000}"/>
    <cellStyle name="Grey 2 2 3" xfId="6956" xr:uid="{00000000-0005-0000-0000-0000461D0000}"/>
    <cellStyle name="Grey 2 3" xfId="6957" xr:uid="{00000000-0005-0000-0000-0000471D0000}"/>
    <cellStyle name="Grey 2 3 2" xfId="6958" xr:uid="{00000000-0005-0000-0000-0000481D0000}"/>
    <cellStyle name="Grey 2 4" xfId="6959" xr:uid="{00000000-0005-0000-0000-0000491D0000}"/>
    <cellStyle name="Grey 2 4 2" xfId="6960" xr:uid="{00000000-0005-0000-0000-00004A1D0000}"/>
    <cellStyle name="Grey 2 5" xfId="6961" xr:uid="{00000000-0005-0000-0000-00004B1D0000}"/>
    <cellStyle name="Grey 2 6" xfId="6962" xr:uid="{00000000-0005-0000-0000-00004C1D0000}"/>
    <cellStyle name="Grey 2 7" xfId="16490" xr:uid="{00000000-0005-0000-0000-00004D1D0000}"/>
    <cellStyle name="Grey 3" xfId="6963" xr:uid="{00000000-0005-0000-0000-00004E1D0000}"/>
    <cellStyle name="Grey 3 2" xfId="6964" xr:uid="{00000000-0005-0000-0000-00004F1D0000}"/>
    <cellStyle name="Grey 3 3" xfId="6965" xr:uid="{00000000-0005-0000-0000-0000501D0000}"/>
    <cellStyle name="Grey 3 4" xfId="16491" xr:uid="{00000000-0005-0000-0000-0000511D0000}"/>
    <cellStyle name="Grey 4" xfId="6966" xr:uid="{00000000-0005-0000-0000-0000521D0000}"/>
    <cellStyle name="Grey 4 2" xfId="6967" xr:uid="{00000000-0005-0000-0000-0000531D0000}"/>
    <cellStyle name="Grey 4 3" xfId="16492" xr:uid="{00000000-0005-0000-0000-0000541D0000}"/>
    <cellStyle name="Grey 5" xfId="6968" xr:uid="{00000000-0005-0000-0000-0000551D0000}"/>
    <cellStyle name="Grey 5 2" xfId="6969" xr:uid="{00000000-0005-0000-0000-0000561D0000}"/>
    <cellStyle name="Grey 6" xfId="6970" xr:uid="{00000000-0005-0000-0000-0000571D0000}"/>
    <cellStyle name="Grey 6 2" xfId="6971" xr:uid="{00000000-0005-0000-0000-0000581D0000}"/>
    <cellStyle name="Grey 7" xfId="6972" xr:uid="{00000000-0005-0000-0000-0000591D0000}"/>
    <cellStyle name="Grey 7 2" xfId="6973" xr:uid="{00000000-0005-0000-0000-00005A1D0000}"/>
    <cellStyle name="Grey 8" xfId="6974" xr:uid="{00000000-0005-0000-0000-00005B1D0000}"/>
    <cellStyle name="Grey 8 2" xfId="6975" xr:uid="{00000000-0005-0000-0000-00005C1D0000}"/>
    <cellStyle name="Grey 9" xfId="6976" xr:uid="{00000000-0005-0000-0000-00005D1D0000}"/>
    <cellStyle name="Grey 9 2" xfId="6977" xr:uid="{00000000-0005-0000-0000-00005E1D0000}"/>
    <cellStyle name="Grey_한국방송통신 전파진흥원 대회의실 무대장치 설치공사_110905" xfId="6978" xr:uid="{00000000-0005-0000-0000-00005F1D0000}"/>
    <cellStyle name="H1" xfId="6979" xr:uid="{00000000-0005-0000-0000-0000601D0000}"/>
    <cellStyle name="H1 2" xfId="16493" xr:uid="{00000000-0005-0000-0000-0000611D0000}"/>
    <cellStyle name="H2" xfId="6980" xr:uid="{00000000-0005-0000-0000-0000621D0000}"/>
    <cellStyle name="H2 2" xfId="16494" xr:uid="{00000000-0005-0000-0000-0000631D0000}"/>
    <cellStyle name="HEADER" xfId="6981" xr:uid="{00000000-0005-0000-0000-0000641D0000}"/>
    <cellStyle name="HEADER 2" xfId="6982" xr:uid="{00000000-0005-0000-0000-0000651D0000}"/>
    <cellStyle name="HEADER 2 2" xfId="6983" xr:uid="{00000000-0005-0000-0000-0000661D0000}"/>
    <cellStyle name="HEADER 2 2 2" xfId="6984" xr:uid="{00000000-0005-0000-0000-0000671D0000}"/>
    <cellStyle name="HEADER 2 3" xfId="6985" xr:uid="{00000000-0005-0000-0000-0000681D0000}"/>
    <cellStyle name="HEADER 2 4" xfId="6986" xr:uid="{00000000-0005-0000-0000-0000691D0000}"/>
    <cellStyle name="HEADER 3" xfId="6987" xr:uid="{00000000-0005-0000-0000-00006A1D0000}"/>
    <cellStyle name="HEADER 3 2" xfId="6988" xr:uid="{00000000-0005-0000-0000-00006B1D0000}"/>
    <cellStyle name="HEADER 4" xfId="6989" xr:uid="{00000000-0005-0000-0000-00006C1D0000}"/>
    <cellStyle name="HEADER 4 2" xfId="6990" xr:uid="{00000000-0005-0000-0000-00006D1D0000}"/>
    <cellStyle name="HEADER 5" xfId="6991" xr:uid="{00000000-0005-0000-0000-00006E1D0000}"/>
    <cellStyle name="HEADER 6" xfId="6992" xr:uid="{00000000-0005-0000-0000-00006F1D0000}"/>
    <cellStyle name="HEADER 7" xfId="16495" xr:uid="{00000000-0005-0000-0000-0000701D0000}"/>
    <cellStyle name="Header1" xfId="6993" xr:uid="{00000000-0005-0000-0000-0000711D0000}"/>
    <cellStyle name="Header1 2" xfId="6994" xr:uid="{00000000-0005-0000-0000-0000721D0000}"/>
    <cellStyle name="Header1 3" xfId="6995" xr:uid="{00000000-0005-0000-0000-0000731D0000}"/>
    <cellStyle name="Header1 4" xfId="16496" xr:uid="{00000000-0005-0000-0000-0000741D0000}"/>
    <cellStyle name="Header2" xfId="6996" xr:uid="{00000000-0005-0000-0000-0000751D0000}"/>
    <cellStyle name="Header2 2" xfId="6997" xr:uid="{00000000-0005-0000-0000-0000761D0000}"/>
    <cellStyle name="Header2 2 2" xfId="6998" xr:uid="{00000000-0005-0000-0000-0000771D0000}"/>
    <cellStyle name="Header2 2 2 2" xfId="6999" xr:uid="{00000000-0005-0000-0000-0000781D0000}"/>
    <cellStyle name="Header2 2 2 3" xfId="7000" xr:uid="{00000000-0005-0000-0000-0000791D0000}"/>
    <cellStyle name="Header2 2 2 4" xfId="7001" xr:uid="{00000000-0005-0000-0000-00007A1D0000}"/>
    <cellStyle name="Header2 2 2 5" xfId="7002" xr:uid="{00000000-0005-0000-0000-00007B1D0000}"/>
    <cellStyle name="Header2 3" xfId="7003" xr:uid="{00000000-0005-0000-0000-00007C1D0000}"/>
    <cellStyle name="Header2 3 2" xfId="7004" xr:uid="{00000000-0005-0000-0000-00007D1D0000}"/>
    <cellStyle name="Header2 3 3" xfId="7005" xr:uid="{00000000-0005-0000-0000-00007E1D0000}"/>
    <cellStyle name="Header2 3 4" xfId="7006" xr:uid="{00000000-0005-0000-0000-00007F1D0000}"/>
    <cellStyle name="Header2 3 5" xfId="7007" xr:uid="{00000000-0005-0000-0000-0000801D0000}"/>
    <cellStyle name="Header2 4" xfId="7008" xr:uid="{00000000-0005-0000-0000-0000811D0000}"/>
    <cellStyle name="Header2 5" xfId="16497" xr:uid="{00000000-0005-0000-0000-0000821D0000}"/>
    <cellStyle name="Header2 6" xfId="16912" xr:uid="{00000000-0005-0000-0000-0000831D0000}"/>
    <cellStyle name="Header2 7" xfId="16312" xr:uid="{00000000-0005-0000-0000-0000841D0000}"/>
    <cellStyle name="Heading 1" xfId="7009" xr:uid="{00000000-0005-0000-0000-0000851D0000}"/>
    <cellStyle name="Heading 1 2" xfId="7010" xr:uid="{00000000-0005-0000-0000-0000861D0000}"/>
    <cellStyle name="Heading 1 2 2" xfId="16499" xr:uid="{00000000-0005-0000-0000-0000871D0000}"/>
    <cellStyle name="Heading 1 3" xfId="16498" xr:uid="{00000000-0005-0000-0000-0000881D0000}"/>
    <cellStyle name="Heading 2" xfId="7011" xr:uid="{00000000-0005-0000-0000-0000891D0000}"/>
    <cellStyle name="Heading 2 2" xfId="7012" xr:uid="{00000000-0005-0000-0000-00008A1D0000}"/>
    <cellStyle name="Heading 2 2 2" xfId="16501" xr:uid="{00000000-0005-0000-0000-00008B1D0000}"/>
    <cellStyle name="Heading 2 3" xfId="16500" xr:uid="{00000000-0005-0000-0000-00008C1D0000}"/>
    <cellStyle name="Heading 3" xfId="15986" xr:uid="{00000000-0005-0000-0000-00008D1D0000}"/>
    <cellStyle name="Heading 4" xfId="15987" xr:uid="{00000000-0005-0000-0000-00008E1D0000}"/>
    <cellStyle name="Heading1" xfId="7013" xr:uid="{00000000-0005-0000-0000-00008F1D0000}"/>
    <cellStyle name="Heading1 10" xfId="7014" xr:uid="{00000000-0005-0000-0000-0000901D0000}"/>
    <cellStyle name="Heading1 10 2" xfId="7015" xr:uid="{00000000-0005-0000-0000-0000911D0000}"/>
    <cellStyle name="Heading1 11" xfId="7016" xr:uid="{00000000-0005-0000-0000-0000921D0000}"/>
    <cellStyle name="Heading1 11 2" xfId="7017" xr:uid="{00000000-0005-0000-0000-0000931D0000}"/>
    <cellStyle name="Heading1 12" xfId="7018" xr:uid="{00000000-0005-0000-0000-0000941D0000}"/>
    <cellStyle name="HEADING1 12 2" xfId="7019" xr:uid="{00000000-0005-0000-0000-0000951D0000}"/>
    <cellStyle name="HEADING1 12 2 2" xfId="7020" xr:uid="{00000000-0005-0000-0000-0000961D0000}"/>
    <cellStyle name="Heading1 12 3" xfId="7021" xr:uid="{00000000-0005-0000-0000-0000971D0000}"/>
    <cellStyle name="Heading1 12 4" xfId="7022" xr:uid="{00000000-0005-0000-0000-0000981D0000}"/>
    <cellStyle name="Heading1 13" xfId="7023" xr:uid="{00000000-0005-0000-0000-0000991D0000}"/>
    <cellStyle name="Heading1 13 2" xfId="7024" xr:uid="{00000000-0005-0000-0000-00009A1D0000}"/>
    <cellStyle name="Heading1 14" xfId="7025" xr:uid="{00000000-0005-0000-0000-00009B1D0000}"/>
    <cellStyle name="Heading1 15" xfId="16502" xr:uid="{00000000-0005-0000-0000-00009C1D0000}"/>
    <cellStyle name="Heading1 16" xfId="16913" xr:uid="{00000000-0005-0000-0000-00009D1D0000}"/>
    <cellStyle name="Heading1 17" xfId="16986" xr:uid="{00000000-0005-0000-0000-00009E1D0000}"/>
    <cellStyle name="Heading1 18" xfId="16198" xr:uid="{00000000-0005-0000-0000-00009F1D0000}"/>
    <cellStyle name="Heading1 2" xfId="7026" xr:uid="{00000000-0005-0000-0000-0000A01D0000}"/>
    <cellStyle name="Heading1 2 10" xfId="7027" xr:uid="{00000000-0005-0000-0000-0000A11D0000}"/>
    <cellStyle name="Heading1 2 10 2" xfId="7028" xr:uid="{00000000-0005-0000-0000-0000A21D0000}"/>
    <cellStyle name="Heading1 2 11" xfId="7029" xr:uid="{00000000-0005-0000-0000-0000A31D0000}"/>
    <cellStyle name="Heading1 2 11 2" xfId="7030" xr:uid="{00000000-0005-0000-0000-0000A41D0000}"/>
    <cellStyle name="Heading1 2 12" xfId="7031" xr:uid="{00000000-0005-0000-0000-0000A51D0000}"/>
    <cellStyle name="Heading1 2 13" xfId="16503" xr:uid="{00000000-0005-0000-0000-0000A61D0000}"/>
    <cellStyle name="Heading1 2 2" xfId="7032" xr:uid="{00000000-0005-0000-0000-0000A71D0000}"/>
    <cellStyle name="Heading1 2 2 2" xfId="7033" xr:uid="{00000000-0005-0000-0000-0000A81D0000}"/>
    <cellStyle name="Heading1 2 3" xfId="7034" xr:uid="{00000000-0005-0000-0000-0000A91D0000}"/>
    <cellStyle name="Heading1 2 3 2" xfId="7035" xr:uid="{00000000-0005-0000-0000-0000AA1D0000}"/>
    <cellStyle name="Heading1 2 4" xfId="7036" xr:uid="{00000000-0005-0000-0000-0000AB1D0000}"/>
    <cellStyle name="Heading1 2 4 2" xfId="7037" xr:uid="{00000000-0005-0000-0000-0000AC1D0000}"/>
    <cellStyle name="Heading1 2 5" xfId="7038" xr:uid="{00000000-0005-0000-0000-0000AD1D0000}"/>
    <cellStyle name="Heading1 2 5 2" xfId="7039" xr:uid="{00000000-0005-0000-0000-0000AE1D0000}"/>
    <cellStyle name="Heading1 2 6" xfId="7040" xr:uid="{00000000-0005-0000-0000-0000AF1D0000}"/>
    <cellStyle name="Heading1 2 6 2" xfId="7041" xr:uid="{00000000-0005-0000-0000-0000B01D0000}"/>
    <cellStyle name="Heading1 2 7" xfId="7042" xr:uid="{00000000-0005-0000-0000-0000B11D0000}"/>
    <cellStyle name="Heading1 2 7 2" xfId="7043" xr:uid="{00000000-0005-0000-0000-0000B21D0000}"/>
    <cellStyle name="Heading1 2 8" xfId="7044" xr:uid="{00000000-0005-0000-0000-0000B31D0000}"/>
    <cellStyle name="Heading1 2 8 2" xfId="7045" xr:uid="{00000000-0005-0000-0000-0000B41D0000}"/>
    <cellStyle name="Heading1 2 9" xfId="7046" xr:uid="{00000000-0005-0000-0000-0000B51D0000}"/>
    <cellStyle name="Heading1 2 9 2" xfId="7047" xr:uid="{00000000-0005-0000-0000-0000B61D0000}"/>
    <cellStyle name="Heading1 3" xfId="7048" xr:uid="{00000000-0005-0000-0000-0000B71D0000}"/>
    <cellStyle name="Heading1 3 2" xfId="7049" xr:uid="{00000000-0005-0000-0000-0000B81D0000}"/>
    <cellStyle name="Heading1 4" xfId="7050" xr:uid="{00000000-0005-0000-0000-0000B91D0000}"/>
    <cellStyle name="Heading1 4 2" xfId="7051" xr:uid="{00000000-0005-0000-0000-0000BA1D0000}"/>
    <cellStyle name="Heading1 5" xfId="7052" xr:uid="{00000000-0005-0000-0000-0000BB1D0000}"/>
    <cellStyle name="Heading1 5 2" xfId="7053" xr:uid="{00000000-0005-0000-0000-0000BC1D0000}"/>
    <cellStyle name="Heading1 6" xfId="7054" xr:uid="{00000000-0005-0000-0000-0000BD1D0000}"/>
    <cellStyle name="Heading1 6 2" xfId="7055" xr:uid="{00000000-0005-0000-0000-0000BE1D0000}"/>
    <cellStyle name="Heading1 7" xfId="7056" xr:uid="{00000000-0005-0000-0000-0000BF1D0000}"/>
    <cellStyle name="Heading1 7 2" xfId="7057" xr:uid="{00000000-0005-0000-0000-0000C01D0000}"/>
    <cellStyle name="Heading1 8" xfId="7058" xr:uid="{00000000-0005-0000-0000-0000C11D0000}"/>
    <cellStyle name="Heading1 8 2" xfId="7059" xr:uid="{00000000-0005-0000-0000-0000C21D0000}"/>
    <cellStyle name="Heading1 9" xfId="7060" xr:uid="{00000000-0005-0000-0000-0000C31D0000}"/>
    <cellStyle name="Heading1 9 2" xfId="7061" xr:uid="{00000000-0005-0000-0000-0000C41D0000}"/>
    <cellStyle name="Heading1_1부여부지 콘도미니엄 신축공사 AV설비 견적서_20100121" xfId="7062" xr:uid="{00000000-0005-0000-0000-0000C51D0000}"/>
    <cellStyle name="Heading2" xfId="7063" xr:uid="{00000000-0005-0000-0000-0000C61D0000}"/>
    <cellStyle name="Heading2 10" xfId="7064" xr:uid="{00000000-0005-0000-0000-0000C71D0000}"/>
    <cellStyle name="Heading2 10 2" xfId="7065" xr:uid="{00000000-0005-0000-0000-0000C81D0000}"/>
    <cellStyle name="Heading2 11" xfId="7066" xr:uid="{00000000-0005-0000-0000-0000C91D0000}"/>
    <cellStyle name="Heading2 11 2" xfId="7067" xr:uid="{00000000-0005-0000-0000-0000CA1D0000}"/>
    <cellStyle name="Heading2 12" xfId="7068" xr:uid="{00000000-0005-0000-0000-0000CB1D0000}"/>
    <cellStyle name="HEADING2 12 2" xfId="7069" xr:uid="{00000000-0005-0000-0000-0000CC1D0000}"/>
    <cellStyle name="HEADING2 12 2 2" xfId="7070" xr:uid="{00000000-0005-0000-0000-0000CD1D0000}"/>
    <cellStyle name="Heading2 12 3" xfId="7071" xr:uid="{00000000-0005-0000-0000-0000CE1D0000}"/>
    <cellStyle name="Heading2 12 4" xfId="7072" xr:uid="{00000000-0005-0000-0000-0000CF1D0000}"/>
    <cellStyle name="Heading2 13" xfId="7073" xr:uid="{00000000-0005-0000-0000-0000D01D0000}"/>
    <cellStyle name="Heading2 13 2" xfId="7074" xr:uid="{00000000-0005-0000-0000-0000D11D0000}"/>
    <cellStyle name="Heading2 14" xfId="7075" xr:uid="{00000000-0005-0000-0000-0000D21D0000}"/>
    <cellStyle name="Heading2 15" xfId="16504" xr:uid="{00000000-0005-0000-0000-0000D31D0000}"/>
    <cellStyle name="Heading2 16" xfId="16914" xr:uid="{00000000-0005-0000-0000-0000D41D0000}"/>
    <cellStyle name="Heading2 17" xfId="16987" xr:uid="{00000000-0005-0000-0000-0000D51D0000}"/>
    <cellStyle name="Heading2 18" xfId="16060" xr:uid="{00000000-0005-0000-0000-0000D61D0000}"/>
    <cellStyle name="Heading2 2" xfId="7076" xr:uid="{00000000-0005-0000-0000-0000D71D0000}"/>
    <cellStyle name="Heading2 2 10" xfId="7077" xr:uid="{00000000-0005-0000-0000-0000D81D0000}"/>
    <cellStyle name="Heading2 2 10 2" xfId="7078" xr:uid="{00000000-0005-0000-0000-0000D91D0000}"/>
    <cellStyle name="Heading2 2 11" xfId="7079" xr:uid="{00000000-0005-0000-0000-0000DA1D0000}"/>
    <cellStyle name="Heading2 2 11 2" xfId="7080" xr:uid="{00000000-0005-0000-0000-0000DB1D0000}"/>
    <cellStyle name="Heading2 2 12" xfId="7081" xr:uid="{00000000-0005-0000-0000-0000DC1D0000}"/>
    <cellStyle name="Heading2 2 13" xfId="16505" xr:uid="{00000000-0005-0000-0000-0000DD1D0000}"/>
    <cellStyle name="Heading2 2 2" xfId="7082" xr:uid="{00000000-0005-0000-0000-0000DE1D0000}"/>
    <cellStyle name="Heading2 2 2 2" xfId="7083" xr:uid="{00000000-0005-0000-0000-0000DF1D0000}"/>
    <cellStyle name="Heading2 2 3" xfId="7084" xr:uid="{00000000-0005-0000-0000-0000E01D0000}"/>
    <cellStyle name="Heading2 2 3 2" xfId="7085" xr:uid="{00000000-0005-0000-0000-0000E11D0000}"/>
    <cellStyle name="Heading2 2 4" xfId="7086" xr:uid="{00000000-0005-0000-0000-0000E21D0000}"/>
    <cellStyle name="Heading2 2 4 2" xfId="7087" xr:uid="{00000000-0005-0000-0000-0000E31D0000}"/>
    <cellStyle name="Heading2 2 5" xfId="7088" xr:uid="{00000000-0005-0000-0000-0000E41D0000}"/>
    <cellStyle name="Heading2 2 5 2" xfId="7089" xr:uid="{00000000-0005-0000-0000-0000E51D0000}"/>
    <cellStyle name="Heading2 2 6" xfId="7090" xr:uid="{00000000-0005-0000-0000-0000E61D0000}"/>
    <cellStyle name="Heading2 2 6 2" xfId="7091" xr:uid="{00000000-0005-0000-0000-0000E71D0000}"/>
    <cellStyle name="Heading2 2 7" xfId="7092" xr:uid="{00000000-0005-0000-0000-0000E81D0000}"/>
    <cellStyle name="Heading2 2 7 2" xfId="7093" xr:uid="{00000000-0005-0000-0000-0000E91D0000}"/>
    <cellStyle name="Heading2 2 8" xfId="7094" xr:uid="{00000000-0005-0000-0000-0000EA1D0000}"/>
    <cellStyle name="Heading2 2 8 2" xfId="7095" xr:uid="{00000000-0005-0000-0000-0000EB1D0000}"/>
    <cellStyle name="Heading2 2 9" xfId="7096" xr:uid="{00000000-0005-0000-0000-0000EC1D0000}"/>
    <cellStyle name="Heading2 2 9 2" xfId="7097" xr:uid="{00000000-0005-0000-0000-0000ED1D0000}"/>
    <cellStyle name="Heading2 3" xfId="7098" xr:uid="{00000000-0005-0000-0000-0000EE1D0000}"/>
    <cellStyle name="Heading2 3 2" xfId="7099" xr:uid="{00000000-0005-0000-0000-0000EF1D0000}"/>
    <cellStyle name="Heading2 4" xfId="7100" xr:uid="{00000000-0005-0000-0000-0000F01D0000}"/>
    <cellStyle name="Heading2 4 2" xfId="7101" xr:uid="{00000000-0005-0000-0000-0000F11D0000}"/>
    <cellStyle name="Heading2 5" xfId="7102" xr:uid="{00000000-0005-0000-0000-0000F21D0000}"/>
    <cellStyle name="Heading2 5 2" xfId="7103" xr:uid="{00000000-0005-0000-0000-0000F31D0000}"/>
    <cellStyle name="Heading2 6" xfId="7104" xr:uid="{00000000-0005-0000-0000-0000F41D0000}"/>
    <cellStyle name="Heading2 6 2" xfId="7105" xr:uid="{00000000-0005-0000-0000-0000F51D0000}"/>
    <cellStyle name="Heading2 7" xfId="7106" xr:uid="{00000000-0005-0000-0000-0000F61D0000}"/>
    <cellStyle name="Heading2 7 2" xfId="7107" xr:uid="{00000000-0005-0000-0000-0000F71D0000}"/>
    <cellStyle name="Heading2 8" xfId="7108" xr:uid="{00000000-0005-0000-0000-0000F81D0000}"/>
    <cellStyle name="Heading2 8 2" xfId="7109" xr:uid="{00000000-0005-0000-0000-0000F91D0000}"/>
    <cellStyle name="Heading2 9" xfId="7110" xr:uid="{00000000-0005-0000-0000-0000FA1D0000}"/>
    <cellStyle name="Heading2 9 2" xfId="7111" xr:uid="{00000000-0005-0000-0000-0000FB1D0000}"/>
    <cellStyle name="Heading2_1부여부지 콘도미니엄 신축공사 AV설비 견적서_20100121" xfId="7112" xr:uid="{00000000-0005-0000-0000-0000FC1D0000}"/>
    <cellStyle name="HEADINGS" xfId="7113" xr:uid="{00000000-0005-0000-0000-0000FD1D0000}"/>
    <cellStyle name="HEADINGS 2" xfId="7114" xr:uid="{00000000-0005-0000-0000-0000FE1D0000}"/>
    <cellStyle name="HEADINGSTOP" xfId="7115" xr:uid="{00000000-0005-0000-0000-0000FF1D0000}"/>
    <cellStyle name="HEADINGSTOP 2" xfId="7116" xr:uid="{00000000-0005-0000-0000-0000001E0000}"/>
    <cellStyle name="Helv8_PFD4.XLS" xfId="7117" xr:uid="{00000000-0005-0000-0000-0000011E0000}"/>
    <cellStyle name="HIGHLIGHT" xfId="7118" xr:uid="{00000000-0005-0000-0000-0000021E0000}"/>
    <cellStyle name="HIGHLIGHT 2" xfId="7119" xr:uid="{00000000-0005-0000-0000-0000031E0000}"/>
    <cellStyle name="Hyperlink" xfId="7120" xr:uid="{00000000-0005-0000-0000-0000041E0000}"/>
    <cellStyle name="Hyperlink 2" xfId="7121" xr:uid="{00000000-0005-0000-0000-0000051E0000}"/>
    <cellStyle name="Hyperlink 2 2" xfId="16507" xr:uid="{00000000-0005-0000-0000-0000061E0000}"/>
    <cellStyle name="Hyperlink 3" xfId="16506" xr:uid="{00000000-0005-0000-0000-0000071E0000}"/>
    <cellStyle name="Input" xfId="7122" xr:uid="{00000000-0005-0000-0000-0000081E0000}"/>
    <cellStyle name="Input %" xfId="7123" xr:uid="{00000000-0005-0000-0000-0000091E0000}"/>
    <cellStyle name="Input % 2" xfId="7124" xr:uid="{00000000-0005-0000-0000-00000A1E0000}"/>
    <cellStyle name="Input [yellow]" xfId="7125" xr:uid="{00000000-0005-0000-0000-00000B1E0000}"/>
    <cellStyle name="Input [yellow] 10" xfId="7126" xr:uid="{00000000-0005-0000-0000-00000C1E0000}"/>
    <cellStyle name="Input [yellow] 10 2" xfId="7127" xr:uid="{00000000-0005-0000-0000-00000D1E0000}"/>
    <cellStyle name="Input [yellow] 10 2 2" xfId="7128" xr:uid="{00000000-0005-0000-0000-00000E1E0000}"/>
    <cellStyle name="Input [yellow] 10 2 2 2" xfId="7129" xr:uid="{00000000-0005-0000-0000-00000F1E0000}"/>
    <cellStyle name="Input [yellow] 10 2 2 3" xfId="7130" xr:uid="{00000000-0005-0000-0000-0000101E0000}"/>
    <cellStyle name="Input [yellow] 10 2 2 4" xfId="7131" xr:uid="{00000000-0005-0000-0000-0000111E0000}"/>
    <cellStyle name="Input [yellow] 10 2 2 5" xfId="7132" xr:uid="{00000000-0005-0000-0000-0000121E0000}"/>
    <cellStyle name="Input [yellow] 10 3" xfId="7133" xr:uid="{00000000-0005-0000-0000-0000131E0000}"/>
    <cellStyle name="Input [yellow] 10 3 2" xfId="7134" xr:uid="{00000000-0005-0000-0000-0000141E0000}"/>
    <cellStyle name="Input [yellow] 10 3 3" xfId="7135" xr:uid="{00000000-0005-0000-0000-0000151E0000}"/>
    <cellStyle name="Input [yellow] 10 3 4" xfId="7136" xr:uid="{00000000-0005-0000-0000-0000161E0000}"/>
    <cellStyle name="Input [yellow] 10 3 5" xfId="7137" xr:uid="{00000000-0005-0000-0000-0000171E0000}"/>
    <cellStyle name="Input [yellow] 11" xfId="7138" xr:uid="{00000000-0005-0000-0000-0000181E0000}"/>
    <cellStyle name="Input [yellow] 11 2" xfId="7139" xr:uid="{00000000-0005-0000-0000-0000191E0000}"/>
    <cellStyle name="Input [yellow] 11 2 2" xfId="7140" xr:uid="{00000000-0005-0000-0000-00001A1E0000}"/>
    <cellStyle name="Input [yellow] 11 2 2 2" xfId="7141" xr:uid="{00000000-0005-0000-0000-00001B1E0000}"/>
    <cellStyle name="Input [yellow] 11 2 2 3" xfId="7142" xr:uid="{00000000-0005-0000-0000-00001C1E0000}"/>
    <cellStyle name="Input [yellow] 11 2 2 4" xfId="7143" xr:uid="{00000000-0005-0000-0000-00001D1E0000}"/>
    <cellStyle name="Input [yellow] 11 2 2 5" xfId="7144" xr:uid="{00000000-0005-0000-0000-00001E1E0000}"/>
    <cellStyle name="Input [yellow] 11 3" xfId="7145" xr:uid="{00000000-0005-0000-0000-00001F1E0000}"/>
    <cellStyle name="Input [yellow] 11 3 2" xfId="7146" xr:uid="{00000000-0005-0000-0000-0000201E0000}"/>
    <cellStyle name="Input [yellow] 11 3 3" xfId="7147" xr:uid="{00000000-0005-0000-0000-0000211E0000}"/>
    <cellStyle name="Input [yellow] 11 3 4" xfId="7148" xr:uid="{00000000-0005-0000-0000-0000221E0000}"/>
    <cellStyle name="Input [yellow] 11 3 5" xfId="7149" xr:uid="{00000000-0005-0000-0000-0000231E0000}"/>
    <cellStyle name="Input [yellow] 12" xfId="7150" xr:uid="{00000000-0005-0000-0000-0000241E0000}"/>
    <cellStyle name="Input [yellow] 12 2" xfId="7151" xr:uid="{00000000-0005-0000-0000-0000251E0000}"/>
    <cellStyle name="Input [yellow] 12 2 2" xfId="7152" xr:uid="{00000000-0005-0000-0000-0000261E0000}"/>
    <cellStyle name="Input [yellow] 12 2 2 2" xfId="7153" xr:uid="{00000000-0005-0000-0000-0000271E0000}"/>
    <cellStyle name="Input [yellow] 12 2 2 3" xfId="7154" xr:uid="{00000000-0005-0000-0000-0000281E0000}"/>
    <cellStyle name="Input [yellow] 12 2 2 4" xfId="7155" xr:uid="{00000000-0005-0000-0000-0000291E0000}"/>
    <cellStyle name="Input [yellow] 12 2 2 5" xfId="7156" xr:uid="{00000000-0005-0000-0000-00002A1E0000}"/>
    <cellStyle name="Input [yellow] 12 3" xfId="7157" xr:uid="{00000000-0005-0000-0000-00002B1E0000}"/>
    <cellStyle name="Input [yellow] 12 3 2" xfId="7158" xr:uid="{00000000-0005-0000-0000-00002C1E0000}"/>
    <cellStyle name="Input [yellow] 12 3 3" xfId="7159" xr:uid="{00000000-0005-0000-0000-00002D1E0000}"/>
    <cellStyle name="Input [yellow] 12 3 4" xfId="7160" xr:uid="{00000000-0005-0000-0000-00002E1E0000}"/>
    <cellStyle name="Input [yellow] 12 3 5" xfId="7161" xr:uid="{00000000-0005-0000-0000-00002F1E0000}"/>
    <cellStyle name="Input [yellow] 13" xfId="7162" xr:uid="{00000000-0005-0000-0000-0000301E0000}"/>
    <cellStyle name="Input [yellow] 13 2" xfId="7163" xr:uid="{00000000-0005-0000-0000-0000311E0000}"/>
    <cellStyle name="Input [yellow] 13 2 2" xfId="7164" xr:uid="{00000000-0005-0000-0000-0000321E0000}"/>
    <cellStyle name="Input [yellow] 13 2 2 2" xfId="7165" xr:uid="{00000000-0005-0000-0000-0000331E0000}"/>
    <cellStyle name="Input [yellow] 13 2 2 3" xfId="7166" xr:uid="{00000000-0005-0000-0000-0000341E0000}"/>
    <cellStyle name="Input [yellow] 13 2 2 4" xfId="7167" xr:uid="{00000000-0005-0000-0000-0000351E0000}"/>
    <cellStyle name="Input [yellow] 13 2 2 5" xfId="7168" xr:uid="{00000000-0005-0000-0000-0000361E0000}"/>
    <cellStyle name="Input [yellow] 13 3" xfId="7169" xr:uid="{00000000-0005-0000-0000-0000371E0000}"/>
    <cellStyle name="Input [yellow] 13 3 2" xfId="7170" xr:uid="{00000000-0005-0000-0000-0000381E0000}"/>
    <cellStyle name="Input [yellow] 13 3 3" xfId="7171" xr:uid="{00000000-0005-0000-0000-0000391E0000}"/>
    <cellStyle name="Input [yellow] 13 3 4" xfId="7172" xr:uid="{00000000-0005-0000-0000-00003A1E0000}"/>
    <cellStyle name="Input [yellow] 13 3 5" xfId="7173" xr:uid="{00000000-0005-0000-0000-00003B1E0000}"/>
    <cellStyle name="Input [yellow] 14" xfId="7174" xr:uid="{00000000-0005-0000-0000-00003C1E0000}"/>
    <cellStyle name="Input [yellow] 14 2" xfId="7175" xr:uid="{00000000-0005-0000-0000-00003D1E0000}"/>
    <cellStyle name="Input [yellow] 14 2 2" xfId="7176" xr:uid="{00000000-0005-0000-0000-00003E1E0000}"/>
    <cellStyle name="Input [yellow] 14 2 2 2" xfId="7177" xr:uid="{00000000-0005-0000-0000-00003F1E0000}"/>
    <cellStyle name="Input [yellow] 14 2 2 3" xfId="7178" xr:uid="{00000000-0005-0000-0000-0000401E0000}"/>
    <cellStyle name="Input [yellow] 14 2 2 4" xfId="7179" xr:uid="{00000000-0005-0000-0000-0000411E0000}"/>
    <cellStyle name="Input [yellow] 14 2 2 5" xfId="7180" xr:uid="{00000000-0005-0000-0000-0000421E0000}"/>
    <cellStyle name="Input [yellow] 14 3" xfId="7181" xr:uid="{00000000-0005-0000-0000-0000431E0000}"/>
    <cellStyle name="Input [yellow] 14 3 2" xfId="7182" xr:uid="{00000000-0005-0000-0000-0000441E0000}"/>
    <cellStyle name="Input [yellow] 14 3 3" xfId="7183" xr:uid="{00000000-0005-0000-0000-0000451E0000}"/>
    <cellStyle name="Input [yellow] 14 3 4" xfId="7184" xr:uid="{00000000-0005-0000-0000-0000461E0000}"/>
    <cellStyle name="Input [yellow] 14 3 5" xfId="7185" xr:uid="{00000000-0005-0000-0000-0000471E0000}"/>
    <cellStyle name="Input [yellow] 15" xfId="7186" xr:uid="{00000000-0005-0000-0000-0000481E0000}"/>
    <cellStyle name="Input [yellow] 15 2" xfId="7187" xr:uid="{00000000-0005-0000-0000-0000491E0000}"/>
    <cellStyle name="Input [yellow] 15 2 2" xfId="7188" xr:uid="{00000000-0005-0000-0000-00004A1E0000}"/>
    <cellStyle name="Input [yellow] 15 2 2 2" xfId="7189" xr:uid="{00000000-0005-0000-0000-00004B1E0000}"/>
    <cellStyle name="Input [yellow] 15 2 2 2 2" xfId="7190" xr:uid="{00000000-0005-0000-0000-00004C1E0000}"/>
    <cellStyle name="Input [yellow] 15 2 2 2 3" xfId="7191" xr:uid="{00000000-0005-0000-0000-00004D1E0000}"/>
    <cellStyle name="Input [yellow] 15 2 2 2 4" xfId="7192" xr:uid="{00000000-0005-0000-0000-00004E1E0000}"/>
    <cellStyle name="Input [yellow] 15 2 2 2 5" xfId="7193" xr:uid="{00000000-0005-0000-0000-00004F1E0000}"/>
    <cellStyle name="Input [yellow] 15 2 3" xfId="7194" xr:uid="{00000000-0005-0000-0000-0000501E0000}"/>
    <cellStyle name="Input [yellow] 15 2 3 2" xfId="7195" xr:uid="{00000000-0005-0000-0000-0000511E0000}"/>
    <cellStyle name="Input [yellow] 15 2 3 3" xfId="7196" xr:uid="{00000000-0005-0000-0000-0000521E0000}"/>
    <cellStyle name="Input [yellow] 15 2 3 4" xfId="7197" xr:uid="{00000000-0005-0000-0000-0000531E0000}"/>
    <cellStyle name="Input [yellow] 15 2 3 5" xfId="7198" xr:uid="{00000000-0005-0000-0000-0000541E0000}"/>
    <cellStyle name="Input [yellow] 15 3" xfId="7199" xr:uid="{00000000-0005-0000-0000-0000551E0000}"/>
    <cellStyle name="Input [yellow] 15 3 2" xfId="7200" xr:uid="{00000000-0005-0000-0000-0000561E0000}"/>
    <cellStyle name="Input [yellow] 15 3 2 2" xfId="7201" xr:uid="{00000000-0005-0000-0000-0000571E0000}"/>
    <cellStyle name="Input [yellow] 15 3 2 3" xfId="7202" xr:uid="{00000000-0005-0000-0000-0000581E0000}"/>
    <cellStyle name="Input [yellow] 15 3 2 4" xfId="7203" xr:uid="{00000000-0005-0000-0000-0000591E0000}"/>
    <cellStyle name="Input [yellow] 15 3 2 5" xfId="7204" xr:uid="{00000000-0005-0000-0000-00005A1E0000}"/>
    <cellStyle name="Input [yellow] 15 4" xfId="7205" xr:uid="{00000000-0005-0000-0000-00005B1E0000}"/>
    <cellStyle name="Input [yellow] 15 4 2" xfId="7206" xr:uid="{00000000-0005-0000-0000-00005C1E0000}"/>
    <cellStyle name="Input [yellow] 15 4 3" xfId="7207" xr:uid="{00000000-0005-0000-0000-00005D1E0000}"/>
    <cellStyle name="Input [yellow] 15 4 4" xfId="7208" xr:uid="{00000000-0005-0000-0000-00005E1E0000}"/>
    <cellStyle name="Input [yellow] 15 4 5" xfId="7209" xr:uid="{00000000-0005-0000-0000-00005F1E0000}"/>
    <cellStyle name="Input [yellow] 16" xfId="7210" xr:uid="{00000000-0005-0000-0000-0000601E0000}"/>
    <cellStyle name="Input [yellow] 16 2" xfId="7211" xr:uid="{00000000-0005-0000-0000-0000611E0000}"/>
    <cellStyle name="Input [yellow] 16 2 2" xfId="7212" xr:uid="{00000000-0005-0000-0000-0000621E0000}"/>
    <cellStyle name="Input [yellow] 16 2 2 2" xfId="7213" xr:uid="{00000000-0005-0000-0000-0000631E0000}"/>
    <cellStyle name="Input [yellow] 16 2 2 3" xfId="7214" xr:uid="{00000000-0005-0000-0000-0000641E0000}"/>
    <cellStyle name="Input [yellow] 16 2 2 4" xfId="7215" xr:uid="{00000000-0005-0000-0000-0000651E0000}"/>
    <cellStyle name="Input [yellow] 16 2 2 5" xfId="7216" xr:uid="{00000000-0005-0000-0000-0000661E0000}"/>
    <cellStyle name="Input [yellow] 16 3" xfId="7217" xr:uid="{00000000-0005-0000-0000-0000671E0000}"/>
    <cellStyle name="Input [yellow] 16 3 2" xfId="7218" xr:uid="{00000000-0005-0000-0000-0000681E0000}"/>
    <cellStyle name="Input [yellow] 16 3 3" xfId="7219" xr:uid="{00000000-0005-0000-0000-0000691E0000}"/>
    <cellStyle name="Input [yellow] 16 3 4" xfId="7220" xr:uid="{00000000-0005-0000-0000-00006A1E0000}"/>
    <cellStyle name="Input [yellow] 16 3 5" xfId="7221" xr:uid="{00000000-0005-0000-0000-00006B1E0000}"/>
    <cellStyle name="Input [yellow] 17" xfId="7222" xr:uid="{00000000-0005-0000-0000-00006C1E0000}"/>
    <cellStyle name="Input [yellow] 17 2" xfId="7223" xr:uid="{00000000-0005-0000-0000-00006D1E0000}"/>
    <cellStyle name="Input [yellow] 17 2 2" xfId="7224" xr:uid="{00000000-0005-0000-0000-00006E1E0000}"/>
    <cellStyle name="Input [yellow] 17 2 3" xfId="7225" xr:uid="{00000000-0005-0000-0000-00006F1E0000}"/>
    <cellStyle name="Input [yellow] 17 2 4" xfId="7226" xr:uid="{00000000-0005-0000-0000-0000701E0000}"/>
    <cellStyle name="Input [yellow] 17 2 5" xfId="7227" xr:uid="{00000000-0005-0000-0000-0000711E0000}"/>
    <cellStyle name="Input [yellow] 18" xfId="7228" xr:uid="{00000000-0005-0000-0000-0000721E0000}"/>
    <cellStyle name="Input [yellow] 18 2" xfId="7229" xr:uid="{00000000-0005-0000-0000-0000731E0000}"/>
    <cellStyle name="Input [yellow] 18 3" xfId="7230" xr:uid="{00000000-0005-0000-0000-0000741E0000}"/>
    <cellStyle name="Input [yellow] 18 4" xfId="7231" xr:uid="{00000000-0005-0000-0000-0000751E0000}"/>
    <cellStyle name="Input [yellow] 18 5" xfId="7232" xr:uid="{00000000-0005-0000-0000-0000761E0000}"/>
    <cellStyle name="Input [yellow] 19" xfId="7233" xr:uid="{00000000-0005-0000-0000-0000771E0000}"/>
    <cellStyle name="Input [yellow] 2" xfId="7234" xr:uid="{00000000-0005-0000-0000-0000781E0000}"/>
    <cellStyle name="Input [yellow] 2 2" xfId="7235" xr:uid="{00000000-0005-0000-0000-0000791E0000}"/>
    <cellStyle name="Input [yellow] 2 2 2" xfId="7236" xr:uid="{00000000-0005-0000-0000-00007A1E0000}"/>
    <cellStyle name="Input [yellow] 2 2 2 2" xfId="7237" xr:uid="{00000000-0005-0000-0000-00007B1E0000}"/>
    <cellStyle name="Input [yellow] 2 2 2 2 2" xfId="7238" xr:uid="{00000000-0005-0000-0000-00007C1E0000}"/>
    <cellStyle name="Input [yellow] 2 2 2 2 2 2" xfId="7239" xr:uid="{00000000-0005-0000-0000-00007D1E0000}"/>
    <cellStyle name="Input [yellow] 2 2 2 2 2 3" xfId="7240" xr:uid="{00000000-0005-0000-0000-00007E1E0000}"/>
    <cellStyle name="Input [yellow] 2 2 2 2 2 4" xfId="7241" xr:uid="{00000000-0005-0000-0000-00007F1E0000}"/>
    <cellStyle name="Input [yellow] 2 2 2 2 2 5" xfId="7242" xr:uid="{00000000-0005-0000-0000-0000801E0000}"/>
    <cellStyle name="Input [yellow] 2 2 2 3" xfId="7243" xr:uid="{00000000-0005-0000-0000-0000811E0000}"/>
    <cellStyle name="Input [yellow] 2 2 2 3 2" xfId="7244" xr:uid="{00000000-0005-0000-0000-0000821E0000}"/>
    <cellStyle name="Input [yellow] 2 2 2 3 3" xfId="7245" xr:uid="{00000000-0005-0000-0000-0000831E0000}"/>
    <cellStyle name="Input [yellow] 2 2 2 3 4" xfId="7246" xr:uid="{00000000-0005-0000-0000-0000841E0000}"/>
    <cellStyle name="Input [yellow] 2 2 2 3 5" xfId="7247" xr:uid="{00000000-0005-0000-0000-0000851E0000}"/>
    <cellStyle name="Input [yellow] 2 2 3" xfId="7248" xr:uid="{00000000-0005-0000-0000-0000861E0000}"/>
    <cellStyle name="Input [yellow] 2 2 3 2" xfId="7249" xr:uid="{00000000-0005-0000-0000-0000871E0000}"/>
    <cellStyle name="Input [yellow] 2 2 3 2 2" xfId="7250" xr:uid="{00000000-0005-0000-0000-0000881E0000}"/>
    <cellStyle name="Input [yellow] 2 2 3 2 3" xfId="7251" xr:uid="{00000000-0005-0000-0000-0000891E0000}"/>
    <cellStyle name="Input [yellow] 2 2 3 2 4" xfId="7252" xr:uid="{00000000-0005-0000-0000-00008A1E0000}"/>
    <cellStyle name="Input [yellow] 2 2 3 2 5" xfId="7253" xr:uid="{00000000-0005-0000-0000-00008B1E0000}"/>
    <cellStyle name="Input [yellow] 2 2 4" xfId="7254" xr:uid="{00000000-0005-0000-0000-00008C1E0000}"/>
    <cellStyle name="Input [yellow] 2 2 4 2" xfId="7255" xr:uid="{00000000-0005-0000-0000-00008D1E0000}"/>
    <cellStyle name="Input [yellow] 2 2 4 3" xfId="7256" xr:uid="{00000000-0005-0000-0000-00008E1E0000}"/>
    <cellStyle name="Input [yellow] 2 2 4 4" xfId="7257" xr:uid="{00000000-0005-0000-0000-00008F1E0000}"/>
    <cellStyle name="Input [yellow] 2 2 4 5" xfId="7258" xr:uid="{00000000-0005-0000-0000-0000901E0000}"/>
    <cellStyle name="Input [yellow] 2 3" xfId="7259" xr:uid="{00000000-0005-0000-0000-0000911E0000}"/>
    <cellStyle name="Input [yellow] 2 3 2" xfId="7260" xr:uid="{00000000-0005-0000-0000-0000921E0000}"/>
    <cellStyle name="Input [yellow] 2 3 2 2" xfId="7261" xr:uid="{00000000-0005-0000-0000-0000931E0000}"/>
    <cellStyle name="Input [yellow] 2 3 2 2 2" xfId="7262" xr:uid="{00000000-0005-0000-0000-0000941E0000}"/>
    <cellStyle name="Input [yellow] 2 3 2 2 3" xfId="7263" xr:uid="{00000000-0005-0000-0000-0000951E0000}"/>
    <cellStyle name="Input [yellow] 2 3 2 2 4" xfId="7264" xr:uid="{00000000-0005-0000-0000-0000961E0000}"/>
    <cellStyle name="Input [yellow] 2 3 2 2 5" xfId="7265" xr:uid="{00000000-0005-0000-0000-0000971E0000}"/>
    <cellStyle name="Input [yellow] 2 3 3" xfId="7266" xr:uid="{00000000-0005-0000-0000-0000981E0000}"/>
    <cellStyle name="Input [yellow] 2 3 3 2" xfId="7267" xr:uid="{00000000-0005-0000-0000-0000991E0000}"/>
    <cellStyle name="Input [yellow] 2 3 3 3" xfId="7268" xr:uid="{00000000-0005-0000-0000-00009A1E0000}"/>
    <cellStyle name="Input [yellow] 2 3 3 4" xfId="7269" xr:uid="{00000000-0005-0000-0000-00009B1E0000}"/>
    <cellStyle name="Input [yellow] 2 3 3 5" xfId="7270" xr:uid="{00000000-0005-0000-0000-00009C1E0000}"/>
    <cellStyle name="Input [yellow] 2 4" xfId="7271" xr:uid="{00000000-0005-0000-0000-00009D1E0000}"/>
    <cellStyle name="Input [yellow] 2 4 2" xfId="7272" xr:uid="{00000000-0005-0000-0000-00009E1E0000}"/>
    <cellStyle name="Input [yellow] 2 4 2 2" xfId="7273" xr:uid="{00000000-0005-0000-0000-00009F1E0000}"/>
    <cellStyle name="Input [yellow] 2 4 2 2 2" xfId="7274" xr:uid="{00000000-0005-0000-0000-0000A01E0000}"/>
    <cellStyle name="Input [yellow] 2 4 2 2 3" xfId="7275" xr:uid="{00000000-0005-0000-0000-0000A11E0000}"/>
    <cellStyle name="Input [yellow] 2 4 2 2 4" xfId="7276" xr:uid="{00000000-0005-0000-0000-0000A21E0000}"/>
    <cellStyle name="Input [yellow] 2 4 2 2 5" xfId="7277" xr:uid="{00000000-0005-0000-0000-0000A31E0000}"/>
    <cellStyle name="Input [yellow] 2 4 3" xfId="7278" xr:uid="{00000000-0005-0000-0000-0000A41E0000}"/>
    <cellStyle name="Input [yellow] 2 4 3 2" xfId="7279" xr:uid="{00000000-0005-0000-0000-0000A51E0000}"/>
    <cellStyle name="Input [yellow] 2 4 3 3" xfId="7280" xr:uid="{00000000-0005-0000-0000-0000A61E0000}"/>
    <cellStyle name="Input [yellow] 2 4 3 4" xfId="7281" xr:uid="{00000000-0005-0000-0000-0000A71E0000}"/>
    <cellStyle name="Input [yellow] 2 4 3 5" xfId="7282" xr:uid="{00000000-0005-0000-0000-0000A81E0000}"/>
    <cellStyle name="Input [yellow] 2 5" xfId="7283" xr:uid="{00000000-0005-0000-0000-0000A91E0000}"/>
    <cellStyle name="Input [yellow] 2 5 2" xfId="7284" xr:uid="{00000000-0005-0000-0000-0000AA1E0000}"/>
    <cellStyle name="Input [yellow] 2 5 2 2" xfId="7285" xr:uid="{00000000-0005-0000-0000-0000AB1E0000}"/>
    <cellStyle name="Input [yellow] 2 5 2 3" xfId="7286" xr:uid="{00000000-0005-0000-0000-0000AC1E0000}"/>
    <cellStyle name="Input [yellow] 2 5 2 4" xfId="7287" xr:uid="{00000000-0005-0000-0000-0000AD1E0000}"/>
    <cellStyle name="Input [yellow] 2 5 2 5" xfId="7288" xr:uid="{00000000-0005-0000-0000-0000AE1E0000}"/>
    <cellStyle name="Input [yellow] 2 6" xfId="7289" xr:uid="{00000000-0005-0000-0000-0000AF1E0000}"/>
    <cellStyle name="Input [yellow] 2 6 2" xfId="7290" xr:uid="{00000000-0005-0000-0000-0000B01E0000}"/>
    <cellStyle name="Input [yellow] 2 6 2 2" xfId="7291" xr:uid="{00000000-0005-0000-0000-0000B11E0000}"/>
    <cellStyle name="Input [yellow] 2 6 2 3" xfId="7292" xr:uid="{00000000-0005-0000-0000-0000B21E0000}"/>
    <cellStyle name="Input [yellow] 2 6 2 4" xfId="7293" xr:uid="{00000000-0005-0000-0000-0000B31E0000}"/>
    <cellStyle name="Input [yellow] 2 6 2 5" xfId="7294" xr:uid="{00000000-0005-0000-0000-0000B41E0000}"/>
    <cellStyle name="Input [yellow] 2 7" xfId="7295" xr:uid="{00000000-0005-0000-0000-0000B51E0000}"/>
    <cellStyle name="Input [yellow] 2 7 2" xfId="7296" xr:uid="{00000000-0005-0000-0000-0000B61E0000}"/>
    <cellStyle name="Input [yellow] 2 7 3" xfId="7297" xr:uid="{00000000-0005-0000-0000-0000B71E0000}"/>
    <cellStyle name="Input [yellow] 2 7 4" xfId="7298" xr:uid="{00000000-0005-0000-0000-0000B81E0000}"/>
    <cellStyle name="Input [yellow] 2 7 5" xfId="7299" xr:uid="{00000000-0005-0000-0000-0000B91E0000}"/>
    <cellStyle name="Input [yellow] 2 8" xfId="16510" xr:uid="{00000000-0005-0000-0000-0000BA1E0000}"/>
    <cellStyle name="Input [yellow] 20" xfId="16509" xr:uid="{00000000-0005-0000-0000-0000BB1E0000}"/>
    <cellStyle name="Input [yellow] 3" xfId="7300" xr:uid="{00000000-0005-0000-0000-0000BC1E0000}"/>
    <cellStyle name="Input [yellow] 3 2" xfId="7301" xr:uid="{00000000-0005-0000-0000-0000BD1E0000}"/>
    <cellStyle name="Input [yellow] 3 2 2" xfId="7302" xr:uid="{00000000-0005-0000-0000-0000BE1E0000}"/>
    <cellStyle name="Input [yellow] 3 2 2 2" xfId="7303" xr:uid="{00000000-0005-0000-0000-0000BF1E0000}"/>
    <cellStyle name="Input [yellow] 3 2 2 3" xfId="7304" xr:uid="{00000000-0005-0000-0000-0000C01E0000}"/>
    <cellStyle name="Input [yellow] 3 2 2 4" xfId="7305" xr:uid="{00000000-0005-0000-0000-0000C11E0000}"/>
    <cellStyle name="Input [yellow] 3 2 2 5" xfId="7306" xr:uid="{00000000-0005-0000-0000-0000C21E0000}"/>
    <cellStyle name="Input [yellow] 3 3" xfId="7307" xr:uid="{00000000-0005-0000-0000-0000C31E0000}"/>
    <cellStyle name="Input [yellow] 3 3 2" xfId="7308" xr:uid="{00000000-0005-0000-0000-0000C41E0000}"/>
    <cellStyle name="Input [yellow] 3 3 2 2" xfId="7309" xr:uid="{00000000-0005-0000-0000-0000C51E0000}"/>
    <cellStyle name="Input [yellow] 3 3 2 3" xfId="7310" xr:uid="{00000000-0005-0000-0000-0000C61E0000}"/>
    <cellStyle name="Input [yellow] 3 3 2 4" xfId="7311" xr:uid="{00000000-0005-0000-0000-0000C71E0000}"/>
    <cellStyle name="Input [yellow] 3 3 2 5" xfId="7312" xr:uid="{00000000-0005-0000-0000-0000C81E0000}"/>
    <cellStyle name="Input [yellow] 3 4" xfId="7313" xr:uid="{00000000-0005-0000-0000-0000C91E0000}"/>
    <cellStyle name="Input [yellow] 3 4 2" xfId="7314" xr:uid="{00000000-0005-0000-0000-0000CA1E0000}"/>
    <cellStyle name="Input [yellow] 3 4 3" xfId="7315" xr:uid="{00000000-0005-0000-0000-0000CB1E0000}"/>
    <cellStyle name="Input [yellow] 3 4 4" xfId="7316" xr:uid="{00000000-0005-0000-0000-0000CC1E0000}"/>
    <cellStyle name="Input [yellow] 3 4 5" xfId="7317" xr:uid="{00000000-0005-0000-0000-0000CD1E0000}"/>
    <cellStyle name="Input [yellow] 3 5" xfId="16511" xr:uid="{00000000-0005-0000-0000-0000CE1E0000}"/>
    <cellStyle name="Input [yellow] 4" xfId="7318" xr:uid="{00000000-0005-0000-0000-0000CF1E0000}"/>
    <cellStyle name="Input [yellow] 4 2" xfId="7319" xr:uid="{00000000-0005-0000-0000-0000D01E0000}"/>
    <cellStyle name="Input [yellow] 4 2 2" xfId="7320" xr:uid="{00000000-0005-0000-0000-0000D11E0000}"/>
    <cellStyle name="Input [yellow] 4 2 2 2" xfId="7321" xr:uid="{00000000-0005-0000-0000-0000D21E0000}"/>
    <cellStyle name="Input [yellow] 4 2 2 3" xfId="7322" xr:uid="{00000000-0005-0000-0000-0000D31E0000}"/>
    <cellStyle name="Input [yellow] 4 2 2 4" xfId="7323" xr:uid="{00000000-0005-0000-0000-0000D41E0000}"/>
    <cellStyle name="Input [yellow] 4 2 2 5" xfId="7324" xr:uid="{00000000-0005-0000-0000-0000D51E0000}"/>
    <cellStyle name="Input [yellow] 4 3" xfId="7325" xr:uid="{00000000-0005-0000-0000-0000D61E0000}"/>
    <cellStyle name="Input [yellow] 4 3 2" xfId="7326" xr:uid="{00000000-0005-0000-0000-0000D71E0000}"/>
    <cellStyle name="Input [yellow] 4 3 3" xfId="7327" xr:uid="{00000000-0005-0000-0000-0000D81E0000}"/>
    <cellStyle name="Input [yellow] 4 3 4" xfId="7328" xr:uid="{00000000-0005-0000-0000-0000D91E0000}"/>
    <cellStyle name="Input [yellow] 4 3 5" xfId="7329" xr:uid="{00000000-0005-0000-0000-0000DA1E0000}"/>
    <cellStyle name="Input [yellow] 4 4" xfId="16512" xr:uid="{00000000-0005-0000-0000-0000DB1E0000}"/>
    <cellStyle name="Input [yellow] 5" xfId="7330" xr:uid="{00000000-0005-0000-0000-0000DC1E0000}"/>
    <cellStyle name="Input [yellow] 5 2" xfId="7331" xr:uid="{00000000-0005-0000-0000-0000DD1E0000}"/>
    <cellStyle name="Input [yellow] 5 2 2" xfId="7332" xr:uid="{00000000-0005-0000-0000-0000DE1E0000}"/>
    <cellStyle name="Input [yellow] 5 2 2 2" xfId="7333" xr:uid="{00000000-0005-0000-0000-0000DF1E0000}"/>
    <cellStyle name="Input [yellow] 5 2 2 3" xfId="7334" xr:uid="{00000000-0005-0000-0000-0000E01E0000}"/>
    <cellStyle name="Input [yellow] 5 2 2 4" xfId="7335" xr:uid="{00000000-0005-0000-0000-0000E11E0000}"/>
    <cellStyle name="Input [yellow] 5 2 2 5" xfId="7336" xr:uid="{00000000-0005-0000-0000-0000E21E0000}"/>
    <cellStyle name="Input [yellow] 5 3" xfId="7337" xr:uid="{00000000-0005-0000-0000-0000E31E0000}"/>
    <cellStyle name="Input [yellow] 5 3 2" xfId="7338" xr:uid="{00000000-0005-0000-0000-0000E41E0000}"/>
    <cellStyle name="Input [yellow] 5 3 3" xfId="7339" xr:uid="{00000000-0005-0000-0000-0000E51E0000}"/>
    <cellStyle name="Input [yellow] 5 3 4" xfId="7340" xr:uid="{00000000-0005-0000-0000-0000E61E0000}"/>
    <cellStyle name="Input [yellow] 5 3 5" xfId="7341" xr:uid="{00000000-0005-0000-0000-0000E71E0000}"/>
    <cellStyle name="Input [yellow] 6" xfId="7342" xr:uid="{00000000-0005-0000-0000-0000E81E0000}"/>
    <cellStyle name="Input [yellow] 6 2" xfId="7343" xr:uid="{00000000-0005-0000-0000-0000E91E0000}"/>
    <cellStyle name="Input [yellow] 6 2 2" xfId="7344" xr:uid="{00000000-0005-0000-0000-0000EA1E0000}"/>
    <cellStyle name="Input [yellow] 6 2 2 2" xfId="7345" xr:uid="{00000000-0005-0000-0000-0000EB1E0000}"/>
    <cellStyle name="Input [yellow] 6 2 2 3" xfId="7346" xr:uid="{00000000-0005-0000-0000-0000EC1E0000}"/>
    <cellStyle name="Input [yellow] 6 2 2 4" xfId="7347" xr:uid="{00000000-0005-0000-0000-0000ED1E0000}"/>
    <cellStyle name="Input [yellow] 6 2 2 5" xfId="7348" xr:uid="{00000000-0005-0000-0000-0000EE1E0000}"/>
    <cellStyle name="Input [yellow] 6 3" xfId="7349" xr:uid="{00000000-0005-0000-0000-0000EF1E0000}"/>
    <cellStyle name="Input [yellow] 6 3 2" xfId="7350" xr:uid="{00000000-0005-0000-0000-0000F01E0000}"/>
    <cellStyle name="Input [yellow] 6 3 3" xfId="7351" xr:uid="{00000000-0005-0000-0000-0000F11E0000}"/>
    <cellStyle name="Input [yellow] 6 3 4" xfId="7352" xr:uid="{00000000-0005-0000-0000-0000F21E0000}"/>
    <cellStyle name="Input [yellow] 6 3 5" xfId="7353" xr:uid="{00000000-0005-0000-0000-0000F31E0000}"/>
    <cellStyle name="Input [yellow] 7" xfId="7354" xr:uid="{00000000-0005-0000-0000-0000F41E0000}"/>
    <cellStyle name="Input [yellow] 7 2" xfId="7355" xr:uid="{00000000-0005-0000-0000-0000F51E0000}"/>
    <cellStyle name="Input [yellow] 7 2 2" xfId="7356" xr:uid="{00000000-0005-0000-0000-0000F61E0000}"/>
    <cellStyle name="Input [yellow] 7 2 2 2" xfId="7357" xr:uid="{00000000-0005-0000-0000-0000F71E0000}"/>
    <cellStyle name="Input [yellow] 7 2 2 3" xfId="7358" xr:uid="{00000000-0005-0000-0000-0000F81E0000}"/>
    <cellStyle name="Input [yellow] 7 2 2 4" xfId="7359" xr:uid="{00000000-0005-0000-0000-0000F91E0000}"/>
    <cellStyle name="Input [yellow] 7 2 2 5" xfId="7360" xr:uid="{00000000-0005-0000-0000-0000FA1E0000}"/>
    <cellStyle name="Input [yellow] 7 3" xfId="7361" xr:uid="{00000000-0005-0000-0000-0000FB1E0000}"/>
    <cellStyle name="Input [yellow] 7 3 2" xfId="7362" xr:uid="{00000000-0005-0000-0000-0000FC1E0000}"/>
    <cellStyle name="Input [yellow] 7 3 3" xfId="7363" xr:uid="{00000000-0005-0000-0000-0000FD1E0000}"/>
    <cellStyle name="Input [yellow] 7 3 4" xfId="7364" xr:uid="{00000000-0005-0000-0000-0000FE1E0000}"/>
    <cellStyle name="Input [yellow] 7 3 5" xfId="7365" xr:uid="{00000000-0005-0000-0000-0000FF1E0000}"/>
    <cellStyle name="Input [yellow] 8" xfId="7366" xr:uid="{00000000-0005-0000-0000-0000001F0000}"/>
    <cellStyle name="Input [yellow] 8 2" xfId="7367" xr:uid="{00000000-0005-0000-0000-0000011F0000}"/>
    <cellStyle name="Input [yellow] 8 2 2" xfId="7368" xr:uid="{00000000-0005-0000-0000-0000021F0000}"/>
    <cellStyle name="Input [yellow] 8 2 2 2" xfId="7369" xr:uid="{00000000-0005-0000-0000-0000031F0000}"/>
    <cellStyle name="Input [yellow] 8 2 2 3" xfId="7370" xr:uid="{00000000-0005-0000-0000-0000041F0000}"/>
    <cellStyle name="Input [yellow] 8 2 2 4" xfId="7371" xr:uid="{00000000-0005-0000-0000-0000051F0000}"/>
    <cellStyle name="Input [yellow] 8 2 2 5" xfId="7372" xr:uid="{00000000-0005-0000-0000-0000061F0000}"/>
    <cellStyle name="Input [yellow] 8 3" xfId="7373" xr:uid="{00000000-0005-0000-0000-0000071F0000}"/>
    <cellStyle name="Input [yellow] 8 3 2" xfId="7374" xr:uid="{00000000-0005-0000-0000-0000081F0000}"/>
    <cellStyle name="Input [yellow] 8 3 3" xfId="7375" xr:uid="{00000000-0005-0000-0000-0000091F0000}"/>
    <cellStyle name="Input [yellow] 8 3 4" xfId="7376" xr:uid="{00000000-0005-0000-0000-00000A1F0000}"/>
    <cellStyle name="Input [yellow] 8 3 5" xfId="7377" xr:uid="{00000000-0005-0000-0000-00000B1F0000}"/>
    <cellStyle name="Input [yellow] 9" xfId="7378" xr:uid="{00000000-0005-0000-0000-00000C1F0000}"/>
    <cellStyle name="Input [yellow] 9 2" xfId="7379" xr:uid="{00000000-0005-0000-0000-00000D1F0000}"/>
    <cellStyle name="Input [yellow] 9 2 2" xfId="7380" xr:uid="{00000000-0005-0000-0000-00000E1F0000}"/>
    <cellStyle name="Input [yellow] 9 2 2 2" xfId="7381" xr:uid="{00000000-0005-0000-0000-00000F1F0000}"/>
    <cellStyle name="Input [yellow] 9 2 2 3" xfId="7382" xr:uid="{00000000-0005-0000-0000-0000101F0000}"/>
    <cellStyle name="Input [yellow] 9 2 2 4" xfId="7383" xr:uid="{00000000-0005-0000-0000-0000111F0000}"/>
    <cellStyle name="Input [yellow] 9 2 2 5" xfId="7384" xr:uid="{00000000-0005-0000-0000-0000121F0000}"/>
    <cellStyle name="Input [yellow] 9 3" xfId="7385" xr:uid="{00000000-0005-0000-0000-0000131F0000}"/>
    <cellStyle name="Input [yellow] 9 3 2" xfId="7386" xr:uid="{00000000-0005-0000-0000-0000141F0000}"/>
    <cellStyle name="Input [yellow] 9 3 3" xfId="7387" xr:uid="{00000000-0005-0000-0000-0000151F0000}"/>
    <cellStyle name="Input [yellow] 9 3 4" xfId="7388" xr:uid="{00000000-0005-0000-0000-0000161F0000}"/>
    <cellStyle name="Input [yellow] 9 3 5" xfId="7389" xr:uid="{00000000-0005-0000-0000-0000171F0000}"/>
    <cellStyle name="Input [yellow]_한국방송통신 전파진흥원 대회의실 무대장치 설치공사_110905" xfId="7390" xr:uid="{00000000-0005-0000-0000-0000181F0000}"/>
    <cellStyle name="Input 1" xfId="7391" xr:uid="{00000000-0005-0000-0000-0000191F0000}"/>
    <cellStyle name="Input 1 2" xfId="7392" xr:uid="{00000000-0005-0000-0000-00001A1F0000}"/>
    <cellStyle name="Input 10" xfId="16005" xr:uid="{00000000-0005-0000-0000-00001B1F0000}"/>
    <cellStyle name="Input 2" xfId="7393" xr:uid="{00000000-0005-0000-0000-00001C1F0000}"/>
    <cellStyle name="Input 3" xfId="7394" xr:uid="{00000000-0005-0000-0000-00001D1F0000}"/>
    <cellStyle name="Input 3 2" xfId="7395" xr:uid="{00000000-0005-0000-0000-00001E1F0000}"/>
    <cellStyle name="Input 4" xfId="7396" xr:uid="{00000000-0005-0000-0000-00001F1F0000}"/>
    <cellStyle name="Input 5" xfId="16508" xr:uid="{00000000-0005-0000-0000-0000201F0000}"/>
    <cellStyle name="Input 6" xfId="16915" xr:uid="{00000000-0005-0000-0000-0000211F0000}"/>
    <cellStyle name="Input 7" xfId="16981" xr:uid="{00000000-0005-0000-0000-0000221F0000}"/>
    <cellStyle name="Input 8" xfId="16979" xr:uid="{00000000-0005-0000-0000-0000231F0000}"/>
    <cellStyle name="Input 9" xfId="16988" xr:uid="{00000000-0005-0000-0000-0000241F0000}"/>
    <cellStyle name="Input Cells" xfId="7397" xr:uid="{00000000-0005-0000-0000-0000251F0000}"/>
    <cellStyle name="Input Cells 2" xfId="7398" xr:uid="{00000000-0005-0000-0000-0000261F0000}"/>
    <cellStyle name="Input Cells 3" xfId="16513" xr:uid="{00000000-0005-0000-0000-0000271F0000}"/>
    <cellStyle name="_x0001__x0002_ĵĵ_x0007_ ĵĵ  ƨƬ_x0001__x0002_ƨƬ_x0007_ ǒǓ  ǜǜ  ǪǪ_x0007__x0007__x0005__x0005__x0010__x0001_ဠ" xfId="7399" xr:uid="{00000000-0005-0000-0000-0000281F0000}"/>
    <cellStyle name="_x0001__x0002_ĵĵ_x0007__x0009_ĵĵ_x000d__x000d_ƨƬ_x0001__x0002_ƨƬ_x0007__x000d_ǒǓ_x0009__x000d_ǜǜ_x000d__x000d_ǪǪ_x0007__x0007__x0005__x0005__x0010__x0001_ဠ" xfId="7400" xr:uid="{00000000-0005-0000-0000-0000291F0000}"/>
    <cellStyle name="Komma [0]_BINV" xfId="7401" xr:uid="{00000000-0005-0000-0000-00002A1F0000}"/>
    <cellStyle name="Komma_BINV" xfId="7402" xr:uid="{00000000-0005-0000-0000-00002B1F0000}"/>
    <cellStyle name="L`" xfId="7403" xr:uid="{00000000-0005-0000-0000-00002C1F0000}"/>
    <cellStyle name="L` 2" xfId="7404" xr:uid="{00000000-0005-0000-0000-00002D1F0000}"/>
    <cellStyle name="L` 3" xfId="16514" xr:uid="{00000000-0005-0000-0000-00002E1F0000}"/>
    <cellStyle name="Link Currency (0)" xfId="7405" xr:uid="{00000000-0005-0000-0000-00002F1F0000}"/>
    <cellStyle name="Link Currency (0) 2" xfId="7406" xr:uid="{00000000-0005-0000-0000-0000301F0000}"/>
    <cellStyle name="Link Currency (2)" xfId="7407" xr:uid="{00000000-0005-0000-0000-0000311F0000}"/>
    <cellStyle name="Link Currency (2) 2" xfId="7408" xr:uid="{00000000-0005-0000-0000-0000321F0000}"/>
    <cellStyle name="Link Units (0)" xfId="7409" xr:uid="{00000000-0005-0000-0000-0000331F0000}"/>
    <cellStyle name="Link Units (0) 2" xfId="7410" xr:uid="{00000000-0005-0000-0000-0000341F0000}"/>
    <cellStyle name="Link Units (1)" xfId="7411" xr:uid="{00000000-0005-0000-0000-0000351F0000}"/>
    <cellStyle name="Link Units (1) 2" xfId="7412" xr:uid="{00000000-0005-0000-0000-0000361F0000}"/>
    <cellStyle name="Link Units (2)" xfId="7413" xr:uid="{00000000-0005-0000-0000-0000371F0000}"/>
    <cellStyle name="Link Units (2) 2" xfId="7414" xr:uid="{00000000-0005-0000-0000-0000381F0000}"/>
    <cellStyle name="Linked Cell" xfId="15988" xr:uid="{00000000-0005-0000-0000-0000391F0000}"/>
    <cellStyle name="Linked Cells" xfId="7415" xr:uid="{00000000-0005-0000-0000-00003A1F0000}"/>
    <cellStyle name="Linked Cells 2" xfId="7416" xr:uid="{00000000-0005-0000-0000-00003B1F0000}"/>
    <cellStyle name="Linked Cells 3" xfId="16515" xr:uid="{00000000-0005-0000-0000-00003C1F0000}"/>
    <cellStyle name="LL" xfId="7417" xr:uid="{00000000-0005-0000-0000-00003D1F0000}"/>
    <cellStyle name="LL 2" xfId="16516" xr:uid="{00000000-0005-0000-0000-00003E1F0000}"/>
    <cellStyle name="m" xfId="7418" xr:uid="{00000000-0005-0000-0000-00003F1F0000}"/>
    <cellStyle name="m 2" xfId="16517" xr:uid="{00000000-0005-0000-0000-0000401F0000}"/>
    <cellStyle name="měny_Copy of zdroj" xfId="16518" xr:uid="{00000000-0005-0000-0000-0000411F0000}"/>
    <cellStyle name="Midtitle" xfId="7419" xr:uid="{00000000-0005-0000-0000-0000421F0000}"/>
    <cellStyle name="Midtitle 2" xfId="16519" xr:uid="{00000000-0005-0000-0000-0000431F0000}"/>
    <cellStyle name="Milliers [0]_Arabian Spec" xfId="7420" xr:uid="{00000000-0005-0000-0000-0000441F0000}"/>
    <cellStyle name="Milliers_Arabian Spec" xfId="7421" xr:uid="{00000000-0005-0000-0000-0000451F0000}"/>
    <cellStyle name="mma_CASH &amp; DSO" xfId="16520" xr:uid="{00000000-0005-0000-0000-0000461F0000}"/>
    <cellStyle name="Model" xfId="7422" xr:uid="{00000000-0005-0000-0000-0000471F0000}"/>
    <cellStyle name="Model 2" xfId="7423" xr:uid="{00000000-0005-0000-0000-0000481F0000}"/>
    <cellStyle name="Model 3" xfId="7424" xr:uid="{00000000-0005-0000-0000-0000491F0000}"/>
    <cellStyle name="Model 4" xfId="16521" xr:uid="{00000000-0005-0000-0000-00004A1F0000}"/>
    <cellStyle name="Mon?aire [0]_Arabian Spec" xfId="7425" xr:uid="{00000000-0005-0000-0000-00004B1F0000}"/>
    <cellStyle name="Mon?aire_Arabian Spec" xfId="7426" xr:uid="{00000000-0005-0000-0000-00004C1F0000}"/>
    <cellStyle name="Mon?taire [0]_CTC" xfId="16522" xr:uid="{00000000-0005-0000-0000-00004D1F0000}"/>
    <cellStyle name="Mon?taire_CTC" xfId="16523" xr:uid="{00000000-0005-0000-0000-00004E1F0000}"/>
    <cellStyle name="Monétaire [0]_CTC" xfId="7427" xr:uid="{00000000-0005-0000-0000-00004F1F0000}"/>
    <cellStyle name="Monétaire_CTC" xfId="7428" xr:uid="{00000000-0005-0000-0000-0000501F0000}"/>
    <cellStyle name="Month" xfId="7429" xr:uid="{00000000-0005-0000-0000-0000511F0000}"/>
    <cellStyle name="Month 2" xfId="7430" xr:uid="{00000000-0005-0000-0000-0000521F0000}"/>
    <cellStyle name="MS Proofing Tools" xfId="7431" xr:uid="{00000000-0005-0000-0000-0000531F0000}"/>
    <cellStyle name="MS Proofing Tools 2" xfId="7432" xr:uid="{00000000-0005-0000-0000-0000541F0000}"/>
    <cellStyle name="Neutral" xfId="15989" xr:uid="{00000000-0005-0000-0000-0000551F0000}"/>
    <cellStyle name="NEW정렬" xfId="16524" xr:uid="{00000000-0005-0000-0000-0000561F0000}"/>
    <cellStyle name="NO" xfId="16525" xr:uid="{00000000-0005-0000-0000-0000571F0000}"/>
    <cellStyle name="no dec" xfId="7433" xr:uid="{00000000-0005-0000-0000-0000581F0000}"/>
    <cellStyle name="no dec 2" xfId="7434" xr:uid="{00000000-0005-0000-0000-0000591F0000}"/>
    <cellStyle name="no dec 3" xfId="16526" xr:uid="{00000000-0005-0000-0000-00005A1F0000}"/>
    <cellStyle name="normal" xfId="7435" xr:uid="{00000000-0005-0000-0000-00005B1F0000}"/>
    <cellStyle name="Normal - Style1" xfId="7436" xr:uid="{00000000-0005-0000-0000-00005C1F0000}"/>
    <cellStyle name="Normal - Style1 10" xfId="7437" xr:uid="{00000000-0005-0000-0000-00005D1F0000}"/>
    <cellStyle name="Normal - Style1 10 2" xfId="7438" xr:uid="{00000000-0005-0000-0000-00005E1F0000}"/>
    <cellStyle name="Normal - Style1 11" xfId="7439" xr:uid="{00000000-0005-0000-0000-00005F1F0000}"/>
    <cellStyle name="Normal - Style1 11 2" xfId="7440" xr:uid="{00000000-0005-0000-0000-0000601F0000}"/>
    <cellStyle name="Normal - Style1 12" xfId="7441" xr:uid="{00000000-0005-0000-0000-0000611F0000}"/>
    <cellStyle name="Normal - Style1 12 2" xfId="7442" xr:uid="{00000000-0005-0000-0000-0000621F0000}"/>
    <cellStyle name="Normal - Style1 13" xfId="7443" xr:uid="{00000000-0005-0000-0000-0000631F0000}"/>
    <cellStyle name="Normal - Style1 13 2" xfId="7444" xr:uid="{00000000-0005-0000-0000-0000641F0000}"/>
    <cellStyle name="Normal - Style1 14" xfId="7445" xr:uid="{00000000-0005-0000-0000-0000651F0000}"/>
    <cellStyle name="Normal - Style1 14 2" xfId="7446" xr:uid="{00000000-0005-0000-0000-0000661F0000}"/>
    <cellStyle name="Normal - Style1 15" xfId="7447" xr:uid="{00000000-0005-0000-0000-0000671F0000}"/>
    <cellStyle name="Normal - Style1 15 2" xfId="7448" xr:uid="{00000000-0005-0000-0000-0000681F0000}"/>
    <cellStyle name="Normal - Style1 16" xfId="7449" xr:uid="{00000000-0005-0000-0000-0000691F0000}"/>
    <cellStyle name="Normal - Style1 16 2" xfId="7450" xr:uid="{00000000-0005-0000-0000-00006A1F0000}"/>
    <cellStyle name="Normal - Style1 17" xfId="7451" xr:uid="{00000000-0005-0000-0000-00006B1F0000}"/>
    <cellStyle name="Normal - Style1 17 2" xfId="7452" xr:uid="{00000000-0005-0000-0000-00006C1F0000}"/>
    <cellStyle name="Normal - Style1 18" xfId="7453" xr:uid="{00000000-0005-0000-0000-00006D1F0000}"/>
    <cellStyle name="Normal - Style1 18 2" xfId="7454" xr:uid="{00000000-0005-0000-0000-00006E1F0000}"/>
    <cellStyle name="Normal - Style1 18 2 2" xfId="7455" xr:uid="{00000000-0005-0000-0000-00006F1F0000}"/>
    <cellStyle name="Normal - Style1 18 3" xfId="7456" xr:uid="{00000000-0005-0000-0000-0000701F0000}"/>
    <cellStyle name="Normal - Style1 19" xfId="7457" xr:uid="{00000000-0005-0000-0000-0000711F0000}"/>
    <cellStyle name="Normal - Style1 19 2" xfId="7458" xr:uid="{00000000-0005-0000-0000-0000721F0000}"/>
    <cellStyle name="Normal - Style1 2" xfId="7459" xr:uid="{00000000-0005-0000-0000-0000731F0000}"/>
    <cellStyle name="Normal - Style1 2 10" xfId="16528" xr:uid="{00000000-0005-0000-0000-0000741F0000}"/>
    <cellStyle name="Normal - Style1 2 2" xfId="7460" xr:uid="{00000000-0005-0000-0000-0000751F0000}"/>
    <cellStyle name="Normal - Style1 2 2 2" xfId="7461" xr:uid="{00000000-0005-0000-0000-0000761F0000}"/>
    <cellStyle name="Normal - Style1 2 2 2 2" xfId="7462" xr:uid="{00000000-0005-0000-0000-0000771F0000}"/>
    <cellStyle name="Normal - Style1 2 2 2 2 2" xfId="7463" xr:uid="{00000000-0005-0000-0000-0000781F0000}"/>
    <cellStyle name="Normal - Style1 2 2 2 3" xfId="7464" xr:uid="{00000000-0005-0000-0000-0000791F0000}"/>
    <cellStyle name="Normal - Style1 2 2 3" xfId="7465" xr:uid="{00000000-0005-0000-0000-00007A1F0000}"/>
    <cellStyle name="Normal - Style1 2 2 3 2" xfId="7466" xr:uid="{00000000-0005-0000-0000-00007B1F0000}"/>
    <cellStyle name="Normal - Style1 2 2 4" xfId="7467" xr:uid="{00000000-0005-0000-0000-00007C1F0000}"/>
    <cellStyle name="Normal - Style1 2 2 4 2" xfId="7468" xr:uid="{00000000-0005-0000-0000-00007D1F0000}"/>
    <cellStyle name="Normal - Style1 2 2 5" xfId="7469" xr:uid="{00000000-0005-0000-0000-00007E1F0000}"/>
    <cellStyle name="Normal - Style1 2 2 6" xfId="16529" xr:uid="{00000000-0005-0000-0000-00007F1F0000}"/>
    <cellStyle name="Normal - Style1 2 3" xfId="7470" xr:uid="{00000000-0005-0000-0000-0000801F0000}"/>
    <cellStyle name="Normal - Style1 2 3 2" xfId="7471" xr:uid="{00000000-0005-0000-0000-0000811F0000}"/>
    <cellStyle name="Normal - Style1 2 4" xfId="7472" xr:uid="{00000000-0005-0000-0000-0000821F0000}"/>
    <cellStyle name="Normal - Style1 2 4 2" xfId="7473" xr:uid="{00000000-0005-0000-0000-0000831F0000}"/>
    <cellStyle name="Normal - Style1 2 5" xfId="7474" xr:uid="{00000000-0005-0000-0000-0000841F0000}"/>
    <cellStyle name="Normal - Style1 2 5 2" xfId="7475" xr:uid="{00000000-0005-0000-0000-0000851F0000}"/>
    <cellStyle name="Normal - Style1 2 6" xfId="7476" xr:uid="{00000000-0005-0000-0000-0000861F0000}"/>
    <cellStyle name="Normal - Style1 2 6 2" xfId="7477" xr:uid="{00000000-0005-0000-0000-0000871F0000}"/>
    <cellStyle name="Normal - Style1 2 6 2 2" xfId="7478" xr:uid="{00000000-0005-0000-0000-0000881F0000}"/>
    <cellStyle name="Normal - Style1 2 6 3" xfId="7479" xr:uid="{00000000-0005-0000-0000-0000891F0000}"/>
    <cellStyle name="Normal - Style1 2 7" xfId="7480" xr:uid="{00000000-0005-0000-0000-00008A1F0000}"/>
    <cellStyle name="Normal - Style1 2 7 2" xfId="7481" xr:uid="{00000000-0005-0000-0000-00008B1F0000}"/>
    <cellStyle name="Normal - Style1 2 8" xfId="7482" xr:uid="{00000000-0005-0000-0000-00008C1F0000}"/>
    <cellStyle name="Normal - Style1 2 9" xfId="7483" xr:uid="{00000000-0005-0000-0000-00008D1F0000}"/>
    <cellStyle name="Normal - Style1 20" xfId="7484" xr:uid="{00000000-0005-0000-0000-00008E1F0000}"/>
    <cellStyle name="Normal - Style1 20 2" xfId="7485" xr:uid="{00000000-0005-0000-0000-00008F1F0000}"/>
    <cellStyle name="Normal - Style1 21" xfId="7486" xr:uid="{00000000-0005-0000-0000-0000901F0000}"/>
    <cellStyle name="Normal - Style1 21 2" xfId="7487" xr:uid="{00000000-0005-0000-0000-0000911F0000}"/>
    <cellStyle name="Normal - Style1 22" xfId="7488" xr:uid="{00000000-0005-0000-0000-0000921F0000}"/>
    <cellStyle name="Normal - Style1 22 2" xfId="7489" xr:uid="{00000000-0005-0000-0000-0000931F0000}"/>
    <cellStyle name="Normal - Style1 23" xfId="7490" xr:uid="{00000000-0005-0000-0000-0000941F0000}"/>
    <cellStyle name="Normal - Style1 23 2" xfId="7491" xr:uid="{00000000-0005-0000-0000-0000951F0000}"/>
    <cellStyle name="Normal - Style1 24" xfId="7492" xr:uid="{00000000-0005-0000-0000-0000961F0000}"/>
    <cellStyle name="Normal - Style1 24 2" xfId="7493" xr:uid="{00000000-0005-0000-0000-0000971F0000}"/>
    <cellStyle name="Normal - Style1 25" xfId="7494" xr:uid="{00000000-0005-0000-0000-0000981F0000}"/>
    <cellStyle name="Normal - Style1 25 2" xfId="7495" xr:uid="{00000000-0005-0000-0000-0000991F0000}"/>
    <cellStyle name="Normal - Style1 26" xfId="7496" xr:uid="{00000000-0005-0000-0000-00009A1F0000}"/>
    <cellStyle name="Normal - Style1 26 2" xfId="7497" xr:uid="{00000000-0005-0000-0000-00009B1F0000}"/>
    <cellStyle name="Normal - Style1 27" xfId="7498" xr:uid="{00000000-0005-0000-0000-00009C1F0000}"/>
    <cellStyle name="Normal - Style1 27 2" xfId="7499" xr:uid="{00000000-0005-0000-0000-00009D1F0000}"/>
    <cellStyle name="Normal - Style1 28" xfId="7500" xr:uid="{00000000-0005-0000-0000-00009E1F0000}"/>
    <cellStyle name="Normal - Style1 28 2" xfId="7501" xr:uid="{00000000-0005-0000-0000-00009F1F0000}"/>
    <cellStyle name="Normal - Style1 29" xfId="7502" xr:uid="{00000000-0005-0000-0000-0000A01F0000}"/>
    <cellStyle name="Normal - Style1 29 2" xfId="7503" xr:uid="{00000000-0005-0000-0000-0000A11F0000}"/>
    <cellStyle name="Normal - Style1 3" xfId="7504" xr:uid="{00000000-0005-0000-0000-0000A21F0000}"/>
    <cellStyle name="Normal - Style1 3 2" xfId="7505" xr:uid="{00000000-0005-0000-0000-0000A31F0000}"/>
    <cellStyle name="Normal - Style1 3 3" xfId="7506" xr:uid="{00000000-0005-0000-0000-0000A41F0000}"/>
    <cellStyle name="Normal - Style1 3 4" xfId="16530" xr:uid="{00000000-0005-0000-0000-0000A51F0000}"/>
    <cellStyle name="Normal - Style1 30" xfId="7507" xr:uid="{00000000-0005-0000-0000-0000A61F0000}"/>
    <cellStyle name="Normal - Style1 30 2" xfId="7508" xr:uid="{00000000-0005-0000-0000-0000A71F0000}"/>
    <cellStyle name="Normal - Style1 31" xfId="7509" xr:uid="{00000000-0005-0000-0000-0000A81F0000}"/>
    <cellStyle name="Normal - Style1 31 2" xfId="7510" xr:uid="{00000000-0005-0000-0000-0000A91F0000}"/>
    <cellStyle name="Normal - Style1 32" xfId="7511" xr:uid="{00000000-0005-0000-0000-0000AA1F0000}"/>
    <cellStyle name="Normal - Style1 32 2" xfId="7512" xr:uid="{00000000-0005-0000-0000-0000AB1F0000}"/>
    <cellStyle name="Normal - Style1 33" xfId="7513" xr:uid="{00000000-0005-0000-0000-0000AC1F0000}"/>
    <cellStyle name="Normal - Style1 33 2" xfId="7514" xr:uid="{00000000-0005-0000-0000-0000AD1F0000}"/>
    <cellStyle name="Normal - Style1 34" xfId="7515" xr:uid="{00000000-0005-0000-0000-0000AE1F0000}"/>
    <cellStyle name="Normal - Style1 34 2" xfId="7516" xr:uid="{00000000-0005-0000-0000-0000AF1F0000}"/>
    <cellStyle name="Normal - Style1 35" xfId="7517" xr:uid="{00000000-0005-0000-0000-0000B01F0000}"/>
    <cellStyle name="Normal - Style1 35 2" xfId="7518" xr:uid="{00000000-0005-0000-0000-0000B11F0000}"/>
    <cellStyle name="Normal - Style1 36" xfId="7519" xr:uid="{00000000-0005-0000-0000-0000B21F0000}"/>
    <cellStyle name="Normal - Style1 36 2" xfId="7520" xr:uid="{00000000-0005-0000-0000-0000B31F0000}"/>
    <cellStyle name="Normal - Style1 37" xfId="7521" xr:uid="{00000000-0005-0000-0000-0000B41F0000}"/>
    <cellStyle name="Normal - Style1 37 2" xfId="7522" xr:uid="{00000000-0005-0000-0000-0000B51F0000}"/>
    <cellStyle name="Normal - Style1 38" xfId="7523" xr:uid="{00000000-0005-0000-0000-0000B61F0000}"/>
    <cellStyle name="Normal - Style1 38 2" xfId="7524" xr:uid="{00000000-0005-0000-0000-0000B71F0000}"/>
    <cellStyle name="Normal - Style1 39" xfId="7525" xr:uid="{00000000-0005-0000-0000-0000B81F0000}"/>
    <cellStyle name="Normal - Style1 39 2" xfId="7526" xr:uid="{00000000-0005-0000-0000-0000B91F0000}"/>
    <cellStyle name="Normal - Style1 4" xfId="7527" xr:uid="{00000000-0005-0000-0000-0000BA1F0000}"/>
    <cellStyle name="Normal - Style1 4 2" xfId="7528" xr:uid="{00000000-0005-0000-0000-0000BB1F0000}"/>
    <cellStyle name="Normal - Style1 4 3" xfId="16531" xr:uid="{00000000-0005-0000-0000-0000BC1F0000}"/>
    <cellStyle name="Normal - Style1 40" xfId="7529" xr:uid="{00000000-0005-0000-0000-0000BD1F0000}"/>
    <cellStyle name="Normal - Style1 40 2" xfId="7530" xr:uid="{00000000-0005-0000-0000-0000BE1F0000}"/>
    <cellStyle name="Normal - Style1 41" xfId="7531" xr:uid="{00000000-0005-0000-0000-0000BF1F0000}"/>
    <cellStyle name="Normal - Style1 41 2" xfId="7532" xr:uid="{00000000-0005-0000-0000-0000C01F0000}"/>
    <cellStyle name="Normal - Style1 42" xfId="7533" xr:uid="{00000000-0005-0000-0000-0000C11F0000}"/>
    <cellStyle name="Normal - Style1 42 2" xfId="7534" xr:uid="{00000000-0005-0000-0000-0000C21F0000}"/>
    <cellStyle name="Normal - Style1 43" xfId="7535" xr:uid="{00000000-0005-0000-0000-0000C31F0000}"/>
    <cellStyle name="Normal - Style1 43 2" xfId="7536" xr:uid="{00000000-0005-0000-0000-0000C41F0000}"/>
    <cellStyle name="Normal - Style1 44" xfId="7537" xr:uid="{00000000-0005-0000-0000-0000C51F0000}"/>
    <cellStyle name="Normal - Style1 44 2" xfId="7538" xr:uid="{00000000-0005-0000-0000-0000C61F0000}"/>
    <cellStyle name="Normal - Style1 45" xfId="7539" xr:uid="{00000000-0005-0000-0000-0000C71F0000}"/>
    <cellStyle name="Normal - Style1 46" xfId="7540" xr:uid="{00000000-0005-0000-0000-0000C81F0000}"/>
    <cellStyle name="Normal - Style1 47" xfId="7541" xr:uid="{00000000-0005-0000-0000-0000C91F0000}"/>
    <cellStyle name="Normal - Style1 48" xfId="7542" xr:uid="{00000000-0005-0000-0000-0000CA1F0000}"/>
    <cellStyle name="Normal - Style1 49" xfId="16527" xr:uid="{00000000-0005-0000-0000-0000CB1F0000}"/>
    <cellStyle name="Normal - Style1 5" xfId="7543" xr:uid="{00000000-0005-0000-0000-0000CC1F0000}"/>
    <cellStyle name="Normal - Style1 5 2" xfId="7544" xr:uid="{00000000-0005-0000-0000-0000CD1F0000}"/>
    <cellStyle name="Normal - Style1 5 3" xfId="16532" xr:uid="{00000000-0005-0000-0000-0000CE1F0000}"/>
    <cellStyle name="Normal - Style1 50" xfId="16974" xr:uid="{00000000-0005-0000-0000-0000CF1F0000}"/>
    <cellStyle name="Normal - Style1 6" xfId="7545" xr:uid="{00000000-0005-0000-0000-0000D01F0000}"/>
    <cellStyle name="Normal - Style1 6 2" xfId="7546" xr:uid="{00000000-0005-0000-0000-0000D11F0000}"/>
    <cellStyle name="Normal - Style1 7" xfId="7547" xr:uid="{00000000-0005-0000-0000-0000D21F0000}"/>
    <cellStyle name="Normal - Style1 7 2" xfId="7548" xr:uid="{00000000-0005-0000-0000-0000D31F0000}"/>
    <cellStyle name="Normal - Style1 8" xfId="7549" xr:uid="{00000000-0005-0000-0000-0000D41F0000}"/>
    <cellStyle name="Normal - Style1 8 2" xfId="7550" xr:uid="{00000000-0005-0000-0000-0000D51F0000}"/>
    <cellStyle name="Normal - Style1 9" xfId="7551" xr:uid="{00000000-0005-0000-0000-0000D61F0000}"/>
    <cellStyle name="Normal - Style1 9 2" xfId="7552" xr:uid="{00000000-0005-0000-0000-0000D71F0000}"/>
    <cellStyle name="Normal - Style1_100112-부여콘도미니엄 (실행)" xfId="7553" xr:uid="{00000000-0005-0000-0000-0000D81F0000}"/>
    <cellStyle name="Normal - Style2" xfId="7554" xr:uid="{00000000-0005-0000-0000-0000D91F0000}"/>
    <cellStyle name="Normal - Style2 2" xfId="7555" xr:uid="{00000000-0005-0000-0000-0000DA1F0000}"/>
    <cellStyle name="Normal - Style3" xfId="7556" xr:uid="{00000000-0005-0000-0000-0000DB1F0000}"/>
    <cellStyle name="Normal - Style3 2" xfId="7557" xr:uid="{00000000-0005-0000-0000-0000DC1F0000}"/>
    <cellStyle name="Normal - Style4" xfId="7558" xr:uid="{00000000-0005-0000-0000-0000DD1F0000}"/>
    <cellStyle name="Normal - Style4 2" xfId="7559" xr:uid="{00000000-0005-0000-0000-0000DE1F0000}"/>
    <cellStyle name="Normal - Style5" xfId="7560" xr:uid="{00000000-0005-0000-0000-0000DF1F0000}"/>
    <cellStyle name="Normal - Style5 2" xfId="7561" xr:uid="{00000000-0005-0000-0000-0000E01F0000}"/>
    <cellStyle name="Normal - Style6" xfId="7562" xr:uid="{00000000-0005-0000-0000-0000E11F0000}"/>
    <cellStyle name="Normal - Style6 2" xfId="7563" xr:uid="{00000000-0005-0000-0000-0000E21F0000}"/>
    <cellStyle name="Normal - Style7" xfId="7564" xr:uid="{00000000-0005-0000-0000-0000E31F0000}"/>
    <cellStyle name="Normal - Style7 2" xfId="7565" xr:uid="{00000000-0005-0000-0000-0000E41F0000}"/>
    <cellStyle name="Normal - Style8" xfId="7566" xr:uid="{00000000-0005-0000-0000-0000E51F0000}"/>
    <cellStyle name="Normal - Style8 2" xfId="7567" xr:uid="{00000000-0005-0000-0000-0000E61F0000}"/>
    <cellStyle name="Normal - 유형1" xfId="7568" xr:uid="{00000000-0005-0000-0000-0000E71F0000}"/>
    <cellStyle name="Normal - 유형1 2" xfId="7569" xr:uid="{00000000-0005-0000-0000-0000E81F0000}"/>
    <cellStyle name="Normal - 유형1 3" xfId="16533" xr:uid="{00000000-0005-0000-0000-0000E91F0000}"/>
    <cellStyle name="Normal 11" xfId="7570" xr:uid="{00000000-0005-0000-0000-0000EA1F0000}"/>
    <cellStyle name="Normal 11 2" xfId="7571" xr:uid="{00000000-0005-0000-0000-0000EB1F0000}"/>
    <cellStyle name="Normal_ " xfId="7572" xr:uid="{00000000-0005-0000-0000-0000EC1F0000}"/>
    <cellStyle name="normální_Copy of zdroj" xfId="16534" xr:uid="{00000000-0005-0000-0000-0000ED1F0000}"/>
    <cellStyle name="Note" xfId="15990" xr:uid="{00000000-0005-0000-0000-0000EE1F0000}"/>
    <cellStyle name="Note 2" xfId="16916" xr:uid="{00000000-0005-0000-0000-0000EF1F0000}"/>
    <cellStyle name="Note 3" xfId="16989" xr:uid="{00000000-0005-0000-0000-0000F01F0000}"/>
    <cellStyle name="N䁯rmal_MCOE Summary (5)_98선급금" xfId="7573" xr:uid="{00000000-0005-0000-0000-0000F11F0000}"/>
    <cellStyle name="Œ…?æ맖?e [0.00]_guyan" xfId="16535" xr:uid="{00000000-0005-0000-0000-0000F21F0000}"/>
    <cellStyle name="Œ…?æ맖?e_guyan" xfId="16536" xr:uid="{00000000-0005-0000-0000-0000F31F0000}"/>
    <cellStyle name="oft Excel]  Comment=The open=/f lines load custom functions into the Paste Function list.  Maximized=3  AutoFormat=" xfId="7574" xr:uid="{00000000-0005-0000-0000-0000F41F0000}"/>
    <cellStyle name="oft Excel]_x000d__x000a_Comment=The open=/f lines load custom functions into the Paste Function list._x000d__x000a_Maximized=3_x000d__x000a_AutoFormat=" xfId="7575" xr:uid="{00000000-0005-0000-0000-0000F51F0000}"/>
    <cellStyle name="Oormal_Q3-RPT TRK_갬적-갑지 (3)" xfId="7576" xr:uid="{00000000-0005-0000-0000-0000F61F0000}"/>
    <cellStyle name="Output" xfId="15991" xr:uid="{00000000-0005-0000-0000-0000F71F0000}"/>
    <cellStyle name="Output 2" xfId="16917" xr:uid="{00000000-0005-0000-0000-0000F81F0000}"/>
    <cellStyle name="Output 3" xfId="16990" xr:uid="{00000000-0005-0000-0000-0000F91F0000}"/>
    <cellStyle name="Over1" xfId="7577" xr:uid="{00000000-0005-0000-0000-0000FA1F0000}"/>
    <cellStyle name="Over1 2" xfId="7578" xr:uid="{00000000-0005-0000-0000-0000FB1F0000}"/>
    <cellStyle name="per.style" xfId="7579" xr:uid="{00000000-0005-0000-0000-0000FC1F0000}"/>
    <cellStyle name="per.style 2" xfId="7580" xr:uid="{00000000-0005-0000-0000-0000FD1F0000}"/>
    <cellStyle name="per.style 3" xfId="16537" xr:uid="{00000000-0005-0000-0000-0000FE1F0000}"/>
    <cellStyle name="Percent" xfId="7581" xr:uid="{00000000-0005-0000-0000-0000FF1F0000}"/>
    <cellStyle name="Percent ()" xfId="7582" xr:uid="{00000000-0005-0000-0000-000000200000}"/>
    <cellStyle name="Percent () 2" xfId="7583" xr:uid="{00000000-0005-0000-0000-000001200000}"/>
    <cellStyle name="Percent (0)" xfId="7584" xr:uid="{00000000-0005-0000-0000-000002200000}"/>
    <cellStyle name="Percent (0) 2" xfId="7585" xr:uid="{00000000-0005-0000-0000-000003200000}"/>
    <cellStyle name="Percent (1)" xfId="7586" xr:uid="{00000000-0005-0000-0000-000004200000}"/>
    <cellStyle name="Percent (1) 2" xfId="7587" xr:uid="{00000000-0005-0000-0000-000005200000}"/>
    <cellStyle name="Percent [0]" xfId="7588" xr:uid="{00000000-0005-0000-0000-000006200000}"/>
    <cellStyle name="Percent [0] 2" xfId="7589" xr:uid="{00000000-0005-0000-0000-000007200000}"/>
    <cellStyle name="Percent [00]" xfId="7590" xr:uid="{00000000-0005-0000-0000-000008200000}"/>
    <cellStyle name="Percent [00] 2" xfId="7591" xr:uid="{00000000-0005-0000-0000-000009200000}"/>
    <cellStyle name="Percent [2]" xfId="7592" xr:uid="{00000000-0005-0000-0000-00000A200000}"/>
    <cellStyle name="Percent [2] 2" xfId="7593" xr:uid="{00000000-0005-0000-0000-00000B200000}"/>
    <cellStyle name="Percent [2] 3" xfId="7594" xr:uid="{00000000-0005-0000-0000-00000C200000}"/>
    <cellStyle name="Percent [2] 4" xfId="16539" xr:uid="{00000000-0005-0000-0000-00000D200000}"/>
    <cellStyle name="Percent 1" xfId="7595" xr:uid="{00000000-0005-0000-0000-00000E200000}"/>
    <cellStyle name="Percent 1 2" xfId="7596" xr:uid="{00000000-0005-0000-0000-00000F200000}"/>
    <cellStyle name="Percent 10" xfId="7597" xr:uid="{00000000-0005-0000-0000-000010200000}"/>
    <cellStyle name="Percent 10 2" xfId="7598" xr:uid="{00000000-0005-0000-0000-000011200000}"/>
    <cellStyle name="Percent 11" xfId="7599" xr:uid="{00000000-0005-0000-0000-000012200000}"/>
    <cellStyle name="Percent 11 2" xfId="7600" xr:uid="{00000000-0005-0000-0000-000013200000}"/>
    <cellStyle name="Percent 12" xfId="7601" xr:uid="{00000000-0005-0000-0000-000014200000}"/>
    <cellStyle name="Percent 12 2" xfId="7602" xr:uid="{00000000-0005-0000-0000-000015200000}"/>
    <cellStyle name="Percent 13" xfId="7603" xr:uid="{00000000-0005-0000-0000-000016200000}"/>
    <cellStyle name="Percent 13 2" xfId="7604" xr:uid="{00000000-0005-0000-0000-000017200000}"/>
    <cellStyle name="Percent 14" xfId="7605" xr:uid="{00000000-0005-0000-0000-000018200000}"/>
    <cellStyle name="Percent 14 2" xfId="7606" xr:uid="{00000000-0005-0000-0000-000019200000}"/>
    <cellStyle name="Percent 15" xfId="7607" xr:uid="{00000000-0005-0000-0000-00001A200000}"/>
    <cellStyle name="Percent 15 2" xfId="7608" xr:uid="{00000000-0005-0000-0000-00001B200000}"/>
    <cellStyle name="Percent 16" xfId="7609" xr:uid="{00000000-0005-0000-0000-00001C200000}"/>
    <cellStyle name="Percent 16 2" xfId="7610" xr:uid="{00000000-0005-0000-0000-00001D200000}"/>
    <cellStyle name="Percent 17" xfId="7611" xr:uid="{00000000-0005-0000-0000-00001E200000}"/>
    <cellStyle name="Percent 17 2" xfId="7612" xr:uid="{00000000-0005-0000-0000-00001F200000}"/>
    <cellStyle name="Percent 18" xfId="7613" xr:uid="{00000000-0005-0000-0000-000020200000}"/>
    <cellStyle name="Percent 18 2" xfId="7614" xr:uid="{00000000-0005-0000-0000-000021200000}"/>
    <cellStyle name="Percent 19" xfId="7615" xr:uid="{00000000-0005-0000-0000-000022200000}"/>
    <cellStyle name="Percent 19 2" xfId="7616" xr:uid="{00000000-0005-0000-0000-000023200000}"/>
    <cellStyle name="Percent 2" xfId="7617" xr:uid="{00000000-0005-0000-0000-000024200000}"/>
    <cellStyle name="Percent 2 2" xfId="7618" xr:uid="{00000000-0005-0000-0000-000025200000}"/>
    <cellStyle name="Percent 2 2 2" xfId="7619" xr:uid="{00000000-0005-0000-0000-000026200000}"/>
    <cellStyle name="Percent 2 2 2 2" xfId="7620" xr:uid="{00000000-0005-0000-0000-000027200000}"/>
    <cellStyle name="Percent 2 2 3" xfId="7621" xr:uid="{00000000-0005-0000-0000-000028200000}"/>
    <cellStyle name="Percent 2 3" xfId="7622" xr:uid="{00000000-0005-0000-0000-000029200000}"/>
    <cellStyle name="Percent 2 3 2" xfId="7623" xr:uid="{00000000-0005-0000-0000-00002A200000}"/>
    <cellStyle name="Percent 2 4" xfId="7624" xr:uid="{00000000-0005-0000-0000-00002B200000}"/>
    <cellStyle name="Percent 2 4 2" xfId="7625" xr:uid="{00000000-0005-0000-0000-00002C200000}"/>
    <cellStyle name="Percent 2 5" xfId="7626" xr:uid="{00000000-0005-0000-0000-00002D200000}"/>
    <cellStyle name="Percent 2 6" xfId="16540" xr:uid="{00000000-0005-0000-0000-00002E200000}"/>
    <cellStyle name="Percent 2_전파진흥원_AV설비_설치공사_(원가포함)_SMT110903" xfId="7627" xr:uid="{00000000-0005-0000-0000-00002F200000}"/>
    <cellStyle name="Percent 20" xfId="7628" xr:uid="{00000000-0005-0000-0000-000030200000}"/>
    <cellStyle name="Percent 20 2" xfId="7629" xr:uid="{00000000-0005-0000-0000-000031200000}"/>
    <cellStyle name="Percent 21" xfId="7630" xr:uid="{00000000-0005-0000-0000-000032200000}"/>
    <cellStyle name="Percent 21 2" xfId="7631" xr:uid="{00000000-0005-0000-0000-000033200000}"/>
    <cellStyle name="Percent 22" xfId="7632" xr:uid="{00000000-0005-0000-0000-000034200000}"/>
    <cellStyle name="Percent 22 2" xfId="7633" xr:uid="{00000000-0005-0000-0000-000035200000}"/>
    <cellStyle name="Percent 23" xfId="7634" xr:uid="{00000000-0005-0000-0000-000036200000}"/>
    <cellStyle name="Percent 23 2" xfId="7635" xr:uid="{00000000-0005-0000-0000-000037200000}"/>
    <cellStyle name="Percent 24" xfId="7636" xr:uid="{00000000-0005-0000-0000-000038200000}"/>
    <cellStyle name="Percent 24 2" xfId="7637" xr:uid="{00000000-0005-0000-0000-000039200000}"/>
    <cellStyle name="Percent 25" xfId="7638" xr:uid="{00000000-0005-0000-0000-00003A200000}"/>
    <cellStyle name="Percent 25 2" xfId="7639" xr:uid="{00000000-0005-0000-0000-00003B200000}"/>
    <cellStyle name="Percent 26" xfId="7640" xr:uid="{00000000-0005-0000-0000-00003C200000}"/>
    <cellStyle name="Percent 26 2" xfId="7641" xr:uid="{00000000-0005-0000-0000-00003D200000}"/>
    <cellStyle name="Percent 27" xfId="7642" xr:uid="{00000000-0005-0000-0000-00003E200000}"/>
    <cellStyle name="Percent 27 2" xfId="7643" xr:uid="{00000000-0005-0000-0000-00003F200000}"/>
    <cellStyle name="Percent 28" xfId="7644" xr:uid="{00000000-0005-0000-0000-000040200000}"/>
    <cellStyle name="Percent 28 2" xfId="7645" xr:uid="{00000000-0005-0000-0000-000041200000}"/>
    <cellStyle name="Percent 29" xfId="7646" xr:uid="{00000000-0005-0000-0000-000042200000}"/>
    <cellStyle name="Percent 29 2" xfId="7647" xr:uid="{00000000-0005-0000-0000-000043200000}"/>
    <cellStyle name="Percent 3" xfId="7648" xr:uid="{00000000-0005-0000-0000-000044200000}"/>
    <cellStyle name="Percent 3 10" xfId="7649" xr:uid="{00000000-0005-0000-0000-000045200000}"/>
    <cellStyle name="Percent 3 10 2" xfId="7650" xr:uid="{00000000-0005-0000-0000-000046200000}"/>
    <cellStyle name="Percent 3 11" xfId="7651" xr:uid="{00000000-0005-0000-0000-000047200000}"/>
    <cellStyle name="Percent 3 11 2" xfId="7652" xr:uid="{00000000-0005-0000-0000-000048200000}"/>
    <cellStyle name="Percent 3 12" xfId="7653" xr:uid="{00000000-0005-0000-0000-000049200000}"/>
    <cellStyle name="Percent 3 13" xfId="16541" xr:uid="{00000000-0005-0000-0000-00004A200000}"/>
    <cellStyle name="Percent 3 2" xfId="7654" xr:uid="{00000000-0005-0000-0000-00004B200000}"/>
    <cellStyle name="Percent 3 2 2" xfId="7655" xr:uid="{00000000-0005-0000-0000-00004C200000}"/>
    <cellStyle name="Percent 3 3" xfId="7656" xr:uid="{00000000-0005-0000-0000-00004D200000}"/>
    <cellStyle name="Percent 3 3 2" xfId="7657" xr:uid="{00000000-0005-0000-0000-00004E200000}"/>
    <cellStyle name="Percent 3 4" xfId="7658" xr:uid="{00000000-0005-0000-0000-00004F200000}"/>
    <cellStyle name="Percent 3 4 2" xfId="7659" xr:uid="{00000000-0005-0000-0000-000050200000}"/>
    <cellStyle name="Percent 3 5" xfId="7660" xr:uid="{00000000-0005-0000-0000-000051200000}"/>
    <cellStyle name="Percent 3 5 2" xfId="7661" xr:uid="{00000000-0005-0000-0000-000052200000}"/>
    <cellStyle name="Percent 3 6" xfId="7662" xr:uid="{00000000-0005-0000-0000-000053200000}"/>
    <cellStyle name="Percent 3 6 2" xfId="7663" xr:uid="{00000000-0005-0000-0000-000054200000}"/>
    <cellStyle name="Percent 3 7" xfId="7664" xr:uid="{00000000-0005-0000-0000-000055200000}"/>
    <cellStyle name="Percent 3 7 2" xfId="7665" xr:uid="{00000000-0005-0000-0000-000056200000}"/>
    <cellStyle name="Percent 3 8" xfId="7666" xr:uid="{00000000-0005-0000-0000-000057200000}"/>
    <cellStyle name="Percent 3 8 2" xfId="7667" xr:uid="{00000000-0005-0000-0000-000058200000}"/>
    <cellStyle name="Percent 3 9" xfId="7668" xr:uid="{00000000-0005-0000-0000-000059200000}"/>
    <cellStyle name="Percent 3 9 2" xfId="7669" xr:uid="{00000000-0005-0000-0000-00005A200000}"/>
    <cellStyle name="Percent 3_전파진흥원_AV설비_설치공사_(원가포함)_SMT110903" xfId="7670" xr:uid="{00000000-0005-0000-0000-00005B200000}"/>
    <cellStyle name="Percent 30" xfId="7671" xr:uid="{00000000-0005-0000-0000-00005C200000}"/>
    <cellStyle name="Percent 30 2" xfId="7672" xr:uid="{00000000-0005-0000-0000-00005D200000}"/>
    <cellStyle name="Percent 31" xfId="7673" xr:uid="{00000000-0005-0000-0000-00005E200000}"/>
    <cellStyle name="Percent 31 2" xfId="7674" xr:uid="{00000000-0005-0000-0000-00005F200000}"/>
    <cellStyle name="Percent 32" xfId="7675" xr:uid="{00000000-0005-0000-0000-000060200000}"/>
    <cellStyle name="Percent 33" xfId="7676" xr:uid="{00000000-0005-0000-0000-000061200000}"/>
    <cellStyle name="Percent 34" xfId="16538" xr:uid="{00000000-0005-0000-0000-000062200000}"/>
    <cellStyle name="Percent 35" xfId="16918" xr:uid="{00000000-0005-0000-0000-000063200000}"/>
    <cellStyle name="Percent 36" xfId="16976" xr:uid="{00000000-0005-0000-0000-000064200000}"/>
    <cellStyle name="Percent 37" xfId="16967" xr:uid="{00000000-0005-0000-0000-000065200000}"/>
    <cellStyle name="Percent 38" xfId="16991" xr:uid="{00000000-0005-0000-0000-000066200000}"/>
    <cellStyle name="Percent 39" xfId="16903" xr:uid="{00000000-0005-0000-0000-000067200000}"/>
    <cellStyle name="Percent 4" xfId="7677" xr:uid="{00000000-0005-0000-0000-000068200000}"/>
    <cellStyle name="Percent 4 2" xfId="7678" xr:uid="{00000000-0005-0000-0000-000069200000}"/>
    <cellStyle name="Percent 4 3" xfId="16542" xr:uid="{00000000-0005-0000-0000-00006A200000}"/>
    <cellStyle name="Percent 5" xfId="7679" xr:uid="{00000000-0005-0000-0000-00006B200000}"/>
    <cellStyle name="Percent 5 2" xfId="7680" xr:uid="{00000000-0005-0000-0000-00006C200000}"/>
    <cellStyle name="Percent 5 3" xfId="16543" xr:uid="{00000000-0005-0000-0000-00006D200000}"/>
    <cellStyle name="Percent 6" xfId="7681" xr:uid="{00000000-0005-0000-0000-00006E200000}"/>
    <cellStyle name="Percent 6 2" xfId="7682" xr:uid="{00000000-0005-0000-0000-00006F200000}"/>
    <cellStyle name="Percent 6 3" xfId="16544" xr:uid="{00000000-0005-0000-0000-000070200000}"/>
    <cellStyle name="Percent 7" xfId="7683" xr:uid="{00000000-0005-0000-0000-000071200000}"/>
    <cellStyle name="Percent 7 2" xfId="7684" xr:uid="{00000000-0005-0000-0000-000072200000}"/>
    <cellStyle name="Percent 7 2 2" xfId="7685" xr:uid="{00000000-0005-0000-0000-000073200000}"/>
    <cellStyle name="Percent 7 3" xfId="7686" xr:uid="{00000000-0005-0000-0000-000074200000}"/>
    <cellStyle name="Percent 8" xfId="7687" xr:uid="{00000000-0005-0000-0000-000075200000}"/>
    <cellStyle name="Percent 8 2" xfId="7688" xr:uid="{00000000-0005-0000-0000-000076200000}"/>
    <cellStyle name="Percent 9" xfId="7689" xr:uid="{00000000-0005-0000-0000-000077200000}"/>
    <cellStyle name="Percent 9 2" xfId="7690" xr:uid="{00000000-0005-0000-0000-000078200000}"/>
    <cellStyle name="Percent_#####신봉중(완료)-대원실업" xfId="7691" xr:uid="{00000000-0005-0000-0000-000079200000}"/>
    <cellStyle name="PrePop Currency (0)" xfId="7692" xr:uid="{00000000-0005-0000-0000-00007A200000}"/>
    <cellStyle name="PrePop Currency (0) 2" xfId="7693" xr:uid="{00000000-0005-0000-0000-00007B200000}"/>
    <cellStyle name="PrePop Currency (2)" xfId="7694" xr:uid="{00000000-0005-0000-0000-00007C200000}"/>
    <cellStyle name="PrePop Currency (2) 2" xfId="7695" xr:uid="{00000000-0005-0000-0000-00007D200000}"/>
    <cellStyle name="PrePop Units (0)" xfId="7696" xr:uid="{00000000-0005-0000-0000-00007E200000}"/>
    <cellStyle name="PrePop Units (0) 2" xfId="7697" xr:uid="{00000000-0005-0000-0000-00007F200000}"/>
    <cellStyle name="PrePop Units (1)" xfId="7698" xr:uid="{00000000-0005-0000-0000-000080200000}"/>
    <cellStyle name="PrePop Units (1) 2" xfId="7699" xr:uid="{00000000-0005-0000-0000-000081200000}"/>
    <cellStyle name="PrePop Units (2)" xfId="7700" xr:uid="{00000000-0005-0000-0000-000082200000}"/>
    <cellStyle name="PrePop Units (2) 2" xfId="7701" xr:uid="{00000000-0005-0000-0000-000083200000}"/>
    <cellStyle name="PRICE2" xfId="7702" xr:uid="{00000000-0005-0000-0000-000084200000}"/>
    <cellStyle name="PRICE2 2" xfId="7703" xr:uid="{00000000-0005-0000-0000-000085200000}"/>
    <cellStyle name="PRICE2 3" xfId="16545" xr:uid="{00000000-0005-0000-0000-000086200000}"/>
    <cellStyle name="pricing" xfId="7704" xr:uid="{00000000-0005-0000-0000-000087200000}"/>
    <cellStyle name="pricing 2" xfId="7705" xr:uid="{00000000-0005-0000-0000-000088200000}"/>
    <cellStyle name="pricing 3" xfId="16546" xr:uid="{00000000-0005-0000-0000-000089200000}"/>
    <cellStyle name="Procent_BINV" xfId="7706" xr:uid="{00000000-0005-0000-0000-00008A200000}"/>
    <cellStyle name="Produkt oversk." xfId="7707" xr:uid="{00000000-0005-0000-0000-00008B200000}"/>
    <cellStyle name="Produkt oversk. 2" xfId="7708" xr:uid="{00000000-0005-0000-0000-00008C200000}"/>
    <cellStyle name="PropGenCurrencyFormat" xfId="7709" xr:uid="{00000000-0005-0000-0000-00008D200000}"/>
    <cellStyle name="PropGenCurrencyFormat 2" xfId="7710" xr:uid="{00000000-0005-0000-0000-00008E200000}"/>
    <cellStyle name="PSChar" xfId="7711" xr:uid="{00000000-0005-0000-0000-00008F200000}"/>
    <cellStyle name="PSChar 2" xfId="7712" xr:uid="{00000000-0005-0000-0000-000090200000}"/>
    <cellStyle name="PSChar 3" xfId="16547" xr:uid="{00000000-0005-0000-0000-000091200000}"/>
    <cellStyle name="RAMEY" xfId="7713" xr:uid="{00000000-0005-0000-0000-000092200000}"/>
    <cellStyle name="Ramey $k" xfId="7714" xr:uid="{00000000-0005-0000-0000-000093200000}"/>
    <cellStyle name="Ramey $k 2" xfId="7715" xr:uid="{00000000-0005-0000-0000-000094200000}"/>
    <cellStyle name="RAMEY 2" xfId="7716" xr:uid="{00000000-0005-0000-0000-000095200000}"/>
    <cellStyle name="RAMEY 3" xfId="7717" xr:uid="{00000000-0005-0000-0000-000096200000}"/>
    <cellStyle name="RAMEY_P&amp;O BKUP" xfId="7718" xr:uid="{00000000-0005-0000-0000-000097200000}"/>
    <cellStyle name="regstoresfromspecstores" xfId="7719" xr:uid="{00000000-0005-0000-0000-000098200000}"/>
    <cellStyle name="regstoresfromspecstores 2" xfId="7720" xr:uid="{00000000-0005-0000-0000-000099200000}"/>
    <cellStyle name="RevList" xfId="7721" xr:uid="{00000000-0005-0000-0000-00009A200000}"/>
    <cellStyle name="RevList 2" xfId="7722" xr:uid="{00000000-0005-0000-0000-00009B200000}"/>
    <cellStyle name="RevList 2 2" xfId="7723" xr:uid="{00000000-0005-0000-0000-00009C200000}"/>
    <cellStyle name="RevList 2 2 2" xfId="7724" xr:uid="{00000000-0005-0000-0000-00009D200000}"/>
    <cellStyle name="RevList 2 3" xfId="7725" xr:uid="{00000000-0005-0000-0000-00009E200000}"/>
    <cellStyle name="RevList 3" xfId="7726" xr:uid="{00000000-0005-0000-0000-00009F200000}"/>
    <cellStyle name="RevList 3 2" xfId="7727" xr:uid="{00000000-0005-0000-0000-0000A0200000}"/>
    <cellStyle name="RevList 4" xfId="7728" xr:uid="{00000000-0005-0000-0000-0000A1200000}"/>
    <cellStyle name="RevList 4 2" xfId="7729" xr:uid="{00000000-0005-0000-0000-0000A2200000}"/>
    <cellStyle name="RevList 5" xfId="7730" xr:uid="{00000000-0005-0000-0000-0000A3200000}"/>
    <cellStyle name="RevList 6" xfId="16548" xr:uid="{00000000-0005-0000-0000-0000A4200000}"/>
    <cellStyle name="setup" xfId="16549" xr:uid="{00000000-0005-0000-0000-0000A5200000}"/>
    <cellStyle name="Shaded" xfId="7731" xr:uid="{00000000-0005-0000-0000-0000A6200000}"/>
    <cellStyle name="Shaded 2" xfId="7732" xr:uid="{00000000-0005-0000-0000-0000A7200000}"/>
    <cellStyle name="SHADEDSTORES" xfId="7733" xr:uid="{00000000-0005-0000-0000-0000A8200000}"/>
    <cellStyle name="SHADEDSTORES 2" xfId="7734" xr:uid="{00000000-0005-0000-0000-0000A9200000}"/>
    <cellStyle name="SHADEDSTORES 2 2" xfId="7735" xr:uid="{00000000-0005-0000-0000-0000AA200000}"/>
    <cellStyle name="SHADEDSTORES 2 2 2" xfId="7736" xr:uid="{00000000-0005-0000-0000-0000AB200000}"/>
    <cellStyle name="SHADEDSTORES 2 2 3" xfId="7737" xr:uid="{00000000-0005-0000-0000-0000AC200000}"/>
    <cellStyle name="SHADEDSTORES 2 2 4" xfId="7738" xr:uid="{00000000-0005-0000-0000-0000AD200000}"/>
    <cellStyle name="SHADEDSTORES 2 2 5" xfId="7739" xr:uid="{00000000-0005-0000-0000-0000AE200000}"/>
    <cellStyle name="SHADEDSTORES 3" xfId="7740" xr:uid="{00000000-0005-0000-0000-0000AF200000}"/>
    <cellStyle name="SHADEDSTORES 3 2" xfId="7741" xr:uid="{00000000-0005-0000-0000-0000B0200000}"/>
    <cellStyle name="SHADEDSTORES 3 3" xfId="7742" xr:uid="{00000000-0005-0000-0000-0000B1200000}"/>
    <cellStyle name="SHADEDSTORES 3 4" xfId="7743" xr:uid="{00000000-0005-0000-0000-0000B2200000}"/>
    <cellStyle name="SHADEDSTORES 3 5" xfId="7744" xr:uid="{00000000-0005-0000-0000-0000B3200000}"/>
    <cellStyle name="specstores" xfId="7745" xr:uid="{00000000-0005-0000-0000-0000B4200000}"/>
    <cellStyle name="specstores 2" xfId="7746" xr:uid="{00000000-0005-0000-0000-0000B5200000}"/>
    <cellStyle name="_x0001__x0002_ƨƬ_x0007_ ǒǓ  ǜǜ  ǪǪ_x0007__x0007__x0005__x0005__x0010__x0001_ဠ" xfId="7747" xr:uid="{00000000-0005-0000-0000-0000B6200000}"/>
    <cellStyle name="_x0001__x0002_ƨƬ_x0007__x000d_ǒǓ_x0009__x000d_ǜǜ_x000d__x000d_ǪǪ_x0007__x0007__x0005__x0005__x0010__x0001_ဠ" xfId="7748" xr:uid="{00000000-0005-0000-0000-0000B7200000}"/>
    <cellStyle name="Standaard_BINV" xfId="7749" xr:uid="{00000000-0005-0000-0000-0000B8200000}"/>
    <cellStyle name="STANDARD" xfId="7750" xr:uid="{00000000-0005-0000-0000-0000B9200000}"/>
    <cellStyle name="STANDARD 2" xfId="7751" xr:uid="{00000000-0005-0000-0000-0000BA200000}"/>
    <cellStyle name="STANDARD 3" xfId="16550" xr:uid="{00000000-0005-0000-0000-0000BB200000}"/>
    <cellStyle name="Standard_laroux" xfId="7752" xr:uid="{00000000-0005-0000-0000-0000BC200000}"/>
    <cellStyle name="STD" xfId="7753" xr:uid="{00000000-0005-0000-0000-0000BD200000}"/>
    <cellStyle name="STD 2" xfId="7754" xr:uid="{00000000-0005-0000-0000-0000BE200000}"/>
    <cellStyle name="STD 3" xfId="16551" xr:uid="{00000000-0005-0000-0000-0000BF200000}"/>
    <cellStyle name="Sub" xfId="16552" xr:uid="{00000000-0005-0000-0000-0000C0200000}"/>
    <cellStyle name="subhead" xfId="7755" xr:uid="{00000000-0005-0000-0000-0000C1200000}"/>
    <cellStyle name="subhead 2" xfId="7756" xr:uid="{00000000-0005-0000-0000-0000C2200000}"/>
    <cellStyle name="subhead 3" xfId="7757" xr:uid="{00000000-0005-0000-0000-0000C3200000}"/>
    <cellStyle name="subhead 4" xfId="16553" xr:uid="{00000000-0005-0000-0000-0000C4200000}"/>
    <cellStyle name="Subtotal" xfId="7758" xr:uid="{00000000-0005-0000-0000-0000C5200000}"/>
    <cellStyle name="Subtotal 2" xfId="7759" xr:uid="{00000000-0005-0000-0000-0000C6200000}"/>
    <cellStyle name="Subtotal 2 2" xfId="7760" xr:uid="{00000000-0005-0000-0000-0000C7200000}"/>
    <cellStyle name="Subtotal 2 2 2" xfId="7761" xr:uid="{00000000-0005-0000-0000-0000C8200000}"/>
    <cellStyle name="Subtotal 2 3" xfId="7762" xr:uid="{00000000-0005-0000-0000-0000C9200000}"/>
    <cellStyle name="Subtotal 3" xfId="7763" xr:uid="{00000000-0005-0000-0000-0000CA200000}"/>
    <cellStyle name="Subtotal 3 2" xfId="7764" xr:uid="{00000000-0005-0000-0000-0000CB200000}"/>
    <cellStyle name="Subtotal 4" xfId="7765" xr:uid="{00000000-0005-0000-0000-0000CC200000}"/>
    <cellStyle name="Subtotal 4 2" xfId="7766" xr:uid="{00000000-0005-0000-0000-0000CD200000}"/>
    <cellStyle name="Subtotal 5" xfId="7767" xr:uid="{00000000-0005-0000-0000-0000CE200000}"/>
    <cellStyle name="Subtotal 6" xfId="16554" xr:uid="{00000000-0005-0000-0000-0000CF200000}"/>
    <cellStyle name="Sum" xfId="7768" xr:uid="{00000000-0005-0000-0000-0000D0200000}"/>
    <cellStyle name="Sum %of HV" xfId="7769" xr:uid="{00000000-0005-0000-0000-0000D1200000}"/>
    <cellStyle name="Sum %of HV 2" xfId="7770" xr:uid="{00000000-0005-0000-0000-0000D2200000}"/>
    <cellStyle name="Sum 2" xfId="7771" xr:uid="{00000000-0005-0000-0000-0000D3200000}"/>
    <cellStyle name="Sum 3" xfId="7772" xr:uid="{00000000-0005-0000-0000-0000D4200000}"/>
    <cellStyle name="testtitle" xfId="7773" xr:uid="{00000000-0005-0000-0000-0000D5200000}"/>
    <cellStyle name="testtitle 2" xfId="16555" xr:uid="{00000000-0005-0000-0000-0000D6200000}"/>
    <cellStyle name="Text Indent A" xfId="7774" xr:uid="{00000000-0005-0000-0000-0000D7200000}"/>
    <cellStyle name="Text Indent A 2" xfId="7775" xr:uid="{00000000-0005-0000-0000-0000D8200000}"/>
    <cellStyle name="Text Indent B" xfId="7776" xr:uid="{00000000-0005-0000-0000-0000D9200000}"/>
    <cellStyle name="Text Indent B 2" xfId="7777" xr:uid="{00000000-0005-0000-0000-0000DA200000}"/>
    <cellStyle name="Text Indent C" xfId="7778" xr:uid="{00000000-0005-0000-0000-0000DB200000}"/>
    <cellStyle name="Text Indent C 2" xfId="7779" xr:uid="{00000000-0005-0000-0000-0000DC200000}"/>
    <cellStyle name="þ_x001d_ð'&amp;Oy?Hy9_x0008_E_x000c_￠_x000d__x0007__x0001__x0001_" xfId="7780" xr:uid="{00000000-0005-0000-0000-0000DD200000}"/>
    <cellStyle name="Thousands (0)" xfId="7781" xr:uid="{00000000-0005-0000-0000-0000DE200000}"/>
    <cellStyle name="Thousands (0) 2" xfId="7782" xr:uid="{00000000-0005-0000-0000-0000DF200000}"/>
    <cellStyle name="Thousands (1)" xfId="7783" xr:uid="{00000000-0005-0000-0000-0000E0200000}"/>
    <cellStyle name="Thousands (1) 2" xfId="7784" xr:uid="{00000000-0005-0000-0000-0000E1200000}"/>
    <cellStyle name="time" xfId="7785" xr:uid="{00000000-0005-0000-0000-0000E2200000}"/>
    <cellStyle name="time 2" xfId="7786" xr:uid="{00000000-0005-0000-0000-0000E3200000}"/>
    <cellStyle name="Title" xfId="7787" xr:uid="{00000000-0005-0000-0000-0000E4200000}"/>
    <cellStyle name="title [1]" xfId="7788" xr:uid="{00000000-0005-0000-0000-0000E5200000}"/>
    <cellStyle name="title [1] 2" xfId="7789" xr:uid="{00000000-0005-0000-0000-0000E6200000}"/>
    <cellStyle name="title [1] 3" xfId="16557" xr:uid="{00000000-0005-0000-0000-0000E7200000}"/>
    <cellStyle name="title [2]" xfId="7790" xr:uid="{00000000-0005-0000-0000-0000E8200000}"/>
    <cellStyle name="title [2] 2" xfId="7791" xr:uid="{00000000-0005-0000-0000-0000E9200000}"/>
    <cellStyle name="title [2] 3" xfId="16558" xr:uid="{00000000-0005-0000-0000-0000EA200000}"/>
    <cellStyle name="Title 10" xfId="16980" xr:uid="{00000000-0005-0000-0000-0000EB200000}"/>
    <cellStyle name="Title 11" xfId="16992" xr:uid="{00000000-0005-0000-0000-0000EC200000}"/>
    <cellStyle name="Title 12" xfId="16904" xr:uid="{00000000-0005-0000-0000-0000ED200000}"/>
    <cellStyle name="Title 2" xfId="7792" xr:uid="{00000000-0005-0000-0000-0000EE200000}"/>
    <cellStyle name="Title 2 2" xfId="16559" xr:uid="{00000000-0005-0000-0000-0000EF200000}"/>
    <cellStyle name="Title 3" xfId="7793" xr:uid="{00000000-0005-0000-0000-0000F0200000}"/>
    <cellStyle name="Title 3 2" xfId="16560" xr:uid="{00000000-0005-0000-0000-0000F1200000}"/>
    <cellStyle name="Title 4" xfId="16561" xr:uid="{00000000-0005-0000-0000-0000F2200000}"/>
    <cellStyle name="Title 5" xfId="16562" xr:uid="{00000000-0005-0000-0000-0000F3200000}"/>
    <cellStyle name="Title 6" xfId="16563" xr:uid="{00000000-0005-0000-0000-0000F4200000}"/>
    <cellStyle name="Title 7" xfId="16556" xr:uid="{00000000-0005-0000-0000-0000F5200000}"/>
    <cellStyle name="Title 8" xfId="16919" xr:uid="{00000000-0005-0000-0000-0000F6200000}"/>
    <cellStyle name="Title 9" xfId="16973" xr:uid="{00000000-0005-0000-0000-0000F7200000}"/>
    <cellStyle name="Title_총괄집계1006_전시수정" xfId="15992" xr:uid="{00000000-0005-0000-0000-0000F8200000}"/>
    <cellStyle name="Title2" xfId="16564" xr:uid="{00000000-0005-0000-0000-0000F9200000}"/>
    <cellStyle name="Total" xfId="7794" xr:uid="{00000000-0005-0000-0000-0000FA200000}"/>
    <cellStyle name="Total 10" xfId="7795" xr:uid="{00000000-0005-0000-0000-0000FB200000}"/>
    <cellStyle name="Total 10 2" xfId="7796" xr:uid="{00000000-0005-0000-0000-0000FC200000}"/>
    <cellStyle name="Total 11" xfId="7797" xr:uid="{00000000-0005-0000-0000-0000FD200000}"/>
    <cellStyle name="Total 11 2" xfId="7798" xr:uid="{00000000-0005-0000-0000-0000FE200000}"/>
    <cellStyle name="Total 12" xfId="7799" xr:uid="{00000000-0005-0000-0000-0000FF200000}"/>
    <cellStyle name="Total 12 2" xfId="7800" xr:uid="{00000000-0005-0000-0000-000000210000}"/>
    <cellStyle name="Total 13" xfId="7801" xr:uid="{00000000-0005-0000-0000-000001210000}"/>
    <cellStyle name="Total 13 2" xfId="7802" xr:uid="{00000000-0005-0000-0000-000002210000}"/>
    <cellStyle name="Total 14" xfId="7803" xr:uid="{00000000-0005-0000-0000-000003210000}"/>
    <cellStyle name="Total 15" xfId="16565" xr:uid="{00000000-0005-0000-0000-000004210000}"/>
    <cellStyle name="Total 16" xfId="16920" xr:uid="{00000000-0005-0000-0000-000005210000}"/>
    <cellStyle name="Total 17" xfId="16993" xr:uid="{00000000-0005-0000-0000-000006210000}"/>
    <cellStyle name="Total 2" xfId="7804" xr:uid="{00000000-0005-0000-0000-000007210000}"/>
    <cellStyle name="Total 2 2" xfId="7805" xr:uid="{00000000-0005-0000-0000-000008210000}"/>
    <cellStyle name="Total 2 2 2" xfId="7806" xr:uid="{00000000-0005-0000-0000-000009210000}"/>
    <cellStyle name="Total 2 3" xfId="7807" xr:uid="{00000000-0005-0000-0000-00000A210000}"/>
    <cellStyle name="Total 2 4" xfId="16566" xr:uid="{00000000-0005-0000-0000-00000B210000}"/>
    <cellStyle name="Total 3" xfId="7808" xr:uid="{00000000-0005-0000-0000-00000C210000}"/>
    <cellStyle name="Total 3 2" xfId="7809" xr:uid="{00000000-0005-0000-0000-00000D210000}"/>
    <cellStyle name="Total 3 3" xfId="16567" xr:uid="{00000000-0005-0000-0000-00000E210000}"/>
    <cellStyle name="Total 4" xfId="7810" xr:uid="{00000000-0005-0000-0000-00000F210000}"/>
    <cellStyle name="Total 4 2" xfId="7811" xr:uid="{00000000-0005-0000-0000-000010210000}"/>
    <cellStyle name="Total 5" xfId="7812" xr:uid="{00000000-0005-0000-0000-000011210000}"/>
    <cellStyle name="Total 5 2" xfId="7813" xr:uid="{00000000-0005-0000-0000-000012210000}"/>
    <cellStyle name="Total 6" xfId="7814" xr:uid="{00000000-0005-0000-0000-000013210000}"/>
    <cellStyle name="Total 6 2" xfId="7815" xr:uid="{00000000-0005-0000-0000-000014210000}"/>
    <cellStyle name="Total 7" xfId="7816" xr:uid="{00000000-0005-0000-0000-000015210000}"/>
    <cellStyle name="Total 7 2" xfId="7817" xr:uid="{00000000-0005-0000-0000-000016210000}"/>
    <cellStyle name="Total 8" xfId="7818" xr:uid="{00000000-0005-0000-0000-000017210000}"/>
    <cellStyle name="Total 8 2" xfId="7819" xr:uid="{00000000-0005-0000-0000-000018210000}"/>
    <cellStyle name="Total 9" xfId="7820" xr:uid="{00000000-0005-0000-0000-000019210000}"/>
    <cellStyle name="Total 9 2" xfId="7821" xr:uid="{00000000-0005-0000-0000-00001A210000}"/>
    <cellStyle name="Total_1부여부지 콘도미니엄 신축공사 AV설비 견적서_20100121" xfId="7822" xr:uid="{00000000-0005-0000-0000-00001B210000}"/>
    <cellStyle name="UM" xfId="7823" xr:uid="{00000000-0005-0000-0000-00001C210000}"/>
    <cellStyle name="UM 2" xfId="7824" xr:uid="{00000000-0005-0000-0000-00001D210000}"/>
    <cellStyle name="UM 3" xfId="16568" xr:uid="{00000000-0005-0000-0000-00001E210000}"/>
    <cellStyle name="under overskrft" xfId="7825" xr:uid="{00000000-0005-0000-0000-00001F210000}"/>
    <cellStyle name="under overskrft 2" xfId="7826" xr:uid="{00000000-0005-0000-0000-000020210000}"/>
    <cellStyle name="Underline 2" xfId="7827" xr:uid="{00000000-0005-0000-0000-000021210000}"/>
    <cellStyle name="Underline 2 2" xfId="7828" xr:uid="{00000000-0005-0000-0000-000022210000}"/>
    <cellStyle name="unit" xfId="16569" xr:uid="{00000000-0005-0000-0000-000023210000}"/>
    <cellStyle name="Unprot" xfId="7829" xr:uid="{00000000-0005-0000-0000-000024210000}"/>
    <cellStyle name="Unprot 2" xfId="7830" xr:uid="{00000000-0005-0000-0000-000025210000}"/>
    <cellStyle name="Unprot$" xfId="7831" xr:uid="{00000000-0005-0000-0000-000026210000}"/>
    <cellStyle name="Unprot$ 2" xfId="7832" xr:uid="{00000000-0005-0000-0000-000027210000}"/>
    <cellStyle name="Unprotect" xfId="7833" xr:uid="{00000000-0005-0000-0000-000028210000}"/>
    <cellStyle name="Unprotect 2" xfId="7834" xr:uid="{00000000-0005-0000-0000-000029210000}"/>
    <cellStyle name="Valuta [0]_BINV" xfId="7835" xr:uid="{00000000-0005-0000-0000-00002A210000}"/>
    <cellStyle name="Valuta_BINV" xfId="7836" xr:uid="{00000000-0005-0000-0000-00002B210000}"/>
    <cellStyle name="W?rung [0]_Ausdruck RUND (D)" xfId="7837" xr:uid="{00000000-0005-0000-0000-00002C210000}"/>
    <cellStyle name="W?rung_Ausdruck RUND (D)" xfId="7838" xr:uid="{00000000-0005-0000-0000-00002D210000}"/>
    <cellStyle name="Warning Text" xfId="15993" xr:uid="{00000000-0005-0000-0000-00002E210000}"/>
    <cellStyle name="Year" xfId="7839" xr:uid="{00000000-0005-0000-0000-00002F210000}"/>
    <cellStyle name="Year 2" xfId="7840" xr:uid="{00000000-0005-0000-0000-000030210000}"/>
    <cellStyle name="Year 2 2" xfId="7841" xr:uid="{00000000-0005-0000-0000-000031210000}"/>
    <cellStyle name="Year 2 2 2" xfId="7842" xr:uid="{00000000-0005-0000-0000-000032210000}"/>
    <cellStyle name="Year 2 2 3" xfId="7843" xr:uid="{00000000-0005-0000-0000-000033210000}"/>
    <cellStyle name="Year 2 2 4" xfId="7844" xr:uid="{00000000-0005-0000-0000-000034210000}"/>
    <cellStyle name="Year 2 2 5" xfId="7845" xr:uid="{00000000-0005-0000-0000-000035210000}"/>
    <cellStyle name="Year 3" xfId="7846" xr:uid="{00000000-0005-0000-0000-000036210000}"/>
    <cellStyle name="Year 3 2" xfId="7847" xr:uid="{00000000-0005-0000-0000-000037210000}"/>
    <cellStyle name="Year 3 3" xfId="7848" xr:uid="{00000000-0005-0000-0000-000038210000}"/>
    <cellStyle name="Year 3 4" xfId="7849" xr:uid="{00000000-0005-0000-0000-000039210000}"/>
    <cellStyle name="Year 3 5" xfId="7850" xr:uid="{00000000-0005-0000-0000-00003A210000}"/>
    <cellStyle name="μU¿¡ ¿A´A CIAIÆU¸μAⓒ" xfId="7851" xr:uid="{00000000-0005-0000-0000-00003B210000}"/>
    <cellStyle name="μU¿¡ ¿A´A CIAIÆU¸μAⓒ 2" xfId="7852" xr:uid="{00000000-0005-0000-0000-00003C210000}"/>
    <cellStyle name="μU¿¡ ¿A´A CIAIÆU¸μAⓒ 3" xfId="16570" xr:uid="{00000000-0005-0000-0000-00003D210000}"/>
    <cellStyle name="パーセント_技計ｾﾝﾀ" xfId="7853" xr:uid="{00000000-0005-0000-0000-00003E210000}"/>
    <cellStyle name="ハイパーリンク" xfId="16571" xr:uid="{00000000-0005-0000-0000-00003F210000}"/>
    <cellStyle name="_x0010__x0001_ဠ" xfId="7854" xr:uid="{00000000-0005-0000-0000-000040210000}"/>
    <cellStyle name="_x0010__x0001_ဠ 2" xfId="7855" xr:uid="{00000000-0005-0000-0000-000041210000}"/>
    <cellStyle name="|?ドE" xfId="7856" xr:uid="{00000000-0005-0000-0000-000042210000}"/>
    <cellStyle name="|?ドE 2" xfId="7857" xr:uid="{00000000-0005-0000-0000-000043210000}"/>
    <cellStyle name="|?ドE 3" xfId="16572" xr:uid="{00000000-0005-0000-0000-000044210000}"/>
    <cellStyle name="강조색1 2" xfId="7858" xr:uid="{00000000-0005-0000-0000-000045210000}"/>
    <cellStyle name="강조색1 2 10" xfId="7859" xr:uid="{00000000-0005-0000-0000-000046210000}"/>
    <cellStyle name="강조색1 2 11" xfId="7860" xr:uid="{00000000-0005-0000-0000-000047210000}"/>
    <cellStyle name="강조색1 2 12" xfId="16573" xr:uid="{00000000-0005-0000-0000-000048210000}"/>
    <cellStyle name="강조색1 2 13" xfId="16953" xr:uid="{00000000-0005-0000-0000-000049210000}"/>
    <cellStyle name="강조색1 2 2" xfId="7861" xr:uid="{00000000-0005-0000-0000-00004A210000}"/>
    <cellStyle name="강조색1 2 2 2" xfId="7862" xr:uid="{00000000-0005-0000-0000-00004B210000}"/>
    <cellStyle name="강조색1 2 3" xfId="7863" xr:uid="{00000000-0005-0000-0000-00004C210000}"/>
    <cellStyle name="강조색1 2 3 2" xfId="7864" xr:uid="{00000000-0005-0000-0000-00004D210000}"/>
    <cellStyle name="강조색1 2 4" xfId="7865" xr:uid="{00000000-0005-0000-0000-00004E210000}"/>
    <cellStyle name="강조색1 2 4 2" xfId="7866" xr:uid="{00000000-0005-0000-0000-00004F210000}"/>
    <cellStyle name="강조색1 2 5" xfId="7867" xr:uid="{00000000-0005-0000-0000-000050210000}"/>
    <cellStyle name="강조색1 2 5 2" xfId="7868" xr:uid="{00000000-0005-0000-0000-000051210000}"/>
    <cellStyle name="강조색1 2 6" xfId="7869" xr:uid="{00000000-0005-0000-0000-000052210000}"/>
    <cellStyle name="강조색1 2 6 2" xfId="7870" xr:uid="{00000000-0005-0000-0000-000053210000}"/>
    <cellStyle name="강조색1 2 7" xfId="7871" xr:uid="{00000000-0005-0000-0000-000054210000}"/>
    <cellStyle name="강조색1 2 7 2" xfId="7872" xr:uid="{00000000-0005-0000-0000-000055210000}"/>
    <cellStyle name="강조색1 2 8" xfId="7873" xr:uid="{00000000-0005-0000-0000-000056210000}"/>
    <cellStyle name="강조색1 2 8 2" xfId="7874" xr:uid="{00000000-0005-0000-0000-000057210000}"/>
    <cellStyle name="강조색1 2 9" xfId="7875" xr:uid="{00000000-0005-0000-0000-000058210000}"/>
    <cellStyle name="강조색1 2 9 2" xfId="7876" xr:uid="{00000000-0005-0000-0000-000059210000}"/>
    <cellStyle name="강조색1 3" xfId="7877" xr:uid="{00000000-0005-0000-0000-00005A210000}"/>
    <cellStyle name="강조색1 3 10" xfId="7878" xr:uid="{00000000-0005-0000-0000-00005B210000}"/>
    <cellStyle name="강조색1 3 2" xfId="7879" xr:uid="{00000000-0005-0000-0000-00005C210000}"/>
    <cellStyle name="강조색1 3 2 2" xfId="7880" xr:uid="{00000000-0005-0000-0000-00005D210000}"/>
    <cellStyle name="강조색1 3 3" xfId="7881" xr:uid="{00000000-0005-0000-0000-00005E210000}"/>
    <cellStyle name="강조색1 3 3 2" xfId="7882" xr:uid="{00000000-0005-0000-0000-00005F210000}"/>
    <cellStyle name="강조색1 3 4" xfId="7883" xr:uid="{00000000-0005-0000-0000-000060210000}"/>
    <cellStyle name="강조색1 3 4 2" xfId="7884" xr:uid="{00000000-0005-0000-0000-000061210000}"/>
    <cellStyle name="강조색1 3 5" xfId="7885" xr:uid="{00000000-0005-0000-0000-000062210000}"/>
    <cellStyle name="강조색1 3 5 2" xfId="7886" xr:uid="{00000000-0005-0000-0000-000063210000}"/>
    <cellStyle name="강조색1 3 6" xfId="7887" xr:uid="{00000000-0005-0000-0000-000064210000}"/>
    <cellStyle name="강조색1 3 6 2" xfId="7888" xr:uid="{00000000-0005-0000-0000-000065210000}"/>
    <cellStyle name="강조색1 3 7" xfId="7889" xr:uid="{00000000-0005-0000-0000-000066210000}"/>
    <cellStyle name="강조색1 3 7 2" xfId="7890" xr:uid="{00000000-0005-0000-0000-000067210000}"/>
    <cellStyle name="강조색1 3 8" xfId="7891" xr:uid="{00000000-0005-0000-0000-000068210000}"/>
    <cellStyle name="강조색1 3 8 2" xfId="7892" xr:uid="{00000000-0005-0000-0000-000069210000}"/>
    <cellStyle name="강조색1 3 9" xfId="7893" xr:uid="{00000000-0005-0000-0000-00006A210000}"/>
    <cellStyle name="강조색1 3 9 2" xfId="7894" xr:uid="{00000000-0005-0000-0000-00006B210000}"/>
    <cellStyle name="강조색1 4" xfId="7895" xr:uid="{00000000-0005-0000-0000-00006C210000}"/>
    <cellStyle name="강조색1 4 10" xfId="7896" xr:uid="{00000000-0005-0000-0000-00006D210000}"/>
    <cellStyle name="강조색1 4 2" xfId="7897" xr:uid="{00000000-0005-0000-0000-00006E210000}"/>
    <cellStyle name="강조색1 4 2 2" xfId="7898" xr:uid="{00000000-0005-0000-0000-00006F210000}"/>
    <cellStyle name="강조색1 4 3" xfId="7899" xr:uid="{00000000-0005-0000-0000-000070210000}"/>
    <cellStyle name="강조색1 4 3 2" xfId="7900" xr:uid="{00000000-0005-0000-0000-000071210000}"/>
    <cellStyle name="강조색1 4 4" xfId="7901" xr:uid="{00000000-0005-0000-0000-000072210000}"/>
    <cellStyle name="강조색1 4 4 2" xfId="7902" xr:uid="{00000000-0005-0000-0000-000073210000}"/>
    <cellStyle name="강조색1 4 5" xfId="7903" xr:uid="{00000000-0005-0000-0000-000074210000}"/>
    <cellStyle name="강조색1 4 5 2" xfId="7904" xr:uid="{00000000-0005-0000-0000-000075210000}"/>
    <cellStyle name="강조색1 4 6" xfId="7905" xr:uid="{00000000-0005-0000-0000-000076210000}"/>
    <cellStyle name="강조색1 4 6 2" xfId="7906" xr:uid="{00000000-0005-0000-0000-000077210000}"/>
    <cellStyle name="강조색1 4 7" xfId="7907" xr:uid="{00000000-0005-0000-0000-000078210000}"/>
    <cellStyle name="강조색1 4 7 2" xfId="7908" xr:uid="{00000000-0005-0000-0000-000079210000}"/>
    <cellStyle name="강조색1 4 8" xfId="7909" xr:uid="{00000000-0005-0000-0000-00007A210000}"/>
    <cellStyle name="강조색1 4 8 2" xfId="7910" xr:uid="{00000000-0005-0000-0000-00007B210000}"/>
    <cellStyle name="강조색1 4 9" xfId="7911" xr:uid="{00000000-0005-0000-0000-00007C210000}"/>
    <cellStyle name="강조색1 4 9 2" xfId="7912" xr:uid="{00000000-0005-0000-0000-00007D210000}"/>
    <cellStyle name="강조색1 5" xfId="7913" xr:uid="{00000000-0005-0000-0000-00007E210000}"/>
    <cellStyle name="강조색1 5 10" xfId="7914" xr:uid="{00000000-0005-0000-0000-00007F210000}"/>
    <cellStyle name="강조색1 5 2" xfId="7915" xr:uid="{00000000-0005-0000-0000-000080210000}"/>
    <cellStyle name="강조색1 5 2 2" xfId="7916" xr:uid="{00000000-0005-0000-0000-000081210000}"/>
    <cellStyle name="강조색1 5 3" xfId="7917" xr:uid="{00000000-0005-0000-0000-000082210000}"/>
    <cellStyle name="강조색1 5 3 2" xfId="7918" xr:uid="{00000000-0005-0000-0000-000083210000}"/>
    <cellStyle name="강조색1 5 4" xfId="7919" xr:uid="{00000000-0005-0000-0000-000084210000}"/>
    <cellStyle name="강조색1 5 4 2" xfId="7920" xr:uid="{00000000-0005-0000-0000-000085210000}"/>
    <cellStyle name="강조색1 5 5" xfId="7921" xr:uid="{00000000-0005-0000-0000-000086210000}"/>
    <cellStyle name="강조색1 5 5 2" xfId="7922" xr:uid="{00000000-0005-0000-0000-000087210000}"/>
    <cellStyle name="강조색1 5 6" xfId="7923" xr:uid="{00000000-0005-0000-0000-000088210000}"/>
    <cellStyle name="강조색1 5 6 2" xfId="7924" xr:uid="{00000000-0005-0000-0000-000089210000}"/>
    <cellStyle name="강조색1 5 7" xfId="7925" xr:uid="{00000000-0005-0000-0000-00008A210000}"/>
    <cellStyle name="강조색1 5 7 2" xfId="7926" xr:uid="{00000000-0005-0000-0000-00008B210000}"/>
    <cellStyle name="강조색1 5 8" xfId="7927" xr:uid="{00000000-0005-0000-0000-00008C210000}"/>
    <cellStyle name="강조색1 5 8 2" xfId="7928" xr:uid="{00000000-0005-0000-0000-00008D210000}"/>
    <cellStyle name="강조색1 5 9" xfId="7929" xr:uid="{00000000-0005-0000-0000-00008E210000}"/>
    <cellStyle name="강조색1 5 9 2" xfId="7930" xr:uid="{00000000-0005-0000-0000-00008F210000}"/>
    <cellStyle name="강조색1 6" xfId="7931" xr:uid="{00000000-0005-0000-0000-000090210000}"/>
    <cellStyle name="강조색1 6 10" xfId="7932" xr:uid="{00000000-0005-0000-0000-000091210000}"/>
    <cellStyle name="강조색1 6 2" xfId="7933" xr:uid="{00000000-0005-0000-0000-000092210000}"/>
    <cellStyle name="강조색1 6 2 2" xfId="7934" xr:uid="{00000000-0005-0000-0000-000093210000}"/>
    <cellStyle name="강조색1 6 3" xfId="7935" xr:uid="{00000000-0005-0000-0000-000094210000}"/>
    <cellStyle name="강조색1 6 3 2" xfId="7936" xr:uid="{00000000-0005-0000-0000-000095210000}"/>
    <cellStyle name="강조색1 6 4" xfId="7937" xr:uid="{00000000-0005-0000-0000-000096210000}"/>
    <cellStyle name="강조색1 6 4 2" xfId="7938" xr:uid="{00000000-0005-0000-0000-000097210000}"/>
    <cellStyle name="강조색1 6 5" xfId="7939" xr:uid="{00000000-0005-0000-0000-000098210000}"/>
    <cellStyle name="강조색1 6 5 2" xfId="7940" xr:uid="{00000000-0005-0000-0000-000099210000}"/>
    <cellStyle name="강조색1 6 6" xfId="7941" xr:uid="{00000000-0005-0000-0000-00009A210000}"/>
    <cellStyle name="강조색1 6 6 2" xfId="7942" xr:uid="{00000000-0005-0000-0000-00009B210000}"/>
    <cellStyle name="강조색1 6 7" xfId="7943" xr:uid="{00000000-0005-0000-0000-00009C210000}"/>
    <cellStyle name="강조색1 6 7 2" xfId="7944" xr:uid="{00000000-0005-0000-0000-00009D210000}"/>
    <cellStyle name="강조색1 6 8" xfId="7945" xr:uid="{00000000-0005-0000-0000-00009E210000}"/>
    <cellStyle name="강조색1 6 8 2" xfId="7946" xr:uid="{00000000-0005-0000-0000-00009F210000}"/>
    <cellStyle name="강조색1 6 9" xfId="7947" xr:uid="{00000000-0005-0000-0000-0000A0210000}"/>
    <cellStyle name="강조색1 6 9 2" xfId="7948" xr:uid="{00000000-0005-0000-0000-0000A1210000}"/>
    <cellStyle name="강조색2 2" xfId="7949" xr:uid="{00000000-0005-0000-0000-0000A2210000}"/>
    <cellStyle name="강조색2 2 10" xfId="7950" xr:uid="{00000000-0005-0000-0000-0000A3210000}"/>
    <cellStyle name="강조색2 2 11" xfId="16574" xr:uid="{00000000-0005-0000-0000-0000A4210000}"/>
    <cellStyle name="강조색2 2 2" xfId="7951" xr:uid="{00000000-0005-0000-0000-0000A5210000}"/>
    <cellStyle name="강조색2 2 2 2" xfId="7952" xr:uid="{00000000-0005-0000-0000-0000A6210000}"/>
    <cellStyle name="강조색2 2 3" xfId="7953" xr:uid="{00000000-0005-0000-0000-0000A7210000}"/>
    <cellStyle name="강조색2 2 3 2" xfId="7954" xr:uid="{00000000-0005-0000-0000-0000A8210000}"/>
    <cellStyle name="강조색2 2 4" xfId="7955" xr:uid="{00000000-0005-0000-0000-0000A9210000}"/>
    <cellStyle name="강조색2 2 4 2" xfId="7956" xr:uid="{00000000-0005-0000-0000-0000AA210000}"/>
    <cellStyle name="강조색2 2 5" xfId="7957" xr:uid="{00000000-0005-0000-0000-0000AB210000}"/>
    <cellStyle name="강조색2 2 5 2" xfId="7958" xr:uid="{00000000-0005-0000-0000-0000AC210000}"/>
    <cellStyle name="강조색2 2 6" xfId="7959" xr:uid="{00000000-0005-0000-0000-0000AD210000}"/>
    <cellStyle name="강조색2 2 6 2" xfId="7960" xr:uid="{00000000-0005-0000-0000-0000AE210000}"/>
    <cellStyle name="강조색2 2 7" xfId="7961" xr:uid="{00000000-0005-0000-0000-0000AF210000}"/>
    <cellStyle name="강조색2 2 7 2" xfId="7962" xr:uid="{00000000-0005-0000-0000-0000B0210000}"/>
    <cellStyle name="강조색2 2 8" xfId="7963" xr:uid="{00000000-0005-0000-0000-0000B1210000}"/>
    <cellStyle name="강조색2 2 8 2" xfId="7964" xr:uid="{00000000-0005-0000-0000-0000B2210000}"/>
    <cellStyle name="강조색2 2 9" xfId="7965" xr:uid="{00000000-0005-0000-0000-0000B3210000}"/>
    <cellStyle name="강조색2 2 9 2" xfId="7966" xr:uid="{00000000-0005-0000-0000-0000B4210000}"/>
    <cellStyle name="강조색2 3" xfId="7967" xr:uid="{00000000-0005-0000-0000-0000B5210000}"/>
    <cellStyle name="강조색2 3 10" xfId="7968" xr:uid="{00000000-0005-0000-0000-0000B6210000}"/>
    <cellStyle name="강조색2 3 2" xfId="7969" xr:uid="{00000000-0005-0000-0000-0000B7210000}"/>
    <cellStyle name="강조색2 3 2 2" xfId="7970" xr:uid="{00000000-0005-0000-0000-0000B8210000}"/>
    <cellStyle name="강조색2 3 3" xfId="7971" xr:uid="{00000000-0005-0000-0000-0000B9210000}"/>
    <cellStyle name="강조색2 3 3 2" xfId="7972" xr:uid="{00000000-0005-0000-0000-0000BA210000}"/>
    <cellStyle name="강조색2 3 4" xfId="7973" xr:uid="{00000000-0005-0000-0000-0000BB210000}"/>
    <cellStyle name="강조색2 3 4 2" xfId="7974" xr:uid="{00000000-0005-0000-0000-0000BC210000}"/>
    <cellStyle name="강조색2 3 5" xfId="7975" xr:uid="{00000000-0005-0000-0000-0000BD210000}"/>
    <cellStyle name="강조색2 3 5 2" xfId="7976" xr:uid="{00000000-0005-0000-0000-0000BE210000}"/>
    <cellStyle name="강조색2 3 6" xfId="7977" xr:uid="{00000000-0005-0000-0000-0000BF210000}"/>
    <cellStyle name="강조색2 3 6 2" xfId="7978" xr:uid="{00000000-0005-0000-0000-0000C0210000}"/>
    <cellStyle name="강조색2 3 7" xfId="7979" xr:uid="{00000000-0005-0000-0000-0000C1210000}"/>
    <cellStyle name="강조색2 3 7 2" xfId="7980" xr:uid="{00000000-0005-0000-0000-0000C2210000}"/>
    <cellStyle name="강조색2 3 8" xfId="7981" xr:uid="{00000000-0005-0000-0000-0000C3210000}"/>
    <cellStyle name="강조색2 3 8 2" xfId="7982" xr:uid="{00000000-0005-0000-0000-0000C4210000}"/>
    <cellStyle name="강조색2 3 9" xfId="7983" xr:uid="{00000000-0005-0000-0000-0000C5210000}"/>
    <cellStyle name="강조색2 3 9 2" xfId="7984" xr:uid="{00000000-0005-0000-0000-0000C6210000}"/>
    <cellStyle name="강조색2 4" xfId="7985" xr:uid="{00000000-0005-0000-0000-0000C7210000}"/>
    <cellStyle name="강조색2 4 10" xfId="7986" xr:uid="{00000000-0005-0000-0000-0000C8210000}"/>
    <cellStyle name="강조색2 4 2" xfId="7987" xr:uid="{00000000-0005-0000-0000-0000C9210000}"/>
    <cellStyle name="강조색2 4 2 2" xfId="7988" xr:uid="{00000000-0005-0000-0000-0000CA210000}"/>
    <cellStyle name="강조색2 4 3" xfId="7989" xr:uid="{00000000-0005-0000-0000-0000CB210000}"/>
    <cellStyle name="강조색2 4 3 2" xfId="7990" xr:uid="{00000000-0005-0000-0000-0000CC210000}"/>
    <cellStyle name="강조색2 4 4" xfId="7991" xr:uid="{00000000-0005-0000-0000-0000CD210000}"/>
    <cellStyle name="강조색2 4 4 2" xfId="7992" xr:uid="{00000000-0005-0000-0000-0000CE210000}"/>
    <cellStyle name="강조색2 4 5" xfId="7993" xr:uid="{00000000-0005-0000-0000-0000CF210000}"/>
    <cellStyle name="강조색2 4 5 2" xfId="7994" xr:uid="{00000000-0005-0000-0000-0000D0210000}"/>
    <cellStyle name="강조색2 4 6" xfId="7995" xr:uid="{00000000-0005-0000-0000-0000D1210000}"/>
    <cellStyle name="강조색2 4 6 2" xfId="7996" xr:uid="{00000000-0005-0000-0000-0000D2210000}"/>
    <cellStyle name="강조색2 4 7" xfId="7997" xr:uid="{00000000-0005-0000-0000-0000D3210000}"/>
    <cellStyle name="강조색2 4 7 2" xfId="7998" xr:uid="{00000000-0005-0000-0000-0000D4210000}"/>
    <cellStyle name="강조색2 4 8" xfId="7999" xr:uid="{00000000-0005-0000-0000-0000D5210000}"/>
    <cellStyle name="강조색2 4 8 2" xfId="8000" xr:uid="{00000000-0005-0000-0000-0000D6210000}"/>
    <cellStyle name="강조색2 4 9" xfId="8001" xr:uid="{00000000-0005-0000-0000-0000D7210000}"/>
    <cellStyle name="강조색2 4 9 2" xfId="8002" xr:uid="{00000000-0005-0000-0000-0000D8210000}"/>
    <cellStyle name="강조색2 5" xfId="8003" xr:uid="{00000000-0005-0000-0000-0000D9210000}"/>
    <cellStyle name="강조색2 5 10" xfId="8004" xr:uid="{00000000-0005-0000-0000-0000DA210000}"/>
    <cellStyle name="강조색2 5 2" xfId="8005" xr:uid="{00000000-0005-0000-0000-0000DB210000}"/>
    <cellStyle name="강조색2 5 2 2" xfId="8006" xr:uid="{00000000-0005-0000-0000-0000DC210000}"/>
    <cellStyle name="강조색2 5 3" xfId="8007" xr:uid="{00000000-0005-0000-0000-0000DD210000}"/>
    <cellStyle name="강조색2 5 3 2" xfId="8008" xr:uid="{00000000-0005-0000-0000-0000DE210000}"/>
    <cellStyle name="강조색2 5 4" xfId="8009" xr:uid="{00000000-0005-0000-0000-0000DF210000}"/>
    <cellStyle name="강조색2 5 4 2" xfId="8010" xr:uid="{00000000-0005-0000-0000-0000E0210000}"/>
    <cellStyle name="강조색2 5 5" xfId="8011" xr:uid="{00000000-0005-0000-0000-0000E1210000}"/>
    <cellStyle name="강조색2 5 5 2" xfId="8012" xr:uid="{00000000-0005-0000-0000-0000E2210000}"/>
    <cellStyle name="강조색2 5 6" xfId="8013" xr:uid="{00000000-0005-0000-0000-0000E3210000}"/>
    <cellStyle name="강조색2 5 6 2" xfId="8014" xr:uid="{00000000-0005-0000-0000-0000E4210000}"/>
    <cellStyle name="강조색2 5 7" xfId="8015" xr:uid="{00000000-0005-0000-0000-0000E5210000}"/>
    <cellStyle name="강조색2 5 7 2" xfId="8016" xr:uid="{00000000-0005-0000-0000-0000E6210000}"/>
    <cellStyle name="강조색2 5 8" xfId="8017" xr:uid="{00000000-0005-0000-0000-0000E7210000}"/>
    <cellStyle name="강조색2 5 8 2" xfId="8018" xr:uid="{00000000-0005-0000-0000-0000E8210000}"/>
    <cellStyle name="강조색2 5 9" xfId="8019" xr:uid="{00000000-0005-0000-0000-0000E9210000}"/>
    <cellStyle name="강조색2 5 9 2" xfId="8020" xr:uid="{00000000-0005-0000-0000-0000EA210000}"/>
    <cellStyle name="강조색2 6" xfId="8021" xr:uid="{00000000-0005-0000-0000-0000EB210000}"/>
    <cellStyle name="강조색2 6 10" xfId="8022" xr:uid="{00000000-0005-0000-0000-0000EC210000}"/>
    <cellStyle name="강조색2 6 2" xfId="8023" xr:uid="{00000000-0005-0000-0000-0000ED210000}"/>
    <cellStyle name="강조색2 6 2 2" xfId="8024" xr:uid="{00000000-0005-0000-0000-0000EE210000}"/>
    <cellStyle name="강조색2 6 3" xfId="8025" xr:uid="{00000000-0005-0000-0000-0000EF210000}"/>
    <cellStyle name="강조색2 6 3 2" xfId="8026" xr:uid="{00000000-0005-0000-0000-0000F0210000}"/>
    <cellStyle name="강조색2 6 4" xfId="8027" xr:uid="{00000000-0005-0000-0000-0000F1210000}"/>
    <cellStyle name="강조색2 6 4 2" xfId="8028" xr:uid="{00000000-0005-0000-0000-0000F2210000}"/>
    <cellStyle name="강조색2 6 5" xfId="8029" xr:uid="{00000000-0005-0000-0000-0000F3210000}"/>
    <cellStyle name="강조색2 6 5 2" xfId="8030" xr:uid="{00000000-0005-0000-0000-0000F4210000}"/>
    <cellStyle name="강조색2 6 6" xfId="8031" xr:uid="{00000000-0005-0000-0000-0000F5210000}"/>
    <cellStyle name="강조색2 6 6 2" xfId="8032" xr:uid="{00000000-0005-0000-0000-0000F6210000}"/>
    <cellStyle name="강조색2 6 7" xfId="8033" xr:uid="{00000000-0005-0000-0000-0000F7210000}"/>
    <cellStyle name="강조색2 6 7 2" xfId="8034" xr:uid="{00000000-0005-0000-0000-0000F8210000}"/>
    <cellStyle name="강조색2 6 8" xfId="8035" xr:uid="{00000000-0005-0000-0000-0000F9210000}"/>
    <cellStyle name="강조색2 6 8 2" xfId="8036" xr:uid="{00000000-0005-0000-0000-0000FA210000}"/>
    <cellStyle name="강조색2 6 9" xfId="8037" xr:uid="{00000000-0005-0000-0000-0000FB210000}"/>
    <cellStyle name="강조색2 6 9 2" xfId="8038" xr:uid="{00000000-0005-0000-0000-0000FC210000}"/>
    <cellStyle name="강조색3 2" xfId="8039" xr:uid="{00000000-0005-0000-0000-0000FD210000}"/>
    <cellStyle name="강조색3 2 10" xfId="8040" xr:uid="{00000000-0005-0000-0000-0000FE210000}"/>
    <cellStyle name="강조색3 2 11" xfId="16575" xr:uid="{00000000-0005-0000-0000-0000FF210000}"/>
    <cellStyle name="강조색3 2 2" xfId="8041" xr:uid="{00000000-0005-0000-0000-000000220000}"/>
    <cellStyle name="강조색3 2 2 2" xfId="8042" xr:uid="{00000000-0005-0000-0000-000001220000}"/>
    <cellStyle name="강조색3 2 3" xfId="8043" xr:uid="{00000000-0005-0000-0000-000002220000}"/>
    <cellStyle name="강조색3 2 3 2" xfId="8044" xr:uid="{00000000-0005-0000-0000-000003220000}"/>
    <cellStyle name="강조색3 2 4" xfId="8045" xr:uid="{00000000-0005-0000-0000-000004220000}"/>
    <cellStyle name="강조색3 2 4 2" xfId="8046" xr:uid="{00000000-0005-0000-0000-000005220000}"/>
    <cellStyle name="강조색3 2 5" xfId="8047" xr:uid="{00000000-0005-0000-0000-000006220000}"/>
    <cellStyle name="강조색3 2 5 2" xfId="8048" xr:uid="{00000000-0005-0000-0000-000007220000}"/>
    <cellStyle name="강조색3 2 6" xfId="8049" xr:uid="{00000000-0005-0000-0000-000008220000}"/>
    <cellStyle name="강조색3 2 6 2" xfId="8050" xr:uid="{00000000-0005-0000-0000-000009220000}"/>
    <cellStyle name="강조색3 2 7" xfId="8051" xr:uid="{00000000-0005-0000-0000-00000A220000}"/>
    <cellStyle name="강조색3 2 7 2" xfId="8052" xr:uid="{00000000-0005-0000-0000-00000B220000}"/>
    <cellStyle name="강조색3 2 8" xfId="8053" xr:uid="{00000000-0005-0000-0000-00000C220000}"/>
    <cellStyle name="강조색3 2 8 2" xfId="8054" xr:uid="{00000000-0005-0000-0000-00000D220000}"/>
    <cellStyle name="강조색3 2 9" xfId="8055" xr:uid="{00000000-0005-0000-0000-00000E220000}"/>
    <cellStyle name="강조색3 2 9 2" xfId="8056" xr:uid="{00000000-0005-0000-0000-00000F220000}"/>
    <cellStyle name="강조색3 3" xfId="8057" xr:uid="{00000000-0005-0000-0000-000010220000}"/>
    <cellStyle name="강조색3 3 10" xfId="8058" xr:uid="{00000000-0005-0000-0000-000011220000}"/>
    <cellStyle name="강조색3 3 2" xfId="8059" xr:uid="{00000000-0005-0000-0000-000012220000}"/>
    <cellStyle name="강조색3 3 2 2" xfId="8060" xr:uid="{00000000-0005-0000-0000-000013220000}"/>
    <cellStyle name="강조색3 3 3" xfId="8061" xr:uid="{00000000-0005-0000-0000-000014220000}"/>
    <cellStyle name="강조색3 3 3 2" xfId="8062" xr:uid="{00000000-0005-0000-0000-000015220000}"/>
    <cellStyle name="강조색3 3 4" xfId="8063" xr:uid="{00000000-0005-0000-0000-000016220000}"/>
    <cellStyle name="강조색3 3 4 2" xfId="8064" xr:uid="{00000000-0005-0000-0000-000017220000}"/>
    <cellStyle name="강조색3 3 5" xfId="8065" xr:uid="{00000000-0005-0000-0000-000018220000}"/>
    <cellStyle name="강조색3 3 5 2" xfId="8066" xr:uid="{00000000-0005-0000-0000-000019220000}"/>
    <cellStyle name="강조색3 3 6" xfId="8067" xr:uid="{00000000-0005-0000-0000-00001A220000}"/>
    <cellStyle name="강조색3 3 6 2" xfId="8068" xr:uid="{00000000-0005-0000-0000-00001B220000}"/>
    <cellStyle name="강조색3 3 7" xfId="8069" xr:uid="{00000000-0005-0000-0000-00001C220000}"/>
    <cellStyle name="강조색3 3 7 2" xfId="8070" xr:uid="{00000000-0005-0000-0000-00001D220000}"/>
    <cellStyle name="강조색3 3 8" xfId="8071" xr:uid="{00000000-0005-0000-0000-00001E220000}"/>
    <cellStyle name="강조색3 3 8 2" xfId="8072" xr:uid="{00000000-0005-0000-0000-00001F220000}"/>
    <cellStyle name="강조색3 3 9" xfId="8073" xr:uid="{00000000-0005-0000-0000-000020220000}"/>
    <cellStyle name="강조색3 3 9 2" xfId="8074" xr:uid="{00000000-0005-0000-0000-000021220000}"/>
    <cellStyle name="강조색3 4" xfId="8075" xr:uid="{00000000-0005-0000-0000-000022220000}"/>
    <cellStyle name="강조색3 4 10" xfId="8076" xr:uid="{00000000-0005-0000-0000-000023220000}"/>
    <cellStyle name="강조색3 4 2" xfId="8077" xr:uid="{00000000-0005-0000-0000-000024220000}"/>
    <cellStyle name="강조색3 4 2 2" xfId="8078" xr:uid="{00000000-0005-0000-0000-000025220000}"/>
    <cellStyle name="강조색3 4 3" xfId="8079" xr:uid="{00000000-0005-0000-0000-000026220000}"/>
    <cellStyle name="강조색3 4 3 2" xfId="8080" xr:uid="{00000000-0005-0000-0000-000027220000}"/>
    <cellStyle name="강조색3 4 4" xfId="8081" xr:uid="{00000000-0005-0000-0000-000028220000}"/>
    <cellStyle name="강조색3 4 4 2" xfId="8082" xr:uid="{00000000-0005-0000-0000-000029220000}"/>
    <cellStyle name="강조색3 4 5" xfId="8083" xr:uid="{00000000-0005-0000-0000-00002A220000}"/>
    <cellStyle name="강조색3 4 5 2" xfId="8084" xr:uid="{00000000-0005-0000-0000-00002B220000}"/>
    <cellStyle name="강조색3 4 6" xfId="8085" xr:uid="{00000000-0005-0000-0000-00002C220000}"/>
    <cellStyle name="강조색3 4 6 2" xfId="8086" xr:uid="{00000000-0005-0000-0000-00002D220000}"/>
    <cellStyle name="강조색3 4 7" xfId="8087" xr:uid="{00000000-0005-0000-0000-00002E220000}"/>
    <cellStyle name="강조색3 4 7 2" xfId="8088" xr:uid="{00000000-0005-0000-0000-00002F220000}"/>
    <cellStyle name="강조색3 4 8" xfId="8089" xr:uid="{00000000-0005-0000-0000-000030220000}"/>
    <cellStyle name="강조색3 4 8 2" xfId="8090" xr:uid="{00000000-0005-0000-0000-000031220000}"/>
    <cellStyle name="강조색3 4 9" xfId="8091" xr:uid="{00000000-0005-0000-0000-000032220000}"/>
    <cellStyle name="강조색3 4 9 2" xfId="8092" xr:uid="{00000000-0005-0000-0000-000033220000}"/>
    <cellStyle name="강조색3 5" xfId="8093" xr:uid="{00000000-0005-0000-0000-000034220000}"/>
    <cellStyle name="강조색3 5 10" xfId="8094" xr:uid="{00000000-0005-0000-0000-000035220000}"/>
    <cellStyle name="강조색3 5 2" xfId="8095" xr:uid="{00000000-0005-0000-0000-000036220000}"/>
    <cellStyle name="강조색3 5 2 2" xfId="8096" xr:uid="{00000000-0005-0000-0000-000037220000}"/>
    <cellStyle name="강조색3 5 3" xfId="8097" xr:uid="{00000000-0005-0000-0000-000038220000}"/>
    <cellStyle name="강조색3 5 3 2" xfId="8098" xr:uid="{00000000-0005-0000-0000-000039220000}"/>
    <cellStyle name="강조색3 5 4" xfId="8099" xr:uid="{00000000-0005-0000-0000-00003A220000}"/>
    <cellStyle name="강조색3 5 4 2" xfId="8100" xr:uid="{00000000-0005-0000-0000-00003B220000}"/>
    <cellStyle name="강조색3 5 5" xfId="8101" xr:uid="{00000000-0005-0000-0000-00003C220000}"/>
    <cellStyle name="강조색3 5 5 2" xfId="8102" xr:uid="{00000000-0005-0000-0000-00003D220000}"/>
    <cellStyle name="강조색3 5 6" xfId="8103" xr:uid="{00000000-0005-0000-0000-00003E220000}"/>
    <cellStyle name="강조색3 5 6 2" xfId="8104" xr:uid="{00000000-0005-0000-0000-00003F220000}"/>
    <cellStyle name="강조색3 5 7" xfId="8105" xr:uid="{00000000-0005-0000-0000-000040220000}"/>
    <cellStyle name="강조색3 5 7 2" xfId="8106" xr:uid="{00000000-0005-0000-0000-000041220000}"/>
    <cellStyle name="강조색3 5 8" xfId="8107" xr:uid="{00000000-0005-0000-0000-000042220000}"/>
    <cellStyle name="강조색3 5 8 2" xfId="8108" xr:uid="{00000000-0005-0000-0000-000043220000}"/>
    <cellStyle name="강조색3 5 9" xfId="8109" xr:uid="{00000000-0005-0000-0000-000044220000}"/>
    <cellStyle name="강조색3 5 9 2" xfId="8110" xr:uid="{00000000-0005-0000-0000-000045220000}"/>
    <cellStyle name="강조색3 6" xfId="8111" xr:uid="{00000000-0005-0000-0000-000046220000}"/>
    <cellStyle name="강조색3 6 10" xfId="8112" xr:uid="{00000000-0005-0000-0000-000047220000}"/>
    <cellStyle name="강조색3 6 2" xfId="8113" xr:uid="{00000000-0005-0000-0000-000048220000}"/>
    <cellStyle name="강조색3 6 2 2" xfId="8114" xr:uid="{00000000-0005-0000-0000-000049220000}"/>
    <cellStyle name="강조색3 6 3" xfId="8115" xr:uid="{00000000-0005-0000-0000-00004A220000}"/>
    <cellStyle name="강조색3 6 3 2" xfId="8116" xr:uid="{00000000-0005-0000-0000-00004B220000}"/>
    <cellStyle name="강조색3 6 4" xfId="8117" xr:uid="{00000000-0005-0000-0000-00004C220000}"/>
    <cellStyle name="강조색3 6 4 2" xfId="8118" xr:uid="{00000000-0005-0000-0000-00004D220000}"/>
    <cellStyle name="강조색3 6 5" xfId="8119" xr:uid="{00000000-0005-0000-0000-00004E220000}"/>
    <cellStyle name="강조색3 6 5 2" xfId="8120" xr:uid="{00000000-0005-0000-0000-00004F220000}"/>
    <cellStyle name="강조색3 6 6" xfId="8121" xr:uid="{00000000-0005-0000-0000-000050220000}"/>
    <cellStyle name="강조색3 6 6 2" xfId="8122" xr:uid="{00000000-0005-0000-0000-000051220000}"/>
    <cellStyle name="강조색3 6 7" xfId="8123" xr:uid="{00000000-0005-0000-0000-000052220000}"/>
    <cellStyle name="강조색3 6 7 2" xfId="8124" xr:uid="{00000000-0005-0000-0000-000053220000}"/>
    <cellStyle name="강조색3 6 8" xfId="8125" xr:uid="{00000000-0005-0000-0000-000054220000}"/>
    <cellStyle name="강조색3 6 8 2" xfId="8126" xr:uid="{00000000-0005-0000-0000-000055220000}"/>
    <cellStyle name="강조색3 6 9" xfId="8127" xr:uid="{00000000-0005-0000-0000-000056220000}"/>
    <cellStyle name="강조색3 6 9 2" xfId="8128" xr:uid="{00000000-0005-0000-0000-000057220000}"/>
    <cellStyle name="강조색4 2" xfId="8129" xr:uid="{00000000-0005-0000-0000-000058220000}"/>
    <cellStyle name="강조색4 2 10" xfId="8130" xr:uid="{00000000-0005-0000-0000-000059220000}"/>
    <cellStyle name="강조색4 2 11" xfId="16576" xr:uid="{00000000-0005-0000-0000-00005A220000}"/>
    <cellStyle name="강조색4 2 12" xfId="16952" xr:uid="{00000000-0005-0000-0000-00005B220000}"/>
    <cellStyle name="강조색4 2 2" xfId="8131" xr:uid="{00000000-0005-0000-0000-00005C220000}"/>
    <cellStyle name="강조색4 2 2 2" xfId="8132" xr:uid="{00000000-0005-0000-0000-00005D220000}"/>
    <cellStyle name="강조색4 2 3" xfId="8133" xr:uid="{00000000-0005-0000-0000-00005E220000}"/>
    <cellStyle name="강조색4 2 3 2" xfId="8134" xr:uid="{00000000-0005-0000-0000-00005F220000}"/>
    <cellStyle name="강조색4 2 4" xfId="8135" xr:uid="{00000000-0005-0000-0000-000060220000}"/>
    <cellStyle name="강조색4 2 4 2" xfId="8136" xr:uid="{00000000-0005-0000-0000-000061220000}"/>
    <cellStyle name="강조색4 2 5" xfId="8137" xr:uid="{00000000-0005-0000-0000-000062220000}"/>
    <cellStyle name="강조색4 2 5 2" xfId="8138" xr:uid="{00000000-0005-0000-0000-000063220000}"/>
    <cellStyle name="강조색4 2 6" xfId="8139" xr:uid="{00000000-0005-0000-0000-000064220000}"/>
    <cellStyle name="강조색4 2 6 2" xfId="8140" xr:uid="{00000000-0005-0000-0000-000065220000}"/>
    <cellStyle name="강조색4 2 7" xfId="8141" xr:uid="{00000000-0005-0000-0000-000066220000}"/>
    <cellStyle name="강조색4 2 7 2" xfId="8142" xr:uid="{00000000-0005-0000-0000-000067220000}"/>
    <cellStyle name="강조색4 2 8" xfId="8143" xr:uid="{00000000-0005-0000-0000-000068220000}"/>
    <cellStyle name="강조색4 2 8 2" xfId="8144" xr:uid="{00000000-0005-0000-0000-000069220000}"/>
    <cellStyle name="강조색4 2 9" xfId="8145" xr:uid="{00000000-0005-0000-0000-00006A220000}"/>
    <cellStyle name="강조색4 2 9 2" xfId="8146" xr:uid="{00000000-0005-0000-0000-00006B220000}"/>
    <cellStyle name="강조색4 3" xfId="8147" xr:uid="{00000000-0005-0000-0000-00006C220000}"/>
    <cellStyle name="강조색4 3 10" xfId="8148" xr:uid="{00000000-0005-0000-0000-00006D220000}"/>
    <cellStyle name="강조색4 3 2" xfId="8149" xr:uid="{00000000-0005-0000-0000-00006E220000}"/>
    <cellStyle name="강조색4 3 2 2" xfId="8150" xr:uid="{00000000-0005-0000-0000-00006F220000}"/>
    <cellStyle name="강조색4 3 3" xfId="8151" xr:uid="{00000000-0005-0000-0000-000070220000}"/>
    <cellStyle name="강조색4 3 3 2" xfId="8152" xr:uid="{00000000-0005-0000-0000-000071220000}"/>
    <cellStyle name="강조색4 3 4" xfId="8153" xr:uid="{00000000-0005-0000-0000-000072220000}"/>
    <cellStyle name="강조색4 3 4 2" xfId="8154" xr:uid="{00000000-0005-0000-0000-000073220000}"/>
    <cellStyle name="강조색4 3 5" xfId="8155" xr:uid="{00000000-0005-0000-0000-000074220000}"/>
    <cellStyle name="강조색4 3 5 2" xfId="8156" xr:uid="{00000000-0005-0000-0000-000075220000}"/>
    <cellStyle name="강조색4 3 6" xfId="8157" xr:uid="{00000000-0005-0000-0000-000076220000}"/>
    <cellStyle name="강조색4 3 6 2" xfId="8158" xr:uid="{00000000-0005-0000-0000-000077220000}"/>
    <cellStyle name="강조색4 3 7" xfId="8159" xr:uid="{00000000-0005-0000-0000-000078220000}"/>
    <cellStyle name="강조색4 3 7 2" xfId="8160" xr:uid="{00000000-0005-0000-0000-000079220000}"/>
    <cellStyle name="강조색4 3 8" xfId="8161" xr:uid="{00000000-0005-0000-0000-00007A220000}"/>
    <cellStyle name="강조색4 3 8 2" xfId="8162" xr:uid="{00000000-0005-0000-0000-00007B220000}"/>
    <cellStyle name="강조색4 3 9" xfId="8163" xr:uid="{00000000-0005-0000-0000-00007C220000}"/>
    <cellStyle name="강조색4 3 9 2" xfId="8164" xr:uid="{00000000-0005-0000-0000-00007D220000}"/>
    <cellStyle name="강조색4 4" xfId="8165" xr:uid="{00000000-0005-0000-0000-00007E220000}"/>
    <cellStyle name="강조색4 4 10" xfId="8166" xr:uid="{00000000-0005-0000-0000-00007F220000}"/>
    <cellStyle name="강조색4 4 2" xfId="8167" xr:uid="{00000000-0005-0000-0000-000080220000}"/>
    <cellStyle name="강조색4 4 2 2" xfId="8168" xr:uid="{00000000-0005-0000-0000-000081220000}"/>
    <cellStyle name="강조색4 4 3" xfId="8169" xr:uid="{00000000-0005-0000-0000-000082220000}"/>
    <cellStyle name="강조색4 4 3 2" xfId="8170" xr:uid="{00000000-0005-0000-0000-000083220000}"/>
    <cellStyle name="강조색4 4 4" xfId="8171" xr:uid="{00000000-0005-0000-0000-000084220000}"/>
    <cellStyle name="강조색4 4 4 2" xfId="8172" xr:uid="{00000000-0005-0000-0000-000085220000}"/>
    <cellStyle name="강조색4 4 5" xfId="8173" xr:uid="{00000000-0005-0000-0000-000086220000}"/>
    <cellStyle name="강조색4 4 5 2" xfId="8174" xr:uid="{00000000-0005-0000-0000-000087220000}"/>
    <cellStyle name="강조색4 4 6" xfId="8175" xr:uid="{00000000-0005-0000-0000-000088220000}"/>
    <cellStyle name="강조색4 4 6 2" xfId="8176" xr:uid="{00000000-0005-0000-0000-000089220000}"/>
    <cellStyle name="강조색4 4 7" xfId="8177" xr:uid="{00000000-0005-0000-0000-00008A220000}"/>
    <cellStyle name="강조색4 4 7 2" xfId="8178" xr:uid="{00000000-0005-0000-0000-00008B220000}"/>
    <cellStyle name="강조색4 4 8" xfId="8179" xr:uid="{00000000-0005-0000-0000-00008C220000}"/>
    <cellStyle name="강조색4 4 8 2" xfId="8180" xr:uid="{00000000-0005-0000-0000-00008D220000}"/>
    <cellStyle name="강조색4 4 9" xfId="8181" xr:uid="{00000000-0005-0000-0000-00008E220000}"/>
    <cellStyle name="강조색4 4 9 2" xfId="8182" xr:uid="{00000000-0005-0000-0000-00008F220000}"/>
    <cellStyle name="강조색4 5" xfId="8183" xr:uid="{00000000-0005-0000-0000-000090220000}"/>
    <cellStyle name="강조색4 5 10" xfId="8184" xr:uid="{00000000-0005-0000-0000-000091220000}"/>
    <cellStyle name="강조색4 5 2" xfId="8185" xr:uid="{00000000-0005-0000-0000-000092220000}"/>
    <cellStyle name="강조색4 5 2 2" xfId="8186" xr:uid="{00000000-0005-0000-0000-000093220000}"/>
    <cellStyle name="강조색4 5 3" xfId="8187" xr:uid="{00000000-0005-0000-0000-000094220000}"/>
    <cellStyle name="강조색4 5 3 2" xfId="8188" xr:uid="{00000000-0005-0000-0000-000095220000}"/>
    <cellStyle name="강조색4 5 4" xfId="8189" xr:uid="{00000000-0005-0000-0000-000096220000}"/>
    <cellStyle name="강조색4 5 4 2" xfId="8190" xr:uid="{00000000-0005-0000-0000-000097220000}"/>
    <cellStyle name="강조색4 5 5" xfId="8191" xr:uid="{00000000-0005-0000-0000-000098220000}"/>
    <cellStyle name="강조색4 5 5 2" xfId="8192" xr:uid="{00000000-0005-0000-0000-000099220000}"/>
    <cellStyle name="강조색4 5 6" xfId="8193" xr:uid="{00000000-0005-0000-0000-00009A220000}"/>
    <cellStyle name="강조색4 5 6 2" xfId="8194" xr:uid="{00000000-0005-0000-0000-00009B220000}"/>
    <cellStyle name="강조색4 5 7" xfId="8195" xr:uid="{00000000-0005-0000-0000-00009C220000}"/>
    <cellStyle name="강조색4 5 7 2" xfId="8196" xr:uid="{00000000-0005-0000-0000-00009D220000}"/>
    <cellStyle name="강조색4 5 8" xfId="8197" xr:uid="{00000000-0005-0000-0000-00009E220000}"/>
    <cellStyle name="강조색4 5 8 2" xfId="8198" xr:uid="{00000000-0005-0000-0000-00009F220000}"/>
    <cellStyle name="강조색4 5 9" xfId="8199" xr:uid="{00000000-0005-0000-0000-0000A0220000}"/>
    <cellStyle name="강조색4 5 9 2" xfId="8200" xr:uid="{00000000-0005-0000-0000-0000A1220000}"/>
    <cellStyle name="강조색4 6" xfId="8201" xr:uid="{00000000-0005-0000-0000-0000A2220000}"/>
    <cellStyle name="강조색4 6 10" xfId="8202" xr:uid="{00000000-0005-0000-0000-0000A3220000}"/>
    <cellStyle name="강조색4 6 2" xfId="8203" xr:uid="{00000000-0005-0000-0000-0000A4220000}"/>
    <cellStyle name="강조색4 6 2 2" xfId="8204" xr:uid="{00000000-0005-0000-0000-0000A5220000}"/>
    <cellStyle name="강조색4 6 3" xfId="8205" xr:uid="{00000000-0005-0000-0000-0000A6220000}"/>
    <cellStyle name="강조색4 6 3 2" xfId="8206" xr:uid="{00000000-0005-0000-0000-0000A7220000}"/>
    <cellStyle name="강조색4 6 4" xfId="8207" xr:uid="{00000000-0005-0000-0000-0000A8220000}"/>
    <cellStyle name="강조색4 6 4 2" xfId="8208" xr:uid="{00000000-0005-0000-0000-0000A9220000}"/>
    <cellStyle name="강조색4 6 5" xfId="8209" xr:uid="{00000000-0005-0000-0000-0000AA220000}"/>
    <cellStyle name="강조색4 6 5 2" xfId="8210" xr:uid="{00000000-0005-0000-0000-0000AB220000}"/>
    <cellStyle name="강조색4 6 6" xfId="8211" xr:uid="{00000000-0005-0000-0000-0000AC220000}"/>
    <cellStyle name="강조색4 6 6 2" xfId="8212" xr:uid="{00000000-0005-0000-0000-0000AD220000}"/>
    <cellStyle name="강조색4 6 7" xfId="8213" xr:uid="{00000000-0005-0000-0000-0000AE220000}"/>
    <cellStyle name="강조색4 6 7 2" xfId="8214" xr:uid="{00000000-0005-0000-0000-0000AF220000}"/>
    <cellStyle name="강조색4 6 8" xfId="8215" xr:uid="{00000000-0005-0000-0000-0000B0220000}"/>
    <cellStyle name="강조색4 6 8 2" xfId="8216" xr:uid="{00000000-0005-0000-0000-0000B1220000}"/>
    <cellStyle name="강조색4 6 9" xfId="8217" xr:uid="{00000000-0005-0000-0000-0000B2220000}"/>
    <cellStyle name="강조색4 6 9 2" xfId="8218" xr:uid="{00000000-0005-0000-0000-0000B3220000}"/>
    <cellStyle name="강조색5 2" xfId="8219" xr:uid="{00000000-0005-0000-0000-0000B4220000}"/>
    <cellStyle name="강조색5 2 10" xfId="8220" xr:uid="{00000000-0005-0000-0000-0000B5220000}"/>
    <cellStyle name="강조색5 2 11" xfId="16577" xr:uid="{00000000-0005-0000-0000-0000B6220000}"/>
    <cellStyle name="강조색5 2 2" xfId="8221" xr:uid="{00000000-0005-0000-0000-0000B7220000}"/>
    <cellStyle name="강조색5 2 2 2" xfId="8222" xr:uid="{00000000-0005-0000-0000-0000B8220000}"/>
    <cellStyle name="강조색5 2 3" xfId="8223" xr:uid="{00000000-0005-0000-0000-0000B9220000}"/>
    <cellStyle name="강조색5 2 3 2" xfId="8224" xr:uid="{00000000-0005-0000-0000-0000BA220000}"/>
    <cellStyle name="강조색5 2 4" xfId="8225" xr:uid="{00000000-0005-0000-0000-0000BB220000}"/>
    <cellStyle name="강조색5 2 4 2" xfId="8226" xr:uid="{00000000-0005-0000-0000-0000BC220000}"/>
    <cellStyle name="강조색5 2 5" xfId="8227" xr:uid="{00000000-0005-0000-0000-0000BD220000}"/>
    <cellStyle name="강조색5 2 5 2" xfId="8228" xr:uid="{00000000-0005-0000-0000-0000BE220000}"/>
    <cellStyle name="강조색5 2 6" xfId="8229" xr:uid="{00000000-0005-0000-0000-0000BF220000}"/>
    <cellStyle name="강조색5 2 6 2" xfId="8230" xr:uid="{00000000-0005-0000-0000-0000C0220000}"/>
    <cellStyle name="강조색5 2 7" xfId="8231" xr:uid="{00000000-0005-0000-0000-0000C1220000}"/>
    <cellStyle name="강조색5 2 7 2" xfId="8232" xr:uid="{00000000-0005-0000-0000-0000C2220000}"/>
    <cellStyle name="강조색5 2 8" xfId="8233" xr:uid="{00000000-0005-0000-0000-0000C3220000}"/>
    <cellStyle name="강조색5 2 8 2" xfId="8234" xr:uid="{00000000-0005-0000-0000-0000C4220000}"/>
    <cellStyle name="강조색5 2 9" xfId="8235" xr:uid="{00000000-0005-0000-0000-0000C5220000}"/>
    <cellStyle name="강조색5 2 9 2" xfId="8236" xr:uid="{00000000-0005-0000-0000-0000C6220000}"/>
    <cellStyle name="강조색5 3" xfId="8237" xr:uid="{00000000-0005-0000-0000-0000C7220000}"/>
    <cellStyle name="강조색5 3 10" xfId="8238" xr:uid="{00000000-0005-0000-0000-0000C8220000}"/>
    <cellStyle name="강조색5 3 2" xfId="8239" xr:uid="{00000000-0005-0000-0000-0000C9220000}"/>
    <cellStyle name="강조색5 3 2 2" xfId="8240" xr:uid="{00000000-0005-0000-0000-0000CA220000}"/>
    <cellStyle name="강조색5 3 3" xfId="8241" xr:uid="{00000000-0005-0000-0000-0000CB220000}"/>
    <cellStyle name="강조색5 3 3 2" xfId="8242" xr:uid="{00000000-0005-0000-0000-0000CC220000}"/>
    <cellStyle name="강조색5 3 4" xfId="8243" xr:uid="{00000000-0005-0000-0000-0000CD220000}"/>
    <cellStyle name="강조색5 3 4 2" xfId="8244" xr:uid="{00000000-0005-0000-0000-0000CE220000}"/>
    <cellStyle name="강조색5 3 5" xfId="8245" xr:uid="{00000000-0005-0000-0000-0000CF220000}"/>
    <cellStyle name="강조색5 3 5 2" xfId="8246" xr:uid="{00000000-0005-0000-0000-0000D0220000}"/>
    <cellStyle name="강조색5 3 6" xfId="8247" xr:uid="{00000000-0005-0000-0000-0000D1220000}"/>
    <cellStyle name="강조색5 3 6 2" xfId="8248" xr:uid="{00000000-0005-0000-0000-0000D2220000}"/>
    <cellStyle name="강조색5 3 7" xfId="8249" xr:uid="{00000000-0005-0000-0000-0000D3220000}"/>
    <cellStyle name="강조색5 3 7 2" xfId="8250" xr:uid="{00000000-0005-0000-0000-0000D4220000}"/>
    <cellStyle name="강조색5 3 8" xfId="8251" xr:uid="{00000000-0005-0000-0000-0000D5220000}"/>
    <cellStyle name="강조색5 3 8 2" xfId="8252" xr:uid="{00000000-0005-0000-0000-0000D6220000}"/>
    <cellStyle name="강조색5 3 9" xfId="8253" xr:uid="{00000000-0005-0000-0000-0000D7220000}"/>
    <cellStyle name="강조색5 3 9 2" xfId="8254" xr:uid="{00000000-0005-0000-0000-0000D8220000}"/>
    <cellStyle name="강조색5 4" xfId="8255" xr:uid="{00000000-0005-0000-0000-0000D9220000}"/>
    <cellStyle name="강조색5 4 10" xfId="8256" xr:uid="{00000000-0005-0000-0000-0000DA220000}"/>
    <cellStyle name="강조색5 4 2" xfId="8257" xr:uid="{00000000-0005-0000-0000-0000DB220000}"/>
    <cellStyle name="강조색5 4 2 2" xfId="8258" xr:uid="{00000000-0005-0000-0000-0000DC220000}"/>
    <cellStyle name="강조색5 4 3" xfId="8259" xr:uid="{00000000-0005-0000-0000-0000DD220000}"/>
    <cellStyle name="강조색5 4 3 2" xfId="8260" xr:uid="{00000000-0005-0000-0000-0000DE220000}"/>
    <cellStyle name="강조색5 4 4" xfId="8261" xr:uid="{00000000-0005-0000-0000-0000DF220000}"/>
    <cellStyle name="강조색5 4 4 2" xfId="8262" xr:uid="{00000000-0005-0000-0000-0000E0220000}"/>
    <cellStyle name="강조색5 4 5" xfId="8263" xr:uid="{00000000-0005-0000-0000-0000E1220000}"/>
    <cellStyle name="강조색5 4 5 2" xfId="8264" xr:uid="{00000000-0005-0000-0000-0000E2220000}"/>
    <cellStyle name="강조색5 4 6" xfId="8265" xr:uid="{00000000-0005-0000-0000-0000E3220000}"/>
    <cellStyle name="강조색5 4 6 2" xfId="8266" xr:uid="{00000000-0005-0000-0000-0000E4220000}"/>
    <cellStyle name="강조색5 4 7" xfId="8267" xr:uid="{00000000-0005-0000-0000-0000E5220000}"/>
    <cellStyle name="강조색5 4 7 2" xfId="8268" xr:uid="{00000000-0005-0000-0000-0000E6220000}"/>
    <cellStyle name="강조색5 4 8" xfId="8269" xr:uid="{00000000-0005-0000-0000-0000E7220000}"/>
    <cellStyle name="강조색5 4 8 2" xfId="8270" xr:uid="{00000000-0005-0000-0000-0000E8220000}"/>
    <cellStyle name="강조색5 4 9" xfId="8271" xr:uid="{00000000-0005-0000-0000-0000E9220000}"/>
    <cellStyle name="강조색5 4 9 2" xfId="8272" xr:uid="{00000000-0005-0000-0000-0000EA220000}"/>
    <cellStyle name="강조색5 5" xfId="8273" xr:uid="{00000000-0005-0000-0000-0000EB220000}"/>
    <cellStyle name="강조색5 5 10" xfId="8274" xr:uid="{00000000-0005-0000-0000-0000EC220000}"/>
    <cellStyle name="강조색5 5 2" xfId="8275" xr:uid="{00000000-0005-0000-0000-0000ED220000}"/>
    <cellStyle name="강조색5 5 2 2" xfId="8276" xr:uid="{00000000-0005-0000-0000-0000EE220000}"/>
    <cellStyle name="강조색5 5 3" xfId="8277" xr:uid="{00000000-0005-0000-0000-0000EF220000}"/>
    <cellStyle name="강조색5 5 3 2" xfId="8278" xr:uid="{00000000-0005-0000-0000-0000F0220000}"/>
    <cellStyle name="강조색5 5 4" xfId="8279" xr:uid="{00000000-0005-0000-0000-0000F1220000}"/>
    <cellStyle name="강조색5 5 4 2" xfId="8280" xr:uid="{00000000-0005-0000-0000-0000F2220000}"/>
    <cellStyle name="강조색5 5 5" xfId="8281" xr:uid="{00000000-0005-0000-0000-0000F3220000}"/>
    <cellStyle name="강조색5 5 5 2" xfId="8282" xr:uid="{00000000-0005-0000-0000-0000F4220000}"/>
    <cellStyle name="강조색5 5 6" xfId="8283" xr:uid="{00000000-0005-0000-0000-0000F5220000}"/>
    <cellStyle name="강조색5 5 6 2" xfId="8284" xr:uid="{00000000-0005-0000-0000-0000F6220000}"/>
    <cellStyle name="강조색5 5 7" xfId="8285" xr:uid="{00000000-0005-0000-0000-0000F7220000}"/>
    <cellStyle name="강조색5 5 7 2" xfId="8286" xr:uid="{00000000-0005-0000-0000-0000F8220000}"/>
    <cellStyle name="강조색5 5 8" xfId="8287" xr:uid="{00000000-0005-0000-0000-0000F9220000}"/>
    <cellStyle name="강조색5 5 8 2" xfId="8288" xr:uid="{00000000-0005-0000-0000-0000FA220000}"/>
    <cellStyle name="강조색5 5 9" xfId="8289" xr:uid="{00000000-0005-0000-0000-0000FB220000}"/>
    <cellStyle name="강조색5 5 9 2" xfId="8290" xr:uid="{00000000-0005-0000-0000-0000FC220000}"/>
    <cellStyle name="강조색5 6" xfId="8291" xr:uid="{00000000-0005-0000-0000-0000FD220000}"/>
    <cellStyle name="강조색5 6 10" xfId="8292" xr:uid="{00000000-0005-0000-0000-0000FE220000}"/>
    <cellStyle name="강조색5 6 2" xfId="8293" xr:uid="{00000000-0005-0000-0000-0000FF220000}"/>
    <cellStyle name="강조색5 6 2 2" xfId="8294" xr:uid="{00000000-0005-0000-0000-000000230000}"/>
    <cellStyle name="강조색5 6 3" xfId="8295" xr:uid="{00000000-0005-0000-0000-000001230000}"/>
    <cellStyle name="강조색5 6 3 2" xfId="8296" xr:uid="{00000000-0005-0000-0000-000002230000}"/>
    <cellStyle name="강조색5 6 4" xfId="8297" xr:uid="{00000000-0005-0000-0000-000003230000}"/>
    <cellStyle name="강조색5 6 4 2" xfId="8298" xr:uid="{00000000-0005-0000-0000-000004230000}"/>
    <cellStyle name="강조색5 6 5" xfId="8299" xr:uid="{00000000-0005-0000-0000-000005230000}"/>
    <cellStyle name="강조색5 6 5 2" xfId="8300" xr:uid="{00000000-0005-0000-0000-000006230000}"/>
    <cellStyle name="강조색5 6 6" xfId="8301" xr:uid="{00000000-0005-0000-0000-000007230000}"/>
    <cellStyle name="강조색5 6 6 2" xfId="8302" xr:uid="{00000000-0005-0000-0000-000008230000}"/>
    <cellStyle name="강조색5 6 7" xfId="8303" xr:uid="{00000000-0005-0000-0000-000009230000}"/>
    <cellStyle name="강조색5 6 7 2" xfId="8304" xr:uid="{00000000-0005-0000-0000-00000A230000}"/>
    <cellStyle name="강조색5 6 8" xfId="8305" xr:uid="{00000000-0005-0000-0000-00000B230000}"/>
    <cellStyle name="강조색5 6 8 2" xfId="8306" xr:uid="{00000000-0005-0000-0000-00000C230000}"/>
    <cellStyle name="강조색5 6 9" xfId="8307" xr:uid="{00000000-0005-0000-0000-00000D230000}"/>
    <cellStyle name="강조색5 6 9 2" xfId="8308" xr:uid="{00000000-0005-0000-0000-00000E230000}"/>
    <cellStyle name="강조색6 2" xfId="8309" xr:uid="{00000000-0005-0000-0000-00000F230000}"/>
    <cellStyle name="강조색6 2 10" xfId="8310" xr:uid="{00000000-0005-0000-0000-000010230000}"/>
    <cellStyle name="강조색6 2 11" xfId="16578" xr:uid="{00000000-0005-0000-0000-000011230000}"/>
    <cellStyle name="강조색6 2 2" xfId="8311" xr:uid="{00000000-0005-0000-0000-000012230000}"/>
    <cellStyle name="강조색6 2 2 2" xfId="8312" xr:uid="{00000000-0005-0000-0000-000013230000}"/>
    <cellStyle name="강조색6 2 3" xfId="8313" xr:uid="{00000000-0005-0000-0000-000014230000}"/>
    <cellStyle name="강조색6 2 3 2" xfId="8314" xr:uid="{00000000-0005-0000-0000-000015230000}"/>
    <cellStyle name="강조색6 2 4" xfId="8315" xr:uid="{00000000-0005-0000-0000-000016230000}"/>
    <cellStyle name="강조색6 2 4 2" xfId="8316" xr:uid="{00000000-0005-0000-0000-000017230000}"/>
    <cellStyle name="강조색6 2 5" xfId="8317" xr:uid="{00000000-0005-0000-0000-000018230000}"/>
    <cellStyle name="강조색6 2 5 2" xfId="8318" xr:uid="{00000000-0005-0000-0000-000019230000}"/>
    <cellStyle name="강조색6 2 6" xfId="8319" xr:uid="{00000000-0005-0000-0000-00001A230000}"/>
    <cellStyle name="강조색6 2 6 2" xfId="8320" xr:uid="{00000000-0005-0000-0000-00001B230000}"/>
    <cellStyle name="강조색6 2 7" xfId="8321" xr:uid="{00000000-0005-0000-0000-00001C230000}"/>
    <cellStyle name="강조색6 2 7 2" xfId="8322" xr:uid="{00000000-0005-0000-0000-00001D230000}"/>
    <cellStyle name="강조색6 2 8" xfId="8323" xr:uid="{00000000-0005-0000-0000-00001E230000}"/>
    <cellStyle name="강조색6 2 8 2" xfId="8324" xr:uid="{00000000-0005-0000-0000-00001F230000}"/>
    <cellStyle name="강조색6 2 9" xfId="8325" xr:uid="{00000000-0005-0000-0000-000020230000}"/>
    <cellStyle name="강조색6 2 9 2" xfId="8326" xr:uid="{00000000-0005-0000-0000-000021230000}"/>
    <cellStyle name="강조색6 3" xfId="8327" xr:uid="{00000000-0005-0000-0000-000022230000}"/>
    <cellStyle name="강조색6 3 10" xfId="8328" xr:uid="{00000000-0005-0000-0000-000023230000}"/>
    <cellStyle name="강조색6 3 2" xfId="8329" xr:uid="{00000000-0005-0000-0000-000024230000}"/>
    <cellStyle name="강조색6 3 2 2" xfId="8330" xr:uid="{00000000-0005-0000-0000-000025230000}"/>
    <cellStyle name="강조색6 3 3" xfId="8331" xr:uid="{00000000-0005-0000-0000-000026230000}"/>
    <cellStyle name="강조색6 3 3 2" xfId="8332" xr:uid="{00000000-0005-0000-0000-000027230000}"/>
    <cellStyle name="강조색6 3 4" xfId="8333" xr:uid="{00000000-0005-0000-0000-000028230000}"/>
    <cellStyle name="강조색6 3 4 2" xfId="8334" xr:uid="{00000000-0005-0000-0000-000029230000}"/>
    <cellStyle name="강조색6 3 5" xfId="8335" xr:uid="{00000000-0005-0000-0000-00002A230000}"/>
    <cellStyle name="강조색6 3 5 2" xfId="8336" xr:uid="{00000000-0005-0000-0000-00002B230000}"/>
    <cellStyle name="강조색6 3 6" xfId="8337" xr:uid="{00000000-0005-0000-0000-00002C230000}"/>
    <cellStyle name="강조색6 3 6 2" xfId="8338" xr:uid="{00000000-0005-0000-0000-00002D230000}"/>
    <cellStyle name="강조색6 3 7" xfId="8339" xr:uid="{00000000-0005-0000-0000-00002E230000}"/>
    <cellStyle name="강조색6 3 7 2" xfId="8340" xr:uid="{00000000-0005-0000-0000-00002F230000}"/>
    <cellStyle name="강조색6 3 8" xfId="8341" xr:uid="{00000000-0005-0000-0000-000030230000}"/>
    <cellStyle name="강조색6 3 8 2" xfId="8342" xr:uid="{00000000-0005-0000-0000-000031230000}"/>
    <cellStyle name="강조색6 3 9" xfId="8343" xr:uid="{00000000-0005-0000-0000-000032230000}"/>
    <cellStyle name="강조색6 3 9 2" xfId="8344" xr:uid="{00000000-0005-0000-0000-000033230000}"/>
    <cellStyle name="강조색6 4" xfId="8345" xr:uid="{00000000-0005-0000-0000-000034230000}"/>
    <cellStyle name="강조색6 4 10" xfId="8346" xr:uid="{00000000-0005-0000-0000-000035230000}"/>
    <cellStyle name="강조색6 4 2" xfId="8347" xr:uid="{00000000-0005-0000-0000-000036230000}"/>
    <cellStyle name="강조색6 4 2 2" xfId="8348" xr:uid="{00000000-0005-0000-0000-000037230000}"/>
    <cellStyle name="강조색6 4 3" xfId="8349" xr:uid="{00000000-0005-0000-0000-000038230000}"/>
    <cellStyle name="강조색6 4 3 2" xfId="8350" xr:uid="{00000000-0005-0000-0000-000039230000}"/>
    <cellStyle name="강조색6 4 4" xfId="8351" xr:uid="{00000000-0005-0000-0000-00003A230000}"/>
    <cellStyle name="강조색6 4 4 2" xfId="8352" xr:uid="{00000000-0005-0000-0000-00003B230000}"/>
    <cellStyle name="강조색6 4 5" xfId="8353" xr:uid="{00000000-0005-0000-0000-00003C230000}"/>
    <cellStyle name="강조색6 4 5 2" xfId="8354" xr:uid="{00000000-0005-0000-0000-00003D230000}"/>
    <cellStyle name="강조색6 4 6" xfId="8355" xr:uid="{00000000-0005-0000-0000-00003E230000}"/>
    <cellStyle name="강조색6 4 6 2" xfId="8356" xr:uid="{00000000-0005-0000-0000-00003F230000}"/>
    <cellStyle name="강조색6 4 7" xfId="8357" xr:uid="{00000000-0005-0000-0000-000040230000}"/>
    <cellStyle name="강조색6 4 7 2" xfId="8358" xr:uid="{00000000-0005-0000-0000-000041230000}"/>
    <cellStyle name="강조색6 4 8" xfId="8359" xr:uid="{00000000-0005-0000-0000-000042230000}"/>
    <cellStyle name="강조색6 4 8 2" xfId="8360" xr:uid="{00000000-0005-0000-0000-000043230000}"/>
    <cellStyle name="강조색6 4 9" xfId="8361" xr:uid="{00000000-0005-0000-0000-000044230000}"/>
    <cellStyle name="강조색6 4 9 2" xfId="8362" xr:uid="{00000000-0005-0000-0000-000045230000}"/>
    <cellStyle name="강조색6 5" xfId="8363" xr:uid="{00000000-0005-0000-0000-000046230000}"/>
    <cellStyle name="강조색6 5 10" xfId="8364" xr:uid="{00000000-0005-0000-0000-000047230000}"/>
    <cellStyle name="강조색6 5 2" xfId="8365" xr:uid="{00000000-0005-0000-0000-000048230000}"/>
    <cellStyle name="강조색6 5 2 2" xfId="8366" xr:uid="{00000000-0005-0000-0000-000049230000}"/>
    <cellStyle name="강조색6 5 3" xfId="8367" xr:uid="{00000000-0005-0000-0000-00004A230000}"/>
    <cellStyle name="강조색6 5 3 2" xfId="8368" xr:uid="{00000000-0005-0000-0000-00004B230000}"/>
    <cellStyle name="강조색6 5 4" xfId="8369" xr:uid="{00000000-0005-0000-0000-00004C230000}"/>
    <cellStyle name="강조색6 5 4 2" xfId="8370" xr:uid="{00000000-0005-0000-0000-00004D230000}"/>
    <cellStyle name="강조색6 5 5" xfId="8371" xr:uid="{00000000-0005-0000-0000-00004E230000}"/>
    <cellStyle name="강조색6 5 5 2" xfId="8372" xr:uid="{00000000-0005-0000-0000-00004F230000}"/>
    <cellStyle name="강조색6 5 6" xfId="8373" xr:uid="{00000000-0005-0000-0000-000050230000}"/>
    <cellStyle name="강조색6 5 6 2" xfId="8374" xr:uid="{00000000-0005-0000-0000-000051230000}"/>
    <cellStyle name="강조색6 5 7" xfId="8375" xr:uid="{00000000-0005-0000-0000-000052230000}"/>
    <cellStyle name="강조색6 5 7 2" xfId="8376" xr:uid="{00000000-0005-0000-0000-000053230000}"/>
    <cellStyle name="강조색6 5 8" xfId="8377" xr:uid="{00000000-0005-0000-0000-000054230000}"/>
    <cellStyle name="강조색6 5 8 2" xfId="8378" xr:uid="{00000000-0005-0000-0000-000055230000}"/>
    <cellStyle name="강조색6 5 9" xfId="8379" xr:uid="{00000000-0005-0000-0000-000056230000}"/>
    <cellStyle name="강조색6 5 9 2" xfId="8380" xr:uid="{00000000-0005-0000-0000-000057230000}"/>
    <cellStyle name="강조색6 6" xfId="8381" xr:uid="{00000000-0005-0000-0000-000058230000}"/>
    <cellStyle name="강조색6 6 10" xfId="8382" xr:uid="{00000000-0005-0000-0000-000059230000}"/>
    <cellStyle name="강조색6 6 2" xfId="8383" xr:uid="{00000000-0005-0000-0000-00005A230000}"/>
    <cellStyle name="강조색6 6 2 2" xfId="8384" xr:uid="{00000000-0005-0000-0000-00005B230000}"/>
    <cellStyle name="강조색6 6 3" xfId="8385" xr:uid="{00000000-0005-0000-0000-00005C230000}"/>
    <cellStyle name="강조색6 6 3 2" xfId="8386" xr:uid="{00000000-0005-0000-0000-00005D230000}"/>
    <cellStyle name="강조색6 6 4" xfId="8387" xr:uid="{00000000-0005-0000-0000-00005E230000}"/>
    <cellStyle name="강조색6 6 4 2" xfId="8388" xr:uid="{00000000-0005-0000-0000-00005F230000}"/>
    <cellStyle name="강조색6 6 5" xfId="8389" xr:uid="{00000000-0005-0000-0000-000060230000}"/>
    <cellStyle name="강조색6 6 5 2" xfId="8390" xr:uid="{00000000-0005-0000-0000-000061230000}"/>
    <cellStyle name="강조색6 6 6" xfId="8391" xr:uid="{00000000-0005-0000-0000-000062230000}"/>
    <cellStyle name="강조색6 6 6 2" xfId="8392" xr:uid="{00000000-0005-0000-0000-000063230000}"/>
    <cellStyle name="강조색6 6 7" xfId="8393" xr:uid="{00000000-0005-0000-0000-000064230000}"/>
    <cellStyle name="강조색6 6 7 2" xfId="8394" xr:uid="{00000000-0005-0000-0000-000065230000}"/>
    <cellStyle name="강조색6 6 8" xfId="8395" xr:uid="{00000000-0005-0000-0000-000066230000}"/>
    <cellStyle name="강조색6 6 8 2" xfId="8396" xr:uid="{00000000-0005-0000-0000-000067230000}"/>
    <cellStyle name="강조색6 6 9" xfId="8397" xr:uid="{00000000-0005-0000-0000-000068230000}"/>
    <cellStyle name="강조색6 6 9 2" xfId="8398" xr:uid="{00000000-0005-0000-0000-000069230000}"/>
    <cellStyle name="견적" xfId="8399" xr:uid="{00000000-0005-0000-0000-00006A230000}"/>
    <cellStyle name="견적 2" xfId="8400" xr:uid="{00000000-0005-0000-0000-00006B230000}"/>
    <cellStyle name="견적 3" xfId="16579" xr:uid="{00000000-0005-0000-0000-00006C230000}"/>
    <cellStyle name="경고문 2" xfId="8401" xr:uid="{00000000-0005-0000-0000-00006D230000}"/>
    <cellStyle name="경고문 2 10" xfId="8402" xr:uid="{00000000-0005-0000-0000-00006E230000}"/>
    <cellStyle name="경고문 2 11" xfId="16580" xr:uid="{00000000-0005-0000-0000-00006F230000}"/>
    <cellStyle name="경고문 2 2" xfId="8403" xr:uid="{00000000-0005-0000-0000-000070230000}"/>
    <cellStyle name="경고문 2 2 2" xfId="8404" xr:uid="{00000000-0005-0000-0000-000071230000}"/>
    <cellStyle name="경고문 2 3" xfId="8405" xr:uid="{00000000-0005-0000-0000-000072230000}"/>
    <cellStyle name="경고문 2 3 2" xfId="8406" xr:uid="{00000000-0005-0000-0000-000073230000}"/>
    <cellStyle name="경고문 2 4" xfId="8407" xr:uid="{00000000-0005-0000-0000-000074230000}"/>
    <cellStyle name="경고문 2 4 2" xfId="8408" xr:uid="{00000000-0005-0000-0000-000075230000}"/>
    <cellStyle name="경고문 2 5" xfId="8409" xr:uid="{00000000-0005-0000-0000-000076230000}"/>
    <cellStyle name="경고문 2 5 2" xfId="8410" xr:uid="{00000000-0005-0000-0000-000077230000}"/>
    <cellStyle name="경고문 2 6" xfId="8411" xr:uid="{00000000-0005-0000-0000-000078230000}"/>
    <cellStyle name="경고문 2 6 2" xfId="8412" xr:uid="{00000000-0005-0000-0000-000079230000}"/>
    <cellStyle name="경고문 2 7" xfId="8413" xr:uid="{00000000-0005-0000-0000-00007A230000}"/>
    <cellStyle name="경고문 2 7 2" xfId="8414" xr:uid="{00000000-0005-0000-0000-00007B230000}"/>
    <cellStyle name="경고문 2 8" xfId="8415" xr:uid="{00000000-0005-0000-0000-00007C230000}"/>
    <cellStyle name="경고문 2 8 2" xfId="8416" xr:uid="{00000000-0005-0000-0000-00007D230000}"/>
    <cellStyle name="경고문 2 9" xfId="8417" xr:uid="{00000000-0005-0000-0000-00007E230000}"/>
    <cellStyle name="경고문 2 9 2" xfId="8418" xr:uid="{00000000-0005-0000-0000-00007F230000}"/>
    <cellStyle name="경고문 3" xfId="8419" xr:uid="{00000000-0005-0000-0000-000080230000}"/>
    <cellStyle name="경고문 3 10" xfId="8420" xr:uid="{00000000-0005-0000-0000-000081230000}"/>
    <cellStyle name="경고문 3 2" xfId="8421" xr:uid="{00000000-0005-0000-0000-000082230000}"/>
    <cellStyle name="경고문 3 2 2" xfId="8422" xr:uid="{00000000-0005-0000-0000-000083230000}"/>
    <cellStyle name="경고문 3 3" xfId="8423" xr:uid="{00000000-0005-0000-0000-000084230000}"/>
    <cellStyle name="경고문 3 3 2" xfId="8424" xr:uid="{00000000-0005-0000-0000-000085230000}"/>
    <cellStyle name="경고문 3 4" xfId="8425" xr:uid="{00000000-0005-0000-0000-000086230000}"/>
    <cellStyle name="경고문 3 4 2" xfId="8426" xr:uid="{00000000-0005-0000-0000-000087230000}"/>
    <cellStyle name="경고문 3 5" xfId="8427" xr:uid="{00000000-0005-0000-0000-000088230000}"/>
    <cellStyle name="경고문 3 5 2" xfId="8428" xr:uid="{00000000-0005-0000-0000-000089230000}"/>
    <cellStyle name="경고문 3 6" xfId="8429" xr:uid="{00000000-0005-0000-0000-00008A230000}"/>
    <cellStyle name="경고문 3 6 2" xfId="8430" xr:uid="{00000000-0005-0000-0000-00008B230000}"/>
    <cellStyle name="경고문 3 7" xfId="8431" xr:uid="{00000000-0005-0000-0000-00008C230000}"/>
    <cellStyle name="경고문 3 7 2" xfId="8432" xr:uid="{00000000-0005-0000-0000-00008D230000}"/>
    <cellStyle name="경고문 3 8" xfId="8433" xr:uid="{00000000-0005-0000-0000-00008E230000}"/>
    <cellStyle name="경고문 3 8 2" xfId="8434" xr:uid="{00000000-0005-0000-0000-00008F230000}"/>
    <cellStyle name="경고문 3 9" xfId="8435" xr:uid="{00000000-0005-0000-0000-000090230000}"/>
    <cellStyle name="경고문 3 9 2" xfId="8436" xr:uid="{00000000-0005-0000-0000-000091230000}"/>
    <cellStyle name="경고문 4" xfId="8437" xr:uid="{00000000-0005-0000-0000-000092230000}"/>
    <cellStyle name="경고문 4 10" xfId="8438" xr:uid="{00000000-0005-0000-0000-000093230000}"/>
    <cellStyle name="경고문 4 2" xfId="8439" xr:uid="{00000000-0005-0000-0000-000094230000}"/>
    <cellStyle name="경고문 4 2 2" xfId="8440" xr:uid="{00000000-0005-0000-0000-000095230000}"/>
    <cellStyle name="경고문 4 3" xfId="8441" xr:uid="{00000000-0005-0000-0000-000096230000}"/>
    <cellStyle name="경고문 4 3 2" xfId="8442" xr:uid="{00000000-0005-0000-0000-000097230000}"/>
    <cellStyle name="경고문 4 4" xfId="8443" xr:uid="{00000000-0005-0000-0000-000098230000}"/>
    <cellStyle name="경고문 4 4 2" xfId="8444" xr:uid="{00000000-0005-0000-0000-000099230000}"/>
    <cellStyle name="경고문 4 5" xfId="8445" xr:uid="{00000000-0005-0000-0000-00009A230000}"/>
    <cellStyle name="경고문 4 5 2" xfId="8446" xr:uid="{00000000-0005-0000-0000-00009B230000}"/>
    <cellStyle name="경고문 4 6" xfId="8447" xr:uid="{00000000-0005-0000-0000-00009C230000}"/>
    <cellStyle name="경고문 4 6 2" xfId="8448" xr:uid="{00000000-0005-0000-0000-00009D230000}"/>
    <cellStyle name="경고문 4 7" xfId="8449" xr:uid="{00000000-0005-0000-0000-00009E230000}"/>
    <cellStyle name="경고문 4 7 2" xfId="8450" xr:uid="{00000000-0005-0000-0000-00009F230000}"/>
    <cellStyle name="경고문 4 8" xfId="8451" xr:uid="{00000000-0005-0000-0000-0000A0230000}"/>
    <cellStyle name="경고문 4 8 2" xfId="8452" xr:uid="{00000000-0005-0000-0000-0000A1230000}"/>
    <cellStyle name="경고문 4 9" xfId="8453" xr:uid="{00000000-0005-0000-0000-0000A2230000}"/>
    <cellStyle name="경고문 4 9 2" xfId="8454" xr:uid="{00000000-0005-0000-0000-0000A3230000}"/>
    <cellStyle name="경고문 5" xfId="8455" xr:uid="{00000000-0005-0000-0000-0000A4230000}"/>
    <cellStyle name="경고문 5 10" xfId="8456" xr:uid="{00000000-0005-0000-0000-0000A5230000}"/>
    <cellStyle name="경고문 5 2" xfId="8457" xr:uid="{00000000-0005-0000-0000-0000A6230000}"/>
    <cellStyle name="경고문 5 2 2" xfId="8458" xr:uid="{00000000-0005-0000-0000-0000A7230000}"/>
    <cellStyle name="경고문 5 3" xfId="8459" xr:uid="{00000000-0005-0000-0000-0000A8230000}"/>
    <cellStyle name="경고문 5 3 2" xfId="8460" xr:uid="{00000000-0005-0000-0000-0000A9230000}"/>
    <cellStyle name="경고문 5 4" xfId="8461" xr:uid="{00000000-0005-0000-0000-0000AA230000}"/>
    <cellStyle name="경고문 5 4 2" xfId="8462" xr:uid="{00000000-0005-0000-0000-0000AB230000}"/>
    <cellStyle name="경고문 5 5" xfId="8463" xr:uid="{00000000-0005-0000-0000-0000AC230000}"/>
    <cellStyle name="경고문 5 5 2" xfId="8464" xr:uid="{00000000-0005-0000-0000-0000AD230000}"/>
    <cellStyle name="경고문 5 6" xfId="8465" xr:uid="{00000000-0005-0000-0000-0000AE230000}"/>
    <cellStyle name="경고문 5 6 2" xfId="8466" xr:uid="{00000000-0005-0000-0000-0000AF230000}"/>
    <cellStyle name="경고문 5 7" xfId="8467" xr:uid="{00000000-0005-0000-0000-0000B0230000}"/>
    <cellStyle name="경고문 5 7 2" xfId="8468" xr:uid="{00000000-0005-0000-0000-0000B1230000}"/>
    <cellStyle name="경고문 5 8" xfId="8469" xr:uid="{00000000-0005-0000-0000-0000B2230000}"/>
    <cellStyle name="경고문 5 8 2" xfId="8470" xr:uid="{00000000-0005-0000-0000-0000B3230000}"/>
    <cellStyle name="경고문 5 9" xfId="8471" xr:uid="{00000000-0005-0000-0000-0000B4230000}"/>
    <cellStyle name="경고문 5 9 2" xfId="8472" xr:uid="{00000000-0005-0000-0000-0000B5230000}"/>
    <cellStyle name="경고문 6" xfId="8473" xr:uid="{00000000-0005-0000-0000-0000B6230000}"/>
    <cellStyle name="경고문 6 10" xfId="8474" xr:uid="{00000000-0005-0000-0000-0000B7230000}"/>
    <cellStyle name="경고문 6 2" xfId="8475" xr:uid="{00000000-0005-0000-0000-0000B8230000}"/>
    <cellStyle name="경고문 6 2 2" xfId="8476" xr:uid="{00000000-0005-0000-0000-0000B9230000}"/>
    <cellStyle name="경고문 6 3" xfId="8477" xr:uid="{00000000-0005-0000-0000-0000BA230000}"/>
    <cellStyle name="경고문 6 3 2" xfId="8478" xr:uid="{00000000-0005-0000-0000-0000BB230000}"/>
    <cellStyle name="경고문 6 4" xfId="8479" xr:uid="{00000000-0005-0000-0000-0000BC230000}"/>
    <cellStyle name="경고문 6 4 2" xfId="8480" xr:uid="{00000000-0005-0000-0000-0000BD230000}"/>
    <cellStyle name="경고문 6 5" xfId="8481" xr:uid="{00000000-0005-0000-0000-0000BE230000}"/>
    <cellStyle name="경고문 6 5 2" xfId="8482" xr:uid="{00000000-0005-0000-0000-0000BF230000}"/>
    <cellStyle name="경고문 6 6" xfId="8483" xr:uid="{00000000-0005-0000-0000-0000C0230000}"/>
    <cellStyle name="경고문 6 6 2" xfId="8484" xr:uid="{00000000-0005-0000-0000-0000C1230000}"/>
    <cellStyle name="경고문 6 7" xfId="8485" xr:uid="{00000000-0005-0000-0000-0000C2230000}"/>
    <cellStyle name="경고문 6 7 2" xfId="8486" xr:uid="{00000000-0005-0000-0000-0000C3230000}"/>
    <cellStyle name="경고문 6 8" xfId="8487" xr:uid="{00000000-0005-0000-0000-0000C4230000}"/>
    <cellStyle name="경고문 6 8 2" xfId="8488" xr:uid="{00000000-0005-0000-0000-0000C5230000}"/>
    <cellStyle name="경고문 6 9" xfId="8489" xr:uid="{00000000-0005-0000-0000-0000C6230000}"/>
    <cellStyle name="경고문 6 9 2" xfId="8490" xr:uid="{00000000-0005-0000-0000-0000C7230000}"/>
    <cellStyle name="계산 2" xfId="8491" xr:uid="{00000000-0005-0000-0000-0000C8230000}"/>
    <cellStyle name="계산 2 10" xfId="8492" xr:uid="{00000000-0005-0000-0000-0000C9230000}"/>
    <cellStyle name="계산 2 10 2" xfId="8493" xr:uid="{00000000-0005-0000-0000-0000CA230000}"/>
    <cellStyle name="계산 2 10 2 2" xfId="8494" xr:uid="{00000000-0005-0000-0000-0000CB230000}"/>
    <cellStyle name="계산 2 10 2 3" xfId="8495" xr:uid="{00000000-0005-0000-0000-0000CC230000}"/>
    <cellStyle name="계산 2 10 2 4" xfId="8496" xr:uid="{00000000-0005-0000-0000-0000CD230000}"/>
    <cellStyle name="계산 2 10 2 5" xfId="8497" xr:uid="{00000000-0005-0000-0000-0000CE230000}"/>
    <cellStyle name="계산 2 11" xfId="8498" xr:uid="{00000000-0005-0000-0000-0000CF230000}"/>
    <cellStyle name="계산 2 11 2" xfId="8499" xr:uid="{00000000-0005-0000-0000-0000D0230000}"/>
    <cellStyle name="계산 2 11 3" xfId="8500" xr:uid="{00000000-0005-0000-0000-0000D1230000}"/>
    <cellStyle name="계산 2 11 4" xfId="8501" xr:uid="{00000000-0005-0000-0000-0000D2230000}"/>
    <cellStyle name="계산 2 11 5" xfId="8502" xr:uid="{00000000-0005-0000-0000-0000D3230000}"/>
    <cellStyle name="계산 2 12" xfId="16581" xr:uid="{00000000-0005-0000-0000-0000D4230000}"/>
    <cellStyle name="계산 2 13" xfId="16921" xr:uid="{00000000-0005-0000-0000-0000D5230000}"/>
    <cellStyle name="계산 2 14" xfId="16951" xr:uid="{00000000-0005-0000-0000-0000D6230000}"/>
    <cellStyle name="계산 2 15" xfId="16995" xr:uid="{00000000-0005-0000-0000-0000D7230000}"/>
    <cellStyle name="계산 2 2" xfId="8503" xr:uid="{00000000-0005-0000-0000-0000D8230000}"/>
    <cellStyle name="계산 2 2 2" xfId="8504" xr:uid="{00000000-0005-0000-0000-0000D9230000}"/>
    <cellStyle name="계산 2 2 2 2" xfId="8505" xr:uid="{00000000-0005-0000-0000-0000DA230000}"/>
    <cellStyle name="계산 2 2 2 2 2" xfId="8506" xr:uid="{00000000-0005-0000-0000-0000DB230000}"/>
    <cellStyle name="계산 2 2 2 2 3" xfId="8507" xr:uid="{00000000-0005-0000-0000-0000DC230000}"/>
    <cellStyle name="계산 2 2 2 2 4" xfId="8508" xr:uid="{00000000-0005-0000-0000-0000DD230000}"/>
    <cellStyle name="계산 2 2 2 2 5" xfId="8509" xr:uid="{00000000-0005-0000-0000-0000DE230000}"/>
    <cellStyle name="계산 2 2 3" xfId="8510" xr:uid="{00000000-0005-0000-0000-0000DF230000}"/>
    <cellStyle name="계산 2 2 3 2" xfId="8511" xr:uid="{00000000-0005-0000-0000-0000E0230000}"/>
    <cellStyle name="계산 2 2 3 3" xfId="8512" xr:uid="{00000000-0005-0000-0000-0000E1230000}"/>
    <cellStyle name="계산 2 2 3 4" xfId="8513" xr:uid="{00000000-0005-0000-0000-0000E2230000}"/>
    <cellStyle name="계산 2 2 3 5" xfId="8514" xr:uid="{00000000-0005-0000-0000-0000E3230000}"/>
    <cellStyle name="계산 2 3" xfId="8515" xr:uid="{00000000-0005-0000-0000-0000E4230000}"/>
    <cellStyle name="계산 2 3 2" xfId="8516" xr:uid="{00000000-0005-0000-0000-0000E5230000}"/>
    <cellStyle name="계산 2 3 2 2" xfId="8517" xr:uid="{00000000-0005-0000-0000-0000E6230000}"/>
    <cellStyle name="계산 2 3 2 2 2" xfId="8518" xr:uid="{00000000-0005-0000-0000-0000E7230000}"/>
    <cellStyle name="계산 2 3 2 2 3" xfId="8519" xr:uid="{00000000-0005-0000-0000-0000E8230000}"/>
    <cellStyle name="계산 2 3 2 2 4" xfId="8520" xr:uid="{00000000-0005-0000-0000-0000E9230000}"/>
    <cellStyle name="계산 2 3 2 2 5" xfId="8521" xr:uid="{00000000-0005-0000-0000-0000EA230000}"/>
    <cellStyle name="계산 2 3 3" xfId="8522" xr:uid="{00000000-0005-0000-0000-0000EB230000}"/>
    <cellStyle name="계산 2 3 3 2" xfId="8523" xr:uid="{00000000-0005-0000-0000-0000EC230000}"/>
    <cellStyle name="계산 2 3 3 3" xfId="8524" xr:uid="{00000000-0005-0000-0000-0000ED230000}"/>
    <cellStyle name="계산 2 3 3 4" xfId="8525" xr:uid="{00000000-0005-0000-0000-0000EE230000}"/>
    <cellStyle name="계산 2 3 3 5" xfId="8526" xr:uid="{00000000-0005-0000-0000-0000EF230000}"/>
    <cellStyle name="계산 2 4" xfId="8527" xr:uid="{00000000-0005-0000-0000-0000F0230000}"/>
    <cellStyle name="계산 2 4 2" xfId="8528" xr:uid="{00000000-0005-0000-0000-0000F1230000}"/>
    <cellStyle name="계산 2 4 2 2" xfId="8529" xr:uid="{00000000-0005-0000-0000-0000F2230000}"/>
    <cellStyle name="계산 2 4 2 2 2" xfId="8530" xr:uid="{00000000-0005-0000-0000-0000F3230000}"/>
    <cellStyle name="계산 2 4 2 2 3" xfId="8531" xr:uid="{00000000-0005-0000-0000-0000F4230000}"/>
    <cellStyle name="계산 2 4 2 2 4" xfId="8532" xr:uid="{00000000-0005-0000-0000-0000F5230000}"/>
    <cellStyle name="계산 2 4 2 2 5" xfId="8533" xr:uid="{00000000-0005-0000-0000-0000F6230000}"/>
    <cellStyle name="계산 2 4 3" xfId="8534" xr:uid="{00000000-0005-0000-0000-0000F7230000}"/>
    <cellStyle name="계산 2 4 3 2" xfId="8535" xr:uid="{00000000-0005-0000-0000-0000F8230000}"/>
    <cellStyle name="계산 2 4 3 3" xfId="8536" xr:uid="{00000000-0005-0000-0000-0000F9230000}"/>
    <cellStyle name="계산 2 4 3 4" xfId="8537" xr:uid="{00000000-0005-0000-0000-0000FA230000}"/>
    <cellStyle name="계산 2 4 3 5" xfId="8538" xr:uid="{00000000-0005-0000-0000-0000FB230000}"/>
    <cellStyle name="계산 2 5" xfId="8539" xr:uid="{00000000-0005-0000-0000-0000FC230000}"/>
    <cellStyle name="계산 2 5 2" xfId="8540" xr:uid="{00000000-0005-0000-0000-0000FD230000}"/>
    <cellStyle name="계산 2 5 2 2" xfId="8541" xr:uid="{00000000-0005-0000-0000-0000FE230000}"/>
    <cellStyle name="계산 2 5 2 2 2" xfId="8542" xr:uid="{00000000-0005-0000-0000-0000FF230000}"/>
    <cellStyle name="계산 2 5 2 2 3" xfId="8543" xr:uid="{00000000-0005-0000-0000-000000240000}"/>
    <cellStyle name="계산 2 5 2 2 4" xfId="8544" xr:uid="{00000000-0005-0000-0000-000001240000}"/>
    <cellStyle name="계산 2 5 2 2 5" xfId="8545" xr:uid="{00000000-0005-0000-0000-000002240000}"/>
    <cellStyle name="계산 2 5 3" xfId="8546" xr:uid="{00000000-0005-0000-0000-000003240000}"/>
    <cellStyle name="계산 2 5 3 2" xfId="8547" xr:uid="{00000000-0005-0000-0000-000004240000}"/>
    <cellStyle name="계산 2 5 3 3" xfId="8548" xr:uid="{00000000-0005-0000-0000-000005240000}"/>
    <cellStyle name="계산 2 5 3 4" xfId="8549" xr:uid="{00000000-0005-0000-0000-000006240000}"/>
    <cellStyle name="계산 2 5 3 5" xfId="8550" xr:uid="{00000000-0005-0000-0000-000007240000}"/>
    <cellStyle name="계산 2 6" xfId="8551" xr:uid="{00000000-0005-0000-0000-000008240000}"/>
    <cellStyle name="계산 2 6 2" xfId="8552" xr:uid="{00000000-0005-0000-0000-000009240000}"/>
    <cellStyle name="계산 2 6 2 2" xfId="8553" xr:uid="{00000000-0005-0000-0000-00000A240000}"/>
    <cellStyle name="계산 2 6 2 2 2" xfId="8554" xr:uid="{00000000-0005-0000-0000-00000B240000}"/>
    <cellStyle name="계산 2 6 2 2 3" xfId="8555" xr:uid="{00000000-0005-0000-0000-00000C240000}"/>
    <cellStyle name="계산 2 6 2 2 4" xfId="8556" xr:uid="{00000000-0005-0000-0000-00000D240000}"/>
    <cellStyle name="계산 2 6 2 2 5" xfId="8557" xr:uid="{00000000-0005-0000-0000-00000E240000}"/>
    <cellStyle name="계산 2 6 3" xfId="8558" xr:uid="{00000000-0005-0000-0000-00000F240000}"/>
    <cellStyle name="계산 2 6 3 2" xfId="8559" xr:uid="{00000000-0005-0000-0000-000010240000}"/>
    <cellStyle name="계산 2 6 3 3" xfId="8560" xr:uid="{00000000-0005-0000-0000-000011240000}"/>
    <cellStyle name="계산 2 6 3 4" xfId="8561" xr:uid="{00000000-0005-0000-0000-000012240000}"/>
    <cellStyle name="계산 2 6 3 5" xfId="8562" xr:uid="{00000000-0005-0000-0000-000013240000}"/>
    <cellStyle name="계산 2 7" xfId="8563" xr:uid="{00000000-0005-0000-0000-000014240000}"/>
    <cellStyle name="계산 2 7 2" xfId="8564" xr:uid="{00000000-0005-0000-0000-000015240000}"/>
    <cellStyle name="계산 2 7 2 2" xfId="8565" xr:uid="{00000000-0005-0000-0000-000016240000}"/>
    <cellStyle name="계산 2 7 2 2 2" xfId="8566" xr:uid="{00000000-0005-0000-0000-000017240000}"/>
    <cellStyle name="계산 2 7 2 2 3" xfId="8567" xr:uid="{00000000-0005-0000-0000-000018240000}"/>
    <cellStyle name="계산 2 7 2 2 4" xfId="8568" xr:uid="{00000000-0005-0000-0000-000019240000}"/>
    <cellStyle name="계산 2 7 2 2 5" xfId="8569" xr:uid="{00000000-0005-0000-0000-00001A240000}"/>
    <cellStyle name="계산 2 7 3" xfId="8570" xr:uid="{00000000-0005-0000-0000-00001B240000}"/>
    <cellStyle name="계산 2 7 3 2" xfId="8571" xr:uid="{00000000-0005-0000-0000-00001C240000}"/>
    <cellStyle name="계산 2 7 3 3" xfId="8572" xr:uid="{00000000-0005-0000-0000-00001D240000}"/>
    <cellStyle name="계산 2 7 3 4" xfId="8573" xr:uid="{00000000-0005-0000-0000-00001E240000}"/>
    <cellStyle name="계산 2 7 3 5" xfId="8574" xr:uid="{00000000-0005-0000-0000-00001F240000}"/>
    <cellStyle name="계산 2 8" xfId="8575" xr:uid="{00000000-0005-0000-0000-000020240000}"/>
    <cellStyle name="계산 2 8 2" xfId="8576" xr:uid="{00000000-0005-0000-0000-000021240000}"/>
    <cellStyle name="계산 2 8 2 2" xfId="8577" xr:uid="{00000000-0005-0000-0000-000022240000}"/>
    <cellStyle name="계산 2 8 2 2 2" xfId="8578" xr:uid="{00000000-0005-0000-0000-000023240000}"/>
    <cellStyle name="계산 2 8 2 2 3" xfId="8579" xr:uid="{00000000-0005-0000-0000-000024240000}"/>
    <cellStyle name="계산 2 8 2 2 4" xfId="8580" xr:uid="{00000000-0005-0000-0000-000025240000}"/>
    <cellStyle name="계산 2 8 2 2 5" xfId="8581" xr:uid="{00000000-0005-0000-0000-000026240000}"/>
    <cellStyle name="계산 2 8 3" xfId="8582" xr:uid="{00000000-0005-0000-0000-000027240000}"/>
    <cellStyle name="계산 2 8 3 2" xfId="8583" xr:uid="{00000000-0005-0000-0000-000028240000}"/>
    <cellStyle name="계산 2 8 3 3" xfId="8584" xr:uid="{00000000-0005-0000-0000-000029240000}"/>
    <cellStyle name="계산 2 8 3 4" xfId="8585" xr:uid="{00000000-0005-0000-0000-00002A240000}"/>
    <cellStyle name="계산 2 8 3 5" xfId="8586" xr:uid="{00000000-0005-0000-0000-00002B240000}"/>
    <cellStyle name="계산 2 9" xfId="8587" xr:uid="{00000000-0005-0000-0000-00002C240000}"/>
    <cellStyle name="계산 2 9 2" xfId="8588" xr:uid="{00000000-0005-0000-0000-00002D240000}"/>
    <cellStyle name="계산 2 9 2 2" xfId="8589" xr:uid="{00000000-0005-0000-0000-00002E240000}"/>
    <cellStyle name="계산 2 9 2 2 2" xfId="8590" xr:uid="{00000000-0005-0000-0000-00002F240000}"/>
    <cellStyle name="계산 2 9 2 2 3" xfId="8591" xr:uid="{00000000-0005-0000-0000-000030240000}"/>
    <cellStyle name="계산 2 9 2 2 4" xfId="8592" xr:uid="{00000000-0005-0000-0000-000031240000}"/>
    <cellStyle name="계산 2 9 2 2 5" xfId="8593" xr:uid="{00000000-0005-0000-0000-000032240000}"/>
    <cellStyle name="계산 2 9 3" xfId="8594" xr:uid="{00000000-0005-0000-0000-000033240000}"/>
    <cellStyle name="계산 2 9 3 2" xfId="8595" xr:uid="{00000000-0005-0000-0000-000034240000}"/>
    <cellStyle name="계산 2 9 3 3" xfId="8596" xr:uid="{00000000-0005-0000-0000-000035240000}"/>
    <cellStyle name="계산 2 9 3 4" xfId="8597" xr:uid="{00000000-0005-0000-0000-000036240000}"/>
    <cellStyle name="계산 2 9 3 5" xfId="8598" xr:uid="{00000000-0005-0000-0000-000037240000}"/>
    <cellStyle name="계산 3" xfId="8599" xr:uid="{00000000-0005-0000-0000-000038240000}"/>
    <cellStyle name="계산 3 10" xfId="8600" xr:uid="{00000000-0005-0000-0000-000039240000}"/>
    <cellStyle name="계산 3 10 2" xfId="8601" xr:uid="{00000000-0005-0000-0000-00003A240000}"/>
    <cellStyle name="계산 3 10 2 2" xfId="8602" xr:uid="{00000000-0005-0000-0000-00003B240000}"/>
    <cellStyle name="계산 3 10 2 3" xfId="8603" xr:uid="{00000000-0005-0000-0000-00003C240000}"/>
    <cellStyle name="계산 3 10 2 4" xfId="8604" xr:uid="{00000000-0005-0000-0000-00003D240000}"/>
    <cellStyle name="계산 3 10 2 5" xfId="8605" xr:uid="{00000000-0005-0000-0000-00003E240000}"/>
    <cellStyle name="계산 3 11" xfId="8606" xr:uid="{00000000-0005-0000-0000-00003F240000}"/>
    <cellStyle name="계산 3 11 2" xfId="8607" xr:uid="{00000000-0005-0000-0000-000040240000}"/>
    <cellStyle name="계산 3 11 3" xfId="8608" xr:uid="{00000000-0005-0000-0000-000041240000}"/>
    <cellStyle name="계산 3 11 4" xfId="8609" xr:uid="{00000000-0005-0000-0000-000042240000}"/>
    <cellStyle name="계산 3 11 5" xfId="8610" xr:uid="{00000000-0005-0000-0000-000043240000}"/>
    <cellStyle name="계산 3 2" xfId="8611" xr:uid="{00000000-0005-0000-0000-000044240000}"/>
    <cellStyle name="계산 3 2 2" xfId="8612" xr:uid="{00000000-0005-0000-0000-000045240000}"/>
    <cellStyle name="계산 3 2 2 2" xfId="8613" xr:uid="{00000000-0005-0000-0000-000046240000}"/>
    <cellStyle name="계산 3 2 2 2 2" xfId="8614" xr:uid="{00000000-0005-0000-0000-000047240000}"/>
    <cellStyle name="계산 3 2 2 2 3" xfId="8615" xr:uid="{00000000-0005-0000-0000-000048240000}"/>
    <cellStyle name="계산 3 2 2 2 4" xfId="8616" xr:uid="{00000000-0005-0000-0000-000049240000}"/>
    <cellStyle name="계산 3 2 2 2 5" xfId="8617" xr:uid="{00000000-0005-0000-0000-00004A240000}"/>
    <cellStyle name="계산 3 2 3" xfId="8618" xr:uid="{00000000-0005-0000-0000-00004B240000}"/>
    <cellStyle name="계산 3 2 3 2" xfId="8619" xr:uid="{00000000-0005-0000-0000-00004C240000}"/>
    <cellStyle name="계산 3 2 3 3" xfId="8620" xr:uid="{00000000-0005-0000-0000-00004D240000}"/>
    <cellStyle name="계산 3 2 3 4" xfId="8621" xr:uid="{00000000-0005-0000-0000-00004E240000}"/>
    <cellStyle name="계산 3 2 3 5" xfId="8622" xr:uid="{00000000-0005-0000-0000-00004F240000}"/>
    <cellStyle name="계산 3 3" xfId="8623" xr:uid="{00000000-0005-0000-0000-000050240000}"/>
    <cellStyle name="계산 3 3 2" xfId="8624" xr:uid="{00000000-0005-0000-0000-000051240000}"/>
    <cellStyle name="계산 3 3 2 2" xfId="8625" xr:uid="{00000000-0005-0000-0000-000052240000}"/>
    <cellStyle name="계산 3 3 2 2 2" xfId="8626" xr:uid="{00000000-0005-0000-0000-000053240000}"/>
    <cellStyle name="계산 3 3 2 2 3" xfId="8627" xr:uid="{00000000-0005-0000-0000-000054240000}"/>
    <cellStyle name="계산 3 3 2 2 4" xfId="8628" xr:uid="{00000000-0005-0000-0000-000055240000}"/>
    <cellStyle name="계산 3 3 2 2 5" xfId="8629" xr:uid="{00000000-0005-0000-0000-000056240000}"/>
    <cellStyle name="계산 3 3 3" xfId="8630" xr:uid="{00000000-0005-0000-0000-000057240000}"/>
    <cellStyle name="계산 3 3 3 2" xfId="8631" xr:uid="{00000000-0005-0000-0000-000058240000}"/>
    <cellStyle name="계산 3 3 3 3" xfId="8632" xr:uid="{00000000-0005-0000-0000-000059240000}"/>
    <cellStyle name="계산 3 3 3 4" xfId="8633" xr:uid="{00000000-0005-0000-0000-00005A240000}"/>
    <cellStyle name="계산 3 3 3 5" xfId="8634" xr:uid="{00000000-0005-0000-0000-00005B240000}"/>
    <cellStyle name="계산 3 4" xfId="8635" xr:uid="{00000000-0005-0000-0000-00005C240000}"/>
    <cellStyle name="계산 3 4 2" xfId="8636" xr:uid="{00000000-0005-0000-0000-00005D240000}"/>
    <cellStyle name="계산 3 4 2 2" xfId="8637" xr:uid="{00000000-0005-0000-0000-00005E240000}"/>
    <cellStyle name="계산 3 4 2 2 2" xfId="8638" xr:uid="{00000000-0005-0000-0000-00005F240000}"/>
    <cellStyle name="계산 3 4 2 2 3" xfId="8639" xr:uid="{00000000-0005-0000-0000-000060240000}"/>
    <cellStyle name="계산 3 4 2 2 4" xfId="8640" xr:uid="{00000000-0005-0000-0000-000061240000}"/>
    <cellStyle name="계산 3 4 2 2 5" xfId="8641" xr:uid="{00000000-0005-0000-0000-000062240000}"/>
    <cellStyle name="계산 3 4 3" xfId="8642" xr:uid="{00000000-0005-0000-0000-000063240000}"/>
    <cellStyle name="계산 3 4 3 2" xfId="8643" xr:uid="{00000000-0005-0000-0000-000064240000}"/>
    <cellStyle name="계산 3 4 3 3" xfId="8644" xr:uid="{00000000-0005-0000-0000-000065240000}"/>
    <cellStyle name="계산 3 4 3 4" xfId="8645" xr:uid="{00000000-0005-0000-0000-000066240000}"/>
    <cellStyle name="계산 3 4 3 5" xfId="8646" xr:uid="{00000000-0005-0000-0000-000067240000}"/>
    <cellStyle name="계산 3 5" xfId="8647" xr:uid="{00000000-0005-0000-0000-000068240000}"/>
    <cellStyle name="계산 3 5 2" xfId="8648" xr:uid="{00000000-0005-0000-0000-000069240000}"/>
    <cellStyle name="계산 3 5 2 2" xfId="8649" xr:uid="{00000000-0005-0000-0000-00006A240000}"/>
    <cellStyle name="계산 3 5 2 2 2" xfId="8650" xr:uid="{00000000-0005-0000-0000-00006B240000}"/>
    <cellStyle name="계산 3 5 2 2 3" xfId="8651" xr:uid="{00000000-0005-0000-0000-00006C240000}"/>
    <cellStyle name="계산 3 5 2 2 4" xfId="8652" xr:uid="{00000000-0005-0000-0000-00006D240000}"/>
    <cellStyle name="계산 3 5 2 2 5" xfId="8653" xr:uid="{00000000-0005-0000-0000-00006E240000}"/>
    <cellStyle name="계산 3 5 3" xfId="8654" xr:uid="{00000000-0005-0000-0000-00006F240000}"/>
    <cellStyle name="계산 3 5 3 2" xfId="8655" xr:uid="{00000000-0005-0000-0000-000070240000}"/>
    <cellStyle name="계산 3 5 3 3" xfId="8656" xr:uid="{00000000-0005-0000-0000-000071240000}"/>
    <cellStyle name="계산 3 5 3 4" xfId="8657" xr:uid="{00000000-0005-0000-0000-000072240000}"/>
    <cellStyle name="계산 3 5 3 5" xfId="8658" xr:uid="{00000000-0005-0000-0000-000073240000}"/>
    <cellStyle name="계산 3 6" xfId="8659" xr:uid="{00000000-0005-0000-0000-000074240000}"/>
    <cellStyle name="계산 3 6 2" xfId="8660" xr:uid="{00000000-0005-0000-0000-000075240000}"/>
    <cellStyle name="계산 3 6 2 2" xfId="8661" xr:uid="{00000000-0005-0000-0000-000076240000}"/>
    <cellStyle name="계산 3 6 2 2 2" xfId="8662" xr:uid="{00000000-0005-0000-0000-000077240000}"/>
    <cellStyle name="계산 3 6 2 2 3" xfId="8663" xr:uid="{00000000-0005-0000-0000-000078240000}"/>
    <cellStyle name="계산 3 6 2 2 4" xfId="8664" xr:uid="{00000000-0005-0000-0000-000079240000}"/>
    <cellStyle name="계산 3 6 2 2 5" xfId="8665" xr:uid="{00000000-0005-0000-0000-00007A240000}"/>
    <cellStyle name="계산 3 6 3" xfId="8666" xr:uid="{00000000-0005-0000-0000-00007B240000}"/>
    <cellStyle name="계산 3 6 3 2" xfId="8667" xr:uid="{00000000-0005-0000-0000-00007C240000}"/>
    <cellStyle name="계산 3 6 3 3" xfId="8668" xr:uid="{00000000-0005-0000-0000-00007D240000}"/>
    <cellStyle name="계산 3 6 3 4" xfId="8669" xr:uid="{00000000-0005-0000-0000-00007E240000}"/>
    <cellStyle name="계산 3 6 3 5" xfId="8670" xr:uid="{00000000-0005-0000-0000-00007F240000}"/>
    <cellStyle name="계산 3 7" xfId="8671" xr:uid="{00000000-0005-0000-0000-000080240000}"/>
    <cellStyle name="계산 3 7 2" xfId="8672" xr:uid="{00000000-0005-0000-0000-000081240000}"/>
    <cellStyle name="계산 3 7 2 2" xfId="8673" xr:uid="{00000000-0005-0000-0000-000082240000}"/>
    <cellStyle name="계산 3 7 2 2 2" xfId="8674" xr:uid="{00000000-0005-0000-0000-000083240000}"/>
    <cellStyle name="계산 3 7 2 2 3" xfId="8675" xr:uid="{00000000-0005-0000-0000-000084240000}"/>
    <cellStyle name="계산 3 7 2 2 4" xfId="8676" xr:uid="{00000000-0005-0000-0000-000085240000}"/>
    <cellStyle name="계산 3 7 2 2 5" xfId="8677" xr:uid="{00000000-0005-0000-0000-000086240000}"/>
    <cellStyle name="계산 3 7 3" xfId="8678" xr:uid="{00000000-0005-0000-0000-000087240000}"/>
    <cellStyle name="계산 3 7 3 2" xfId="8679" xr:uid="{00000000-0005-0000-0000-000088240000}"/>
    <cellStyle name="계산 3 7 3 3" xfId="8680" xr:uid="{00000000-0005-0000-0000-000089240000}"/>
    <cellStyle name="계산 3 7 3 4" xfId="8681" xr:uid="{00000000-0005-0000-0000-00008A240000}"/>
    <cellStyle name="계산 3 7 3 5" xfId="8682" xr:uid="{00000000-0005-0000-0000-00008B240000}"/>
    <cellStyle name="계산 3 8" xfId="8683" xr:uid="{00000000-0005-0000-0000-00008C240000}"/>
    <cellStyle name="계산 3 8 2" xfId="8684" xr:uid="{00000000-0005-0000-0000-00008D240000}"/>
    <cellStyle name="계산 3 8 2 2" xfId="8685" xr:uid="{00000000-0005-0000-0000-00008E240000}"/>
    <cellStyle name="계산 3 8 2 2 2" xfId="8686" xr:uid="{00000000-0005-0000-0000-00008F240000}"/>
    <cellStyle name="계산 3 8 2 2 3" xfId="8687" xr:uid="{00000000-0005-0000-0000-000090240000}"/>
    <cellStyle name="계산 3 8 2 2 4" xfId="8688" xr:uid="{00000000-0005-0000-0000-000091240000}"/>
    <cellStyle name="계산 3 8 2 2 5" xfId="8689" xr:uid="{00000000-0005-0000-0000-000092240000}"/>
    <cellStyle name="계산 3 8 3" xfId="8690" xr:uid="{00000000-0005-0000-0000-000093240000}"/>
    <cellStyle name="계산 3 8 3 2" xfId="8691" xr:uid="{00000000-0005-0000-0000-000094240000}"/>
    <cellStyle name="계산 3 8 3 3" xfId="8692" xr:uid="{00000000-0005-0000-0000-000095240000}"/>
    <cellStyle name="계산 3 8 3 4" xfId="8693" xr:uid="{00000000-0005-0000-0000-000096240000}"/>
    <cellStyle name="계산 3 8 3 5" xfId="8694" xr:uid="{00000000-0005-0000-0000-000097240000}"/>
    <cellStyle name="계산 3 9" xfId="8695" xr:uid="{00000000-0005-0000-0000-000098240000}"/>
    <cellStyle name="계산 3 9 2" xfId="8696" xr:uid="{00000000-0005-0000-0000-000099240000}"/>
    <cellStyle name="계산 3 9 2 2" xfId="8697" xr:uid="{00000000-0005-0000-0000-00009A240000}"/>
    <cellStyle name="계산 3 9 2 2 2" xfId="8698" xr:uid="{00000000-0005-0000-0000-00009B240000}"/>
    <cellStyle name="계산 3 9 2 2 3" xfId="8699" xr:uid="{00000000-0005-0000-0000-00009C240000}"/>
    <cellStyle name="계산 3 9 2 2 4" xfId="8700" xr:uid="{00000000-0005-0000-0000-00009D240000}"/>
    <cellStyle name="계산 3 9 2 2 5" xfId="8701" xr:uid="{00000000-0005-0000-0000-00009E240000}"/>
    <cellStyle name="계산 3 9 3" xfId="8702" xr:uid="{00000000-0005-0000-0000-00009F240000}"/>
    <cellStyle name="계산 3 9 3 2" xfId="8703" xr:uid="{00000000-0005-0000-0000-0000A0240000}"/>
    <cellStyle name="계산 3 9 3 3" xfId="8704" xr:uid="{00000000-0005-0000-0000-0000A1240000}"/>
    <cellStyle name="계산 3 9 3 4" xfId="8705" xr:uid="{00000000-0005-0000-0000-0000A2240000}"/>
    <cellStyle name="계산 3 9 3 5" xfId="8706" xr:uid="{00000000-0005-0000-0000-0000A3240000}"/>
    <cellStyle name="계산 4" xfId="8707" xr:uid="{00000000-0005-0000-0000-0000A4240000}"/>
    <cellStyle name="계산 4 10" xfId="8708" xr:uid="{00000000-0005-0000-0000-0000A5240000}"/>
    <cellStyle name="계산 4 10 2" xfId="8709" xr:uid="{00000000-0005-0000-0000-0000A6240000}"/>
    <cellStyle name="계산 4 10 2 2" xfId="8710" xr:uid="{00000000-0005-0000-0000-0000A7240000}"/>
    <cellStyle name="계산 4 10 2 3" xfId="8711" xr:uid="{00000000-0005-0000-0000-0000A8240000}"/>
    <cellStyle name="계산 4 10 2 4" xfId="8712" xr:uid="{00000000-0005-0000-0000-0000A9240000}"/>
    <cellStyle name="계산 4 10 2 5" xfId="8713" xr:uid="{00000000-0005-0000-0000-0000AA240000}"/>
    <cellStyle name="계산 4 11" xfId="8714" xr:uid="{00000000-0005-0000-0000-0000AB240000}"/>
    <cellStyle name="계산 4 11 2" xfId="8715" xr:uid="{00000000-0005-0000-0000-0000AC240000}"/>
    <cellStyle name="계산 4 11 3" xfId="8716" xr:uid="{00000000-0005-0000-0000-0000AD240000}"/>
    <cellStyle name="계산 4 11 4" xfId="8717" xr:uid="{00000000-0005-0000-0000-0000AE240000}"/>
    <cellStyle name="계산 4 11 5" xfId="8718" xr:uid="{00000000-0005-0000-0000-0000AF240000}"/>
    <cellStyle name="계산 4 2" xfId="8719" xr:uid="{00000000-0005-0000-0000-0000B0240000}"/>
    <cellStyle name="계산 4 2 2" xfId="8720" xr:uid="{00000000-0005-0000-0000-0000B1240000}"/>
    <cellStyle name="계산 4 2 2 2" xfId="8721" xr:uid="{00000000-0005-0000-0000-0000B2240000}"/>
    <cellStyle name="계산 4 2 2 2 2" xfId="8722" xr:uid="{00000000-0005-0000-0000-0000B3240000}"/>
    <cellStyle name="계산 4 2 2 2 3" xfId="8723" xr:uid="{00000000-0005-0000-0000-0000B4240000}"/>
    <cellStyle name="계산 4 2 2 2 4" xfId="8724" xr:uid="{00000000-0005-0000-0000-0000B5240000}"/>
    <cellStyle name="계산 4 2 2 2 5" xfId="8725" xr:uid="{00000000-0005-0000-0000-0000B6240000}"/>
    <cellStyle name="계산 4 2 3" xfId="8726" xr:uid="{00000000-0005-0000-0000-0000B7240000}"/>
    <cellStyle name="계산 4 2 3 2" xfId="8727" xr:uid="{00000000-0005-0000-0000-0000B8240000}"/>
    <cellStyle name="계산 4 2 3 3" xfId="8728" xr:uid="{00000000-0005-0000-0000-0000B9240000}"/>
    <cellStyle name="계산 4 2 3 4" xfId="8729" xr:uid="{00000000-0005-0000-0000-0000BA240000}"/>
    <cellStyle name="계산 4 2 3 5" xfId="8730" xr:uid="{00000000-0005-0000-0000-0000BB240000}"/>
    <cellStyle name="계산 4 3" xfId="8731" xr:uid="{00000000-0005-0000-0000-0000BC240000}"/>
    <cellStyle name="계산 4 3 2" xfId="8732" xr:uid="{00000000-0005-0000-0000-0000BD240000}"/>
    <cellStyle name="계산 4 3 2 2" xfId="8733" xr:uid="{00000000-0005-0000-0000-0000BE240000}"/>
    <cellStyle name="계산 4 3 2 2 2" xfId="8734" xr:uid="{00000000-0005-0000-0000-0000BF240000}"/>
    <cellStyle name="계산 4 3 2 2 3" xfId="8735" xr:uid="{00000000-0005-0000-0000-0000C0240000}"/>
    <cellStyle name="계산 4 3 2 2 4" xfId="8736" xr:uid="{00000000-0005-0000-0000-0000C1240000}"/>
    <cellStyle name="계산 4 3 2 2 5" xfId="8737" xr:uid="{00000000-0005-0000-0000-0000C2240000}"/>
    <cellStyle name="계산 4 3 3" xfId="8738" xr:uid="{00000000-0005-0000-0000-0000C3240000}"/>
    <cellStyle name="계산 4 3 3 2" xfId="8739" xr:uid="{00000000-0005-0000-0000-0000C4240000}"/>
    <cellStyle name="계산 4 3 3 3" xfId="8740" xr:uid="{00000000-0005-0000-0000-0000C5240000}"/>
    <cellStyle name="계산 4 3 3 4" xfId="8741" xr:uid="{00000000-0005-0000-0000-0000C6240000}"/>
    <cellStyle name="계산 4 3 3 5" xfId="8742" xr:uid="{00000000-0005-0000-0000-0000C7240000}"/>
    <cellStyle name="계산 4 4" xfId="8743" xr:uid="{00000000-0005-0000-0000-0000C8240000}"/>
    <cellStyle name="계산 4 4 2" xfId="8744" xr:uid="{00000000-0005-0000-0000-0000C9240000}"/>
    <cellStyle name="계산 4 4 2 2" xfId="8745" xr:uid="{00000000-0005-0000-0000-0000CA240000}"/>
    <cellStyle name="계산 4 4 2 2 2" xfId="8746" xr:uid="{00000000-0005-0000-0000-0000CB240000}"/>
    <cellStyle name="계산 4 4 2 2 3" xfId="8747" xr:uid="{00000000-0005-0000-0000-0000CC240000}"/>
    <cellStyle name="계산 4 4 2 2 4" xfId="8748" xr:uid="{00000000-0005-0000-0000-0000CD240000}"/>
    <cellStyle name="계산 4 4 2 2 5" xfId="8749" xr:uid="{00000000-0005-0000-0000-0000CE240000}"/>
    <cellStyle name="계산 4 4 3" xfId="8750" xr:uid="{00000000-0005-0000-0000-0000CF240000}"/>
    <cellStyle name="계산 4 4 3 2" xfId="8751" xr:uid="{00000000-0005-0000-0000-0000D0240000}"/>
    <cellStyle name="계산 4 4 3 3" xfId="8752" xr:uid="{00000000-0005-0000-0000-0000D1240000}"/>
    <cellStyle name="계산 4 4 3 4" xfId="8753" xr:uid="{00000000-0005-0000-0000-0000D2240000}"/>
    <cellStyle name="계산 4 4 3 5" xfId="8754" xr:uid="{00000000-0005-0000-0000-0000D3240000}"/>
    <cellStyle name="계산 4 5" xfId="8755" xr:uid="{00000000-0005-0000-0000-0000D4240000}"/>
    <cellStyle name="계산 4 5 2" xfId="8756" xr:uid="{00000000-0005-0000-0000-0000D5240000}"/>
    <cellStyle name="계산 4 5 2 2" xfId="8757" xr:uid="{00000000-0005-0000-0000-0000D6240000}"/>
    <cellStyle name="계산 4 5 2 2 2" xfId="8758" xr:uid="{00000000-0005-0000-0000-0000D7240000}"/>
    <cellStyle name="계산 4 5 2 2 3" xfId="8759" xr:uid="{00000000-0005-0000-0000-0000D8240000}"/>
    <cellStyle name="계산 4 5 2 2 4" xfId="8760" xr:uid="{00000000-0005-0000-0000-0000D9240000}"/>
    <cellStyle name="계산 4 5 2 2 5" xfId="8761" xr:uid="{00000000-0005-0000-0000-0000DA240000}"/>
    <cellStyle name="계산 4 5 3" xfId="8762" xr:uid="{00000000-0005-0000-0000-0000DB240000}"/>
    <cellStyle name="계산 4 5 3 2" xfId="8763" xr:uid="{00000000-0005-0000-0000-0000DC240000}"/>
    <cellStyle name="계산 4 5 3 3" xfId="8764" xr:uid="{00000000-0005-0000-0000-0000DD240000}"/>
    <cellStyle name="계산 4 5 3 4" xfId="8765" xr:uid="{00000000-0005-0000-0000-0000DE240000}"/>
    <cellStyle name="계산 4 5 3 5" xfId="8766" xr:uid="{00000000-0005-0000-0000-0000DF240000}"/>
    <cellStyle name="계산 4 6" xfId="8767" xr:uid="{00000000-0005-0000-0000-0000E0240000}"/>
    <cellStyle name="계산 4 6 2" xfId="8768" xr:uid="{00000000-0005-0000-0000-0000E1240000}"/>
    <cellStyle name="계산 4 6 2 2" xfId="8769" xr:uid="{00000000-0005-0000-0000-0000E2240000}"/>
    <cellStyle name="계산 4 6 2 2 2" xfId="8770" xr:uid="{00000000-0005-0000-0000-0000E3240000}"/>
    <cellStyle name="계산 4 6 2 2 3" xfId="8771" xr:uid="{00000000-0005-0000-0000-0000E4240000}"/>
    <cellStyle name="계산 4 6 2 2 4" xfId="8772" xr:uid="{00000000-0005-0000-0000-0000E5240000}"/>
    <cellStyle name="계산 4 6 2 2 5" xfId="8773" xr:uid="{00000000-0005-0000-0000-0000E6240000}"/>
    <cellStyle name="계산 4 6 3" xfId="8774" xr:uid="{00000000-0005-0000-0000-0000E7240000}"/>
    <cellStyle name="계산 4 6 3 2" xfId="8775" xr:uid="{00000000-0005-0000-0000-0000E8240000}"/>
    <cellStyle name="계산 4 6 3 3" xfId="8776" xr:uid="{00000000-0005-0000-0000-0000E9240000}"/>
    <cellStyle name="계산 4 6 3 4" xfId="8777" xr:uid="{00000000-0005-0000-0000-0000EA240000}"/>
    <cellStyle name="계산 4 6 3 5" xfId="8778" xr:uid="{00000000-0005-0000-0000-0000EB240000}"/>
    <cellStyle name="계산 4 7" xfId="8779" xr:uid="{00000000-0005-0000-0000-0000EC240000}"/>
    <cellStyle name="계산 4 7 2" xfId="8780" xr:uid="{00000000-0005-0000-0000-0000ED240000}"/>
    <cellStyle name="계산 4 7 2 2" xfId="8781" xr:uid="{00000000-0005-0000-0000-0000EE240000}"/>
    <cellStyle name="계산 4 7 2 2 2" xfId="8782" xr:uid="{00000000-0005-0000-0000-0000EF240000}"/>
    <cellStyle name="계산 4 7 2 2 3" xfId="8783" xr:uid="{00000000-0005-0000-0000-0000F0240000}"/>
    <cellStyle name="계산 4 7 2 2 4" xfId="8784" xr:uid="{00000000-0005-0000-0000-0000F1240000}"/>
    <cellStyle name="계산 4 7 2 2 5" xfId="8785" xr:uid="{00000000-0005-0000-0000-0000F2240000}"/>
    <cellStyle name="계산 4 7 3" xfId="8786" xr:uid="{00000000-0005-0000-0000-0000F3240000}"/>
    <cellStyle name="계산 4 7 3 2" xfId="8787" xr:uid="{00000000-0005-0000-0000-0000F4240000}"/>
    <cellStyle name="계산 4 7 3 3" xfId="8788" xr:uid="{00000000-0005-0000-0000-0000F5240000}"/>
    <cellStyle name="계산 4 7 3 4" xfId="8789" xr:uid="{00000000-0005-0000-0000-0000F6240000}"/>
    <cellStyle name="계산 4 7 3 5" xfId="8790" xr:uid="{00000000-0005-0000-0000-0000F7240000}"/>
    <cellStyle name="계산 4 8" xfId="8791" xr:uid="{00000000-0005-0000-0000-0000F8240000}"/>
    <cellStyle name="계산 4 8 2" xfId="8792" xr:uid="{00000000-0005-0000-0000-0000F9240000}"/>
    <cellStyle name="계산 4 8 2 2" xfId="8793" xr:uid="{00000000-0005-0000-0000-0000FA240000}"/>
    <cellStyle name="계산 4 8 2 2 2" xfId="8794" xr:uid="{00000000-0005-0000-0000-0000FB240000}"/>
    <cellStyle name="계산 4 8 2 2 3" xfId="8795" xr:uid="{00000000-0005-0000-0000-0000FC240000}"/>
    <cellStyle name="계산 4 8 2 2 4" xfId="8796" xr:uid="{00000000-0005-0000-0000-0000FD240000}"/>
    <cellStyle name="계산 4 8 2 2 5" xfId="8797" xr:uid="{00000000-0005-0000-0000-0000FE240000}"/>
    <cellStyle name="계산 4 8 3" xfId="8798" xr:uid="{00000000-0005-0000-0000-0000FF240000}"/>
    <cellStyle name="계산 4 8 3 2" xfId="8799" xr:uid="{00000000-0005-0000-0000-000000250000}"/>
    <cellStyle name="계산 4 8 3 3" xfId="8800" xr:uid="{00000000-0005-0000-0000-000001250000}"/>
    <cellStyle name="계산 4 8 3 4" xfId="8801" xr:uid="{00000000-0005-0000-0000-000002250000}"/>
    <cellStyle name="계산 4 8 3 5" xfId="8802" xr:uid="{00000000-0005-0000-0000-000003250000}"/>
    <cellStyle name="계산 4 9" xfId="8803" xr:uid="{00000000-0005-0000-0000-000004250000}"/>
    <cellStyle name="계산 4 9 2" xfId="8804" xr:uid="{00000000-0005-0000-0000-000005250000}"/>
    <cellStyle name="계산 4 9 2 2" xfId="8805" xr:uid="{00000000-0005-0000-0000-000006250000}"/>
    <cellStyle name="계산 4 9 2 2 2" xfId="8806" xr:uid="{00000000-0005-0000-0000-000007250000}"/>
    <cellStyle name="계산 4 9 2 2 3" xfId="8807" xr:uid="{00000000-0005-0000-0000-000008250000}"/>
    <cellStyle name="계산 4 9 2 2 4" xfId="8808" xr:uid="{00000000-0005-0000-0000-000009250000}"/>
    <cellStyle name="계산 4 9 2 2 5" xfId="8809" xr:uid="{00000000-0005-0000-0000-00000A250000}"/>
    <cellStyle name="계산 4 9 3" xfId="8810" xr:uid="{00000000-0005-0000-0000-00000B250000}"/>
    <cellStyle name="계산 4 9 3 2" xfId="8811" xr:uid="{00000000-0005-0000-0000-00000C250000}"/>
    <cellStyle name="계산 4 9 3 3" xfId="8812" xr:uid="{00000000-0005-0000-0000-00000D250000}"/>
    <cellStyle name="계산 4 9 3 4" xfId="8813" xr:uid="{00000000-0005-0000-0000-00000E250000}"/>
    <cellStyle name="계산 4 9 3 5" xfId="8814" xr:uid="{00000000-0005-0000-0000-00000F250000}"/>
    <cellStyle name="계산 5" xfId="8815" xr:uid="{00000000-0005-0000-0000-000010250000}"/>
    <cellStyle name="계산 5 10" xfId="8816" xr:uid="{00000000-0005-0000-0000-000011250000}"/>
    <cellStyle name="계산 5 10 2" xfId="8817" xr:uid="{00000000-0005-0000-0000-000012250000}"/>
    <cellStyle name="계산 5 10 2 2" xfId="8818" xr:uid="{00000000-0005-0000-0000-000013250000}"/>
    <cellStyle name="계산 5 10 2 3" xfId="8819" xr:uid="{00000000-0005-0000-0000-000014250000}"/>
    <cellStyle name="계산 5 10 2 4" xfId="8820" xr:uid="{00000000-0005-0000-0000-000015250000}"/>
    <cellStyle name="계산 5 10 2 5" xfId="8821" xr:uid="{00000000-0005-0000-0000-000016250000}"/>
    <cellStyle name="계산 5 11" xfId="8822" xr:uid="{00000000-0005-0000-0000-000017250000}"/>
    <cellStyle name="계산 5 11 2" xfId="8823" xr:uid="{00000000-0005-0000-0000-000018250000}"/>
    <cellStyle name="계산 5 11 3" xfId="8824" xr:uid="{00000000-0005-0000-0000-000019250000}"/>
    <cellStyle name="계산 5 11 4" xfId="8825" xr:uid="{00000000-0005-0000-0000-00001A250000}"/>
    <cellStyle name="계산 5 11 5" xfId="8826" xr:uid="{00000000-0005-0000-0000-00001B250000}"/>
    <cellStyle name="계산 5 2" xfId="8827" xr:uid="{00000000-0005-0000-0000-00001C250000}"/>
    <cellStyle name="계산 5 2 2" xfId="8828" xr:uid="{00000000-0005-0000-0000-00001D250000}"/>
    <cellStyle name="계산 5 2 2 2" xfId="8829" xr:uid="{00000000-0005-0000-0000-00001E250000}"/>
    <cellStyle name="계산 5 2 2 2 2" xfId="8830" xr:uid="{00000000-0005-0000-0000-00001F250000}"/>
    <cellStyle name="계산 5 2 2 2 3" xfId="8831" xr:uid="{00000000-0005-0000-0000-000020250000}"/>
    <cellStyle name="계산 5 2 2 2 4" xfId="8832" xr:uid="{00000000-0005-0000-0000-000021250000}"/>
    <cellStyle name="계산 5 2 2 2 5" xfId="8833" xr:uid="{00000000-0005-0000-0000-000022250000}"/>
    <cellStyle name="계산 5 2 3" xfId="8834" xr:uid="{00000000-0005-0000-0000-000023250000}"/>
    <cellStyle name="계산 5 2 3 2" xfId="8835" xr:uid="{00000000-0005-0000-0000-000024250000}"/>
    <cellStyle name="계산 5 2 3 3" xfId="8836" xr:uid="{00000000-0005-0000-0000-000025250000}"/>
    <cellStyle name="계산 5 2 3 4" xfId="8837" xr:uid="{00000000-0005-0000-0000-000026250000}"/>
    <cellStyle name="계산 5 2 3 5" xfId="8838" xr:uid="{00000000-0005-0000-0000-000027250000}"/>
    <cellStyle name="계산 5 3" xfId="8839" xr:uid="{00000000-0005-0000-0000-000028250000}"/>
    <cellStyle name="계산 5 3 2" xfId="8840" xr:uid="{00000000-0005-0000-0000-000029250000}"/>
    <cellStyle name="계산 5 3 2 2" xfId="8841" xr:uid="{00000000-0005-0000-0000-00002A250000}"/>
    <cellStyle name="계산 5 3 2 2 2" xfId="8842" xr:uid="{00000000-0005-0000-0000-00002B250000}"/>
    <cellStyle name="계산 5 3 2 2 3" xfId="8843" xr:uid="{00000000-0005-0000-0000-00002C250000}"/>
    <cellStyle name="계산 5 3 2 2 4" xfId="8844" xr:uid="{00000000-0005-0000-0000-00002D250000}"/>
    <cellStyle name="계산 5 3 2 2 5" xfId="8845" xr:uid="{00000000-0005-0000-0000-00002E250000}"/>
    <cellStyle name="계산 5 3 3" xfId="8846" xr:uid="{00000000-0005-0000-0000-00002F250000}"/>
    <cellStyle name="계산 5 3 3 2" xfId="8847" xr:uid="{00000000-0005-0000-0000-000030250000}"/>
    <cellStyle name="계산 5 3 3 3" xfId="8848" xr:uid="{00000000-0005-0000-0000-000031250000}"/>
    <cellStyle name="계산 5 3 3 4" xfId="8849" xr:uid="{00000000-0005-0000-0000-000032250000}"/>
    <cellStyle name="계산 5 3 3 5" xfId="8850" xr:uid="{00000000-0005-0000-0000-000033250000}"/>
    <cellStyle name="계산 5 4" xfId="8851" xr:uid="{00000000-0005-0000-0000-000034250000}"/>
    <cellStyle name="계산 5 4 2" xfId="8852" xr:uid="{00000000-0005-0000-0000-000035250000}"/>
    <cellStyle name="계산 5 4 2 2" xfId="8853" xr:uid="{00000000-0005-0000-0000-000036250000}"/>
    <cellStyle name="계산 5 4 2 2 2" xfId="8854" xr:uid="{00000000-0005-0000-0000-000037250000}"/>
    <cellStyle name="계산 5 4 2 2 3" xfId="8855" xr:uid="{00000000-0005-0000-0000-000038250000}"/>
    <cellStyle name="계산 5 4 2 2 4" xfId="8856" xr:uid="{00000000-0005-0000-0000-000039250000}"/>
    <cellStyle name="계산 5 4 2 2 5" xfId="8857" xr:uid="{00000000-0005-0000-0000-00003A250000}"/>
    <cellStyle name="계산 5 4 3" xfId="8858" xr:uid="{00000000-0005-0000-0000-00003B250000}"/>
    <cellStyle name="계산 5 4 3 2" xfId="8859" xr:uid="{00000000-0005-0000-0000-00003C250000}"/>
    <cellStyle name="계산 5 4 3 3" xfId="8860" xr:uid="{00000000-0005-0000-0000-00003D250000}"/>
    <cellStyle name="계산 5 4 3 4" xfId="8861" xr:uid="{00000000-0005-0000-0000-00003E250000}"/>
    <cellStyle name="계산 5 4 3 5" xfId="8862" xr:uid="{00000000-0005-0000-0000-00003F250000}"/>
    <cellStyle name="계산 5 5" xfId="8863" xr:uid="{00000000-0005-0000-0000-000040250000}"/>
    <cellStyle name="계산 5 5 2" xfId="8864" xr:uid="{00000000-0005-0000-0000-000041250000}"/>
    <cellStyle name="계산 5 5 2 2" xfId="8865" xr:uid="{00000000-0005-0000-0000-000042250000}"/>
    <cellStyle name="계산 5 5 2 2 2" xfId="8866" xr:uid="{00000000-0005-0000-0000-000043250000}"/>
    <cellStyle name="계산 5 5 2 2 3" xfId="8867" xr:uid="{00000000-0005-0000-0000-000044250000}"/>
    <cellStyle name="계산 5 5 2 2 4" xfId="8868" xr:uid="{00000000-0005-0000-0000-000045250000}"/>
    <cellStyle name="계산 5 5 2 2 5" xfId="8869" xr:uid="{00000000-0005-0000-0000-000046250000}"/>
    <cellStyle name="계산 5 5 3" xfId="8870" xr:uid="{00000000-0005-0000-0000-000047250000}"/>
    <cellStyle name="계산 5 5 3 2" xfId="8871" xr:uid="{00000000-0005-0000-0000-000048250000}"/>
    <cellStyle name="계산 5 5 3 3" xfId="8872" xr:uid="{00000000-0005-0000-0000-000049250000}"/>
    <cellStyle name="계산 5 5 3 4" xfId="8873" xr:uid="{00000000-0005-0000-0000-00004A250000}"/>
    <cellStyle name="계산 5 5 3 5" xfId="8874" xr:uid="{00000000-0005-0000-0000-00004B250000}"/>
    <cellStyle name="계산 5 6" xfId="8875" xr:uid="{00000000-0005-0000-0000-00004C250000}"/>
    <cellStyle name="계산 5 6 2" xfId="8876" xr:uid="{00000000-0005-0000-0000-00004D250000}"/>
    <cellStyle name="계산 5 6 2 2" xfId="8877" xr:uid="{00000000-0005-0000-0000-00004E250000}"/>
    <cellStyle name="계산 5 6 2 2 2" xfId="8878" xr:uid="{00000000-0005-0000-0000-00004F250000}"/>
    <cellStyle name="계산 5 6 2 2 3" xfId="8879" xr:uid="{00000000-0005-0000-0000-000050250000}"/>
    <cellStyle name="계산 5 6 2 2 4" xfId="8880" xr:uid="{00000000-0005-0000-0000-000051250000}"/>
    <cellStyle name="계산 5 6 2 2 5" xfId="8881" xr:uid="{00000000-0005-0000-0000-000052250000}"/>
    <cellStyle name="계산 5 6 3" xfId="8882" xr:uid="{00000000-0005-0000-0000-000053250000}"/>
    <cellStyle name="계산 5 6 3 2" xfId="8883" xr:uid="{00000000-0005-0000-0000-000054250000}"/>
    <cellStyle name="계산 5 6 3 3" xfId="8884" xr:uid="{00000000-0005-0000-0000-000055250000}"/>
    <cellStyle name="계산 5 6 3 4" xfId="8885" xr:uid="{00000000-0005-0000-0000-000056250000}"/>
    <cellStyle name="계산 5 6 3 5" xfId="8886" xr:uid="{00000000-0005-0000-0000-000057250000}"/>
    <cellStyle name="계산 5 7" xfId="8887" xr:uid="{00000000-0005-0000-0000-000058250000}"/>
    <cellStyle name="계산 5 7 2" xfId="8888" xr:uid="{00000000-0005-0000-0000-000059250000}"/>
    <cellStyle name="계산 5 7 2 2" xfId="8889" xr:uid="{00000000-0005-0000-0000-00005A250000}"/>
    <cellStyle name="계산 5 7 2 2 2" xfId="8890" xr:uid="{00000000-0005-0000-0000-00005B250000}"/>
    <cellStyle name="계산 5 7 2 2 3" xfId="8891" xr:uid="{00000000-0005-0000-0000-00005C250000}"/>
    <cellStyle name="계산 5 7 2 2 4" xfId="8892" xr:uid="{00000000-0005-0000-0000-00005D250000}"/>
    <cellStyle name="계산 5 7 2 2 5" xfId="8893" xr:uid="{00000000-0005-0000-0000-00005E250000}"/>
    <cellStyle name="계산 5 7 3" xfId="8894" xr:uid="{00000000-0005-0000-0000-00005F250000}"/>
    <cellStyle name="계산 5 7 3 2" xfId="8895" xr:uid="{00000000-0005-0000-0000-000060250000}"/>
    <cellStyle name="계산 5 7 3 3" xfId="8896" xr:uid="{00000000-0005-0000-0000-000061250000}"/>
    <cellStyle name="계산 5 7 3 4" xfId="8897" xr:uid="{00000000-0005-0000-0000-000062250000}"/>
    <cellStyle name="계산 5 7 3 5" xfId="8898" xr:uid="{00000000-0005-0000-0000-000063250000}"/>
    <cellStyle name="계산 5 8" xfId="8899" xr:uid="{00000000-0005-0000-0000-000064250000}"/>
    <cellStyle name="계산 5 8 2" xfId="8900" xr:uid="{00000000-0005-0000-0000-000065250000}"/>
    <cellStyle name="계산 5 8 2 2" xfId="8901" xr:uid="{00000000-0005-0000-0000-000066250000}"/>
    <cellStyle name="계산 5 8 2 2 2" xfId="8902" xr:uid="{00000000-0005-0000-0000-000067250000}"/>
    <cellStyle name="계산 5 8 2 2 3" xfId="8903" xr:uid="{00000000-0005-0000-0000-000068250000}"/>
    <cellStyle name="계산 5 8 2 2 4" xfId="8904" xr:uid="{00000000-0005-0000-0000-000069250000}"/>
    <cellStyle name="계산 5 8 2 2 5" xfId="8905" xr:uid="{00000000-0005-0000-0000-00006A250000}"/>
    <cellStyle name="계산 5 8 3" xfId="8906" xr:uid="{00000000-0005-0000-0000-00006B250000}"/>
    <cellStyle name="계산 5 8 3 2" xfId="8907" xr:uid="{00000000-0005-0000-0000-00006C250000}"/>
    <cellStyle name="계산 5 8 3 3" xfId="8908" xr:uid="{00000000-0005-0000-0000-00006D250000}"/>
    <cellStyle name="계산 5 8 3 4" xfId="8909" xr:uid="{00000000-0005-0000-0000-00006E250000}"/>
    <cellStyle name="계산 5 8 3 5" xfId="8910" xr:uid="{00000000-0005-0000-0000-00006F250000}"/>
    <cellStyle name="계산 5 9" xfId="8911" xr:uid="{00000000-0005-0000-0000-000070250000}"/>
    <cellStyle name="계산 5 9 2" xfId="8912" xr:uid="{00000000-0005-0000-0000-000071250000}"/>
    <cellStyle name="계산 5 9 2 2" xfId="8913" xr:uid="{00000000-0005-0000-0000-000072250000}"/>
    <cellStyle name="계산 5 9 2 2 2" xfId="8914" xr:uid="{00000000-0005-0000-0000-000073250000}"/>
    <cellStyle name="계산 5 9 2 2 3" xfId="8915" xr:uid="{00000000-0005-0000-0000-000074250000}"/>
    <cellStyle name="계산 5 9 2 2 4" xfId="8916" xr:uid="{00000000-0005-0000-0000-000075250000}"/>
    <cellStyle name="계산 5 9 2 2 5" xfId="8917" xr:uid="{00000000-0005-0000-0000-000076250000}"/>
    <cellStyle name="계산 5 9 3" xfId="8918" xr:uid="{00000000-0005-0000-0000-000077250000}"/>
    <cellStyle name="계산 5 9 3 2" xfId="8919" xr:uid="{00000000-0005-0000-0000-000078250000}"/>
    <cellStyle name="계산 5 9 3 3" xfId="8920" xr:uid="{00000000-0005-0000-0000-000079250000}"/>
    <cellStyle name="계산 5 9 3 4" xfId="8921" xr:uid="{00000000-0005-0000-0000-00007A250000}"/>
    <cellStyle name="계산 5 9 3 5" xfId="8922" xr:uid="{00000000-0005-0000-0000-00007B250000}"/>
    <cellStyle name="계산 6" xfId="8923" xr:uid="{00000000-0005-0000-0000-00007C250000}"/>
    <cellStyle name="계산 6 10" xfId="8924" xr:uid="{00000000-0005-0000-0000-00007D250000}"/>
    <cellStyle name="계산 6 10 2" xfId="8925" xr:uid="{00000000-0005-0000-0000-00007E250000}"/>
    <cellStyle name="계산 6 10 2 2" xfId="8926" xr:uid="{00000000-0005-0000-0000-00007F250000}"/>
    <cellStyle name="계산 6 10 2 3" xfId="8927" xr:uid="{00000000-0005-0000-0000-000080250000}"/>
    <cellStyle name="계산 6 10 2 4" xfId="8928" xr:uid="{00000000-0005-0000-0000-000081250000}"/>
    <cellStyle name="계산 6 10 2 5" xfId="8929" xr:uid="{00000000-0005-0000-0000-000082250000}"/>
    <cellStyle name="계산 6 11" xfId="8930" xr:uid="{00000000-0005-0000-0000-000083250000}"/>
    <cellStyle name="계산 6 11 2" xfId="8931" xr:uid="{00000000-0005-0000-0000-000084250000}"/>
    <cellStyle name="계산 6 11 3" xfId="8932" xr:uid="{00000000-0005-0000-0000-000085250000}"/>
    <cellStyle name="계산 6 11 4" xfId="8933" xr:uid="{00000000-0005-0000-0000-000086250000}"/>
    <cellStyle name="계산 6 11 5" xfId="8934" xr:uid="{00000000-0005-0000-0000-000087250000}"/>
    <cellStyle name="계산 6 2" xfId="8935" xr:uid="{00000000-0005-0000-0000-000088250000}"/>
    <cellStyle name="계산 6 2 2" xfId="8936" xr:uid="{00000000-0005-0000-0000-000089250000}"/>
    <cellStyle name="계산 6 2 2 2" xfId="8937" xr:uid="{00000000-0005-0000-0000-00008A250000}"/>
    <cellStyle name="계산 6 2 2 2 2" xfId="8938" xr:uid="{00000000-0005-0000-0000-00008B250000}"/>
    <cellStyle name="계산 6 2 2 2 3" xfId="8939" xr:uid="{00000000-0005-0000-0000-00008C250000}"/>
    <cellStyle name="계산 6 2 2 2 4" xfId="8940" xr:uid="{00000000-0005-0000-0000-00008D250000}"/>
    <cellStyle name="계산 6 2 2 2 5" xfId="8941" xr:uid="{00000000-0005-0000-0000-00008E250000}"/>
    <cellStyle name="계산 6 2 3" xfId="8942" xr:uid="{00000000-0005-0000-0000-00008F250000}"/>
    <cellStyle name="계산 6 2 3 2" xfId="8943" xr:uid="{00000000-0005-0000-0000-000090250000}"/>
    <cellStyle name="계산 6 2 3 3" xfId="8944" xr:uid="{00000000-0005-0000-0000-000091250000}"/>
    <cellStyle name="계산 6 2 3 4" xfId="8945" xr:uid="{00000000-0005-0000-0000-000092250000}"/>
    <cellStyle name="계산 6 2 3 5" xfId="8946" xr:uid="{00000000-0005-0000-0000-000093250000}"/>
    <cellStyle name="계산 6 3" xfId="8947" xr:uid="{00000000-0005-0000-0000-000094250000}"/>
    <cellStyle name="계산 6 3 2" xfId="8948" xr:uid="{00000000-0005-0000-0000-000095250000}"/>
    <cellStyle name="계산 6 3 2 2" xfId="8949" xr:uid="{00000000-0005-0000-0000-000096250000}"/>
    <cellStyle name="계산 6 3 2 2 2" xfId="8950" xr:uid="{00000000-0005-0000-0000-000097250000}"/>
    <cellStyle name="계산 6 3 2 2 3" xfId="8951" xr:uid="{00000000-0005-0000-0000-000098250000}"/>
    <cellStyle name="계산 6 3 2 2 4" xfId="8952" xr:uid="{00000000-0005-0000-0000-000099250000}"/>
    <cellStyle name="계산 6 3 2 2 5" xfId="8953" xr:uid="{00000000-0005-0000-0000-00009A250000}"/>
    <cellStyle name="계산 6 3 3" xfId="8954" xr:uid="{00000000-0005-0000-0000-00009B250000}"/>
    <cellStyle name="계산 6 3 3 2" xfId="8955" xr:uid="{00000000-0005-0000-0000-00009C250000}"/>
    <cellStyle name="계산 6 3 3 3" xfId="8956" xr:uid="{00000000-0005-0000-0000-00009D250000}"/>
    <cellStyle name="계산 6 3 3 4" xfId="8957" xr:uid="{00000000-0005-0000-0000-00009E250000}"/>
    <cellStyle name="계산 6 3 3 5" xfId="8958" xr:uid="{00000000-0005-0000-0000-00009F250000}"/>
    <cellStyle name="계산 6 4" xfId="8959" xr:uid="{00000000-0005-0000-0000-0000A0250000}"/>
    <cellStyle name="계산 6 4 2" xfId="8960" xr:uid="{00000000-0005-0000-0000-0000A1250000}"/>
    <cellStyle name="계산 6 4 2 2" xfId="8961" xr:uid="{00000000-0005-0000-0000-0000A2250000}"/>
    <cellStyle name="계산 6 4 2 2 2" xfId="8962" xr:uid="{00000000-0005-0000-0000-0000A3250000}"/>
    <cellStyle name="계산 6 4 2 2 3" xfId="8963" xr:uid="{00000000-0005-0000-0000-0000A4250000}"/>
    <cellStyle name="계산 6 4 2 2 4" xfId="8964" xr:uid="{00000000-0005-0000-0000-0000A5250000}"/>
    <cellStyle name="계산 6 4 2 2 5" xfId="8965" xr:uid="{00000000-0005-0000-0000-0000A6250000}"/>
    <cellStyle name="계산 6 4 3" xfId="8966" xr:uid="{00000000-0005-0000-0000-0000A7250000}"/>
    <cellStyle name="계산 6 4 3 2" xfId="8967" xr:uid="{00000000-0005-0000-0000-0000A8250000}"/>
    <cellStyle name="계산 6 4 3 3" xfId="8968" xr:uid="{00000000-0005-0000-0000-0000A9250000}"/>
    <cellStyle name="계산 6 4 3 4" xfId="8969" xr:uid="{00000000-0005-0000-0000-0000AA250000}"/>
    <cellStyle name="계산 6 4 3 5" xfId="8970" xr:uid="{00000000-0005-0000-0000-0000AB250000}"/>
    <cellStyle name="계산 6 5" xfId="8971" xr:uid="{00000000-0005-0000-0000-0000AC250000}"/>
    <cellStyle name="계산 6 5 2" xfId="8972" xr:uid="{00000000-0005-0000-0000-0000AD250000}"/>
    <cellStyle name="계산 6 5 2 2" xfId="8973" xr:uid="{00000000-0005-0000-0000-0000AE250000}"/>
    <cellStyle name="계산 6 5 2 2 2" xfId="8974" xr:uid="{00000000-0005-0000-0000-0000AF250000}"/>
    <cellStyle name="계산 6 5 2 2 3" xfId="8975" xr:uid="{00000000-0005-0000-0000-0000B0250000}"/>
    <cellStyle name="계산 6 5 2 2 4" xfId="8976" xr:uid="{00000000-0005-0000-0000-0000B1250000}"/>
    <cellStyle name="계산 6 5 2 2 5" xfId="8977" xr:uid="{00000000-0005-0000-0000-0000B2250000}"/>
    <cellStyle name="계산 6 5 3" xfId="8978" xr:uid="{00000000-0005-0000-0000-0000B3250000}"/>
    <cellStyle name="계산 6 5 3 2" xfId="8979" xr:uid="{00000000-0005-0000-0000-0000B4250000}"/>
    <cellStyle name="계산 6 5 3 3" xfId="8980" xr:uid="{00000000-0005-0000-0000-0000B5250000}"/>
    <cellStyle name="계산 6 5 3 4" xfId="8981" xr:uid="{00000000-0005-0000-0000-0000B6250000}"/>
    <cellStyle name="계산 6 5 3 5" xfId="8982" xr:uid="{00000000-0005-0000-0000-0000B7250000}"/>
    <cellStyle name="계산 6 6" xfId="8983" xr:uid="{00000000-0005-0000-0000-0000B8250000}"/>
    <cellStyle name="계산 6 6 2" xfId="8984" xr:uid="{00000000-0005-0000-0000-0000B9250000}"/>
    <cellStyle name="계산 6 6 2 2" xfId="8985" xr:uid="{00000000-0005-0000-0000-0000BA250000}"/>
    <cellStyle name="계산 6 6 2 2 2" xfId="8986" xr:uid="{00000000-0005-0000-0000-0000BB250000}"/>
    <cellStyle name="계산 6 6 2 2 3" xfId="8987" xr:uid="{00000000-0005-0000-0000-0000BC250000}"/>
    <cellStyle name="계산 6 6 2 2 4" xfId="8988" xr:uid="{00000000-0005-0000-0000-0000BD250000}"/>
    <cellStyle name="계산 6 6 2 2 5" xfId="8989" xr:uid="{00000000-0005-0000-0000-0000BE250000}"/>
    <cellStyle name="계산 6 6 3" xfId="8990" xr:uid="{00000000-0005-0000-0000-0000BF250000}"/>
    <cellStyle name="계산 6 6 3 2" xfId="8991" xr:uid="{00000000-0005-0000-0000-0000C0250000}"/>
    <cellStyle name="계산 6 6 3 3" xfId="8992" xr:uid="{00000000-0005-0000-0000-0000C1250000}"/>
    <cellStyle name="계산 6 6 3 4" xfId="8993" xr:uid="{00000000-0005-0000-0000-0000C2250000}"/>
    <cellStyle name="계산 6 6 3 5" xfId="8994" xr:uid="{00000000-0005-0000-0000-0000C3250000}"/>
    <cellStyle name="계산 6 7" xfId="8995" xr:uid="{00000000-0005-0000-0000-0000C4250000}"/>
    <cellStyle name="계산 6 7 2" xfId="8996" xr:uid="{00000000-0005-0000-0000-0000C5250000}"/>
    <cellStyle name="계산 6 7 2 2" xfId="8997" xr:uid="{00000000-0005-0000-0000-0000C6250000}"/>
    <cellStyle name="계산 6 7 2 2 2" xfId="8998" xr:uid="{00000000-0005-0000-0000-0000C7250000}"/>
    <cellStyle name="계산 6 7 2 2 3" xfId="8999" xr:uid="{00000000-0005-0000-0000-0000C8250000}"/>
    <cellStyle name="계산 6 7 2 2 4" xfId="9000" xr:uid="{00000000-0005-0000-0000-0000C9250000}"/>
    <cellStyle name="계산 6 7 2 2 5" xfId="9001" xr:uid="{00000000-0005-0000-0000-0000CA250000}"/>
    <cellStyle name="계산 6 7 3" xfId="9002" xr:uid="{00000000-0005-0000-0000-0000CB250000}"/>
    <cellStyle name="계산 6 7 3 2" xfId="9003" xr:uid="{00000000-0005-0000-0000-0000CC250000}"/>
    <cellStyle name="계산 6 7 3 3" xfId="9004" xr:uid="{00000000-0005-0000-0000-0000CD250000}"/>
    <cellStyle name="계산 6 7 3 4" xfId="9005" xr:uid="{00000000-0005-0000-0000-0000CE250000}"/>
    <cellStyle name="계산 6 7 3 5" xfId="9006" xr:uid="{00000000-0005-0000-0000-0000CF250000}"/>
    <cellStyle name="계산 6 8" xfId="9007" xr:uid="{00000000-0005-0000-0000-0000D0250000}"/>
    <cellStyle name="계산 6 8 2" xfId="9008" xr:uid="{00000000-0005-0000-0000-0000D1250000}"/>
    <cellStyle name="계산 6 8 2 2" xfId="9009" xr:uid="{00000000-0005-0000-0000-0000D2250000}"/>
    <cellStyle name="계산 6 8 2 2 2" xfId="9010" xr:uid="{00000000-0005-0000-0000-0000D3250000}"/>
    <cellStyle name="계산 6 8 2 2 3" xfId="9011" xr:uid="{00000000-0005-0000-0000-0000D4250000}"/>
    <cellStyle name="계산 6 8 2 2 4" xfId="9012" xr:uid="{00000000-0005-0000-0000-0000D5250000}"/>
    <cellStyle name="계산 6 8 2 2 5" xfId="9013" xr:uid="{00000000-0005-0000-0000-0000D6250000}"/>
    <cellStyle name="계산 6 8 3" xfId="9014" xr:uid="{00000000-0005-0000-0000-0000D7250000}"/>
    <cellStyle name="계산 6 8 3 2" xfId="9015" xr:uid="{00000000-0005-0000-0000-0000D8250000}"/>
    <cellStyle name="계산 6 8 3 3" xfId="9016" xr:uid="{00000000-0005-0000-0000-0000D9250000}"/>
    <cellStyle name="계산 6 8 3 4" xfId="9017" xr:uid="{00000000-0005-0000-0000-0000DA250000}"/>
    <cellStyle name="계산 6 8 3 5" xfId="9018" xr:uid="{00000000-0005-0000-0000-0000DB250000}"/>
    <cellStyle name="계산 6 9" xfId="9019" xr:uid="{00000000-0005-0000-0000-0000DC250000}"/>
    <cellStyle name="계산 6 9 2" xfId="9020" xr:uid="{00000000-0005-0000-0000-0000DD250000}"/>
    <cellStyle name="계산 6 9 2 2" xfId="9021" xr:uid="{00000000-0005-0000-0000-0000DE250000}"/>
    <cellStyle name="계산 6 9 2 2 2" xfId="9022" xr:uid="{00000000-0005-0000-0000-0000DF250000}"/>
    <cellStyle name="계산 6 9 2 2 3" xfId="9023" xr:uid="{00000000-0005-0000-0000-0000E0250000}"/>
    <cellStyle name="계산 6 9 2 2 4" xfId="9024" xr:uid="{00000000-0005-0000-0000-0000E1250000}"/>
    <cellStyle name="계산 6 9 2 2 5" xfId="9025" xr:uid="{00000000-0005-0000-0000-0000E2250000}"/>
    <cellStyle name="계산 6 9 3" xfId="9026" xr:uid="{00000000-0005-0000-0000-0000E3250000}"/>
    <cellStyle name="계산 6 9 3 2" xfId="9027" xr:uid="{00000000-0005-0000-0000-0000E4250000}"/>
    <cellStyle name="계산 6 9 3 3" xfId="9028" xr:uid="{00000000-0005-0000-0000-0000E5250000}"/>
    <cellStyle name="계산 6 9 3 4" xfId="9029" xr:uid="{00000000-0005-0000-0000-0000E6250000}"/>
    <cellStyle name="계산 6 9 3 5" xfId="9030" xr:uid="{00000000-0005-0000-0000-0000E7250000}"/>
    <cellStyle name="고정소숫점" xfId="9031" xr:uid="{00000000-0005-0000-0000-0000E8250000}"/>
    <cellStyle name="고정소숫점 10" xfId="9032" xr:uid="{00000000-0005-0000-0000-0000E9250000}"/>
    <cellStyle name="고정소숫점 10 2" xfId="9033" xr:uid="{00000000-0005-0000-0000-0000EA250000}"/>
    <cellStyle name="고정소숫점 11" xfId="9034" xr:uid="{00000000-0005-0000-0000-0000EB250000}"/>
    <cellStyle name="고정소숫점 11 2" xfId="9035" xr:uid="{00000000-0005-0000-0000-0000EC250000}"/>
    <cellStyle name="고정소숫점 12" xfId="9036" xr:uid="{00000000-0005-0000-0000-0000ED250000}"/>
    <cellStyle name="고정소숫점 12 2" xfId="9037" xr:uid="{00000000-0005-0000-0000-0000EE250000}"/>
    <cellStyle name="고정소숫점 13" xfId="9038" xr:uid="{00000000-0005-0000-0000-0000EF250000}"/>
    <cellStyle name="고정소숫점 13 2" xfId="9039" xr:uid="{00000000-0005-0000-0000-0000F0250000}"/>
    <cellStyle name="고정소숫점 14" xfId="9040" xr:uid="{00000000-0005-0000-0000-0000F1250000}"/>
    <cellStyle name="고정소숫점 15" xfId="9041" xr:uid="{00000000-0005-0000-0000-0000F2250000}"/>
    <cellStyle name="고정소숫점 16" xfId="9042" xr:uid="{00000000-0005-0000-0000-0000F3250000}"/>
    <cellStyle name="고정소숫점 17" xfId="16582" xr:uid="{00000000-0005-0000-0000-0000F4250000}"/>
    <cellStyle name="고정소숫점 2" xfId="9043" xr:uid="{00000000-0005-0000-0000-0000F5250000}"/>
    <cellStyle name="고정소숫점 2 2" xfId="9044" xr:uid="{00000000-0005-0000-0000-0000F6250000}"/>
    <cellStyle name="고정소숫점 2 2 2" xfId="9045" xr:uid="{00000000-0005-0000-0000-0000F7250000}"/>
    <cellStyle name="고정소숫점 2 2 3" xfId="16584" xr:uid="{00000000-0005-0000-0000-0000F8250000}"/>
    <cellStyle name="고정소숫점 2 3" xfId="9046" xr:uid="{00000000-0005-0000-0000-0000F9250000}"/>
    <cellStyle name="고정소숫점 2 4" xfId="16583" xr:uid="{00000000-0005-0000-0000-0000FA250000}"/>
    <cellStyle name="고정소숫점 3" xfId="9047" xr:uid="{00000000-0005-0000-0000-0000FB250000}"/>
    <cellStyle name="고정소숫점 3 2" xfId="9048" xr:uid="{00000000-0005-0000-0000-0000FC250000}"/>
    <cellStyle name="고정소숫점 3 3" xfId="16585" xr:uid="{00000000-0005-0000-0000-0000FD250000}"/>
    <cellStyle name="고정소숫점 4" xfId="9049" xr:uid="{00000000-0005-0000-0000-0000FE250000}"/>
    <cellStyle name="고정소숫점 4 2" xfId="9050" xr:uid="{00000000-0005-0000-0000-0000FF250000}"/>
    <cellStyle name="고정소숫점 4 3" xfId="16586" xr:uid="{00000000-0005-0000-0000-000000260000}"/>
    <cellStyle name="고정소숫점 5" xfId="9051" xr:uid="{00000000-0005-0000-0000-000001260000}"/>
    <cellStyle name="고정소숫점 5 2" xfId="9052" xr:uid="{00000000-0005-0000-0000-000002260000}"/>
    <cellStyle name="고정소숫점 6" xfId="9053" xr:uid="{00000000-0005-0000-0000-000003260000}"/>
    <cellStyle name="고정소숫점 6 2" xfId="9054" xr:uid="{00000000-0005-0000-0000-000004260000}"/>
    <cellStyle name="고정소숫점 7" xfId="9055" xr:uid="{00000000-0005-0000-0000-000005260000}"/>
    <cellStyle name="고정소숫점 7 2" xfId="9056" xr:uid="{00000000-0005-0000-0000-000006260000}"/>
    <cellStyle name="고정소숫점 8" xfId="9057" xr:uid="{00000000-0005-0000-0000-000007260000}"/>
    <cellStyle name="고정소숫점 8 2" xfId="9058" xr:uid="{00000000-0005-0000-0000-000008260000}"/>
    <cellStyle name="고정소숫점 9" xfId="9059" xr:uid="{00000000-0005-0000-0000-000009260000}"/>
    <cellStyle name="고정소숫점 9 2" xfId="9060" xr:uid="{00000000-0005-0000-0000-00000A260000}"/>
    <cellStyle name="고정소숫점_1부여부지 콘도미니엄 신축공사 AV설비 견적서_20100121" xfId="9061" xr:uid="{00000000-0005-0000-0000-00000B260000}"/>
    <cellStyle name="고정출력1" xfId="9062" xr:uid="{00000000-0005-0000-0000-00000C260000}"/>
    <cellStyle name="고정출력1 2" xfId="9063" xr:uid="{00000000-0005-0000-0000-00000D260000}"/>
    <cellStyle name="고정출력1 2 2" xfId="9064" xr:uid="{00000000-0005-0000-0000-00000E260000}"/>
    <cellStyle name="고정출력1 2 2 2" xfId="9065" xr:uid="{00000000-0005-0000-0000-00000F260000}"/>
    <cellStyle name="고정출력1 2 3" xfId="9066" xr:uid="{00000000-0005-0000-0000-000010260000}"/>
    <cellStyle name="고정출력1 2 4" xfId="16588" xr:uid="{00000000-0005-0000-0000-000011260000}"/>
    <cellStyle name="고정출력1 3" xfId="9067" xr:uid="{00000000-0005-0000-0000-000012260000}"/>
    <cellStyle name="고정출력1 3 2" xfId="9068" xr:uid="{00000000-0005-0000-0000-000013260000}"/>
    <cellStyle name="고정출력1 3 3" xfId="16589" xr:uid="{00000000-0005-0000-0000-000014260000}"/>
    <cellStyle name="고정출력1 4" xfId="9069" xr:uid="{00000000-0005-0000-0000-000015260000}"/>
    <cellStyle name="고정출력1 4 2" xfId="9070" xr:uid="{00000000-0005-0000-0000-000016260000}"/>
    <cellStyle name="고정출력1 4 3" xfId="16590" xr:uid="{00000000-0005-0000-0000-000017260000}"/>
    <cellStyle name="고정출력1 5" xfId="9071" xr:uid="{00000000-0005-0000-0000-000018260000}"/>
    <cellStyle name="고정출력1 6" xfId="9072" xr:uid="{00000000-0005-0000-0000-000019260000}"/>
    <cellStyle name="고정출력1 7" xfId="16587" xr:uid="{00000000-0005-0000-0000-00001A260000}"/>
    <cellStyle name="고정출력1_태양광견적서(부안고)" xfId="16591" xr:uid="{00000000-0005-0000-0000-00001B260000}"/>
    <cellStyle name="고정출력2" xfId="9073" xr:uid="{00000000-0005-0000-0000-00001C260000}"/>
    <cellStyle name="고정출력2 2" xfId="9074" xr:uid="{00000000-0005-0000-0000-00001D260000}"/>
    <cellStyle name="고정출력2 2 2" xfId="9075" xr:uid="{00000000-0005-0000-0000-00001E260000}"/>
    <cellStyle name="고정출력2 2 2 2" xfId="9076" xr:uid="{00000000-0005-0000-0000-00001F260000}"/>
    <cellStyle name="고정출력2 2 3" xfId="9077" xr:uid="{00000000-0005-0000-0000-000020260000}"/>
    <cellStyle name="고정출력2 2 4" xfId="16593" xr:uid="{00000000-0005-0000-0000-000021260000}"/>
    <cellStyle name="고정출력2 3" xfId="9078" xr:uid="{00000000-0005-0000-0000-000022260000}"/>
    <cellStyle name="고정출력2 3 2" xfId="9079" xr:uid="{00000000-0005-0000-0000-000023260000}"/>
    <cellStyle name="고정출력2 3 3" xfId="16594" xr:uid="{00000000-0005-0000-0000-000024260000}"/>
    <cellStyle name="고정출력2 4" xfId="9080" xr:uid="{00000000-0005-0000-0000-000025260000}"/>
    <cellStyle name="고정출력2 4 2" xfId="9081" xr:uid="{00000000-0005-0000-0000-000026260000}"/>
    <cellStyle name="고정출력2 4 3" xfId="16595" xr:uid="{00000000-0005-0000-0000-000027260000}"/>
    <cellStyle name="고정출력2 5" xfId="9082" xr:uid="{00000000-0005-0000-0000-000028260000}"/>
    <cellStyle name="고정출력2 6" xfId="9083" xr:uid="{00000000-0005-0000-0000-000029260000}"/>
    <cellStyle name="고정출력2 7" xfId="16592" xr:uid="{00000000-0005-0000-0000-00002A260000}"/>
    <cellStyle name="고정출력2_태양광견적서(부안고)" xfId="16596" xr:uid="{00000000-0005-0000-0000-00002B260000}"/>
    <cellStyle name="공사원가계산서(조경)" xfId="9084" xr:uid="{00000000-0005-0000-0000-00002C260000}"/>
    <cellStyle name="공사원가계산서(조경) 2" xfId="9085" xr:uid="{00000000-0005-0000-0000-00002D260000}"/>
    <cellStyle name="공사원가계산서(조경) 3" xfId="16597" xr:uid="{00000000-0005-0000-0000-00002E260000}"/>
    <cellStyle name="공정제목" xfId="16598" xr:uid="{00000000-0005-0000-0000-00002F260000}"/>
    <cellStyle name="咬訌裝?INCOM1" xfId="9086" xr:uid="{00000000-0005-0000-0000-000030260000}"/>
    <cellStyle name="咬訌裝?INCOM1 10" xfId="9087" xr:uid="{00000000-0005-0000-0000-000031260000}"/>
    <cellStyle name="咬訌裝?INCOM1 10 2" xfId="9088" xr:uid="{00000000-0005-0000-0000-000032260000}"/>
    <cellStyle name="咬訌裝?INCOM1 11" xfId="9089" xr:uid="{00000000-0005-0000-0000-000033260000}"/>
    <cellStyle name="咬訌裝?INCOM1 11 2" xfId="9090" xr:uid="{00000000-0005-0000-0000-000034260000}"/>
    <cellStyle name="咬訌裝?INCOM1 12" xfId="9091" xr:uid="{00000000-0005-0000-0000-000035260000}"/>
    <cellStyle name="咬訌裝?INCOM1 12 2" xfId="9092" xr:uid="{00000000-0005-0000-0000-000036260000}"/>
    <cellStyle name="咬訌裝?INCOM1 13" xfId="9093" xr:uid="{00000000-0005-0000-0000-000037260000}"/>
    <cellStyle name="咬訌裝?INCOM1 13 2" xfId="9094" xr:uid="{00000000-0005-0000-0000-000038260000}"/>
    <cellStyle name="咬訌裝?INCOM1 14" xfId="9095" xr:uid="{00000000-0005-0000-0000-000039260000}"/>
    <cellStyle name="咬訌裝?INCOM1 2" xfId="9096" xr:uid="{00000000-0005-0000-0000-00003A260000}"/>
    <cellStyle name="咬訌裝?INCOM1 2 2" xfId="9097" xr:uid="{00000000-0005-0000-0000-00003B260000}"/>
    <cellStyle name="咬訌裝?INCOM1 2 2 2" xfId="9098" xr:uid="{00000000-0005-0000-0000-00003C260000}"/>
    <cellStyle name="咬訌裝?INCOM1 2 3" xfId="9099" xr:uid="{00000000-0005-0000-0000-00003D260000}"/>
    <cellStyle name="咬訌裝?INCOM1 3" xfId="9100" xr:uid="{00000000-0005-0000-0000-00003E260000}"/>
    <cellStyle name="咬訌裝?INCOM1 3 2" xfId="9101" xr:uid="{00000000-0005-0000-0000-00003F260000}"/>
    <cellStyle name="咬訌裝?INCOM1 4" xfId="9102" xr:uid="{00000000-0005-0000-0000-000040260000}"/>
    <cellStyle name="咬訌裝?INCOM1 4 2" xfId="9103" xr:uid="{00000000-0005-0000-0000-000041260000}"/>
    <cellStyle name="咬訌裝?INCOM1 5" xfId="9104" xr:uid="{00000000-0005-0000-0000-000042260000}"/>
    <cellStyle name="咬訌裝?INCOM1 5 2" xfId="9105" xr:uid="{00000000-0005-0000-0000-000043260000}"/>
    <cellStyle name="咬訌裝?INCOM1 6" xfId="9106" xr:uid="{00000000-0005-0000-0000-000044260000}"/>
    <cellStyle name="咬訌裝?INCOM1 6 2" xfId="9107" xr:uid="{00000000-0005-0000-0000-000045260000}"/>
    <cellStyle name="咬訌裝?INCOM1 7" xfId="9108" xr:uid="{00000000-0005-0000-0000-000046260000}"/>
    <cellStyle name="咬訌裝?INCOM1 7 2" xfId="9109" xr:uid="{00000000-0005-0000-0000-000047260000}"/>
    <cellStyle name="咬訌裝?INCOM1 8" xfId="9110" xr:uid="{00000000-0005-0000-0000-000048260000}"/>
    <cellStyle name="咬訌裝?INCOM1 8 2" xfId="9111" xr:uid="{00000000-0005-0000-0000-000049260000}"/>
    <cellStyle name="咬訌裝?INCOM1 9" xfId="9112" xr:uid="{00000000-0005-0000-0000-00004A260000}"/>
    <cellStyle name="咬訌裝?INCOM1 9 2" xfId="9113" xr:uid="{00000000-0005-0000-0000-00004B260000}"/>
    <cellStyle name="咬訌裝?INCOM10" xfId="9114" xr:uid="{00000000-0005-0000-0000-00004C260000}"/>
    <cellStyle name="咬訌裝?INCOM10 10" xfId="9115" xr:uid="{00000000-0005-0000-0000-00004D260000}"/>
    <cellStyle name="咬訌裝?INCOM10 10 2" xfId="9116" xr:uid="{00000000-0005-0000-0000-00004E260000}"/>
    <cellStyle name="咬訌裝?INCOM10 11" xfId="9117" xr:uid="{00000000-0005-0000-0000-00004F260000}"/>
    <cellStyle name="咬訌裝?INCOM10 11 2" xfId="9118" xr:uid="{00000000-0005-0000-0000-000050260000}"/>
    <cellStyle name="咬訌裝?INCOM10 12" xfId="9119" xr:uid="{00000000-0005-0000-0000-000051260000}"/>
    <cellStyle name="咬訌裝?INCOM10 12 2" xfId="9120" xr:uid="{00000000-0005-0000-0000-000052260000}"/>
    <cellStyle name="咬訌裝?INCOM10 13" xfId="9121" xr:uid="{00000000-0005-0000-0000-000053260000}"/>
    <cellStyle name="咬訌裝?INCOM10 13 2" xfId="9122" xr:uid="{00000000-0005-0000-0000-000054260000}"/>
    <cellStyle name="咬訌裝?INCOM10 14" xfId="9123" xr:uid="{00000000-0005-0000-0000-000055260000}"/>
    <cellStyle name="咬訌裝?INCOM10 2" xfId="9124" xr:uid="{00000000-0005-0000-0000-000056260000}"/>
    <cellStyle name="咬訌裝?INCOM10 2 2" xfId="9125" xr:uid="{00000000-0005-0000-0000-000057260000}"/>
    <cellStyle name="咬訌裝?INCOM10 2 2 2" xfId="9126" xr:uid="{00000000-0005-0000-0000-000058260000}"/>
    <cellStyle name="咬訌裝?INCOM10 2 3" xfId="9127" xr:uid="{00000000-0005-0000-0000-000059260000}"/>
    <cellStyle name="咬訌裝?INCOM10 3" xfId="9128" xr:uid="{00000000-0005-0000-0000-00005A260000}"/>
    <cellStyle name="咬訌裝?INCOM10 3 2" xfId="9129" xr:uid="{00000000-0005-0000-0000-00005B260000}"/>
    <cellStyle name="咬訌裝?INCOM10 4" xfId="9130" xr:uid="{00000000-0005-0000-0000-00005C260000}"/>
    <cellStyle name="咬訌裝?INCOM10 4 2" xfId="9131" xr:uid="{00000000-0005-0000-0000-00005D260000}"/>
    <cellStyle name="咬訌裝?INCOM10 5" xfId="9132" xr:uid="{00000000-0005-0000-0000-00005E260000}"/>
    <cellStyle name="咬訌裝?INCOM10 5 2" xfId="9133" xr:uid="{00000000-0005-0000-0000-00005F260000}"/>
    <cellStyle name="咬訌裝?INCOM10 6" xfId="9134" xr:uid="{00000000-0005-0000-0000-000060260000}"/>
    <cellStyle name="咬訌裝?INCOM10 6 2" xfId="9135" xr:uid="{00000000-0005-0000-0000-000061260000}"/>
    <cellStyle name="咬訌裝?INCOM10 7" xfId="9136" xr:uid="{00000000-0005-0000-0000-000062260000}"/>
    <cellStyle name="咬訌裝?INCOM10 7 2" xfId="9137" xr:uid="{00000000-0005-0000-0000-000063260000}"/>
    <cellStyle name="咬訌裝?INCOM10 8" xfId="9138" xr:uid="{00000000-0005-0000-0000-000064260000}"/>
    <cellStyle name="咬訌裝?INCOM10 8 2" xfId="9139" xr:uid="{00000000-0005-0000-0000-000065260000}"/>
    <cellStyle name="咬訌裝?INCOM10 9" xfId="9140" xr:uid="{00000000-0005-0000-0000-000066260000}"/>
    <cellStyle name="咬訌裝?INCOM10 9 2" xfId="9141" xr:uid="{00000000-0005-0000-0000-000067260000}"/>
    <cellStyle name="咬訌裝?INCOM2" xfId="9142" xr:uid="{00000000-0005-0000-0000-000068260000}"/>
    <cellStyle name="咬訌裝?INCOM2 10" xfId="9143" xr:uid="{00000000-0005-0000-0000-000069260000}"/>
    <cellStyle name="咬訌裝?INCOM2 10 2" xfId="9144" xr:uid="{00000000-0005-0000-0000-00006A260000}"/>
    <cellStyle name="咬訌裝?INCOM2 11" xfId="9145" xr:uid="{00000000-0005-0000-0000-00006B260000}"/>
    <cellStyle name="咬訌裝?INCOM2 11 2" xfId="9146" xr:uid="{00000000-0005-0000-0000-00006C260000}"/>
    <cellStyle name="咬訌裝?INCOM2 12" xfId="9147" xr:uid="{00000000-0005-0000-0000-00006D260000}"/>
    <cellStyle name="咬訌裝?INCOM2 12 2" xfId="9148" xr:uid="{00000000-0005-0000-0000-00006E260000}"/>
    <cellStyle name="咬訌裝?INCOM2 13" xfId="9149" xr:uid="{00000000-0005-0000-0000-00006F260000}"/>
    <cellStyle name="咬訌裝?INCOM2 13 2" xfId="9150" xr:uid="{00000000-0005-0000-0000-000070260000}"/>
    <cellStyle name="咬訌裝?INCOM2 14" xfId="9151" xr:uid="{00000000-0005-0000-0000-000071260000}"/>
    <cellStyle name="咬訌裝?INCOM2 2" xfId="9152" xr:uid="{00000000-0005-0000-0000-000072260000}"/>
    <cellStyle name="咬訌裝?INCOM2 2 2" xfId="9153" xr:uid="{00000000-0005-0000-0000-000073260000}"/>
    <cellStyle name="咬訌裝?INCOM2 2 2 2" xfId="9154" xr:uid="{00000000-0005-0000-0000-000074260000}"/>
    <cellStyle name="咬訌裝?INCOM2 2 3" xfId="9155" xr:uid="{00000000-0005-0000-0000-000075260000}"/>
    <cellStyle name="咬訌裝?INCOM2 3" xfId="9156" xr:uid="{00000000-0005-0000-0000-000076260000}"/>
    <cellStyle name="咬訌裝?INCOM2 3 2" xfId="9157" xr:uid="{00000000-0005-0000-0000-000077260000}"/>
    <cellStyle name="咬訌裝?INCOM2 4" xfId="9158" xr:uid="{00000000-0005-0000-0000-000078260000}"/>
    <cellStyle name="咬訌裝?INCOM2 4 2" xfId="9159" xr:uid="{00000000-0005-0000-0000-000079260000}"/>
    <cellStyle name="咬訌裝?INCOM2 5" xfId="9160" xr:uid="{00000000-0005-0000-0000-00007A260000}"/>
    <cellStyle name="咬訌裝?INCOM2 5 2" xfId="9161" xr:uid="{00000000-0005-0000-0000-00007B260000}"/>
    <cellStyle name="咬訌裝?INCOM2 6" xfId="9162" xr:uid="{00000000-0005-0000-0000-00007C260000}"/>
    <cellStyle name="咬訌裝?INCOM2 6 2" xfId="9163" xr:uid="{00000000-0005-0000-0000-00007D260000}"/>
    <cellStyle name="咬訌裝?INCOM2 7" xfId="9164" xr:uid="{00000000-0005-0000-0000-00007E260000}"/>
    <cellStyle name="咬訌裝?INCOM2 7 2" xfId="9165" xr:uid="{00000000-0005-0000-0000-00007F260000}"/>
    <cellStyle name="咬訌裝?INCOM2 8" xfId="9166" xr:uid="{00000000-0005-0000-0000-000080260000}"/>
    <cellStyle name="咬訌裝?INCOM2 8 2" xfId="9167" xr:uid="{00000000-0005-0000-0000-000081260000}"/>
    <cellStyle name="咬訌裝?INCOM2 9" xfId="9168" xr:uid="{00000000-0005-0000-0000-000082260000}"/>
    <cellStyle name="咬訌裝?INCOM2 9 2" xfId="9169" xr:uid="{00000000-0005-0000-0000-000083260000}"/>
    <cellStyle name="咬訌裝?INCOM3" xfId="9170" xr:uid="{00000000-0005-0000-0000-000084260000}"/>
    <cellStyle name="咬訌裝?INCOM3 10" xfId="9171" xr:uid="{00000000-0005-0000-0000-000085260000}"/>
    <cellStyle name="咬訌裝?INCOM3 10 2" xfId="9172" xr:uid="{00000000-0005-0000-0000-000086260000}"/>
    <cellStyle name="咬訌裝?INCOM3 11" xfId="9173" xr:uid="{00000000-0005-0000-0000-000087260000}"/>
    <cellStyle name="咬訌裝?INCOM3 11 2" xfId="9174" xr:uid="{00000000-0005-0000-0000-000088260000}"/>
    <cellStyle name="咬訌裝?INCOM3 12" xfId="9175" xr:uid="{00000000-0005-0000-0000-000089260000}"/>
    <cellStyle name="咬訌裝?INCOM3 12 2" xfId="9176" xr:uid="{00000000-0005-0000-0000-00008A260000}"/>
    <cellStyle name="咬訌裝?INCOM3 13" xfId="9177" xr:uid="{00000000-0005-0000-0000-00008B260000}"/>
    <cellStyle name="咬訌裝?INCOM3 13 2" xfId="9178" xr:uid="{00000000-0005-0000-0000-00008C260000}"/>
    <cellStyle name="咬訌裝?INCOM3 14" xfId="9179" xr:uid="{00000000-0005-0000-0000-00008D260000}"/>
    <cellStyle name="咬訌裝?INCOM3 2" xfId="9180" xr:uid="{00000000-0005-0000-0000-00008E260000}"/>
    <cellStyle name="咬訌裝?INCOM3 2 2" xfId="9181" xr:uid="{00000000-0005-0000-0000-00008F260000}"/>
    <cellStyle name="咬訌裝?INCOM3 2 2 2" xfId="9182" xr:uid="{00000000-0005-0000-0000-000090260000}"/>
    <cellStyle name="咬訌裝?INCOM3 2 3" xfId="9183" xr:uid="{00000000-0005-0000-0000-000091260000}"/>
    <cellStyle name="咬訌裝?INCOM3 3" xfId="9184" xr:uid="{00000000-0005-0000-0000-000092260000}"/>
    <cellStyle name="咬訌裝?INCOM3 3 2" xfId="9185" xr:uid="{00000000-0005-0000-0000-000093260000}"/>
    <cellStyle name="咬訌裝?INCOM3 4" xfId="9186" xr:uid="{00000000-0005-0000-0000-000094260000}"/>
    <cellStyle name="咬訌裝?INCOM3 4 2" xfId="9187" xr:uid="{00000000-0005-0000-0000-000095260000}"/>
    <cellStyle name="咬訌裝?INCOM3 5" xfId="9188" xr:uid="{00000000-0005-0000-0000-000096260000}"/>
    <cellStyle name="咬訌裝?INCOM3 5 2" xfId="9189" xr:uid="{00000000-0005-0000-0000-000097260000}"/>
    <cellStyle name="咬訌裝?INCOM3 6" xfId="9190" xr:uid="{00000000-0005-0000-0000-000098260000}"/>
    <cellStyle name="咬訌裝?INCOM3 6 2" xfId="9191" xr:uid="{00000000-0005-0000-0000-000099260000}"/>
    <cellStyle name="咬訌裝?INCOM3 7" xfId="9192" xr:uid="{00000000-0005-0000-0000-00009A260000}"/>
    <cellStyle name="咬訌裝?INCOM3 7 2" xfId="9193" xr:uid="{00000000-0005-0000-0000-00009B260000}"/>
    <cellStyle name="咬訌裝?INCOM3 8" xfId="9194" xr:uid="{00000000-0005-0000-0000-00009C260000}"/>
    <cellStyle name="咬訌裝?INCOM3 8 2" xfId="9195" xr:uid="{00000000-0005-0000-0000-00009D260000}"/>
    <cellStyle name="咬訌裝?INCOM3 9" xfId="9196" xr:uid="{00000000-0005-0000-0000-00009E260000}"/>
    <cellStyle name="咬訌裝?INCOM3 9 2" xfId="9197" xr:uid="{00000000-0005-0000-0000-00009F260000}"/>
    <cellStyle name="咬訌裝?INCOM4" xfId="9198" xr:uid="{00000000-0005-0000-0000-0000A0260000}"/>
    <cellStyle name="咬訌裝?INCOM4 10" xfId="9199" xr:uid="{00000000-0005-0000-0000-0000A1260000}"/>
    <cellStyle name="咬訌裝?INCOM4 10 2" xfId="9200" xr:uid="{00000000-0005-0000-0000-0000A2260000}"/>
    <cellStyle name="咬訌裝?INCOM4 11" xfId="9201" xr:uid="{00000000-0005-0000-0000-0000A3260000}"/>
    <cellStyle name="咬訌裝?INCOM4 11 2" xfId="9202" xr:uid="{00000000-0005-0000-0000-0000A4260000}"/>
    <cellStyle name="咬訌裝?INCOM4 12" xfId="9203" xr:uid="{00000000-0005-0000-0000-0000A5260000}"/>
    <cellStyle name="咬訌裝?INCOM4 12 2" xfId="9204" xr:uid="{00000000-0005-0000-0000-0000A6260000}"/>
    <cellStyle name="咬訌裝?INCOM4 13" xfId="9205" xr:uid="{00000000-0005-0000-0000-0000A7260000}"/>
    <cellStyle name="咬訌裝?INCOM4 13 2" xfId="9206" xr:uid="{00000000-0005-0000-0000-0000A8260000}"/>
    <cellStyle name="咬訌裝?INCOM4 14" xfId="9207" xr:uid="{00000000-0005-0000-0000-0000A9260000}"/>
    <cellStyle name="咬訌裝?INCOM4 2" xfId="9208" xr:uid="{00000000-0005-0000-0000-0000AA260000}"/>
    <cellStyle name="咬訌裝?INCOM4 2 2" xfId="9209" xr:uid="{00000000-0005-0000-0000-0000AB260000}"/>
    <cellStyle name="咬訌裝?INCOM4 2 2 2" xfId="9210" xr:uid="{00000000-0005-0000-0000-0000AC260000}"/>
    <cellStyle name="咬訌裝?INCOM4 2 3" xfId="9211" xr:uid="{00000000-0005-0000-0000-0000AD260000}"/>
    <cellStyle name="咬訌裝?INCOM4 3" xfId="9212" xr:uid="{00000000-0005-0000-0000-0000AE260000}"/>
    <cellStyle name="咬訌裝?INCOM4 3 2" xfId="9213" xr:uid="{00000000-0005-0000-0000-0000AF260000}"/>
    <cellStyle name="咬訌裝?INCOM4 4" xfId="9214" xr:uid="{00000000-0005-0000-0000-0000B0260000}"/>
    <cellStyle name="咬訌裝?INCOM4 4 2" xfId="9215" xr:uid="{00000000-0005-0000-0000-0000B1260000}"/>
    <cellStyle name="咬訌裝?INCOM4 5" xfId="9216" xr:uid="{00000000-0005-0000-0000-0000B2260000}"/>
    <cellStyle name="咬訌裝?INCOM4 5 2" xfId="9217" xr:uid="{00000000-0005-0000-0000-0000B3260000}"/>
    <cellStyle name="咬訌裝?INCOM4 6" xfId="9218" xr:uid="{00000000-0005-0000-0000-0000B4260000}"/>
    <cellStyle name="咬訌裝?INCOM4 6 2" xfId="9219" xr:uid="{00000000-0005-0000-0000-0000B5260000}"/>
    <cellStyle name="咬訌裝?INCOM4 7" xfId="9220" xr:uid="{00000000-0005-0000-0000-0000B6260000}"/>
    <cellStyle name="咬訌裝?INCOM4 7 2" xfId="9221" xr:uid="{00000000-0005-0000-0000-0000B7260000}"/>
    <cellStyle name="咬訌裝?INCOM4 8" xfId="9222" xr:uid="{00000000-0005-0000-0000-0000B8260000}"/>
    <cellStyle name="咬訌裝?INCOM4 8 2" xfId="9223" xr:uid="{00000000-0005-0000-0000-0000B9260000}"/>
    <cellStyle name="咬訌裝?INCOM4 9" xfId="9224" xr:uid="{00000000-0005-0000-0000-0000BA260000}"/>
    <cellStyle name="咬訌裝?INCOM4 9 2" xfId="9225" xr:uid="{00000000-0005-0000-0000-0000BB260000}"/>
    <cellStyle name="咬訌裝?INCOM5" xfId="9226" xr:uid="{00000000-0005-0000-0000-0000BC260000}"/>
    <cellStyle name="咬訌裝?INCOM5 10" xfId="9227" xr:uid="{00000000-0005-0000-0000-0000BD260000}"/>
    <cellStyle name="咬訌裝?INCOM5 10 2" xfId="9228" xr:uid="{00000000-0005-0000-0000-0000BE260000}"/>
    <cellStyle name="咬訌裝?INCOM5 11" xfId="9229" xr:uid="{00000000-0005-0000-0000-0000BF260000}"/>
    <cellStyle name="咬訌裝?INCOM5 11 2" xfId="9230" xr:uid="{00000000-0005-0000-0000-0000C0260000}"/>
    <cellStyle name="咬訌裝?INCOM5 12" xfId="9231" xr:uid="{00000000-0005-0000-0000-0000C1260000}"/>
    <cellStyle name="咬訌裝?INCOM5 12 2" xfId="9232" xr:uid="{00000000-0005-0000-0000-0000C2260000}"/>
    <cellStyle name="咬訌裝?INCOM5 13" xfId="9233" xr:uid="{00000000-0005-0000-0000-0000C3260000}"/>
    <cellStyle name="咬訌裝?INCOM5 13 2" xfId="9234" xr:uid="{00000000-0005-0000-0000-0000C4260000}"/>
    <cellStyle name="咬訌裝?INCOM5 14" xfId="9235" xr:uid="{00000000-0005-0000-0000-0000C5260000}"/>
    <cellStyle name="咬訌裝?INCOM5 2" xfId="9236" xr:uid="{00000000-0005-0000-0000-0000C6260000}"/>
    <cellStyle name="咬訌裝?INCOM5 2 2" xfId="9237" xr:uid="{00000000-0005-0000-0000-0000C7260000}"/>
    <cellStyle name="咬訌裝?INCOM5 2 2 2" xfId="9238" xr:uid="{00000000-0005-0000-0000-0000C8260000}"/>
    <cellStyle name="咬訌裝?INCOM5 2 3" xfId="9239" xr:uid="{00000000-0005-0000-0000-0000C9260000}"/>
    <cellStyle name="咬訌裝?INCOM5 3" xfId="9240" xr:uid="{00000000-0005-0000-0000-0000CA260000}"/>
    <cellStyle name="咬訌裝?INCOM5 3 2" xfId="9241" xr:uid="{00000000-0005-0000-0000-0000CB260000}"/>
    <cellStyle name="咬訌裝?INCOM5 4" xfId="9242" xr:uid="{00000000-0005-0000-0000-0000CC260000}"/>
    <cellStyle name="咬訌裝?INCOM5 4 2" xfId="9243" xr:uid="{00000000-0005-0000-0000-0000CD260000}"/>
    <cellStyle name="咬訌裝?INCOM5 5" xfId="9244" xr:uid="{00000000-0005-0000-0000-0000CE260000}"/>
    <cellStyle name="咬訌裝?INCOM5 5 2" xfId="9245" xr:uid="{00000000-0005-0000-0000-0000CF260000}"/>
    <cellStyle name="咬訌裝?INCOM5 6" xfId="9246" xr:uid="{00000000-0005-0000-0000-0000D0260000}"/>
    <cellStyle name="咬訌裝?INCOM5 6 2" xfId="9247" xr:uid="{00000000-0005-0000-0000-0000D1260000}"/>
    <cellStyle name="咬訌裝?INCOM5 7" xfId="9248" xr:uid="{00000000-0005-0000-0000-0000D2260000}"/>
    <cellStyle name="咬訌裝?INCOM5 7 2" xfId="9249" xr:uid="{00000000-0005-0000-0000-0000D3260000}"/>
    <cellStyle name="咬訌裝?INCOM5 8" xfId="9250" xr:uid="{00000000-0005-0000-0000-0000D4260000}"/>
    <cellStyle name="咬訌裝?INCOM5 8 2" xfId="9251" xr:uid="{00000000-0005-0000-0000-0000D5260000}"/>
    <cellStyle name="咬訌裝?INCOM5 9" xfId="9252" xr:uid="{00000000-0005-0000-0000-0000D6260000}"/>
    <cellStyle name="咬訌裝?INCOM5 9 2" xfId="9253" xr:uid="{00000000-0005-0000-0000-0000D7260000}"/>
    <cellStyle name="咬訌裝?INCOM6" xfId="9254" xr:uid="{00000000-0005-0000-0000-0000D8260000}"/>
    <cellStyle name="咬訌裝?INCOM6 10" xfId="9255" xr:uid="{00000000-0005-0000-0000-0000D9260000}"/>
    <cellStyle name="咬訌裝?INCOM6 10 2" xfId="9256" xr:uid="{00000000-0005-0000-0000-0000DA260000}"/>
    <cellStyle name="咬訌裝?INCOM6 11" xfId="9257" xr:uid="{00000000-0005-0000-0000-0000DB260000}"/>
    <cellStyle name="咬訌裝?INCOM6 11 2" xfId="9258" xr:uid="{00000000-0005-0000-0000-0000DC260000}"/>
    <cellStyle name="咬訌裝?INCOM6 12" xfId="9259" xr:uid="{00000000-0005-0000-0000-0000DD260000}"/>
    <cellStyle name="咬訌裝?INCOM6 12 2" xfId="9260" xr:uid="{00000000-0005-0000-0000-0000DE260000}"/>
    <cellStyle name="咬訌裝?INCOM6 13" xfId="9261" xr:uid="{00000000-0005-0000-0000-0000DF260000}"/>
    <cellStyle name="咬訌裝?INCOM6 13 2" xfId="9262" xr:uid="{00000000-0005-0000-0000-0000E0260000}"/>
    <cellStyle name="咬訌裝?INCOM6 14" xfId="9263" xr:uid="{00000000-0005-0000-0000-0000E1260000}"/>
    <cellStyle name="咬訌裝?INCOM6 2" xfId="9264" xr:uid="{00000000-0005-0000-0000-0000E2260000}"/>
    <cellStyle name="咬訌裝?INCOM6 2 2" xfId="9265" xr:uid="{00000000-0005-0000-0000-0000E3260000}"/>
    <cellStyle name="咬訌裝?INCOM6 2 2 2" xfId="9266" xr:uid="{00000000-0005-0000-0000-0000E4260000}"/>
    <cellStyle name="咬訌裝?INCOM6 2 3" xfId="9267" xr:uid="{00000000-0005-0000-0000-0000E5260000}"/>
    <cellStyle name="咬訌裝?INCOM6 3" xfId="9268" xr:uid="{00000000-0005-0000-0000-0000E6260000}"/>
    <cellStyle name="咬訌裝?INCOM6 3 2" xfId="9269" xr:uid="{00000000-0005-0000-0000-0000E7260000}"/>
    <cellStyle name="咬訌裝?INCOM6 4" xfId="9270" xr:uid="{00000000-0005-0000-0000-0000E8260000}"/>
    <cellStyle name="咬訌裝?INCOM6 4 2" xfId="9271" xr:uid="{00000000-0005-0000-0000-0000E9260000}"/>
    <cellStyle name="咬訌裝?INCOM6 5" xfId="9272" xr:uid="{00000000-0005-0000-0000-0000EA260000}"/>
    <cellStyle name="咬訌裝?INCOM6 5 2" xfId="9273" xr:uid="{00000000-0005-0000-0000-0000EB260000}"/>
    <cellStyle name="咬訌裝?INCOM6 6" xfId="9274" xr:uid="{00000000-0005-0000-0000-0000EC260000}"/>
    <cellStyle name="咬訌裝?INCOM6 6 2" xfId="9275" xr:uid="{00000000-0005-0000-0000-0000ED260000}"/>
    <cellStyle name="咬訌裝?INCOM6 7" xfId="9276" xr:uid="{00000000-0005-0000-0000-0000EE260000}"/>
    <cellStyle name="咬訌裝?INCOM6 7 2" xfId="9277" xr:uid="{00000000-0005-0000-0000-0000EF260000}"/>
    <cellStyle name="咬訌裝?INCOM6 8" xfId="9278" xr:uid="{00000000-0005-0000-0000-0000F0260000}"/>
    <cellStyle name="咬訌裝?INCOM6 8 2" xfId="9279" xr:uid="{00000000-0005-0000-0000-0000F1260000}"/>
    <cellStyle name="咬訌裝?INCOM6 9" xfId="9280" xr:uid="{00000000-0005-0000-0000-0000F2260000}"/>
    <cellStyle name="咬訌裝?INCOM6 9 2" xfId="9281" xr:uid="{00000000-0005-0000-0000-0000F3260000}"/>
    <cellStyle name="咬訌裝?INCOM7" xfId="9282" xr:uid="{00000000-0005-0000-0000-0000F4260000}"/>
    <cellStyle name="咬訌裝?INCOM7 10" xfId="9283" xr:uid="{00000000-0005-0000-0000-0000F5260000}"/>
    <cellStyle name="咬訌裝?INCOM7 10 2" xfId="9284" xr:uid="{00000000-0005-0000-0000-0000F6260000}"/>
    <cellStyle name="咬訌裝?INCOM7 11" xfId="9285" xr:uid="{00000000-0005-0000-0000-0000F7260000}"/>
    <cellStyle name="咬訌裝?INCOM7 11 2" xfId="9286" xr:uid="{00000000-0005-0000-0000-0000F8260000}"/>
    <cellStyle name="咬訌裝?INCOM7 12" xfId="9287" xr:uid="{00000000-0005-0000-0000-0000F9260000}"/>
    <cellStyle name="咬訌裝?INCOM7 12 2" xfId="9288" xr:uid="{00000000-0005-0000-0000-0000FA260000}"/>
    <cellStyle name="咬訌裝?INCOM7 13" xfId="9289" xr:uid="{00000000-0005-0000-0000-0000FB260000}"/>
    <cellStyle name="咬訌裝?INCOM7 13 2" xfId="9290" xr:uid="{00000000-0005-0000-0000-0000FC260000}"/>
    <cellStyle name="咬訌裝?INCOM7 14" xfId="9291" xr:uid="{00000000-0005-0000-0000-0000FD260000}"/>
    <cellStyle name="咬訌裝?INCOM7 2" xfId="9292" xr:uid="{00000000-0005-0000-0000-0000FE260000}"/>
    <cellStyle name="咬訌裝?INCOM7 2 2" xfId="9293" xr:uid="{00000000-0005-0000-0000-0000FF260000}"/>
    <cellStyle name="咬訌裝?INCOM7 2 2 2" xfId="9294" xr:uid="{00000000-0005-0000-0000-000000270000}"/>
    <cellStyle name="咬訌裝?INCOM7 2 3" xfId="9295" xr:uid="{00000000-0005-0000-0000-000001270000}"/>
    <cellStyle name="咬訌裝?INCOM7 3" xfId="9296" xr:uid="{00000000-0005-0000-0000-000002270000}"/>
    <cellStyle name="咬訌裝?INCOM7 3 2" xfId="9297" xr:uid="{00000000-0005-0000-0000-000003270000}"/>
    <cellStyle name="咬訌裝?INCOM7 4" xfId="9298" xr:uid="{00000000-0005-0000-0000-000004270000}"/>
    <cellStyle name="咬訌裝?INCOM7 4 2" xfId="9299" xr:uid="{00000000-0005-0000-0000-000005270000}"/>
    <cellStyle name="咬訌裝?INCOM7 5" xfId="9300" xr:uid="{00000000-0005-0000-0000-000006270000}"/>
    <cellStyle name="咬訌裝?INCOM7 5 2" xfId="9301" xr:uid="{00000000-0005-0000-0000-000007270000}"/>
    <cellStyle name="咬訌裝?INCOM7 6" xfId="9302" xr:uid="{00000000-0005-0000-0000-000008270000}"/>
    <cellStyle name="咬訌裝?INCOM7 6 2" xfId="9303" xr:uid="{00000000-0005-0000-0000-000009270000}"/>
    <cellStyle name="咬訌裝?INCOM7 7" xfId="9304" xr:uid="{00000000-0005-0000-0000-00000A270000}"/>
    <cellStyle name="咬訌裝?INCOM7 7 2" xfId="9305" xr:uid="{00000000-0005-0000-0000-00000B270000}"/>
    <cellStyle name="咬訌裝?INCOM7 8" xfId="9306" xr:uid="{00000000-0005-0000-0000-00000C270000}"/>
    <cellStyle name="咬訌裝?INCOM7 8 2" xfId="9307" xr:uid="{00000000-0005-0000-0000-00000D270000}"/>
    <cellStyle name="咬訌裝?INCOM7 9" xfId="9308" xr:uid="{00000000-0005-0000-0000-00000E270000}"/>
    <cellStyle name="咬訌裝?INCOM7 9 2" xfId="9309" xr:uid="{00000000-0005-0000-0000-00000F270000}"/>
    <cellStyle name="咬訌裝?INCOM8" xfId="9310" xr:uid="{00000000-0005-0000-0000-000010270000}"/>
    <cellStyle name="咬訌裝?INCOM8 10" xfId="9311" xr:uid="{00000000-0005-0000-0000-000011270000}"/>
    <cellStyle name="咬訌裝?INCOM8 10 2" xfId="9312" xr:uid="{00000000-0005-0000-0000-000012270000}"/>
    <cellStyle name="咬訌裝?INCOM8 11" xfId="9313" xr:uid="{00000000-0005-0000-0000-000013270000}"/>
    <cellStyle name="咬訌裝?INCOM8 11 2" xfId="9314" xr:uid="{00000000-0005-0000-0000-000014270000}"/>
    <cellStyle name="咬訌裝?INCOM8 12" xfId="9315" xr:uid="{00000000-0005-0000-0000-000015270000}"/>
    <cellStyle name="咬訌裝?INCOM8 12 2" xfId="9316" xr:uid="{00000000-0005-0000-0000-000016270000}"/>
    <cellStyle name="咬訌裝?INCOM8 13" xfId="9317" xr:uid="{00000000-0005-0000-0000-000017270000}"/>
    <cellStyle name="咬訌裝?INCOM8 13 2" xfId="9318" xr:uid="{00000000-0005-0000-0000-000018270000}"/>
    <cellStyle name="咬訌裝?INCOM8 14" xfId="9319" xr:uid="{00000000-0005-0000-0000-000019270000}"/>
    <cellStyle name="咬訌裝?INCOM8 2" xfId="9320" xr:uid="{00000000-0005-0000-0000-00001A270000}"/>
    <cellStyle name="咬訌裝?INCOM8 2 2" xfId="9321" xr:uid="{00000000-0005-0000-0000-00001B270000}"/>
    <cellStyle name="咬訌裝?INCOM8 2 2 2" xfId="9322" xr:uid="{00000000-0005-0000-0000-00001C270000}"/>
    <cellStyle name="咬訌裝?INCOM8 2 3" xfId="9323" xr:uid="{00000000-0005-0000-0000-00001D270000}"/>
    <cellStyle name="咬訌裝?INCOM8 3" xfId="9324" xr:uid="{00000000-0005-0000-0000-00001E270000}"/>
    <cellStyle name="咬訌裝?INCOM8 3 2" xfId="9325" xr:uid="{00000000-0005-0000-0000-00001F270000}"/>
    <cellStyle name="咬訌裝?INCOM8 4" xfId="9326" xr:uid="{00000000-0005-0000-0000-000020270000}"/>
    <cellStyle name="咬訌裝?INCOM8 4 2" xfId="9327" xr:uid="{00000000-0005-0000-0000-000021270000}"/>
    <cellStyle name="咬訌裝?INCOM8 5" xfId="9328" xr:uid="{00000000-0005-0000-0000-000022270000}"/>
    <cellStyle name="咬訌裝?INCOM8 5 2" xfId="9329" xr:uid="{00000000-0005-0000-0000-000023270000}"/>
    <cellStyle name="咬訌裝?INCOM8 6" xfId="9330" xr:uid="{00000000-0005-0000-0000-000024270000}"/>
    <cellStyle name="咬訌裝?INCOM8 6 2" xfId="9331" xr:uid="{00000000-0005-0000-0000-000025270000}"/>
    <cellStyle name="咬訌裝?INCOM8 7" xfId="9332" xr:uid="{00000000-0005-0000-0000-000026270000}"/>
    <cellStyle name="咬訌裝?INCOM8 7 2" xfId="9333" xr:uid="{00000000-0005-0000-0000-000027270000}"/>
    <cellStyle name="咬訌裝?INCOM8 8" xfId="9334" xr:uid="{00000000-0005-0000-0000-000028270000}"/>
    <cellStyle name="咬訌裝?INCOM8 8 2" xfId="9335" xr:uid="{00000000-0005-0000-0000-000029270000}"/>
    <cellStyle name="咬訌裝?INCOM8 9" xfId="9336" xr:uid="{00000000-0005-0000-0000-00002A270000}"/>
    <cellStyle name="咬訌裝?INCOM8 9 2" xfId="9337" xr:uid="{00000000-0005-0000-0000-00002B270000}"/>
    <cellStyle name="咬訌裝?INCOM9" xfId="9338" xr:uid="{00000000-0005-0000-0000-00002C270000}"/>
    <cellStyle name="咬訌裝?INCOM9 10" xfId="9339" xr:uid="{00000000-0005-0000-0000-00002D270000}"/>
    <cellStyle name="咬訌裝?INCOM9 10 2" xfId="9340" xr:uid="{00000000-0005-0000-0000-00002E270000}"/>
    <cellStyle name="咬訌裝?INCOM9 11" xfId="9341" xr:uid="{00000000-0005-0000-0000-00002F270000}"/>
    <cellStyle name="咬訌裝?INCOM9 11 2" xfId="9342" xr:uid="{00000000-0005-0000-0000-000030270000}"/>
    <cellStyle name="咬訌裝?INCOM9 12" xfId="9343" xr:uid="{00000000-0005-0000-0000-000031270000}"/>
    <cellStyle name="咬訌裝?INCOM9 12 2" xfId="9344" xr:uid="{00000000-0005-0000-0000-000032270000}"/>
    <cellStyle name="咬訌裝?INCOM9 13" xfId="9345" xr:uid="{00000000-0005-0000-0000-000033270000}"/>
    <cellStyle name="咬訌裝?INCOM9 13 2" xfId="9346" xr:uid="{00000000-0005-0000-0000-000034270000}"/>
    <cellStyle name="咬訌裝?INCOM9 14" xfId="9347" xr:uid="{00000000-0005-0000-0000-000035270000}"/>
    <cellStyle name="咬訌裝?INCOM9 2" xfId="9348" xr:uid="{00000000-0005-0000-0000-000036270000}"/>
    <cellStyle name="咬訌裝?INCOM9 2 2" xfId="9349" xr:uid="{00000000-0005-0000-0000-000037270000}"/>
    <cellStyle name="咬訌裝?INCOM9 2 2 2" xfId="9350" xr:uid="{00000000-0005-0000-0000-000038270000}"/>
    <cellStyle name="咬訌裝?INCOM9 2 3" xfId="9351" xr:uid="{00000000-0005-0000-0000-000039270000}"/>
    <cellStyle name="咬訌裝?INCOM9 3" xfId="9352" xr:uid="{00000000-0005-0000-0000-00003A270000}"/>
    <cellStyle name="咬訌裝?INCOM9 3 2" xfId="9353" xr:uid="{00000000-0005-0000-0000-00003B270000}"/>
    <cellStyle name="咬訌裝?INCOM9 4" xfId="9354" xr:uid="{00000000-0005-0000-0000-00003C270000}"/>
    <cellStyle name="咬訌裝?INCOM9 4 2" xfId="9355" xr:uid="{00000000-0005-0000-0000-00003D270000}"/>
    <cellStyle name="咬訌裝?INCOM9 5" xfId="9356" xr:uid="{00000000-0005-0000-0000-00003E270000}"/>
    <cellStyle name="咬訌裝?INCOM9 5 2" xfId="9357" xr:uid="{00000000-0005-0000-0000-00003F270000}"/>
    <cellStyle name="咬訌裝?INCOM9 6" xfId="9358" xr:uid="{00000000-0005-0000-0000-000040270000}"/>
    <cellStyle name="咬訌裝?INCOM9 6 2" xfId="9359" xr:uid="{00000000-0005-0000-0000-000041270000}"/>
    <cellStyle name="咬訌裝?INCOM9 7" xfId="9360" xr:uid="{00000000-0005-0000-0000-000042270000}"/>
    <cellStyle name="咬訌裝?INCOM9 7 2" xfId="9361" xr:uid="{00000000-0005-0000-0000-000043270000}"/>
    <cellStyle name="咬訌裝?INCOM9 8" xfId="9362" xr:uid="{00000000-0005-0000-0000-000044270000}"/>
    <cellStyle name="咬訌裝?INCOM9 8 2" xfId="9363" xr:uid="{00000000-0005-0000-0000-000045270000}"/>
    <cellStyle name="咬訌裝?INCOM9 9" xfId="9364" xr:uid="{00000000-0005-0000-0000-000046270000}"/>
    <cellStyle name="咬訌裝?INCOM9 9 2" xfId="9365" xr:uid="{00000000-0005-0000-0000-000047270000}"/>
    <cellStyle name="咬訌裝?PRIB11" xfId="9366" xr:uid="{00000000-0005-0000-0000-000048270000}"/>
    <cellStyle name="咬訌裝?PRIB11 10" xfId="9367" xr:uid="{00000000-0005-0000-0000-000049270000}"/>
    <cellStyle name="咬訌裝?PRIB11 10 2" xfId="9368" xr:uid="{00000000-0005-0000-0000-00004A270000}"/>
    <cellStyle name="咬訌裝?PRIB11 11" xfId="9369" xr:uid="{00000000-0005-0000-0000-00004B270000}"/>
    <cellStyle name="咬訌裝?PRIB11 11 2" xfId="9370" xr:uid="{00000000-0005-0000-0000-00004C270000}"/>
    <cellStyle name="咬訌裝?PRIB11 12" xfId="9371" xr:uid="{00000000-0005-0000-0000-00004D270000}"/>
    <cellStyle name="咬訌裝?PRIB11 12 2" xfId="9372" xr:uid="{00000000-0005-0000-0000-00004E270000}"/>
    <cellStyle name="咬訌裝?PRIB11 13" xfId="9373" xr:uid="{00000000-0005-0000-0000-00004F270000}"/>
    <cellStyle name="咬訌裝?PRIB11 13 2" xfId="9374" xr:uid="{00000000-0005-0000-0000-000050270000}"/>
    <cellStyle name="咬訌裝?PRIB11 14" xfId="9375" xr:uid="{00000000-0005-0000-0000-000051270000}"/>
    <cellStyle name="咬訌裝?PRIB11 2" xfId="9376" xr:uid="{00000000-0005-0000-0000-000052270000}"/>
    <cellStyle name="咬訌裝?PRIB11 2 2" xfId="9377" xr:uid="{00000000-0005-0000-0000-000053270000}"/>
    <cellStyle name="咬訌裝?PRIB11 2 2 2" xfId="9378" xr:uid="{00000000-0005-0000-0000-000054270000}"/>
    <cellStyle name="咬訌裝?PRIB11 2 3" xfId="9379" xr:uid="{00000000-0005-0000-0000-000055270000}"/>
    <cellStyle name="咬訌裝?PRIB11 3" xfId="9380" xr:uid="{00000000-0005-0000-0000-000056270000}"/>
    <cellStyle name="咬訌裝?PRIB11 3 2" xfId="9381" xr:uid="{00000000-0005-0000-0000-000057270000}"/>
    <cellStyle name="咬訌裝?PRIB11 4" xfId="9382" xr:uid="{00000000-0005-0000-0000-000058270000}"/>
    <cellStyle name="咬訌裝?PRIB11 4 2" xfId="9383" xr:uid="{00000000-0005-0000-0000-000059270000}"/>
    <cellStyle name="咬訌裝?PRIB11 5" xfId="9384" xr:uid="{00000000-0005-0000-0000-00005A270000}"/>
    <cellStyle name="咬訌裝?PRIB11 5 2" xfId="9385" xr:uid="{00000000-0005-0000-0000-00005B270000}"/>
    <cellStyle name="咬訌裝?PRIB11 6" xfId="9386" xr:uid="{00000000-0005-0000-0000-00005C270000}"/>
    <cellStyle name="咬訌裝?PRIB11 6 2" xfId="9387" xr:uid="{00000000-0005-0000-0000-00005D270000}"/>
    <cellStyle name="咬訌裝?PRIB11 7" xfId="9388" xr:uid="{00000000-0005-0000-0000-00005E270000}"/>
    <cellStyle name="咬訌裝?PRIB11 7 2" xfId="9389" xr:uid="{00000000-0005-0000-0000-00005F270000}"/>
    <cellStyle name="咬訌裝?PRIB11 8" xfId="9390" xr:uid="{00000000-0005-0000-0000-000060270000}"/>
    <cellStyle name="咬訌裝?PRIB11 8 2" xfId="9391" xr:uid="{00000000-0005-0000-0000-000061270000}"/>
    <cellStyle name="咬訌裝?PRIB11 9" xfId="9392" xr:uid="{00000000-0005-0000-0000-000062270000}"/>
    <cellStyle name="咬訌裝?PRIB11 9 2" xfId="9393" xr:uid="{00000000-0005-0000-0000-000063270000}"/>
    <cellStyle name="국종합건설" xfId="16599" xr:uid="{00000000-0005-0000-0000-000064270000}"/>
    <cellStyle name="금액" xfId="9394" xr:uid="{00000000-0005-0000-0000-000065270000}"/>
    <cellStyle name="금액 2" xfId="9395" xr:uid="{00000000-0005-0000-0000-000066270000}"/>
    <cellStyle name="기계" xfId="9396" xr:uid="{00000000-0005-0000-0000-000067270000}"/>
    <cellStyle name="기계 2" xfId="9397" xr:uid="{00000000-0005-0000-0000-000068270000}"/>
    <cellStyle name="기계 3" xfId="16600" xr:uid="{00000000-0005-0000-0000-000069270000}"/>
    <cellStyle name="김해전기" xfId="9398" xr:uid="{00000000-0005-0000-0000-00006A270000}"/>
    <cellStyle name="김해전기 2" xfId="9399" xr:uid="{00000000-0005-0000-0000-00006B270000}"/>
    <cellStyle name="김호(E4전환)" xfId="9400" xr:uid="{00000000-0005-0000-0000-00006C270000}"/>
    <cellStyle name="김호(E4전환) 2" xfId="9401" xr:uid="{00000000-0005-0000-0000-00006D270000}"/>
    <cellStyle name="김호(E4전환) 2 2" xfId="9402" xr:uid="{00000000-0005-0000-0000-00006E270000}"/>
    <cellStyle name="김호(E4전환) 2 2 2" xfId="9403" xr:uid="{00000000-0005-0000-0000-00006F270000}"/>
    <cellStyle name="김호(E4전환) 2 2 3" xfId="9404" xr:uid="{00000000-0005-0000-0000-000070270000}"/>
    <cellStyle name="김호(E4전환) 2 2 4" xfId="9405" xr:uid="{00000000-0005-0000-0000-000071270000}"/>
    <cellStyle name="김호(E4전환) 2 2 5" xfId="9406" xr:uid="{00000000-0005-0000-0000-000072270000}"/>
    <cellStyle name="김호(E4전환) 3" xfId="9407" xr:uid="{00000000-0005-0000-0000-000073270000}"/>
    <cellStyle name="김호(E4전환) 3 2" xfId="9408" xr:uid="{00000000-0005-0000-0000-000074270000}"/>
    <cellStyle name="김호(E4전환) 3 3" xfId="9409" xr:uid="{00000000-0005-0000-0000-000075270000}"/>
    <cellStyle name="김호(E4전환) 3 4" xfId="9410" xr:uid="{00000000-0005-0000-0000-000076270000}"/>
    <cellStyle name="김호(E4전환) 3 5" xfId="9411" xr:uid="{00000000-0005-0000-0000-000077270000}"/>
    <cellStyle name="끼_x0001_?" xfId="9412" xr:uid="{00000000-0005-0000-0000-000078270000}"/>
    <cellStyle name="끼_x0001_? 2" xfId="9413" xr:uid="{00000000-0005-0000-0000-000079270000}"/>
    <cellStyle name="끼_x0001_? 3" xfId="16601" xr:uid="{00000000-0005-0000-0000-00007A270000}"/>
    <cellStyle name="나쁨 2" xfId="9414" xr:uid="{00000000-0005-0000-0000-00007B270000}"/>
    <cellStyle name="나쁨 2 10" xfId="9415" xr:uid="{00000000-0005-0000-0000-00007C270000}"/>
    <cellStyle name="나쁨 2 11" xfId="16602" xr:uid="{00000000-0005-0000-0000-00007D270000}"/>
    <cellStyle name="나쁨 2 2" xfId="9416" xr:uid="{00000000-0005-0000-0000-00007E270000}"/>
    <cellStyle name="나쁨 2 2 2" xfId="9417" xr:uid="{00000000-0005-0000-0000-00007F270000}"/>
    <cellStyle name="나쁨 2 3" xfId="9418" xr:uid="{00000000-0005-0000-0000-000080270000}"/>
    <cellStyle name="나쁨 2 3 2" xfId="9419" xr:uid="{00000000-0005-0000-0000-000081270000}"/>
    <cellStyle name="나쁨 2 4" xfId="9420" xr:uid="{00000000-0005-0000-0000-000082270000}"/>
    <cellStyle name="나쁨 2 4 2" xfId="9421" xr:uid="{00000000-0005-0000-0000-000083270000}"/>
    <cellStyle name="나쁨 2 5" xfId="9422" xr:uid="{00000000-0005-0000-0000-000084270000}"/>
    <cellStyle name="나쁨 2 5 2" xfId="9423" xr:uid="{00000000-0005-0000-0000-000085270000}"/>
    <cellStyle name="나쁨 2 6" xfId="9424" xr:uid="{00000000-0005-0000-0000-000086270000}"/>
    <cellStyle name="나쁨 2 6 2" xfId="9425" xr:uid="{00000000-0005-0000-0000-000087270000}"/>
    <cellStyle name="나쁨 2 7" xfId="9426" xr:uid="{00000000-0005-0000-0000-000088270000}"/>
    <cellStyle name="나쁨 2 7 2" xfId="9427" xr:uid="{00000000-0005-0000-0000-000089270000}"/>
    <cellStyle name="나쁨 2 8" xfId="9428" xr:uid="{00000000-0005-0000-0000-00008A270000}"/>
    <cellStyle name="나쁨 2 8 2" xfId="9429" xr:uid="{00000000-0005-0000-0000-00008B270000}"/>
    <cellStyle name="나쁨 2 9" xfId="9430" xr:uid="{00000000-0005-0000-0000-00008C270000}"/>
    <cellStyle name="나쁨 2 9 2" xfId="9431" xr:uid="{00000000-0005-0000-0000-00008D270000}"/>
    <cellStyle name="나쁨 3" xfId="9432" xr:uid="{00000000-0005-0000-0000-00008E270000}"/>
    <cellStyle name="나쁨 3 10" xfId="9433" xr:uid="{00000000-0005-0000-0000-00008F270000}"/>
    <cellStyle name="나쁨 3 2" xfId="9434" xr:uid="{00000000-0005-0000-0000-000090270000}"/>
    <cellStyle name="나쁨 3 2 2" xfId="9435" xr:uid="{00000000-0005-0000-0000-000091270000}"/>
    <cellStyle name="나쁨 3 3" xfId="9436" xr:uid="{00000000-0005-0000-0000-000092270000}"/>
    <cellStyle name="나쁨 3 3 2" xfId="9437" xr:uid="{00000000-0005-0000-0000-000093270000}"/>
    <cellStyle name="나쁨 3 4" xfId="9438" xr:uid="{00000000-0005-0000-0000-000094270000}"/>
    <cellStyle name="나쁨 3 4 2" xfId="9439" xr:uid="{00000000-0005-0000-0000-000095270000}"/>
    <cellStyle name="나쁨 3 5" xfId="9440" xr:uid="{00000000-0005-0000-0000-000096270000}"/>
    <cellStyle name="나쁨 3 5 2" xfId="9441" xr:uid="{00000000-0005-0000-0000-000097270000}"/>
    <cellStyle name="나쁨 3 6" xfId="9442" xr:uid="{00000000-0005-0000-0000-000098270000}"/>
    <cellStyle name="나쁨 3 6 2" xfId="9443" xr:uid="{00000000-0005-0000-0000-000099270000}"/>
    <cellStyle name="나쁨 3 7" xfId="9444" xr:uid="{00000000-0005-0000-0000-00009A270000}"/>
    <cellStyle name="나쁨 3 7 2" xfId="9445" xr:uid="{00000000-0005-0000-0000-00009B270000}"/>
    <cellStyle name="나쁨 3 8" xfId="9446" xr:uid="{00000000-0005-0000-0000-00009C270000}"/>
    <cellStyle name="나쁨 3 8 2" xfId="9447" xr:uid="{00000000-0005-0000-0000-00009D270000}"/>
    <cellStyle name="나쁨 3 9" xfId="9448" xr:uid="{00000000-0005-0000-0000-00009E270000}"/>
    <cellStyle name="나쁨 3 9 2" xfId="9449" xr:uid="{00000000-0005-0000-0000-00009F270000}"/>
    <cellStyle name="나쁨 4" xfId="9450" xr:uid="{00000000-0005-0000-0000-0000A0270000}"/>
    <cellStyle name="나쁨 4 10" xfId="9451" xr:uid="{00000000-0005-0000-0000-0000A1270000}"/>
    <cellStyle name="나쁨 4 2" xfId="9452" xr:uid="{00000000-0005-0000-0000-0000A2270000}"/>
    <cellStyle name="나쁨 4 2 2" xfId="9453" xr:uid="{00000000-0005-0000-0000-0000A3270000}"/>
    <cellStyle name="나쁨 4 3" xfId="9454" xr:uid="{00000000-0005-0000-0000-0000A4270000}"/>
    <cellStyle name="나쁨 4 3 2" xfId="9455" xr:uid="{00000000-0005-0000-0000-0000A5270000}"/>
    <cellStyle name="나쁨 4 4" xfId="9456" xr:uid="{00000000-0005-0000-0000-0000A6270000}"/>
    <cellStyle name="나쁨 4 4 2" xfId="9457" xr:uid="{00000000-0005-0000-0000-0000A7270000}"/>
    <cellStyle name="나쁨 4 5" xfId="9458" xr:uid="{00000000-0005-0000-0000-0000A8270000}"/>
    <cellStyle name="나쁨 4 5 2" xfId="9459" xr:uid="{00000000-0005-0000-0000-0000A9270000}"/>
    <cellStyle name="나쁨 4 6" xfId="9460" xr:uid="{00000000-0005-0000-0000-0000AA270000}"/>
    <cellStyle name="나쁨 4 6 2" xfId="9461" xr:uid="{00000000-0005-0000-0000-0000AB270000}"/>
    <cellStyle name="나쁨 4 7" xfId="9462" xr:uid="{00000000-0005-0000-0000-0000AC270000}"/>
    <cellStyle name="나쁨 4 7 2" xfId="9463" xr:uid="{00000000-0005-0000-0000-0000AD270000}"/>
    <cellStyle name="나쁨 4 8" xfId="9464" xr:uid="{00000000-0005-0000-0000-0000AE270000}"/>
    <cellStyle name="나쁨 4 8 2" xfId="9465" xr:uid="{00000000-0005-0000-0000-0000AF270000}"/>
    <cellStyle name="나쁨 4 9" xfId="9466" xr:uid="{00000000-0005-0000-0000-0000B0270000}"/>
    <cellStyle name="나쁨 4 9 2" xfId="9467" xr:uid="{00000000-0005-0000-0000-0000B1270000}"/>
    <cellStyle name="나쁨 5" xfId="9468" xr:uid="{00000000-0005-0000-0000-0000B2270000}"/>
    <cellStyle name="나쁨 5 10" xfId="9469" xr:uid="{00000000-0005-0000-0000-0000B3270000}"/>
    <cellStyle name="나쁨 5 2" xfId="9470" xr:uid="{00000000-0005-0000-0000-0000B4270000}"/>
    <cellStyle name="나쁨 5 2 2" xfId="9471" xr:uid="{00000000-0005-0000-0000-0000B5270000}"/>
    <cellStyle name="나쁨 5 3" xfId="9472" xr:uid="{00000000-0005-0000-0000-0000B6270000}"/>
    <cellStyle name="나쁨 5 3 2" xfId="9473" xr:uid="{00000000-0005-0000-0000-0000B7270000}"/>
    <cellStyle name="나쁨 5 4" xfId="9474" xr:uid="{00000000-0005-0000-0000-0000B8270000}"/>
    <cellStyle name="나쁨 5 4 2" xfId="9475" xr:uid="{00000000-0005-0000-0000-0000B9270000}"/>
    <cellStyle name="나쁨 5 5" xfId="9476" xr:uid="{00000000-0005-0000-0000-0000BA270000}"/>
    <cellStyle name="나쁨 5 5 2" xfId="9477" xr:uid="{00000000-0005-0000-0000-0000BB270000}"/>
    <cellStyle name="나쁨 5 6" xfId="9478" xr:uid="{00000000-0005-0000-0000-0000BC270000}"/>
    <cellStyle name="나쁨 5 6 2" xfId="9479" xr:uid="{00000000-0005-0000-0000-0000BD270000}"/>
    <cellStyle name="나쁨 5 7" xfId="9480" xr:uid="{00000000-0005-0000-0000-0000BE270000}"/>
    <cellStyle name="나쁨 5 7 2" xfId="9481" xr:uid="{00000000-0005-0000-0000-0000BF270000}"/>
    <cellStyle name="나쁨 5 8" xfId="9482" xr:uid="{00000000-0005-0000-0000-0000C0270000}"/>
    <cellStyle name="나쁨 5 8 2" xfId="9483" xr:uid="{00000000-0005-0000-0000-0000C1270000}"/>
    <cellStyle name="나쁨 5 9" xfId="9484" xr:uid="{00000000-0005-0000-0000-0000C2270000}"/>
    <cellStyle name="나쁨 5 9 2" xfId="9485" xr:uid="{00000000-0005-0000-0000-0000C3270000}"/>
    <cellStyle name="나쁨 6" xfId="9486" xr:uid="{00000000-0005-0000-0000-0000C4270000}"/>
    <cellStyle name="나쁨 6 10" xfId="9487" xr:uid="{00000000-0005-0000-0000-0000C5270000}"/>
    <cellStyle name="나쁨 6 2" xfId="9488" xr:uid="{00000000-0005-0000-0000-0000C6270000}"/>
    <cellStyle name="나쁨 6 2 2" xfId="9489" xr:uid="{00000000-0005-0000-0000-0000C7270000}"/>
    <cellStyle name="나쁨 6 3" xfId="9490" xr:uid="{00000000-0005-0000-0000-0000C8270000}"/>
    <cellStyle name="나쁨 6 3 2" xfId="9491" xr:uid="{00000000-0005-0000-0000-0000C9270000}"/>
    <cellStyle name="나쁨 6 4" xfId="9492" xr:uid="{00000000-0005-0000-0000-0000CA270000}"/>
    <cellStyle name="나쁨 6 4 2" xfId="9493" xr:uid="{00000000-0005-0000-0000-0000CB270000}"/>
    <cellStyle name="나쁨 6 5" xfId="9494" xr:uid="{00000000-0005-0000-0000-0000CC270000}"/>
    <cellStyle name="나쁨 6 5 2" xfId="9495" xr:uid="{00000000-0005-0000-0000-0000CD270000}"/>
    <cellStyle name="나쁨 6 6" xfId="9496" xr:uid="{00000000-0005-0000-0000-0000CE270000}"/>
    <cellStyle name="나쁨 6 6 2" xfId="9497" xr:uid="{00000000-0005-0000-0000-0000CF270000}"/>
    <cellStyle name="나쁨 6 7" xfId="9498" xr:uid="{00000000-0005-0000-0000-0000D0270000}"/>
    <cellStyle name="나쁨 6 7 2" xfId="9499" xr:uid="{00000000-0005-0000-0000-0000D1270000}"/>
    <cellStyle name="나쁨 6 8" xfId="9500" xr:uid="{00000000-0005-0000-0000-0000D2270000}"/>
    <cellStyle name="나쁨 6 8 2" xfId="9501" xr:uid="{00000000-0005-0000-0000-0000D3270000}"/>
    <cellStyle name="나쁨 6 9" xfId="9502" xr:uid="{00000000-0005-0000-0000-0000D4270000}"/>
    <cellStyle name="나쁨 6 9 2" xfId="9503" xr:uid="{00000000-0005-0000-0000-0000D5270000}"/>
    <cellStyle name="날짜" xfId="9504" xr:uid="{00000000-0005-0000-0000-0000D6270000}"/>
    <cellStyle name="날짜 2" xfId="9505" xr:uid="{00000000-0005-0000-0000-0000D7270000}"/>
    <cellStyle name="날짜 2 2" xfId="9506" xr:uid="{00000000-0005-0000-0000-0000D8270000}"/>
    <cellStyle name="날짜 2 2 2" xfId="9507" xr:uid="{00000000-0005-0000-0000-0000D9270000}"/>
    <cellStyle name="날짜 2 3" xfId="9508" xr:uid="{00000000-0005-0000-0000-0000DA270000}"/>
    <cellStyle name="날짜 2 4" xfId="16604" xr:uid="{00000000-0005-0000-0000-0000DB270000}"/>
    <cellStyle name="날짜 3" xfId="9509" xr:uid="{00000000-0005-0000-0000-0000DC270000}"/>
    <cellStyle name="날짜 3 2" xfId="9510" xr:uid="{00000000-0005-0000-0000-0000DD270000}"/>
    <cellStyle name="날짜 3 3" xfId="16605" xr:uid="{00000000-0005-0000-0000-0000DE270000}"/>
    <cellStyle name="날짜 4" xfId="9511" xr:uid="{00000000-0005-0000-0000-0000DF270000}"/>
    <cellStyle name="날짜 4 2" xfId="9512" xr:uid="{00000000-0005-0000-0000-0000E0270000}"/>
    <cellStyle name="날짜 4 3" xfId="16606" xr:uid="{00000000-0005-0000-0000-0000E1270000}"/>
    <cellStyle name="날짜 5" xfId="9513" xr:uid="{00000000-0005-0000-0000-0000E2270000}"/>
    <cellStyle name="날짜 6" xfId="9514" xr:uid="{00000000-0005-0000-0000-0000E3270000}"/>
    <cellStyle name="날짜 7" xfId="16603" xr:uid="{00000000-0005-0000-0000-0000E4270000}"/>
    <cellStyle name="날짜_태양광견적서(부안고)" xfId="16607" xr:uid="{00000000-0005-0000-0000-0000E5270000}"/>
    <cellStyle name="내역" xfId="9515" xr:uid="{00000000-0005-0000-0000-0000E6270000}"/>
    <cellStyle name="내역 2" xfId="9516" xr:uid="{00000000-0005-0000-0000-0000E7270000}"/>
    <cellStyle name="내역서" xfId="9517" xr:uid="{00000000-0005-0000-0000-0000E8270000}"/>
    <cellStyle name="내역서 2" xfId="9518" xr:uid="{00000000-0005-0000-0000-0000E9270000}"/>
    <cellStyle name="내역서 2 2" xfId="16610" xr:uid="{00000000-0005-0000-0000-0000EA270000}"/>
    <cellStyle name="내역서 2 3" xfId="16609" xr:uid="{00000000-0005-0000-0000-0000EB270000}"/>
    <cellStyle name="내역서 3" xfId="16608" xr:uid="{00000000-0005-0000-0000-0000EC270000}"/>
    <cellStyle name="단위" xfId="9519" xr:uid="{00000000-0005-0000-0000-0000ED270000}"/>
    <cellStyle name="단위 2" xfId="9520" xr:uid="{00000000-0005-0000-0000-0000EE270000}"/>
    <cellStyle name="단위 3" xfId="16611" xr:uid="{00000000-0005-0000-0000-0000EF270000}"/>
    <cellStyle name="단위(원)" xfId="9521" xr:uid="{00000000-0005-0000-0000-0000F0270000}"/>
    <cellStyle name="단위(원) 2" xfId="9522" xr:uid="{00000000-0005-0000-0000-0000F1270000}"/>
    <cellStyle name="달러" xfId="9523" xr:uid="{00000000-0005-0000-0000-0000F2270000}"/>
    <cellStyle name="달러 2" xfId="9524" xr:uid="{00000000-0005-0000-0000-0000F3270000}"/>
    <cellStyle name="달러 2 2" xfId="9525" xr:uid="{00000000-0005-0000-0000-0000F4270000}"/>
    <cellStyle name="달러 2 2 2" xfId="9526" xr:uid="{00000000-0005-0000-0000-0000F5270000}"/>
    <cellStyle name="달러 2 3" xfId="9527" xr:uid="{00000000-0005-0000-0000-0000F6270000}"/>
    <cellStyle name="달러 2 4" xfId="16613" xr:uid="{00000000-0005-0000-0000-0000F7270000}"/>
    <cellStyle name="달러 3" xfId="9528" xr:uid="{00000000-0005-0000-0000-0000F8270000}"/>
    <cellStyle name="달러 3 2" xfId="9529" xr:uid="{00000000-0005-0000-0000-0000F9270000}"/>
    <cellStyle name="달러 3 3" xfId="16614" xr:uid="{00000000-0005-0000-0000-0000FA270000}"/>
    <cellStyle name="달러 4" xfId="9530" xr:uid="{00000000-0005-0000-0000-0000FB270000}"/>
    <cellStyle name="달러 4 2" xfId="9531" xr:uid="{00000000-0005-0000-0000-0000FC270000}"/>
    <cellStyle name="달러 4 3" xfId="16615" xr:uid="{00000000-0005-0000-0000-0000FD270000}"/>
    <cellStyle name="달러 5" xfId="9532" xr:uid="{00000000-0005-0000-0000-0000FE270000}"/>
    <cellStyle name="달러 6" xfId="9533" xr:uid="{00000000-0005-0000-0000-0000FF270000}"/>
    <cellStyle name="달러 7" xfId="16612" xr:uid="{00000000-0005-0000-0000-000000280000}"/>
    <cellStyle name="달러_태양광견적서(부안고)" xfId="16616" xr:uid="{00000000-0005-0000-0000-000001280000}"/>
    <cellStyle name="대기" xfId="16617" xr:uid="{00000000-0005-0000-0000-000002280000}"/>
    <cellStyle name="뒤에 오는 하이퍼링크" xfId="9534" xr:uid="{00000000-0005-0000-0000-000003280000}"/>
    <cellStyle name="뒤에 오는 하이퍼링크 10" xfId="9535" xr:uid="{00000000-0005-0000-0000-000004280000}"/>
    <cellStyle name="뒤에 오는 하이퍼링크 10 2" xfId="9536" xr:uid="{00000000-0005-0000-0000-000005280000}"/>
    <cellStyle name="뒤에 오는 하이퍼링크 11" xfId="9537" xr:uid="{00000000-0005-0000-0000-000006280000}"/>
    <cellStyle name="뒤에 오는 하이퍼링크 11 2" xfId="9538" xr:uid="{00000000-0005-0000-0000-000007280000}"/>
    <cellStyle name="뒤에 오는 하이퍼링크 12" xfId="9539" xr:uid="{00000000-0005-0000-0000-000008280000}"/>
    <cellStyle name="뒤에 오는 하이퍼링크 12 2" xfId="9540" xr:uid="{00000000-0005-0000-0000-000009280000}"/>
    <cellStyle name="뒤에 오는 하이퍼링크 13" xfId="9541" xr:uid="{00000000-0005-0000-0000-00000A280000}"/>
    <cellStyle name="뒤에 오는 하이퍼링크 13 2" xfId="9542" xr:uid="{00000000-0005-0000-0000-00000B280000}"/>
    <cellStyle name="뒤에 오는 하이퍼링크 14" xfId="9543" xr:uid="{00000000-0005-0000-0000-00000C280000}"/>
    <cellStyle name="뒤에 오는 하이퍼링크 15" xfId="16618" xr:uid="{00000000-0005-0000-0000-00000D280000}"/>
    <cellStyle name="뒤에 오는 하이퍼링크 2" xfId="9544" xr:uid="{00000000-0005-0000-0000-00000E280000}"/>
    <cellStyle name="뒤에 오는 하이퍼링크 2 2" xfId="9545" xr:uid="{00000000-0005-0000-0000-00000F280000}"/>
    <cellStyle name="뒤에 오는 하이퍼링크 2 2 2" xfId="9546" xr:uid="{00000000-0005-0000-0000-000010280000}"/>
    <cellStyle name="뒤에 오는 하이퍼링크 2 3" xfId="9547" xr:uid="{00000000-0005-0000-0000-000011280000}"/>
    <cellStyle name="뒤에 오는 하이퍼링크 2 4" xfId="16619" xr:uid="{00000000-0005-0000-0000-000012280000}"/>
    <cellStyle name="뒤에 오는 하이퍼링크 3" xfId="9548" xr:uid="{00000000-0005-0000-0000-000013280000}"/>
    <cellStyle name="뒤에 오는 하이퍼링크 3 2" xfId="9549" xr:uid="{00000000-0005-0000-0000-000014280000}"/>
    <cellStyle name="뒤에 오는 하이퍼링크 4" xfId="9550" xr:uid="{00000000-0005-0000-0000-000015280000}"/>
    <cellStyle name="뒤에 오는 하이퍼링크 4 2" xfId="9551" xr:uid="{00000000-0005-0000-0000-000016280000}"/>
    <cellStyle name="뒤에 오는 하이퍼링크 5" xfId="9552" xr:uid="{00000000-0005-0000-0000-000017280000}"/>
    <cellStyle name="뒤에 오는 하이퍼링크 5 2" xfId="9553" xr:uid="{00000000-0005-0000-0000-000018280000}"/>
    <cellStyle name="뒤에 오는 하이퍼링크 6" xfId="9554" xr:uid="{00000000-0005-0000-0000-000019280000}"/>
    <cellStyle name="뒤에 오는 하이퍼링크 6 2" xfId="9555" xr:uid="{00000000-0005-0000-0000-00001A280000}"/>
    <cellStyle name="뒤에 오는 하이퍼링크 7" xfId="9556" xr:uid="{00000000-0005-0000-0000-00001B280000}"/>
    <cellStyle name="뒤에 오는 하이퍼링크 7 2" xfId="9557" xr:uid="{00000000-0005-0000-0000-00001C280000}"/>
    <cellStyle name="뒤에 오는 하이퍼링크 8" xfId="9558" xr:uid="{00000000-0005-0000-0000-00001D280000}"/>
    <cellStyle name="뒤에 오는 하이퍼링크 8 2" xfId="9559" xr:uid="{00000000-0005-0000-0000-00001E280000}"/>
    <cellStyle name="뒤에 오는 하이퍼링크 9" xfId="9560" xr:uid="{00000000-0005-0000-0000-00001F280000}"/>
    <cellStyle name="뒤에 오는 하이퍼링크 9 2" xfId="9561" xr:uid="{00000000-0005-0000-0000-000020280000}"/>
    <cellStyle name="뒤에 오는 하이퍼링크_10거제모형추가B" xfId="9562" xr:uid="{00000000-0005-0000-0000-000021280000}"/>
    <cellStyle name="똿떓죶Ø? [0.00]_PRODUCT DETAIL Q1" xfId="9563" xr:uid="{00000000-0005-0000-0000-000022280000}"/>
    <cellStyle name="똿떓죶Ø?_PRODUCT DETAIL Q1" xfId="9564" xr:uid="{00000000-0005-0000-0000-000023280000}"/>
    <cellStyle name="똿떓죶Ø괻 [0.00]_PRODUCT DETAIL Q1" xfId="9565" xr:uid="{00000000-0005-0000-0000-000024280000}"/>
    <cellStyle name="똿떓죶Ø괻_PRODUCT DETAIL Q1" xfId="9566" xr:uid="{00000000-0005-0000-0000-000025280000}"/>
    <cellStyle name="똿뗦먛귟 [0.00]_laroux" xfId="9567" xr:uid="{00000000-0005-0000-0000-000026280000}"/>
    <cellStyle name="똿뗦먛귟_laroux" xfId="9568" xr:uid="{00000000-0005-0000-0000-000027280000}"/>
    <cellStyle name="메모 2" xfId="9569" xr:uid="{00000000-0005-0000-0000-000028280000}"/>
    <cellStyle name="메모 2 10" xfId="9570" xr:uid="{00000000-0005-0000-0000-000029280000}"/>
    <cellStyle name="메모 2 10 2" xfId="9571" xr:uid="{00000000-0005-0000-0000-00002A280000}"/>
    <cellStyle name="메모 2 10 2 2" xfId="9572" xr:uid="{00000000-0005-0000-0000-00002B280000}"/>
    <cellStyle name="메모 2 10 2 3" xfId="9573" xr:uid="{00000000-0005-0000-0000-00002C280000}"/>
    <cellStyle name="메모 2 10 2 4" xfId="9574" xr:uid="{00000000-0005-0000-0000-00002D280000}"/>
    <cellStyle name="메모 2 10 2 5" xfId="9575" xr:uid="{00000000-0005-0000-0000-00002E280000}"/>
    <cellStyle name="메모 2 11" xfId="9576" xr:uid="{00000000-0005-0000-0000-00002F280000}"/>
    <cellStyle name="메모 2 11 2" xfId="9577" xr:uid="{00000000-0005-0000-0000-000030280000}"/>
    <cellStyle name="메모 2 11 3" xfId="9578" xr:uid="{00000000-0005-0000-0000-000031280000}"/>
    <cellStyle name="메모 2 11 4" xfId="9579" xr:uid="{00000000-0005-0000-0000-000032280000}"/>
    <cellStyle name="메모 2 11 5" xfId="9580" xr:uid="{00000000-0005-0000-0000-000033280000}"/>
    <cellStyle name="메모 2 12" xfId="16620" xr:uid="{00000000-0005-0000-0000-000034280000}"/>
    <cellStyle name="메모 2 13" xfId="16922" xr:uid="{00000000-0005-0000-0000-000035280000}"/>
    <cellStyle name="메모 2 14" xfId="16950" xr:uid="{00000000-0005-0000-0000-000036280000}"/>
    <cellStyle name="메모 2 15" xfId="16996" xr:uid="{00000000-0005-0000-0000-000037280000}"/>
    <cellStyle name="메모 2 2" xfId="9581" xr:uid="{00000000-0005-0000-0000-000038280000}"/>
    <cellStyle name="메모 2 2 2" xfId="9582" xr:uid="{00000000-0005-0000-0000-000039280000}"/>
    <cellStyle name="메모 2 2 2 2" xfId="9583" xr:uid="{00000000-0005-0000-0000-00003A280000}"/>
    <cellStyle name="메모 2 2 2 2 2" xfId="9584" xr:uid="{00000000-0005-0000-0000-00003B280000}"/>
    <cellStyle name="메모 2 2 2 2 3" xfId="9585" xr:uid="{00000000-0005-0000-0000-00003C280000}"/>
    <cellStyle name="메모 2 2 2 2 4" xfId="9586" xr:uid="{00000000-0005-0000-0000-00003D280000}"/>
    <cellStyle name="메모 2 2 2 2 5" xfId="9587" xr:uid="{00000000-0005-0000-0000-00003E280000}"/>
    <cellStyle name="메모 2 2 3" xfId="9588" xr:uid="{00000000-0005-0000-0000-00003F280000}"/>
    <cellStyle name="메모 2 2 3 2" xfId="9589" xr:uid="{00000000-0005-0000-0000-000040280000}"/>
    <cellStyle name="메모 2 2 3 3" xfId="9590" xr:uid="{00000000-0005-0000-0000-000041280000}"/>
    <cellStyle name="메모 2 2 3 4" xfId="9591" xr:uid="{00000000-0005-0000-0000-000042280000}"/>
    <cellStyle name="메모 2 2 3 5" xfId="9592" xr:uid="{00000000-0005-0000-0000-000043280000}"/>
    <cellStyle name="메모 2 2 4" xfId="16971" xr:uid="{00000000-0005-0000-0000-000044280000}"/>
    <cellStyle name="메모 2 3" xfId="9593" xr:uid="{00000000-0005-0000-0000-000045280000}"/>
    <cellStyle name="메모 2 3 2" xfId="9594" xr:uid="{00000000-0005-0000-0000-000046280000}"/>
    <cellStyle name="메모 2 3 2 2" xfId="9595" xr:uid="{00000000-0005-0000-0000-000047280000}"/>
    <cellStyle name="메모 2 3 2 2 2" xfId="9596" xr:uid="{00000000-0005-0000-0000-000048280000}"/>
    <cellStyle name="메모 2 3 2 2 3" xfId="9597" xr:uid="{00000000-0005-0000-0000-000049280000}"/>
    <cellStyle name="메모 2 3 2 2 4" xfId="9598" xr:uid="{00000000-0005-0000-0000-00004A280000}"/>
    <cellStyle name="메모 2 3 2 2 5" xfId="9599" xr:uid="{00000000-0005-0000-0000-00004B280000}"/>
    <cellStyle name="메모 2 3 3" xfId="9600" xr:uid="{00000000-0005-0000-0000-00004C280000}"/>
    <cellStyle name="메모 2 3 3 2" xfId="9601" xr:uid="{00000000-0005-0000-0000-00004D280000}"/>
    <cellStyle name="메모 2 3 3 3" xfId="9602" xr:uid="{00000000-0005-0000-0000-00004E280000}"/>
    <cellStyle name="메모 2 3 3 4" xfId="9603" xr:uid="{00000000-0005-0000-0000-00004F280000}"/>
    <cellStyle name="메모 2 3 3 5" xfId="9604" xr:uid="{00000000-0005-0000-0000-000050280000}"/>
    <cellStyle name="메모 2 4" xfId="9605" xr:uid="{00000000-0005-0000-0000-000051280000}"/>
    <cellStyle name="메모 2 4 2" xfId="9606" xr:uid="{00000000-0005-0000-0000-000052280000}"/>
    <cellStyle name="메모 2 4 2 2" xfId="9607" xr:uid="{00000000-0005-0000-0000-000053280000}"/>
    <cellStyle name="메모 2 4 2 2 2" xfId="9608" xr:uid="{00000000-0005-0000-0000-000054280000}"/>
    <cellStyle name="메모 2 4 2 2 3" xfId="9609" xr:uid="{00000000-0005-0000-0000-000055280000}"/>
    <cellStyle name="메모 2 4 2 2 4" xfId="9610" xr:uid="{00000000-0005-0000-0000-000056280000}"/>
    <cellStyle name="메모 2 4 2 2 5" xfId="9611" xr:uid="{00000000-0005-0000-0000-000057280000}"/>
    <cellStyle name="메모 2 4 3" xfId="9612" xr:uid="{00000000-0005-0000-0000-000058280000}"/>
    <cellStyle name="메모 2 4 3 2" xfId="9613" xr:uid="{00000000-0005-0000-0000-000059280000}"/>
    <cellStyle name="메모 2 4 3 3" xfId="9614" xr:uid="{00000000-0005-0000-0000-00005A280000}"/>
    <cellStyle name="메모 2 4 3 4" xfId="9615" xr:uid="{00000000-0005-0000-0000-00005B280000}"/>
    <cellStyle name="메모 2 4 3 5" xfId="9616" xr:uid="{00000000-0005-0000-0000-00005C280000}"/>
    <cellStyle name="메모 2 5" xfId="9617" xr:uid="{00000000-0005-0000-0000-00005D280000}"/>
    <cellStyle name="메모 2 5 2" xfId="9618" xr:uid="{00000000-0005-0000-0000-00005E280000}"/>
    <cellStyle name="메모 2 5 2 2" xfId="9619" xr:uid="{00000000-0005-0000-0000-00005F280000}"/>
    <cellStyle name="메모 2 5 2 2 2" xfId="9620" xr:uid="{00000000-0005-0000-0000-000060280000}"/>
    <cellStyle name="메모 2 5 2 2 3" xfId="9621" xr:uid="{00000000-0005-0000-0000-000061280000}"/>
    <cellStyle name="메모 2 5 2 2 4" xfId="9622" xr:uid="{00000000-0005-0000-0000-000062280000}"/>
    <cellStyle name="메모 2 5 2 2 5" xfId="9623" xr:uid="{00000000-0005-0000-0000-000063280000}"/>
    <cellStyle name="메모 2 5 3" xfId="9624" xr:uid="{00000000-0005-0000-0000-000064280000}"/>
    <cellStyle name="메모 2 5 3 2" xfId="9625" xr:uid="{00000000-0005-0000-0000-000065280000}"/>
    <cellStyle name="메모 2 5 3 3" xfId="9626" xr:uid="{00000000-0005-0000-0000-000066280000}"/>
    <cellStyle name="메모 2 5 3 4" xfId="9627" xr:uid="{00000000-0005-0000-0000-000067280000}"/>
    <cellStyle name="메모 2 5 3 5" xfId="9628" xr:uid="{00000000-0005-0000-0000-000068280000}"/>
    <cellStyle name="메모 2 6" xfId="9629" xr:uid="{00000000-0005-0000-0000-000069280000}"/>
    <cellStyle name="메모 2 6 2" xfId="9630" xr:uid="{00000000-0005-0000-0000-00006A280000}"/>
    <cellStyle name="메모 2 6 2 2" xfId="9631" xr:uid="{00000000-0005-0000-0000-00006B280000}"/>
    <cellStyle name="메모 2 6 2 2 2" xfId="9632" xr:uid="{00000000-0005-0000-0000-00006C280000}"/>
    <cellStyle name="메모 2 6 2 2 3" xfId="9633" xr:uid="{00000000-0005-0000-0000-00006D280000}"/>
    <cellStyle name="메모 2 6 2 2 4" xfId="9634" xr:uid="{00000000-0005-0000-0000-00006E280000}"/>
    <cellStyle name="메모 2 6 2 2 5" xfId="9635" xr:uid="{00000000-0005-0000-0000-00006F280000}"/>
    <cellStyle name="메모 2 6 3" xfId="9636" xr:uid="{00000000-0005-0000-0000-000070280000}"/>
    <cellStyle name="메모 2 6 3 2" xfId="9637" xr:uid="{00000000-0005-0000-0000-000071280000}"/>
    <cellStyle name="메모 2 6 3 3" xfId="9638" xr:uid="{00000000-0005-0000-0000-000072280000}"/>
    <cellStyle name="메모 2 6 3 4" xfId="9639" xr:uid="{00000000-0005-0000-0000-000073280000}"/>
    <cellStyle name="메모 2 6 3 5" xfId="9640" xr:uid="{00000000-0005-0000-0000-000074280000}"/>
    <cellStyle name="메모 2 7" xfId="9641" xr:uid="{00000000-0005-0000-0000-000075280000}"/>
    <cellStyle name="메모 2 7 2" xfId="9642" xr:uid="{00000000-0005-0000-0000-000076280000}"/>
    <cellStyle name="메모 2 7 2 2" xfId="9643" xr:uid="{00000000-0005-0000-0000-000077280000}"/>
    <cellStyle name="메모 2 7 2 2 2" xfId="9644" xr:uid="{00000000-0005-0000-0000-000078280000}"/>
    <cellStyle name="메모 2 7 2 2 3" xfId="9645" xr:uid="{00000000-0005-0000-0000-000079280000}"/>
    <cellStyle name="메모 2 7 2 2 4" xfId="9646" xr:uid="{00000000-0005-0000-0000-00007A280000}"/>
    <cellStyle name="메모 2 7 2 2 5" xfId="9647" xr:uid="{00000000-0005-0000-0000-00007B280000}"/>
    <cellStyle name="메모 2 7 3" xfId="9648" xr:uid="{00000000-0005-0000-0000-00007C280000}"/>
    <cellStyle name="메모 2 7 3 2" xfId="9649" xr:uid="{00000000-0005-0000-0000-00007D280000}"/>
    <cellStyle name="메모 2 7 3 3" xfId="9650" xr:uid="{00000000-0005-0000-0000-00007E280000}"/>
    <cellStyle name="메모 2 7 3 4" xfId="9651" xr:uid="{00000000-0005-0000-0000-00007F280000}"/>
    <cellStyle name="메모 2 7 3 5" xfId="9652" xr:uid="{00000000-0005-0000-0000-000080280000}"/>
    <cellStyle name="메모 2 8" xfId="9653" xr:uid="{00000000-0005-0000-0000-000081280000}"/>
    <cellStyle name="메모 2 8 2" xfId="9654" xr:uid="{00000000-0005-0000-0000-000082280000}"/>
    <cellStyle name="메모 2 8 2 2" xfId="9655" xr:uid="{00000000-0005-0000-0000-000083280000}"/>
    <cellStyle name="메모 2 8 2 2 2" xfId="9656" xr:uid="{00000000-0005-0000-0000-000084280000}"/>
    <cellStyle name="메모 2 8 2 2 3" xfId="9657" xr:uid="{00000000-0005-0000-0000-000085280000}"/>
    <cellStyle name="메모 2 8 2 2 4" xfId="9658" xr:uid="{00000000-0005-0000-0000-000086280000}"/>
    <cellStyle name="메모 2 8 2 2 5" xfId="9659" xr:uid="{00000000-0005-0000-0000-000087280000}"/>
    <cellStyle name="메모 2 8 3" xfId="9660" xr:uid="{00000000-0005-0000-0000-000088280000}"/>
    <cellStyle name="메모 2 8 3 2" xfId="9661" xr:uid="{00000000-0005-0000-0000-000089280000}"/>
    <cellStyle name="메모 2 8 3 3" xfId="9662" xr:uid="{00000000-0005-0000-0000-00008A280000}"/>
    <cellStyle name="메모 2 8 3 4" xfId="9663" xr:uid="{00000000-0005-0000-0000-00008B280000}"/>
    <cellStyle name="메모 2 8 3 5" xfId="9664" xr:uid="{00000000-0005-0000-0000-00008C280000}"/>
    <cellStyle name="메모 2 9" xfId="9665" xr:uid="{00000000-0005-0000-0000-00008D280000}"/>
    <cellStyle name="메모 2 9 2" xfId="9666" xr:uid="{00000000-0005-0000-0000-00008E280000}"/>
    <cellStyle name="메모 2 9 2 2" xfId="9667" xr:uid="{00000000-0005-0000-0000-00008F280000}"/>
    <cellStyle name="메모 2 9 2 2 2" xfId="9668" xr:uid="{00000000-0005-0000-0000-000090280000}"/>
    <cellStyle name="메모 2 9 2 2 3" xfId="9669" xr:uid="{00000000-0005-0000-0000-000091280000}"/>
    <cellStyle name="메모 2 9 2 2 4" xfId="9670" xr:uid="{00000000-0005-0000-0000-000092280000}"/>
    <cellStyle name="메모 2 9 2 2 5" xfId="9671" xr:uid="{00000000-0005-0000-0000-000093280000}"/>
    <cellStyle name="메모 2 9 3" xfId="9672" xr:uid="{00000000-0005-0000-0000-000094280000}"/>
    <cellStyle name="메모 2 9 3 2" xfId="9673" xr:uid="{00000000-0005-0000-0000-000095280000}"/>
    <cellStyle name="메모 2 9 3 3" xfId="9674" xr:uid="{00000000-0005-0000-0000-000096280000}"/>
    <cellStyle name="메모 2 9 3 4" xfId="9675" xr:uid="{00000000-0005-0000-0000-000097280000}"/>
    <cellStyle name="메모 2 9 3 5" xfId="9676" xr:uid="{00000000-0005-0000-0000-000098280000}"/>
    <cellStyle name="메모 3" xfId="9677" xr:uid="{00000000-0005-0000-0000-000099280000}"/>
    <cellStyle name="메모 3 10" xfId="9678" xr:uid="{00000000-0005-0000-0000-00009A280000}"/>
    <cellStyle name="메모 3 10 2" xfId="9679" xr:uid="{00000000-0005-0000-0000-00009B280000}"/>
    <cellStyle name="메모 3 10 2 2" xfId="9680" xr:uid="{00000000-0005-0000-0000-00009C280000}"/>
    <cellStyle name="메모 3 10 2 3" xfId="9681" xr:uid="{00000000-0005-0000-0000-00009D280000}"/>
    <cellStyle name="메모 3 10 2 4" xfId="9682" xr:uid="{00000000-0005-0000-0000-00009E280000}"/>
    <cellStyle name="메모 3 10 2 5" xfId="9683" xr:uid="{00000000-0005-0000-0000-00009F280000}"/>
    <cellStyle name="메모 3 11" xfId="9684" xr:uid="{00000000-0005-0000-0000-0000A0280000}"/>
    <cellStyle name="메모 3 11 2" xfId="9685" xr:uid="{00000000-0005-0000-0000-0000A1280000}"/>
    <cellStyle name="메모 3 11 3" xfId="9686" xr:uid="{00000000-0005-0000-0000-0000A2280000}"/>
    <cellStyle name="메모 3 11 4" xfId="9687" xr:uid="{00000000-0005-0000-0000-0000A3280000}"/>
    <cellStyle name="메모 3 11 5" xfId="9688" xr:uid="{00000000-0005-0000-0000-0000A4280000}"/>
    <cellStyle name="메모 3 2" xfId="9689" xr:uid="{00000000-0005-0000-0000-0000A5280000}"/>
    <cellStyle name="메모 3 2 2" xfId="9690" xr:uid="{00000000-0005-0000-0000-0000A6280000}"/>
    <cellStyle name="메모 3 2 2 2" xfId="9691" xr:uid="{00000000-0005-0000-0000-0000A7280000}"/>
    <cellStyle name="메모 3 2 2 2 2" xfId="9692" xr:uid="{00000000-0005-0000-0000-0000A8280000}"/>
    <cellStyle name="메모 3 2 2 2 3" xfId="9693" xr:uid="{00000000-0005-0000-0000-0000A9280000}"/>
    <cellStyle name="메모 3 2 2 2 4" xfId="9694" xr:uid="{00000000-0005-0000-0000-0000AA280000}"/>
    <cellStyle name="메모 3 2 2 2 5" xfId="9695" xr:uid="{00000000-0005-0000-0000-0000AB280000}"/>
    <cellStyle name="메모 3 2 3" xfId="9696" xr:uid="{00000000-0005-0000-0000-0000AC280000}"/>
    <cellStyle name="메모 3 2 3 2" xfId="9697" xr:uid="{00000000-0005-0000-0000-0000AD280000}"/>
    <cellStyle name="메모 3 2 3 3" xfId="9698" xr:uid="{00000000-0005-0000-0000-0000AE280000}"/>
    <cellStyle name="메모 3 2 3 4" xfId="9699" xr:uid="{00000000-0005-0000-0000-0000AF280000}"/>
    <cellStyle name="메모 3 2 3 5" xfId="9700" xr:uid="{00000000-0005-0000-0000-0000B0280000}"/>
    <cellStyle name="메모 3 3" xfId="9701" xr:uid="{00000000-0005-0000-0000-0000B1280000}"/>
    <cellStyle name="메모 3 3 2" xfId="9702" xr:uid="{00000000-0005-0000-0000-0000B2280000}"/>
    <cellStyle name="메모 3 3 2 2" xfId="9703" xr:uid="{00000000-0005-0000-0000-0000B3280000}"/>
    <cellStyle name="메모 3 3 2 2 2" xfId="9704" xr:uid="{00000000-0005-0000-0000-0000B4280000}"/>
    <cellStyle name="메모 3 3 2 2 3" xfId="9705" xr:uid="{00000000-0005-0000-0000-0000B5280000}"/>
    <cellStyle name="메모 3 3 2 2 4" xfId="9706" xr:uid="{00000000-0005-0000-0000-0000B6280000}"/>
    <cellStyle name="메모 3 3 2 2 5" xfId="9707" xr:uid="{00000000-0005-0000-0000-0000B7280000}"/>
    <cellStyle name="메모 3 3 3" xfId="9708" xr:uid="{00000000-0005-0000-0000-0000B8280000}"/>
    <cellStyle name="메모 3 3 3 2" xfId="9709" xr:uid="{00000000-0005-0000-0000-0000B9280000}"/>
    <cellStyle name="메모 3 3 3 3" xfId="9710" xr:uid="{00000000-0005-0000-0000-0000BA280000}"/>
    <cellStyle name="메모 3 3 3 4" xfId="9711" xr:uid="{00000000-0005-0000-0000-0000BB280000}"/>
    <cellStyle name="메모 3 3 3 5" xfId="9712" xr:uid="{00000000-0005-0000-0000-0000BC280000}"/>
    <cellStyle name="메모 3 4" xfId="9713" xr:uid="{00000000-0005-0000-0000-0000BD280000}"/>
    <cellStyle name="메모 3 4 2" xfId="9714" xr:uid="{00000000-0005-0000-0000-0000BE280000}"/>
    <cellStyle name="메모 3 4 2 2" xfId="9715" xr:uid="{00000000-0005-0000-0000-0000BF280000}"/>
    <cellStyle name="메모 3 4 2 2 2" xfId="9716" xr:uid="{00000000-0005-0000-0000-0000C0280000}"/>
    <cellStyle name="메모 3 4 2 2 3" xfId="9717" xr:uid="{00000000-0005-0000-0000-0000C1280000}"/>
    <cellStyle name="메모 3 4 2 2 4" xfId="9718" xr:uid="{00000000-0005-0000-0000-0000C2280000}"/>
    <cellStyle name="메모 3 4 2 2 5" xfId="9719" xr:uid="{00000000-0005-0000-0000-0000C3280000}"/>
    <cellStyle name="메모 3 4 3" xfId="9720" xr:uid="{00000000-0005-0000-0000-0000C4280000}"/>
    <cellStyle name="메모 3 4 3 2" xfId="9721" xr:uid="{00000000-0005-0000-0000-0000C5280000}"/>
    <cellStyle name="메모 3 4 3 3" xfId="9722" xr:uid="{00000000-0005-0000-0000-0000C6280000}"/>
    <cellStyle name="메모 3 4 3 4" xfId="9723" xr:uid="{00000000-0005-0000-0000-0000C7280000}"/>
    <cellStyle name="메모 3 4 3 5" xfId="9724" xr:uid="{00000000-0005-0000-0000-0000C8280000}"/>
    <cellStyle name="메모 3 5" xfId="9725" xr:uid="{00000000-0005-0000-0000-0000C9280000}"/>
    <cellStyle name="메모 3 5 2" xfId="9726" xr:uid="{00000000-0005-0000-0000-0000CA280000}"/>
    <cellStyle name="메모 3 5 2 2" xfId="9727" xr:uid="{00000000-0005-0000-0000-0000CB280000}"/>
    <cellStyle name="메모 3 5 2 2 2" xfId="9728" xr:uid="{00000000-0005-0000-0000-0000CC280000}"/>
    <cellStyle name="메모 3 5 2 2 3" xfId="9729" xr:uid="{00000000-0005-0000-0000-0000CD280000}"/>
    <cellStyle name="메모 3 5 2 2 4" xfId="9730" xr:uid="{00000000-0005-0000-0000-0000CE280000}"/>
    <cellStyle name="메모 3 5 2 2 5" xfId="9731" xr:uid="{00000000-0005-0000-0000-0000CF280000}"/>
    <cellStyle name="메모 3 5 3" xfId="9732" xr:uid="{00000000-0005-0000-0000-0000D0280000}"/>
    <cellStyle name="메모 3 5 3 2" xfId="9733" xr:uid="{00000000-0005-0000-0000-0000D1280000}"/>
    <cellStyle name="메모 3 5 3 3" xfId="9734" xr:uid="{00000000-0005-0000-0000-0000D2280000}"/>
    <cellStyle name="메모 3 5 3 4" xfId="9735" xr:uid="{00000000-0005-0000-0000-0000D3280000}"/>
    <cellStyle name="메모 3 5 3 5" xfId="9736" xr:uid="{00000000-0005-0000-0000-0000D4280000}"/>
    <cellStyle name="메모 3 6" xfId="9737" xr:uid="{00000000-0005-0000-0000-0000D5280000}"/>
    <cellStyle name="메모 3 6 2" xfId="9738" xr:uid="{00000000-0005-0000-0000-0000D6280000}"/>
    <cellStyle name="메모 3 6 2 2" xfId="9739" xr:uid="{00000000-0005-0000-0000-0000D7280000}"/>
    <cellStyle name="메모 3 6 2 2 2" xfId="9740" xr:uid="{00000000-0005-0000-0000-0000D8280000}"/>
    <cellStyle name="메모 3 6 2 2 3" xfId="9741" xr:uid="{00000000-0005-0000-0000-0000D9280000}"/>
    <cellStyle name="메모 3 6 2 2 4" xfId="9742" xr:uid="{00000000-0005-0000-0000-0000DA280000}"/>
    <cellStyle name="메모 3 6 2 2 5" xfId="9743" xr:uid="{00000000-0005-0000-0000-0000DB280000}"/>
    <cellStyle name="메모 3 6 3" xfId="9744" xr:uid="{00000000-0005-0000-0000-0000DC280000}"/>
    <cellStyle name="메모 3 6 3 2" xfId="9745" xr:uid="{00000000-0005-0000-0000-0000DD280000}"/>
    <cellStyle name="메모 3 6 3 3" xfId="9746" xr:uid="{00000000-0005-0000-0000-0000DE280000}"/>
    <cellStyle name="메모 3 6 3 4" xfId="9747" xr:uid="{00000000-0005-0000-0000-0000DF280000}"/>
    <cellStyle name="메모 3 6 3 5" xfId="9748" xr:uid="{00000000-0005-0000-0000-0000E0280000}"/>
    <cellStyle name="메모 3 7" xfId="9749" xr:uid="{00000000-0005-0000-0000-0000E1280000}"/>
    <cellStyle name="메모 3 7 2" xfId="9750" xr:uid="{00000000-0005-0000-0000-0000E2280000}"/>
    <cellStyle name="메모 3 7 2 2" xfId="9751" xr:uid="{00000000-0005-0000-0000-0000E3280000}"/>
    <cellStyle name="메모 3 7 2 2 2" xfId="9752" xr:uid="{00000000-0005-0000-0000-0000E4280000}"/>
    <cellStyle name="메모 3 7 2 2 3" xfId="9753" xr:uid="{00000000-0005-0000-0000-0000E5280000}"/>
    <cellStyle name="메모 3 7 2 2 4" xfId="9754" xr:uid="{00000000-0005-0000-0000-0000E6280000}"/>
    <cellStyle name="메모 3 7 2 2 5" xfId="9755" xr:uid="{00000000-0005-0000-0000-0000E7280000}"/>
    <cellStyle name="메모 3 7 3" xfId="9756" xr:uid="{00000000-0005-0000-0000-0000E8280000}"/>
    <cellStyle name="메모 3 7 3 2" xfId="9757" xr:uid="{00000000-0005-0000-0000-0000E9280000}"/>
    <cellStyle name="메모 3 7 3 3" xfId="9758" xr:uid="{00000000-0005-0000-0000-0000EA280000}"/>
    <cellStyle name="메모 3 7 3 4" xfId="9759" xr:uid="{00000000-0005-0000-0000-0000EB280000}"/>
    <cellStyle name="메모 3 7 3 5" xfId="9760" xr:uid="{00000000-0005-0000-0000-0000EC280000}"/>
    <cellStyle name="메모 3 8" xfId="9761" xr:uid="{00000000-0005-0000-0000-0000ED280000}"/>
    <cellStyle name="메모 3 8 2" xfId="9762" xr:uid="{00000000-0005-0000-0000-0000EE280000}"/>
    <cellStyle name="메모 3 8 2 2" xfId="9763" xr:uid="{00000000-0005-0000-0000-0000EF280000}"/>
    <cellStyle name="메모 3 8 2 2 2" xfId="9764" xr:uid="{00000000-0005-0000-0000-0000F0280000}"/>
    <cellStyle name="메모 3 8 2 2 3" xfId="9765" xr:uid="{00000000-0005-0000-0000-0000F1280000}"/>
    <cellStyle name="메모 3 8 2 2 4" xfId="9766" xr:uid="{00000000-0005-0000-0000-0000F2280000}"/>
    <cellStyle name="메모 3 8 2 2 5" xfId="9767" xr:uid="{00000000-0005-0000-0000-0000F3280000}"/>
    <cellStyle name="메모 3 8 3" xfId="9768" xr:uid="{00000000-0005-0000-0000-0000F4280000}"/>
    <cellStyle name="메모 3 8 3 2" xfId="9769" xr:uid="{00000000-0005-0000-0000-0000F5280000}"/>
    <cellStyle name="메모 3 8 3 3" xfId="9770" xr:uid="{00000000-0005-0000-0000-0000F6280000}"/>
    <cellStyle name="메모 3 8 3 4" xfId="9771" xr:uid="{00000000-0005-0000-0000-0000F7280000}"/>
    <cellStyle name="메모 3 8 3 5" xfId="9772" xr:uid="{00000000-0005-0000-0000-0000F8280000}"/>
    <cellStyle name="메모 3 9" xfId="9773" xr:uid="{00000000-0005-0000-0000-0000F9280000}"/>
    <cellStyle name="메모 3 9 2" xfId="9774" xr:uid="{00000000-0005-0000-0000-0000FA280000}"/>
    <cellStyle name="메모 3 9 2 2" xfId="9775" xr:uid="{00000000-0005-0000-0000-0000FB280000}"/>
    <cellStyle name="메모 3 9 2 2 2" xfId="9776" xr:uid="{00000000-0005-0000-0000-0000FC280000}"/>
    <cellStyle name="메모 3 9 2 2 3" xfId="9777" xr:uid="{00000000-0005-0000-0000-0000FD280000}"/>
    <cellStyle name="메모 3 9 2 2 4" xfId="9778" xr:uid="{00000000-0005-0000-0000-0000FE280000}"/>
    <cellStyle name="메모 3 9 2 2 5" xfId="9779" xr:uid="{00000000-0005-0000-0000-0000FF280000}"/>
    <cellStyle name="메모 3 9 3" xfId="9780" xr:uid="{00000000-0005-0000-0000-000000290000}"/>
    <cellStyle name="메모 3 9 3 2" xfId="9781" xr:uid="{00000000-0005-0000-0000-000001290000}"/>
    <cellStyle name="메모 3 9 3 3" xfId="9782" xr:uid="{00000000-0005-0000-0000-000002290000}"/>
    <cellStyle name="메모 3 9 3 4" xfId="9783" xr:uid="{00000000-0005-0000-0000-000003290000}"/>
    <cellStyle name="메모 3 9 3 5" xfId="9784" xr:uid="{00000000-0005-0000-0000-000004290000}"/>
    <cellStyle name="메모 4" xfId="9785" xr:uid="{00000000-0005-0000-0000-000005290000}"/>
    <cellStyle name="메모 4 10" xfId="9786" xr:uid="{00000000-0005-0000-0000-000006290000}"/>
    <cellStyle name="메모 4 10 2" xfId="9787" xr:uid="{00000000-0005-0000-0000-000007290000}"/>
    <cellStyle name="메모 4 10 2 2" xfId="9788" xr:uid="{00000000-0005-0000-0000-000008290000}"/>
    <cellStyle name="메모 4 10 2 3" xfId="9789" xr:uid="{00000000-0005-0000-0000-000009290000}"/>
    <cellStyle name="메모 4 10 2 4" xfId="9790" xr:uid="{00000000-0005-0000-0000-00000A290000}"/>
    <cellStyle name="메모 4 10 2 5" xfId="9791" xr:uid="{00000000-0005-0000-0000-00000B290000}"/>
    <cellStyle name="메모 4 11" xfId="9792" xr:uid="{00000000-0005-0000-0000-00000C290000}"/>
    <cellStyle name="메모 4 11 2" xfId="9793" xr:uid="{00000000-0005-0000-0000-00000D290000}"/>
    <cellStyle name="메모 4 11 3" xfId="9794" xr:uid="{00000000-0005-0000-0000-00000E290000}"/>
    <cellStyle name="메모 4 11 4" xfId="9795" xr:uid="{00000000-0005-0000-0000-00000F290000}"/>
    <cellStyle name="메모 4 11 5" xfId="9796" xr:uid="{00000000-0005-0000-0000-000010290000}"/>
    <cellStyle name="메모 4 2" xfId="9797" xr:uid="{00000000-0005-0000-0000-000011290000}"/>
    <cellStyle name="메모 4 2 2" xfId="9798" xr:uid="{00000000-0005-0000-0000-000012290000}"/>
    <cellStyle name="메모 4 2 2 2" xfId="9799" xr:uid="{00000000-0005-0000-0000-000013290000}"/>
    <cellStyle name="메모 4 2 2 2 2" xfId="9800" xr:uid="{00000000-0005-0000-0000-000014290000}"/>
    <cellStyle name="메모 4 2 2 2 3" xfId="9801" xr:uid="{00000000-0005-0000-0000-000015290000}"/>
    <cellStyle name="메모 4 2 2 2 4" xfId="9802" xr:uid="{00000000-0005-0000-0000-000016290000}"/>
    <cellStyle name="메모 4 2 2 2 5" xfId="9803" xr:uid="{00000000-0005-0000-0000-000017290000}"/>
    <cellStyle name="메모 4 2 3" xfId="9804" xr:uid="{00000000-0005-0000-0000-000018290000}"/>
    <cellStyle name="메모 4 2 3 2" xfId="9805" xr:uid="{00000000-0005-0000-0000-000019290000}"/>
    <cellStyle name="메모 4 2 3 3" xfId="9806" xr:uid="{00000000-0005-0000-0000-00001A290000}"/>
    <cellStyle name="메모 4 2 3 4" xfId="9807" xr:uid="{00000000-0005-0000-0000-00001B290000}"/>
    <cellStyle name="메모 4 2 3 5" xfId="9808" xr:uid="{00000000-0005-0000-0000-00001C290000}"/>
    <cellStyle name="메모 4 3" xfId="9809" xr:uid="{00000000-0005-0000-0000-00001D290000}"/>
    <cellStyle name="메모 4 3 2" xfId="9810" xr:uid="{00000000-0005-0000-0000-00001E290000}"/>
    <cellStyle name="메모 4 3 2 2" xfId="9811" xr:uid="{00000000-0005-0000-0000-00001F290000}"/>
    <cellStyle name="메모 4 3 2 2 2" xfId="9812" xr:uid="{00000000-0005-0000-0000-000020290000}"/>
    <cellStyle name="메모 4 3 2 2 3" xfId="9813" xr:uid="{00000000-0005-0000-0000-000021290000}"/>
    <cellStyle name="메모 4 3 2 2 4" xfId="9814" xr:uid="{00000000-0005-0000-0000-000022290000}"/>
    <cellStyle name="메모 4 3 2 2 5" xfId="9815" xr:uid="{00000000-0005-0000-0000-000023290000}"/>
    <cellStyle name="메모 4 3 3" xfId="9816" xr:uid="{00000000-0005-0000-0000-000024290000}"/>
    <cellStyle name="메모 4 3 3 2" xfId="9817" xr:uid="{00000000-0005-0000-0000-000025290000}"/>
    <cellStyle name="메모 4 3 3 3" xfId="9818" xr:uid="{00000000-0005-0000-0000-000026290000}"/>
    <cellStyle name="메모 4 3 3 4" xfId="9819" xr:uid="{00000000-0005-0000-0000-000027290000}"/>
    <cellStyle name="메모 4 3 3 5" xfId="9820" xr:uid="{00000000-0005-0000-0000-000028290000}"/>
    <cellStyle name="메모 4 4" xfId="9821" xr:uid="{00000000-0005-0000-0000-000029290000}"/>
    <cellStyle name="메모 4 4 2" xfId="9822" xr:uid="{00000000-0005-0000-0000-00002A290000}"/>
    <cellStyle name="메모 4 4 2 2" xfId="9823" xr:uid="{00000000-0005-0000-0000-00002B290000}"/>
    <cellStyle name="메모 4 4 2 2 2" xfId="9824" xr:uid="{00000000-0005-0000-0000-00002C290000}"/>
    <cellStyle name="메모 4 4 2 2 3" xfId="9825" xr:uid="{00000000-0005-0000-0000-00002D290000}"/>
    <cellStyle name="메모 4 4 2 2 4" xfId="9826" xr:uid="{00000000-0005-0000-0000-00002E290000}"/>
    <cellStyle name="메모 4 4 2 2 5" xfId="9827" xr:uid="{00000000-0005-0000-0000-00002F290000}"/>
    <cellStyle name="메모 4 4 3" xfId="9828" xr:uid="{00000000-0005-0000-0000-000030290000}"/>
    <cellStyle name="메모 4 4 3 2" xfId="9829" xr:uid="{00000000-0005-0000-0000-000031290000}"/>
    <cellStyle name="메모 4 4 3 3" xfId="9830" xr:uid="{00000000-0005-0000-0000-000032290000}"/>
    <cellStyle name="메모 4 4 3 4" xfId="9831" xr:uid="{00000000-0005-0000-0000-000033290000}"/>
    <cellStyle name="메모 4 4 3 5" xfId="9832" xr:uid="{00000000-0005-0000-0000-000034290000}"/>
    <cellStyle name="메모 4 5" xfId="9833" xr:uid="{00000000-0005-0000-0000-000035290000}"/>
    <cellStyle name="메모 4 5 2" xfId="9834" xr:uid="{00000000-0005-0000-0000-000036290000}"/>
    <cellStyle name="메모 4 5 2 2" xfId="9835" xr:uid="{00000000-0005-0000-0000-000037290000}"/>
    <cellStyle name="메모 4 5 2 2 2" xfId="9836" xr:uid="{00000000-0005-0000-0000-000038290000}"/>
    <cellStyle name="메모 4 5 2 2 3" xfId="9837" xr:uid="{00000000-0005-0000-0000-000039290000}"/>
    <cellStyle name="메모 4 5 2 2 4" xfId="9838" xr:uid="{00000000-0005-0000-0000-00003A290000}"/>
    <cellStyle name="메모 4 5 2 2 5" xfId="9839" xr:uid="{00000000-0005-0000-0000-00003B290000}"/>
    <cellStyle name="메모 4 5 3" xfId="9840" xr:uid="{00000000-0005-0000-0000-00003C290000}"/>
    <cellStyle name="메모 4 5 3 2" xfId="9841" xr:uid="{00000000-0005-0000-0000-00003D290000}"/>
    <cellStyle name="메모 4 5 3 3" xfId="9842" xr:uid="{00000000-0005-0000-0000-00003E290000}"/>
    <cellStyle name="메모 4 5 3 4" xfId="9843" xr:uid="{00000000-0005-0000-0000-00003F290000}"/>
    <cellStyle name="메모 4 5 3 5" xfId="9844" xr:uid="{00000000-0005-0000-0000-000040290000}"/>
    <cellStyle name="메모 4 6" xfId="9845" xr:uid="{00000000-0005-0000-0000-000041290000}"/>
    <cellStyle name="메모 4 6 2" xfId="9846" xr:uid="{00000000-0005-0000-0000-000042290000}"/>
    <cellStyle name="메모 4 6 2 2" xfId="9847" xr:uid="{00000000-0005-0000-0000-000043290000}"/>
    <cellStyle name="메모 4 6 2 2 2" xfId="9848" xr:uid="{00000000-0005-0000-0000-000044290000}"/>
    <cellStyle name="메모 4 6 2 2 3" xfId="9849" xr:uid="{00000000-0005-0000-0000-000045290000}"/>
    <cellStyle name="메모 4 6 2 2 4" xfId="9850" xr:uid="{00000000-0005-0000-0000-000046290000}"/>
    <cellStyle name="메모 4 6 2 2 5" xfId="9851" xr:uid="{00000000-0005-0000-0000-000047290000}"/>
    <cellStyle name="메모 4 6 3" xfId="9852" xr:uid="{00000000-0005-0000-0000-000048290000}"/>
    <cellStyle name="메모 4 6 3 2" xfId="9853" xr:uid="{00000000-0005-0000-0000-000049290000}"/>
    <cellStyle name="메모 4 6 3 3" xfId="9854" xr:uid="{00000000-0005-0000-0000-00004A290000}"/>
    <cellStyle name="메모 4 6 3 4" xfId="9855" xr:uid="{00000000-0005-0000-0000-00004B290000}"/>
    <cellStyle name="메모 4 6 3 5" xfId="9856" xr:uid="{00000000-0005-0000-0000-00004C290000}"/>
    <cellStyle name="메모 4 7" xfId="9857" xr:uid="{00000000-0005-0000-0000-00004D290000}"/>
    <cellStyle name="메모 4 7 2" xfId="9858" xr:uid="{00000000-0005-0000-0000-00004E290000}"/>
    <cellStyle name="메모 4 7 2 2" xfId="9859" xr:uid="{00000000-0005-0000-0000-00004F290000}"/>
    <cellStyle name="메모 4 7 2 2 2" xfId="9860" xr:uid="{00000000-0005-0000-0000-000050290000}"/>
    <cellStyle name="메모 4 7 2 2 3" xfId="9861" xr:uid="{00000000-0005-0000-0000-000051290000}"/>
    <cellStyle name="메모 4 7 2 2 4" xfId="9862" xr:uid="{00000000-0005-0000-0000-000052290000}"/>
    <cellStyle name="메모 4 7 2 2 5" xfId="9863" xr:uid="{00000000-0005-0000-0000-000053290000}"/>
    <cellStyle name="메모 4 7 3" xfId="9864" xr:uid="{00000000-0005-0000-0000-000054290000}"/>
    <cellStyle name="메모 4 7 3 2" xfId="9865" xr:uid="{00000000-0005-0000-0000-000055290000}"/>
    <cellStyle name="메모 4 7 3 3" xfId="9866" xr:uid="{00000000-0005-0000-0000-000056290000}"/>
    <cellStyle name="메모 4 7 3 4" xfId="9867" xr:uid="{00000000-0005-0000-0000-000057290000}"/>
    <cellStyle name="메모 4 7 3 5" xfId="9868" xr:uid="{00000000-0005-0000-0000-000058290000}"/>
    <cellStyle name="메모 4 8" xfId="9869" xr:uid="{00000000-0005-0000-0000-000059290000}"/>
    <cellStyle name="메모 4 8 2" xfId="9870" xr:uid="{00000000-0005-0000-0000-00005A290000}"/>
    <cellStyle name="메모 4 8 2 2" xfId="9871" xr:uid="{00000000-0005-0000-0000-00005B290000}"/>
    <cellStyle name="메모 4 8 2 2 2" xfId="9872" xr:uid="{00000000-0005-0000-0000-00005C290000}"/>
    <cellStyle name="메모 4 8 2 2 3" xfId="9873" xr:uid="{00000000-0005-0000-0000-00005D290000}"/>
    <cellStyle name="메모 4 8 2 2 4" xfId="9874" xr:uid="{00000000-0005-0000-0000-00005E290000}"/>
    <cellStyle name="메모 4 8 2 2 5" xfId="9875" xr:uid="{00000000-0005-0000-0000-00005F290000}"/>
    <cellStyle name="메모 4 8 3" xfId="9876" xr:uid="{00000000-0005-0000-0000-000060290000}"/>
    <cellStyle name="메모 4 8 3 2" xfId="9877" xr:uid="{00000000-0005-0000-0000-000061290000}"/>
    <cellStyle name="메모 4 8 3 3" xfId="9878" xr:uid="{00000000-0005-0000-0000-000062290000}"/>
    <cellStyle name="메모 4 8 3 4" xfId="9879" xr:uid="{00000000-0005-0000-0000-000063290000}"/>
    <cellStyle name="메모 4 8 3 5" xfId="9880" xr:uid="{00000000-0005-0000-0000-000064290000}"/>
    <cellStyle name="메모 4 9" xfId="9881" xr:uid="{00000000-0005-0000-0000-000065290000}"/>
    <cellStyle name="메모 4 9 2" xfId="9882" xr:uid="{00000000-0005-0000-0000-000066290000}"/>
    <cellStyle name="메모 4 9 2 2" xfId="9883" xr:uid="{00000000-0005-0000-0000-000067290000}"/>
    <cellStyle name="메모 4 9 2 2 2" xfId="9884" xr:uid="{00000000-0005-0000-0000-000068290000}"/>
    <cellStyle name="메모 4 9 2 2 3" xfId="9885" xr:uid="{00000000-0005-0000-0000-000069290000}"/>
    <cellStyle name="메모 4 9 2 2 4" xfId="9886" xr:uid="{00000000-0005-0000-0000-00006A290000}"/>
    <cellStyle name="메모 4 9 2 2 5" xfId="9887" xr:uid="{00000000-0005-0000-0000-00006B290000}"/>
    <cellStyle name="메모 4 9 3" xfId="9888" xr:uid="{00000000-0005-0000-0000-00006C290000}"/>
    <cellStyle name="메모 4 9 3 2" xfId="9889" xr:uid="{00000000-0005-0000-0000-00006D290000}"/>
    <cellStyle name="메모 4 9 3 3" xfId="9890" xr:uid="{00000000-0005-0000-0000-00006E290000}"/>
    <cellStyle name="메모 4 9 3 4" xfId="9891" xr:uid="{00000000-0005-0000-0000-00006F290000}"/>
    <cellStyle name="메모 4 9 3 5" xfId="9892" xr:uid="{00000000-0005-0000-0000-000070290000}"/>
    <cellStyle name="메모 5" xfId="9893" xr:uid="{00000000-0005-0000-0000-000071290000}"/>
    <cellStyle name="메모 5 10" xfId="9894" xr:uid="{00000000-0005-0000-0000-000072290000}"/>
    <cellStyle name="메모 5 10 2" xfId="9895" xr:uid="{00000000-0005-0000-0000-000073290000}"/>
    <cellStyle name="메모 5 10 2 2" xfId="9896" xr:uid="{00000000-0005-0000-0000-000074290000}"/>
    <cellStyle name="메모 5 10 2 3" xfId="9897" xr:uid="{00000000-0005-0000-0000-000075290000}"/>
    <cellStyle name="메모 5 10 2 4" xfId="9898" xr:uid="{00000000-0005-0000-0000-000076290000}"/>
    <cellStyle name="메모 5 10 2 5" xfId="9899" xr:uid="{00000000-0005-0000-0000-000077290000}"/>
    <cellStyle name="메모 5 11" xfId="9900" xr:uid="{00000000-0005-0000-0000-000078290000}"/>
    <cellStyle name="메모 5 11 2" xfId="9901" xr:uid="{00000000-0005-0000-0000-000079290000}"/>
    <cellStyle name="메모 5 11 3" xfId="9902" xr:uid="{00000000-0005-0000-0000-00007A290000}"/>
    <cellStyle name="메모 5 11 4" xfId="9903" xr:uid="{00000000-0005-0000-0000-00007B290000}"/>
    <cellStyle name="메모 5 11 5" xfId="9904" xr:uid="{00000000-0005-0000-0000-00007C290000}"/>
    <cellStyle name="메모 5 2" xfId="9905" xr:uid="{00000000-0005-0000-0000-00007D290000}"/>
    <cellStyle name="메모 5 2 2" xfId="9906" xr:uid="{00000000-0005-0000-0000-00007E290000}"/>
    <cellStyle name="메모 5 2 2 2" xfId="9907" xr:uid="{00000000-0005-0000-0000-00007F290000}"/>
    <cellStyle name="메모 5 2 2 2 2" xfId="9908" xr:uid="{00000000-0005-0000-0000-000080290000}"/>
    <cellStyle name="메모 5 2 2 2 3" xfId="9909" xr:uid="{00000000-0005-0000-0000-000081290000}"/>
    <cellStyle name="메모 5 2 2 2 4" xfId="9910" xr:uid="{00000000-0005-0000-0000-000082290000}"/>
    <cellStyle name="메모 5 2 2 2 5" xfId="9911" xr:uid="{00000000-0005-0000-0000-000083290000}"/>
    <cellStyle name="메모 5 2 3" xfId="9912" xr:uid="{00000000-0005-0000-0000-000084290000}"/>
    <cellStyle name="메모 5 2 3 2" xfId="9913" xr:uid="{00000000-0005-0000-0000-000085290000}"/>
    <cellStyle name="메모 5 2 3 3" xfId="9914" xr:uid="{00000000-0005-0000-0000-000086290000}"/>
    <cellStyle name="메모 5 2 3 4" xfId="9915" xr:uid="{00000000-0005-0000-0000-000087290000}"/>
    <cellStyle name="메모 5 2 3 5" xfId="9916" xr:uid="{00000000-0005-0000-0000-000088290000}"/>
    <cellStyle name="메모 5 3" xfId="9917" xr:uid="{00000000-0005-0000-0000-000089290000}"/>
    <cellStyle name="메모 5 3 2" xfId="9918" xr:uid="{00000000-0005-0000-0000-00008A290000}"/>
    <cellStyle name="메모 5 3 2 2" xfId="9919" xr:uid="{00000000-0005-0000-0000-00008B290000}"/>
    <cellStyle name="메모 5 3 2 2 2" xfId="9920" xr:uid="{00000000-0005-0000-0000-00008C290000}"/>
    <cellStyle name="메모 5 3 2 2 3" xfId="9921" xr:uid="{00000000-0005-0000-0000-00008D290000}"/>
    <cellStyle name="메모 5 3 2 2 4" xfId="9922" xr:uid="{00000000-0005-0000-0000-00008E290000}"/>
    <cellStyle name="메모 5 3 2 2 5" xfId="9923" xr:uid="{00000000-0005-0000-0000-00008F290000}"/>
    <cellStyle name="메모 5 3 3" xfId="9924" xr:uid="{00000000-0005-0000-0000-000090290000}"/>
    <cellStyle name="메모 5 3 3 2" xfId="9925" xr:uid="{00000000-0005-0000-0000-000091290000}"/>
    <cellStyle name="메모 5 3 3 3" xfId="9926" xr:uid="{00000000-0005-0000-0000-000092290000}"/>
    <cellStyle name="메모 5 3 3 4" xfId="9927" xr:uid="{00000000-0005-0000-0000-000093290000}"/>
    <cellStyle name="메모 5 3 3 5" xfId="9928" xr:uid="{00000000-0005-0000-0000-000094290000}"/>
    <cellStyle name="메모 5 4" xfId="9929" xr:uid="{00000000-0005-0000-0000-000095290000}"/>
    <cellStyle name="메모 5 4 2" xfId="9930" xr:uid="{00000000-0005-0000-0000-000096290000}"/>
    <cellStyle name="메모 5 4 2 2" xfId="9931" xr:uid="{00000000-0005-0000-0000-000097290000}"/>
    <cellStyle name="메모 5 4 2 2 2" xfId="9932" xr:uid="{00000000-0005-0000-0000-000098290000}"/>
    <cellStyle name="메모 5 4 2 2 3" xfId="9933" xr:uid="{00000000-0005-0000-0000-000099290000}"/>
    <cellStyle name="메모 5 4 2 2 4" xfId="9934" xr:uid="{00000000-0005-0000-0000-00009A290000}"/>
    <cellStyle name="메모 5 4 2 2 5" xfId="9935" xr:uid="{00000000-0005-0000-0000-00009B290000}"/>
    <cellStyle name="메모 5 4 3" xfId="9936" xr:uid="{00000000-0005-0000-0000-00009C290000}"/>
    <cellStyle name="메모 5 4 3 2" xfId="9937" xr:uid="{00000000-0005-0000-0000-00009D290000}"/>
    <cellStyle name="메모 5 4 3 3" xfId="9938" xr:uid="{00000000-0005-0000-0000-00009E290000}"/>
    <cellStyle name="메모 5 4 3 4" xfId="9939" xr:uid="{00000000-0005-0000-0000-00009F290000}"/>
    <cellStyle name="메모 5 4 3 5" xfId="9940" xr:uid="{00000000-0005-0000-0000-0000A0290000}"/>
    <cellStyle name="메모 5 5" xfId="9941" xr:uid="{00000000-0005-0000-0000-0000A1290000}"/>
    <cellStyle name="메모 5 5 2" xfId="9942" xr:uid="{00000000-0005-0000-0000-0000A2290000}"/>
    <cellStyle name="메모 5 5 2 2" xfId="9943" xr:uid="{00000000-0005-0000-0000-0000A3290000}"/>
    <cellStyle name="메모 5 5 2 2 2" xfId="9944" xr:uid="{00000000-0005-0000-0000-0000A4290000}"/>
    <cellStyle name="메모 5 5 2 2 3" xfId="9945" xr:uid="{00000000-0005-0000-0000-0000A5290000}"/>
    <cellStyle name="메모 5 5 2 2 4" xfId="9946" xr:uid="{00000000-0005-0000-0000-0000A6290000}"/>
    <cellStyle name="메모 5 5 2 2 5" xfId="9947" xr:uid="{00000000-0005-0000-0000-0000A7290000}"/>
    <cellStyle name="메모 5 5 3" xfId="9948" xr:uid="{00000000-0005-0000-0000-0000A8290000}"/>
    <cellStyle name="메모 5 5 3 2" xfId="9949" xr:uid="{00000000-0005-0000-0000-0000A9290000}"/>
    <cellStyle name="메모 5 5 3 3" xfId="9950" xr:uid="{00000000-0005-0000-0000-0000AA290000}"/>
    <cellStyle name="메모 5 5 3 4" xfId="9951" xr:uid="{00000000-0005-0000-0000-0000AB290000}"/>
    <cellStyle name="메모 5 5 3 5" xfId="9952" xr:uid="{00000000-0005-0000-0000-0000AC290000}"/>
    <cellStyle name="메모 5 6" xfId="9953" xr:uid="{00000000-0005-0000-0000-0000AD290000}"/>
    <cellStyle name="메모 5 6 2" xfId="9954" xr:uid="{00000000-0005-0000-0000-0000AE290000}"/>
    <cellStyle name="메모 5 6 2 2" xfId="9955" xr:uid="{00000000-0005-0000-0000-0000AF290000}"/>
    <cellStyle name="메모 5 6 2 2 2" xfId="9956" xr:uid="{00000000-0005-0000-0000-0000B0290000}"/>
    <cellStyle name="메모 5 6 2 2 3" xfId="9957" xr:uid="{00000000-0005-0000-0000-0000B1290000}"/>
    <cellStyle name="메모 5 6 2 2 4" xfId="9958" xr:uid="{00000000-0005-0000-0000-0000B2290000}"/>
    <cellStyle name="메모 5 6 2 2 5" xfId="9959" xr:uid="{00000000-0005-0000-0000-0000B3290000}"/>
    <cellStyle name="메모 5 6 3" xfId="9960" xr:uid="{00000000-0005-0000-0000-0000B4290000}"/>
    <cellStyle name="메모 5 6 3 2" xfId="9961" xr:uid="{00000000-0005-0000-0000-0000B5290000}"/>
    <cellStyle name="메모 5 6 3 3" xfId="9962" xr:uid="{00000000-0005-0000-0000-0000B6290000}"/>
    <cellStyle name="메모 5 6 3 4" xfId="9963" xr:uid="{00000000-0005-0000-0000-0000B7290000}"/>
    <cellStyle name="메모 5 6 3 5" xfId="9964" xr:uid="{00000000-0005-0000-0000-0000B8290000}"/>
    <cellStyle name="메모 5 7" xfId="9965" xr:uid="{00000000-0005-0000-0000-0000B9290000}"/>
    <cellStyle name="메모 5 7 2" xfId="9966" xr:uid="{00000000-0005-0000-0000-0000BA290000}"/>
    <cellStyle name="메모 5 7 2 2" xfId="9967" xr:uid="{00000000-0005-0000-0000-0000BB290000}"/>
    <cellStyle name="메모 5 7 2 2 2" xfId="9968" xr:uid="{00000000-0005-0000-0000-0000BC290000}"/>
    <cellStyle name="메모 5 7 2 2 3" xfId="9969" xr:uid="{00000000-0005-0000-0000-0000BD290000}"/>
    <cellStyle name="메모 5 7 2 2 4" xfId="9970" xr:uid="{00000000-0005-0000-0000-0000BE290000}"/>
    <cellStyle name="메모 5 7 2 2 5" xfId="9971" xr:uid="{00000000-0005-0000-0000-0000BF290000}"/>
    <cellStyle name="메모 5 7 3" xfId="9972" xr:uid="{00000000-0005-0000-0000-0000C0290000}"/>
    <cellStyle name="메모 5 7 3 2" xfId="9973" xr:uid="{00000000-0005-0000-0000-0000C1290000}"/>
    <cellStyle name="메모 5 7 3 3" xfId="9974" xr:uid="{00000000-0005-0000-0000-0000C2290000}"/>
    <cellStyle name="메모 5 7 3 4" xfId="9975" xr:uid="{00000000-0005-0000-0000-0000C3290000}"/>
    <cellStyle name="메모 5 7 3 5" xfId="9976" xr:uid="{00000000-0005-0000-0000-0000C4290000}"/>
    <cellStyle name="메모 5 8" xfId="9977" xr:uid="{00000000-0005-0000-0000-0000C5290000}"/>
    <cellStyle name="메모 5 8 2" xfId="9978" xr:uid="{00000000-0005-0000-0000-0000C6290000}"/>
    <cellStyle name="메모 5 8 2 2" xfId="9979" xr:uid="{00000000-0005-0000-0000-0000C7290000}"/>
    <cellStyle name="메모 5 8 2 2 2" xfId="9980" xr:uid="{00000000-0005-0000-0000-0000C8290000}"/>
    <cellStyle name="메모 5 8 2 2 3" xfId="9981" xr:uid="{00000000-0005-0000-0000-0000C9290000}"/>
    <cellStyle name="메모 5 8 2 2 4" xfId="9982" xr:uid="{00000000-0005-0000-0000-0000CA290000}"/>
    <cellStyle name="메모 5 8 2 2 5" xfId="9983" xr:uid="{00000000-0005-0000-0000-0000CB290000}"/>
    <cellStyle name="메모 5 8 3" xfId="9984" xr:uid="{00000000-0005-0000-0000-0000CC290000}"/>
    <cellStyle name="메모 5 8 3 2" xfId="9985" xr:uid="{00000000-0005-0000-0000-0000CD290000}"/>
    <cellStyle name="메모 5 8 3 3" xfId="9986" xr:uid="{00000000-0005-0000-0000-0000CE290000}"/>
    <cellStyle name="메모 5 8 3 4" xfId="9987" xr:uid="{00000000-0005-0000-0000-0000CF290000}"/>
    <cellStyle name="메모 5 8 3 5" xfId="9988" xr:uid="{00000000-0005-0000-0000-0000D0290000}"/>
    <cellStyle name="메모 5 9" xfId="9989" xr:uid="{00000000-0005-0000-0000-0000D1290000}"/>
    <cellStyle name="메모 5 9 2" xfId="9990" xr:uid="{00000000-0005-0000-0000-0000D2290000}"/>
    <cellStyle name="메모 5 9 2 2" xfId="9991" xr:uid="{00000000-0005-0000-0000-0000D3290000}"/>
    <cellStyle name="메모 5 9 2 2 2" xfId="9992" xr:uid="{00000000-0005-0000-0000-0000D4290000}"/>
    <cellStyle name="메모 5 9 2 2 3" xfId="9993" xr:uid="{00000000-0005-0000-0000-0000D5290000}"/>
    <cellStyle name="메모 5 9 2 2 4" xfId="9994" xr:uid="{00000000-0005-0000-0000-0000D6290000}"/>
    <cellStyle name="메모 5 9 2 2 5" xfId="9995" xr:uid="{00000000-0005-0000-0000-0000D7290000}"/>
    <cellStyle name="메모 5 9 3" xfId="9996" xr:uid="{00000000-0005-0000-0000-0000D8290000}"/>
    <cellStyle name="메모 5 9 3 2" xfId="9997" xr:uid="{00000000-0005-0000-0000-0000D9290000}"/>
    <cellStyle name="메모 5 9 3 3" xfId="9998" xr:uid="{00000000-0005-0000-0000-0000DA290000}"/>
    <cellStyle name="메모 5 9 3 4" xfId="9999" xr:uid="{00000000-0005-0000-0000-0000DB290000}"/>
    <cellStyle name="메모 5 9 3 5" xfId="10000" xr:uid="{00000000-0005-0000-0000-0000DC290000}"/>
    <cellStyle name="메모 6" xfId="10001" xr:uid="{00000000-0005-0000-0000-0000DD290000}"/>
    <cellStyle name="메모 6 10" xfId="10002" xr:uid="{00000000-0005-0000-0000-0000DE290000}"/>
    <cellStyle name="메모 6 10 2" xfId="10003" xr:uid="{00000000-0005-0000-0000-0000DF290000}"/>
    <cellStyle name="메모 6 10 2 2" xfId="10004" xr:uid="{00000000-0005-0000-0000-0000E0290000}"/>
    <cellStyle name="메모 6 10 2 3" xfId="10005" xr:uid="{00000000-0005-0000-0000-0000E1290000}"/>
    <cellStyle name="메모 6 10 2 4" xfId="10006" xr:uid="{00000000-0005-0000-0000-0000E2290000}"/>
    <cellStyle name="메모 6 10 2 5" xfId="10007" xr:uid="{00000000-0005-0000-0000-0000E3290000}"/>
    <cellStyle name="메모 6 11" xfId="10008" xr:uid="{00000000-0005-0000-0000-0000E4290000}"/>
    <cellStyle name="메모 6 11 2" xfId="10009" xr:uid="{00000000-0005-0000-0000-0000E5290000}"/>
    <cellStyle name="메모 6 11 3" xfId="10010" xr:uid="{00000000-0005-0000-0000-0000E6290000}"/>
    <cellStyle name="메모 6 11 4" xfId="10011" xr:uid="{00000000-0005-0000-0000-0000E7290000}"/>
    <cellStyle name="메모 6 11 5" xfId="10012" xr:uid="{00000000-0005-0000-0000-0000E8290000}"/>
    <cellStyle name="메모 6 2" xfId="10013" xr:uid="{00000000-0005-0000-0000-0000E9290000}"/>
    <cellStyle name="메모 6 2 2" xfId="10014" xr:uid="{00000000-0005-0000-0000-0000EA290000}"/>
    <cellStyle name="메모 6 2 2 2" xfId="10015" xr:uid="{00000000-0005-0000-0000-0000EB290000}"/>
    <cellStyle name="메모 6 2 2 2 2" xfId="10016" xr:uid="{00000000-0005-0000-0000-0000EC290000}"/>
    <cellStyle name="메모 6 2 2 2 3" xfId="10017" xr:uid="{00000000-0005-0000-0000-0000ED290000}"/>
    <cellStyle name="메모 6 2 2 2 4" xfId="10018" xr:uid="{00000000-0005-0000-0000-0000EE290000}"/>
    <cellStyle name="메모 6 2 2 2 5" xfId="10019" xr:uid="{00000000-0005-0000-0000-0000EF290000}"/>
    <cellStyle name="메모 6 2 3" xfId="10020" xr:uid="{00000000-0005-0000-0000-0000F0290000}"/>
    <cellStyle name="메모 6 2 3 2" xfId="10021" xr:uid="{00000000-0005-0000-0000-0000F1290000}"/>
    <cellStyle name="메모 6 2 3 3" xfId="10022" xr:uid="{00000000-0005-0000-0000-0000F2290000}"/>
    <cellStyle name="메모 6 2 3 4" xfId="10023" xr:uid="{00000000-0005-0000-0000-0000F3290000}"/>
    <cellStyle name="메모 6 2 3 5" xfId="10024" xr:uid="{00000000-0005-0000-0000-0000F4290000}"/>
    <cellStyle name="메모 6 3" xfId="10025" xr:uid="{00000000-0005-0000-0000-0000F5290000}"/>
    <cellStyle name="메모 6 3 2" xfId="10026" xr:uid="{00000000-0005-0000-0000-0000F6290000}"/>
    <cellStyle name="메모 6 3 2 2" xfId="10027" xr:uid="{00000000-0005-0000-0000-0000F7290000}"/>
    <cellStyle name="메모 6 3 2 2 2" xfId="10028" xr:uid="{00000000-0005-0000-0000-0000F8290000}"/>
    <cellStyle name="메모 6 3 2 2 3" xfId="10029" xr:uid="{00000000-0005-0000-0000-0000F9290000}"/>
    <cellStyle name="메모 6 3 2 2 4" xfId="10030" xr:uid="{00000000-0005-0000-0000-0000FA290000}"/>
    <cellStyle name="메모 6 3 2 2 5" xfId="10031" xr:uid="{00000000-0005-0000-0000-0000FB290000}"/>
    <cellStyle name="메모 6 3 3" xfId="10032" xr:uid="{00000000-0005-0000-0000-0000FC290000}"/>
    <cellStyle name="메모 6 3 3 2" xfId="10033" xr:uid="{00000000-0005-0000-0000-0000FD290000}"/>
    <cellStyle name="메모 6 3 3 3" xfId="10034" xr:uid="{00000000-0005-0000-0000-0000FE290000}"/>
    <cellStyle name="메모 6 3 3 4" xfId="10035" xr:uid="{00000000-0005-0000-0000-0000FF290000}"/>
    <cellStyle name="메모 6 3 3 5" xfId="10036" xr:uid="{00000000-0005-0000-0000-0000002A0000}"/>
    <cellStyle name="메모 6 4" xfId="10037" xr:uid="{00000000-0005-0000-0000-0000012A0000}"/>
    <cellStyle name="메모 6 4 2" xfId="10038" xr:uid="{00000000-0005-0000-0000-0000022A0000}"/>
    <cellStyle name="메모 6 4 2 2" xfId="10039" xr:uid="{00000000-0005-0000-0000-0000032A0000}"/>
    <cellStyle name="메모 6 4 2 2 2" xfId="10040" xr:uid="{00000000-0005-0000-0000-0000042A0000}"/>
    <cellStyle name="메모 6 4 2 2 3" xfId="10041" xr:uid="{00000000-0005-0000-0000-0000052A0000}"/>
    <cellStyle name="메모 6 4 2 2 4" xfId="10042" xr:uid="{00000000-0005-0000-0000-0000062A0000}"/>
    <cellStyle name="메모 6 4 2 2 5" xfId="10043" xr:uid="{00000000-0005-0000-0000-0000072A0000}"/>
    <cellStyle name="메모 6 4 3" xfId="10044" xr:uid="{00000000-0005-0000-0000-0000082A0000}"/>
    <cellStyle name="메모 6 4 3 2" xfId="10045" xr:uid="{00000000-0005-0000-0000-0000092A0000}"/>
    <cellStyle name="메모 6 4 3 3" xfId="10046" xr:uid="{00000000-0005-0000-0000-00000A2A0000}"/>
    <cellStyle name="메모 6 4 3 4" xfId="10047" xr:uid="{00000000-0005-0000-0000-00000B2A0000}"/>
    <cellStyle name="메모 6 4 3 5" xfId="10048" xr:uid="{00000000-0005-0000-0000-00000C2A0000}"/>
    <cellStyle name="메모 6 5" xfId="10049" xr:uid="{00000000-0005-0000-0000-00000D2A0000}"/>
    <cellStyle name="메모 6 5 2" xfId="10050" xr:uid="{00000000-0005-0000-0000-00000E2A0000}"/>
    <cellStyle name="메모 6 5 2 2" xfId="10051" xr:uid="{00000000-0005-0000-0000-00000F2A0000}"/>
    <cellStyle name="메모 6 5 2 2 2" xfId="10052" xr:uid="{00000000-0005-0000-0000-0000102A0000}"/>
    <cellStyle name="메모 6 5 2 2 3" xfId="10053" xr:uid="{00000000-0005-0000-0000-0000112A0000}"/>
    <cellStyle name="메모 6 5 2 2 4" xfId="10054" xr:uid="{00000000-0005-0000-0000-0000122A0000}"/>
    <cellStyle name="메모 6 5 2 2 5" xfId="10055" xr:uid="{00000000-0005-0000-0000-0000132A0000}"/>
    <cellStyle name="메모 6 5 3" xfId="10056" xr:uid="{00000000-0005-0000-0000-0000142A0000}"/>
    <cellStyle name="메모 6 5 3 2" xfId="10057" xr:uid="{00000000-0005-0000-0000-0000152A0000}"/>
    <cellStyle name="메모 6 5 3 3" xfId="10058" xr:uid="{00000000-0005-0000-0000-0000162A0000}"/>
    <cellStyle name="메모 6 5 3 4" xfId="10059" xr:uid="{00000000-0005-0000-0000-0000172A0000}"/>
    <cellStyle name="메모 6 5 3 5" xfId="10060" xr:uid="{00000000-0005-0000-0000-0000182A0000}"/>
    <cellStyle name="메모 6 6" xfId="10061" xr:uid="{00000000-0005-0000-0000-0000192A0000}"/>
    <cellStyle name="메모 6 6 2" xfId="10062" xr:uid="{00000000-0005-0000-0000-00001A2A0000}"/>
    <cellStyle name="메모 6 6 2 2" xfId="10063" xr:uid="{00000000-0005-0000-0000-00001B2A0000}"/>
    <cellStyle name="메모 6 6 2 2 2" xfId="10064" xr:uid="{00000000-0005-0000-0000-00001C2A0000}"/>
    <cellStyle name="메모 6 6 2 2 3" xfId="10065" xr:uid="{00000000-0005-0000-0000-00001D2A0000}"/>
    <cellStyle name="메모 6 6 2 2 4" xfId="10066" xr:uid="{00000000-0005-0000-0000-00001E2A0000}"/>
    <cellStyle name="메모 6 6 2 2 5" xfId="10067" xr:uid="{00000000-0005-0000-0000-00001F2A0000}"/>
    <cellStyle name="메모 6 6 3" xfId="10068" xr:uid="{00000000-0005-0000-0000-0000202A0000}"/>
    <cellStyle name="메모 6 6 3 2" xfId="10069" xr:uid="{00000000-0005-0000-0000-0000212A0000}"/>
    <cellStyle name="메모 6 6 3 3" xfId="10070" xr:uid="{00000000-0005-0000-0000-0000222A0000}"/>
    <cellStyle name="메모 6 6 3 4" xfId="10071" xr:uid="{00000000-0005-0000-0000-0000232A0000}"/>
    <cellStyle name="메모 6 6 3 5" xfId="10072" xr:uid="{00000000-0005-0000-0000-0000242A0000}"/>
    <cellStyle name="메모 6 7" xfId="10073" xr:uid="{00000000-0005-0000-0000-0000252A0000}"/>
    <cellStyle name="메모 6 7 2" xfId="10074" xr:uid="{00000000-0005-0000-0000-0000262A0000}"/>
    <cellStyle name="메모 6 7 2 2" xfId="10075" xr:uid="{00000000-0005-0000-0000-0000272A0000}"/>
    <cellStyle name="메모 6 7 2 2 2" xfId="10076" xr:uid="{00000000-0005-0000-0000-0000282A0000}"/>
    <cellStyle name="메모 6 7 2 2 3" xfId="10077" xr:uid="{00000000-0005-0000-0000-0000292A0000}"/>
    <cellStyle name="메모 6 7 2 2 4" xfId="10078" xr:uid="{00000000-0005-0000-0000-00002A2A0000}"/>
    <cellStyle name="메모 6 7 2 2 5" xfId="10079" xr:uid="{00000000-0005-0000-0000-00002B2A0000}"/>
    <cellStyle name="메모 6 7 3" xfId="10080" xr:uid="{00000000-0005-0000-0000-00002C2A0000}"/>
    <cellStyle name="메모 6 7 3 2" xfId="10081" xr:uid="{00000000-0005-0000-0000-00002D2A0000}"/>
    <cellStyle name="메모 6 7 3 3" xfId="10082" xr:uid="{00000000-0005-0000-0000-00002E2A0000}"/>
    <cellStyle name="메모 6 7 3 4" xfId="10083" xr:uid="{00000000-0005-0000-0000-00002F2A0000}"/>
    <cellStyle name="메모 6 7 3 5" xfId="10084" xr:uid="{00000000-0005-0000-0000-0000302A0000}"/>
    <cellStyle name="메모 6 8" xfId="10085" xr:uid="{00000000-0005-0000-0000-0000312A0000}"/>
    <cellStyle name="메모 6 8 2" xfId="10086" xr:uid="{00000000-0005-0000-0000-0000322A0000}"/>
    <cellStyle name="메모 6 8 2 2" xfId="10087" xr:uid="{00000000-0005-0000-0000-0000332A0000}"/>
    <cellStyle name="메모 6 8 2 2 2" xfId="10088" xr:uid="{00000000-0005-0000-0000-0000342A0000}"/>
    <cellStyle name="메모 6 8 2 2 3" xfId="10089" xr:uid="{00000000-0005-0000-0000-0000352A0000}"/>
    <cellStyle name="메모 6 8 2 2 4" xfId="10090" xr:uid="{00000000-0005-0000-0000-0000362A0000}"/>
    <cellStyle name="메모 6 8 2 2 5" xfId="10091" xr:uid="{00000000-0005-0000-0000-0000372A0000}"/>
    <cellStyle name="메모 6 8 3" xfId="10092" xr:uid="{00000000-0005-0000-0000-0000382A0000}"/>
    <cellStyle name="메모 6 8 3 2" xfId="10093" xr:uid="{00000000-0005-0000-0000-0000392A0000}"/>
    <cellStyle name="메모 6 8 3 3" xfId="10094" xr:uid="{00000000-0005-0000-0000-00003A2A0000}"/>
    <cellStyle name="메모 6 8 3 4" xfId="10095" xr:uid="{00000000-0005-0000-0000-00003B2A0000}"/>
    <cellStyle name="메모 6 8 3 5" xfId="10096" xr:uid="{00000000-0005-0000-0000-00003C2A0000}"/>
    <cellStyle name="메모 6 9" xfId="10097" xr:uid="{00000000-0005-0000-0000-00003D2A0000}"/>
    <cellStyle name="메모 6 9 2" xfId="10098" xr:uid="{00000000-0005-0000-0000-00003E2A0000}"/>
    <cellStyle name="메모 6 9 2 2" xfId="10099" xr:uid="{00000000-0005-0000-0000-00003F2A0000}"/>
    <cellStyle name="메모 6 9 2 2 2" xfId="10100" xr:uid="{00000000-0005-0000-0000-0000402A0000}"/>
    <cellStyle name="메모 6 9 2 2 3" xfId="10101" xr:uid="{00000000-0005-0000-0000-0000412A0000}"/>
    <cellStyle name="메모 6 9 2 2 4" xfId="10102" xr:uid="{00000000-0005-0000-0000-0000422A0000}"/>
    <cellStyle name="메모 6 9 2 2 5" xfId="10103" xr:uid="{00000000-0005-0000-0000-0000432A0000}"/>
    <cellStyle name="메모 6 9 3" xfId="10104" xr:uid="{00000000-0005-0000-0000-0000442A0000}"/>
    <cellStyle name="메모 6 9 3 2" xfId="10105" xr:uid="{00000000-0005-0000-0000-0000452A0000}"/>
    <cellStyle name="메모 6 9 3 3" xfId="10106" xr:uid="{00000000-0005-0000-0000-0000462A0000}"/>
    <cellStyle name="메모 6 9 3 4" xfId="10107" xr:uid="{00000000-0005-0000-0000-0000472A0000}"/>
    <cellStyle name="메모 6 9 3 5" xfId="10108" xr:uid="{00000000-0005-0000-0000-0000482A0000}"/>
    <cellStyle name="묮뎋 [0.00]_PRODUCT DETAIL Q1" xfId="10109" xr:uid="{00000000-0005-0000-0000-0000492A0000}"/>
    <cellStyle name="묮뎋_PRODUCT DETAIL Q1" xfId="10110" xr:uid="{00000000-0005-0000-0000-00004A2A0000}"/>
    <cellStyle name="믅됞 [0.00]_laroux" xfId="10111" xr:uid="{00000000-0005-0000-0000-00004B2A0000}"/>
    <cellStyle name="믅됞_laroux" xfId="10112" xr:uid="{00000000-0005-0000-0000-00004C2A0000}"/>
    <cellStyle name="未定義" xfId="10113" xr:uid="{00000000-0005-0000-0000-00004D2A0000}"/>
    <cellStyle name="未定義 2" xfId="10114" xr:uid="{00000000-0005-0000-0000-00004E2A0000}"/>
    <cellStyle name="배분" xfId="10115" xr:uid="{00000000-0005-0000-0000-00004F2A0000}"/>
    <cellStyle name="배분 2" xfId="16621" xr:uid="{00000000-0005-0000-0000-0000502A0000}"/>
    <cellStyle name="백" xfId="16622" xr:uid="{00000000-0005-0000-0000-0000512A0000}"/>
    <cellStyle name="백 " xfId="10116" xr:uid="{00000000-0005-0000-0000-0000522A0000}"/>
    <cellStyle name="백분율 [△1]" xfId="10117" xr:uid="{00000000-0005-0000-0000-0000542A0000}"/>
    <cellStyle name="백분율 [△1] 2" xfId="16623" xr:uid="{00000000-0005-0000-0000-0000552A0000}"/>
    <cellStyle name="백분율 [△2]" xfId="10118" xr:uid="{00000000-0005-0000-0000-0000562A0000}"/>
    <cellStyle name="백분율 [△2] 2" xfId="16624" xr:uid="{00000000-0005-0000-0000-0000572A0000}"/>
    <cellStyle name="백분율 [0]" xfId="10119" xr:uid="{00000000-0005-0000-0000-0000582A0000}"/>
    <cellStyle name="백분율 [0] 2" xfId="10120" xr:uid="{00000000-0005-0000-0000-0000592A0000}"/>
    <cellStyle name="백분율 [0] 3" xfId="16625" xr:uid="{00000000-0005-0000-0000-00005A2A0000}"/>
    <cellStyle name="백분율 [2]" xfId="10121" xr:uid="{00000000-0005-0000-0000-00005B2A0000}"/>
    <cellStyle name="백분율 [2] 2" xfId="10122" xr:uid="{00000000-0005-0000-0000-00005C2A0000}"/>
    <cellStyle name="백분율 [2] 3" xfId="16626" xr:uid="{00000000-0005-0000-0000-00005D2A0000}"/>
    <cellStyle name="백분율 10" xfId="15936" xr:uid="{00000000-0005-0000-0000-00005E2A0000}"/>
    <cellStyle name="백분율 11" xfId="15940" xr:uid="{00000000-0005-0000-0000-00005F2A0000}"/>
    <cellStyle name="백분율 12" xfId="15944" xr:uid="{00000000-0005-0000-0000-0000602A0000}"/>
    <cellStyle name="백분율 13" xfId="16970" xr:uid="{00000000-0005-0000-0000-0000612A0000}"/>
    <cellStyle name="백분율 14" xfId="16961" xr:uid="{00000000-0005-0000-0000-0000622A0000}"/>
    <cellStyle name="백분율 2" xfId="10123" xr:uid="{00000000-0005-0000-0000-0000632A0000}"/>
    <cellStyle name="백분율 2 2" xfId="10124" xr:uid="{00000000-0005-0000-0000-0000642A0000}"/>
    <cellStyle name="백분율 2 2 2" xfId="10125" xr:uid="{00000000-0005-0000-0000-0000652A0000}"/>
    <cellStyle name="백분율 2 2 2 2" xfId="16826" xr:uid="{00000000-0005-0000-0000-0000662A0000}"/>
    <cellStyle name="백분율 2 2 2 3" xfId="16965" xr:uid="{00000000-0005-0000-0000-0000672A0000}"/>
    <cellStyle name="백분율 2 2 3" xfId="16628" xr:uid="{00000000-0005-0000-0000-0000682A0000}"/>
    <cellStyle name="백분율 2 2 4" xfId="16949" xr:uid="{00000000-0005-0000-0000-0000692A0000}"/>
    <cellStyle name="백분율 2 3" xfId="10126" xr:uid="{00000000-0005-0000-0000-00006A2A0000}"/>
    <cellStyle name="백분율 2 3 2" xfId="16805" xr:uid="{00000000-0005-0000-0000-00006B2A0000}"/>
    <cellStyle name="백분율 2 4" xfId="10127" xr:uid="{00000000-0005-0000-0000-00006C2A0000}"/>
    <cellStyle name="백분율 2 5" xfId="16627" xr:uid="{00000000-0005-0000-0000-00006D2A0000}"/>
    <cellStyle name="백분율 3" xfId="10128" xr:uid="{00000000-0005-0000-0000-00006E2A0000}"/>
    <cellStyle name="백분율 3 2" xfId="10129" xr:uid="{00000000-0005-0000-0000-00006F2A0000}"/>
    <cellStyle name="백분율 3 2 2" xfId="16827" xr:uid="{00000000-0005-0000-0000-0000702A0000}"/>
    <cellStyle name="백분율 3 3" xfId="10130" xr:uid="{00000000-0005-0000-0000-0000712A0000}"/>
    <cellStyle name="백분율 3 3 2" xfId="16806" xr:uid="{00000000-0005-0000-0000-0000722A0000}"/>
    <cellStyle name="백분율 3 4" xfId="16629" xr:uid="{00000000-0005-0000-0000-0000732A0000}"/>
    <cellStyle name="백분율 4" xfId="10131" xr:uid="{00000000-0005-0000-0000-0000742A0000}"/>
    <cellStyle name="백분율 4 2" xfId="10132" xr:uid="{00000000-0005-0000-0000-0000752A0000}"/>
    <cellStyle name="백분율 4 2 2" xfId="16835" xr:uid="{00000000-0005-0000-0000-0000762A0000}"/>
    <cellStyle name="백분율 4 3" xfId="10133" xr:uid="{00000000-0005-0000-0000-0000772A0000}"/>
    <cellStyle name="백분율 4 4" xfId="16807" xr:uid="{00000000-0005-0000-0000-0000782A0000}"/>
    <cellStyle name="백분율 5" xfId="10134" xr:uid="{00000000-0005-0000-0000-0000792A0000}"/>
    <cellStyle name="백분율 5 2" xfId="16969" xr:uid="{00000000-0005-0000-0000-00007A2A0000}"/>
    <cellStyle name="백분율 6" xfId="10135" xr:uid="{00000000-0005-0000-0000-00007B2A0000}"/>
    <cellStyle name="백분율 7" xfId="15896" xr:uid="{00000000-0005-0000-0000-00007C2A0000}"/>
    <cellStyle name="백분율 8" xfId="15928" xr:uid="{00000000-0005-0000-0000-00007D2A0000}"/>
    <cellStyle name="백분율 9" xfId="15932" xr:uid="{00000000-0005-0000-0000-00007E2A0000}"/>
    <cellStyle name="백분율(2no%)" xfId="10136" xr:uid="{00000000-0005-0000-0000-00007F2A0000}"/>
    <cellStyle name="백분율(3no%)" xfId="10137" xr:uid="{00000000-0005-0000-0000-0000802A0000}"/>
    <cellStyle name="백분율(no%)" xfId="10138" xr:uid="{00000000-0005-0000-0000-0000812A0000}"/>
    <cellStyle name="백분율(손익)" xfId="10139" xr:uid="{00000000-0005-0000-0000-0000822A0000}"/>
    <cellStyle name="백분율(수주)" xfId="10140" xr:uid="{00000000-0005-0000-0000-0000832A0000}"/>
    <cellStyle name="백분율［△1］" xfId="10141" xr:uid="{00000000-0005-0000-0000-0000842A0000}"/>
    <cellStyle name="백분율［△1］ 2" xfId="16630" xr:uid="{00000000-0005-0000-0000-0000852A0000}"/>
    <cellStyle name="백분율［△2］" xfId="10142" xr:uid="{00000000-0005-0000-0000-0000862A0000}"/>
    <cellStyle name="백분율［△2］ 2" xfId="16631" xr:uid="{00000000-0005-0000-0000-0000872A0000}"/>
    <cellStyle name="병합 후 가운데 맞춤" xfId="10143" xr:uid="{00000000-0005-0000-0000-0000882A0000}"/>
    <cellStyle name="병합 후 가운데 맞춤 2" xfId="16632" xr:uid="{00000000-0005-0000-0000-0000892A0000}"/>
    <cellStyle name="병합 후 가운데 정열" xfId="10144" xr:uid="{00000000-0005-0000-0000-00008A2A0000}"/>
    <cellStyle name="병합 후 가운데 정열 2" xfId="16633" xr:uid="{00000000-0005-0000-0000-00008B2A0000}"/>
    <cellStyle name="보통 2" xfId="10145" xr:uid="{00000000-0005-0000-0000-00008C2A0000}"/>
    <cellStyle name="보통 2 10" xfId="10146" xr:uid="{00000000-0005-0000-0000-00008D2A0000}"/>
    <cellStyle name="보통 2 11" xfId="16634" xr:uid="{00000000-0005-0000-0000-00008E2A0000}"/>
    <cellStyle name="보통 2 2" xfId="10147" xr:uid="{00000000-0005-0000-0000-00008F2A0000}"/>
    <cellStyle name="보통 2 2 2" xfId="10148" xr:uid="{00000000-0005-0000-0000-0000902A0000}"/>
    <cellStyle name="보통 2 2 3" xfId="16808" xr:uid="{00000000-0005-0000-0000-0000912A0000}"/>
    <cellStyle name="보통 2 3" xfId="10149" xr:uid="{00000000-0005-0000-0000-0000922A0000}"/>
    <cellStyle name="보통 2 3 2" xfId="10150" xr:uid="{00000000-0005-0000-0000-0000932A0000}"/>
    <cellStyle name="보통 2 4" xfId="10151" xr:uid="{00000000-0005-0000-0000-0000942A0000}"/>
    <cellStyle name="보통 2 4 2" xfId="10152" xr:uid="{00000000-0005-0000-0000-0000952A0000}"/>
    <cellStyle name="보통 2 5" xfId="10153" xr:uid="{00000000-0005-0000-0000-0000962A0000}"/>
    <cellStyle name="보통 2 5 2" xfId="10154" xr:uid="{00000000-0005-0000-0000-0000972A0000}"/>
    <cellStyle name="보통 2 6" xfId="10155" xr:uid="{00000000-0005-0000-0000-0000982A0000}"/>
    <cellStyle name="보통 2 6 2" xfId="10156" xr:uid="{00000000-0005-0000-0000-0000992A0000}"/>
    <cellStyle name="보통 2 7" xfId="10157" xr:uid="{00000000-0005-0000-0000-00009A2A0000}"/>
    <cellStyle name="보통 2 7 2" xfId="10158" xr:uid="{00000000-0005-0000-0000-00009B2A0000}"/>
    <cellStyle name="보통 2 8" xfId="10159" xr:uid="{00000000-0005-0000-0000-00009C2A0000}"/>
    <cellStyle name="보통 2 8 2" xfId="10160" xr:uid="{00000000-0005-0000-0000-00009D2A0000}"/>
    <cellStyle name="보통 2 9" xfId="10161" xr:uid="{00000000-0005-0000-0000-00009E2A0000}"/>
    <cellStyle name="보통 2 9 2" xfId="10162" xr:uid="{00000000-0005-0000-0000-00009F2A0000}"/>
    <cellStyle name="보통 3" xfId="10163" xr:uid="{00000000-0005-0000-0000-0000A02A0000}"/>
    <cellStyle name="보통 3 10" xfId="10164" xr:uid="{00000000-0005-0000-0000-0000A12A0000}"/>
    <cellStyle name="보통 3 11" xfId="16809" xr:uid="{00000000-0005-0000-0000-0000A22A0000}"/>
    <cellStyle name="보통 3 2" xfId="10165" xr:uid="{00000000-0005-0000-0000-0000A32A0000}"/>
    <cellStyle name="보통 3 2 2" xfId="10166" xr:uid="{00000000-0005-0000-0000-0000A42A0000}"/>
    <cellStyle name="보통 3 3" xfId="10167" xr:uid="{00000000-0005-0000-0000-0000A52A0000}"/>
    <cellStyle name="보통 3 3 2" xfId="10168" xr:uid="{00000000-0005-0000-0000-0000A62A0000}"/>
    <cellStyle name="보통 3 4" xfId="10169" xr:uid="{00000000-0005-0000-0000-0000A72A0000}"/>
    <cellStyle name="보통 3 4 2" xfId="10170" xr:uid="{00000000-0005-0000-0000-0000A82A0000}"/>
    <cellStyle name="보통 3 5" xfId="10171" xr:uid="{00000000-0005-0000-0000-0000A92A0000}"/>
    <cellStyle name="보통 3 5 2" xfId="10172" xr:uid="{00000000-0005-0000-0000-0000AA2A0000}"/>
    <cellStyle name="보통 3 6" xfId="10173" xr:uid="{00000000-0005-0000-0000-0000AB2A0000}"/>
    <cellStyle name="보통 3 6 2" xfId="10174" xr:uid="{00000000-0005-0000-0000-0000AC2A0000}"/>
    <cellStyle name="보통 3 7" xfId="10175" xr:uid="{00000000-0005-0000-0000-0000AD2A0000}"/>
    <cellStyle name="보통 3 7 2" xfId="10176" xr:uid="{00000000-0005-0000-0000-0000AE2A0000}"/>
    <cellStyle name="보통 3 8" xfId="10177" xr:uid="{00000000-0005-0000-0000-0000AF2A0000}"/>
    <cellStyle name="보통 3 8 2" xfId="10178" xr:uid="{00000000-0005-0000-0000-0000B02A0000}"/>
    <cellStyle name="보통 3 9" xfId="10179" xr:uid="{00000000-0005-0000-0000-0000B12A0000}"/>
    <cellStyle name="보통 3 9 2" xfId="10180" xr:uid="{00000000-0005-0000-0000-0000B22A0000}"/>
    <cellStyle name="보통 4" xfId="10181" xr:uid="{00000000-0005-0000-0000-0000B32A0000}"/>
    <cellStyle name="보통 4 10" xfId="10182" xr:uid="{00000000-0005-0000-0000-0000B42A0000}"/>
    <cellStyle name="보통 4 2" xfId="10183" xr:uid="{00000000-0005-0000-0000-0000B52A0000}"/>
    <cellStyle name="보통 4 2 2" xfId="10184" xr:uid="{00000000-0005-0000-0000-0000B62A0000}"/>
    <cellStyle name="보통 4 3" xfId="10185" xr:uid="{00000000-0005-0000-0000-0000B72A0000}"/>
    <cellStyle name="보통 4 3 2" xfId="10186" xr:uid="{00000000-0005-0000-0000-0000B82A0000}"/>
    <cellStyle name="보통 4 4" xfId="10187" xr:uid="{00000000-0005-0000-0000-0000B92A0000}"/>
    <cellStyle name="보통 4 4 2" xfId="10188" xr:uid="{00000000-0005-0000-0000-0000BA2A0000}"/>
    <cellStyle name="보통 4 5" xfId="10189" xr:uid="{00000000-0005-0000-0000-0000BB2A0000}"/>
    <cellStyle name="보통 4 5 2" xfId="10190" xr:uid="{00000000-0005-0000-0000-0000BC2A0000}"/>
    <cellStyle name="보통 4 6" xfId="10191" xr:uid="{00000000-0005-0000-0000-0000BD2A0000}"/>
    <cellStyle name="보통 4 6 2" xfId="10192" xr:uid="{00000000-0005-0000-0000-0000BE2A0000}"/>
    <cellStyle name="보통 4 7" xfId="10193" xr:uid="{00000000-0005-0000-0000-0000BF2A0000}"/>
    <cellStyle name="보통 4 7 2" xfId="10194" xr:uid="{00000000-0005-0000-0000-0000C02A0000}"/>
    <cellStyle name="보통 4 8" xfId="10195" xr:uid="{00000000-0005-0000-0000-0000C12A0000}"/>
    <cellStyle name="보통 4 8 2" xfId="10196" xr:uid="{00000000-0005-0000-0000-0000C22A0000}"/>
    <cellStyle name="보통 4 9" xfId="10197" xr:uid="{00000000-0005-0000-0000-0000C32A0000}"/>
    <cellStyle name="보통 4 9 2" xfId="10198" xr:uid="{00000000-0005-0000-0000-0000C42A0000}"/>
    <cellStyle name="보통 5" xfId="10199" xr:uid="{00000000-0005-0000-0000-0000C52A0000}"/>
    <cellStyle name="보통 5 10" xfId="10200" xr:uid="{00000000-0005-0000-0000-0000C62A0000}"/>
    <cellStyle name="보통 5 2" xfId="10201" xr:uid="{00000000-0005-0000-0000-0000C72A0000}"/>
    <cellStyle name="보통 5 2 2" xfId="10202" xr:uid="{00000000-0005-0000-0000-0000C82A0000}"/>
    <cellStyle name="보통 5 3" xfId="10203" xr:uid="{00000000-0005-0000-0000-0000C92A0000}"/>
    <cellStyle name="보통 5 3 2" xfId="10204" xr:uid="{00000000-0005-0000-0000-0000CA2A0000}"/>
    <cellStyle name="보통 5 4" xfId="10205" xr:uid="{00000000-0005-0000-0000-0000CB2A0000}"/>
    <cellStyle name="보통 5 4 2" xfId="10206" xr:uid="{00000000-0005-0000-0000-0000CC2A0000}"/>
    <cellStyle name="보통 5 5" xfId="10207" xr:uid="{00000000-0005-0000-0000-0000CD2A0000}"/>
    <cellStyle name="보통 5 5 2" xfId="10208" xr:uid="{00000000-0005-0000-0000-0000CE2A0000}"/>
    <cellStyle name="보통 5 6" xfId="10209" xr:uid="{00000000-0005-0000-0000-0000CF2A0000}"/>
    <cellStyle name="보통 5 6 2" xfId="10210" xr:uid="{00000000-0005-0000-0000-0000D02A0000}"/>
    <cellStyle name="보통 5 7" xfId="10211" xr:uid="{00000000-0005-0000-0000-0000D12A0000}"/>
    <cellStyle name="보통 5 7 2" xfId="10212" xr:uid="{00000000-0005-0000-0000-0000D22A0000}"/>
    <cellStyle name="보통 5 8" xfId="10213" xr:uid="{00000000-0005-0000-0000-0000D32A0000}"/>
    <cellStyle name="보통 5 8 2" xfId="10214" xr:uid="{00000000-0005-0000-0000-0000D42A0000}"/>
    <cellStyle name="보통 5 9" xfId="10215" xr:uid="{00000000-0005-0000-0000-0000D52A0000}"/>
    <cellStyle name="보통 5 9 2" xfId="10216" xr:uid="{00000000-0005-0000-0000-0000D62A0000}"/>
    <cellStyle name="보통 6" xfId="10217" xr:uid="{00000000-0005-0000-0000-0000D72A0000}"/>
    <cellStyle name="보통 6 10" xfId="10218" xr:uid="{00000000-0005-0000-0000-0000D82A0000}"/>
    <cellStyle name="보통 6 2" xfId="10219" xr:uid="{00000000-0005-0000-0000-0000D92A0000}"/>
    <cellStyle name="보통 6 2 2" xfId="10220" xr:uid="{00000000-0005-0000-0000-0000DA2A0000}"/>
    <cellStyle name="보통 6 3" xfId="10221" xr:uid="{00000000-0005-0000-0000-0000DB2A0000}"/>
    <cellStyle name="보통 6 3 2" xfId="10222" xr:uid="{00000000-0005-0000-0000-0000DC2A0000}"/>
    <cellStyle name="보통 6 4" xfId="10223" xr:uid="{00000000-0005-0000-0000-0000DD2A0000}"/>
    <cellStyle name="보통 6 4 2" xfId="10224" xr:uid="{00000000-0005-0000-0000-0000DE2A0000}"/>
    <cellStyle name="보통 6 5" xfId="10225" xr:uid="{00000000-0005-0000-0000-0000DF2A0000}"/>
    <cellStyle name="보통 6 5 2" xfId="10226" xr:uid="{00000000-0005-0000-0000-0000E02A0000}"/>
    <cellStyle name="보통 6 6" xfId="10227" xr:uid="{00000000-0005-0000-0000-0000E12A0000}"/>
    <cellStyle name="보통 6 6 2" xfId="10228" xr:uid="{00000000-0005-0000-0000-0000E22A0000}"/>
    <cellStyle name="보통 6 7" xfId="10229" xr:uid="{00000000-0005-0000-0000-0000E32A0000}"/>
    <cellStyle name="보통 6 7 2" xfId="10230" xr:uid="{00000000-0005-0000-0000-0000E42A0000}"/>
    <cellStyle name="보통 6 8" xfId="10231" xr:uid="{00000000-0005-0000-0000-0000E52A0000}"/>
    <cellStyle name="보통 6 8 2" xfId="10232" xr:uid="{00000000-0005-0000-0000-0000E62A0000}"/>
    <cellStyle name="보통 6 9" xfId="10233" xr:uid="{00000000-0005-0000-0000-0000E72A0000}"/>
    <cellStyle name="보통 6 9 2" xfId="10234" xr:uid="{00000000-0005-0000-0000-0000E82A0000}"/>
    <cellStyle name="분수" xfId="16635" xr:uid="{00000000-0005-0000-0000-0000E92A0000}"/>
    <cellStyle name="뷭?" xfId="10235" xr:uid="{00000000-0005-0000-0000-0000EA2A0000}"/>
    <cellStyle name="뷭? 2" xfId="10236" xr:uid="{00000000-0005-0000-0000-0000EB2A0000}"/>
    <cellStyle name="뷭? 3" xfId="16636" xr:uid="{00000000-0005-0000-0000-0000EC2A0000}"/>
    <cellStyle name="뷭?_?긚??_1" xfId="10237" xr:uid="{00000000-0005-0000-0000-0000ED2A0000}"/>
    <cellStyle name="빨강" xfId="10238" xr:uid="{00000000-0005-0000-0000-0000EE2A0000}"/>
    <cellStyle name="빨강 2" xfId="16637" xr:uid="{00000000-0005-0000-0000-0000EF2A0000}"/>
    <cellStyle name="사용자정의" xfId="10239" xr:uid="{00000000-0005-0000-0000-0000F02A0000}"/>
    <cellStyle name="常规 16" xfId="10240" xr:uid="{00000000-0005-0000-0000-0000F12A0000}"/>
    <cellStyle name="常规 2" xfId="10241" xr:uid="{00000000-0005-0000-0000-0000F22A0000}"/>
    <cellStyle name="常规_cs802" xfId="16638" xr:uid="{00000000-0005-0000-0000-0000F32A0000}"/>
    <cellStyle name="선택영역의 가운데로" xfId="10242" xr:uid="{00000000-0005-0000-0000-0000F42A0000}"/>
    <cellStyle name="선택영역의 가운데로 2" xfId="16639" xr:uid="{00000000-0005-0000-0000-0000F52A0000}"/>
    <cellStyle name="설계서" xfId="10243" xr:uid="{00000000-0005-0000-0000-0000F62A0000}"/>
    <cellStyle name="설계서 2" xfId="10244" xr:uid="{00000000-0005-0000-0000-0000F72A0000}"/>
    <cellStyle name="설계서 3" xfId="16640" xr:uid="{00000000-0005-0000-0000-0000F82A0000}"/>
    <cellStyle name="설계서-내용" xfId="10245" xr:uid="{00000000-0005-0000-0000-0000F92A0000}"/>
    <cellStyle name="설계서-내용 2" xfId="10246" xr:uid="{00000000-0005-0000-0000-0000FA2A0000}"/>
    <cellStyle name="설계서-내용 2 2" xfId="10247" xr:uid="{00000000-0005-0000-0000-0000FB2A0000}"/>
    <cellStyle name="설계서-내용 2 2 2" xfId="10248" xr:uid="{00000000-0005-0000-0000-0000FC2A0000}"/>
    <cellStyle name="설계서-내용 2 2 3" xfId="10249" xr:uid="{00000000-0005-0000-0000-0000FD2A0000}"/>
    <cellStyle name="설계서-내용 2 2 4" xfId="10250" xr:uid="{00000000-0005-0000-0000-0000FE2A0000}"/>
    <cellStyle name="설계서-내용 2 2 5" xfId="10251" xr:uid="{00000000-0005-0000-0000-0000FF2A0000}"/>
    <cellStyle name="설계서-내용 3" xfId="10252" xr:uid="{00000000-0005-0000-0000-0000002B0000}"/>
    <cellStyle name="설계서-내용 3 2" xfId="10253" xr:uid="{00000000-0005-0000-0000-0000012B0000}"/>
    <cellStyle name="설계서-내용 3 3" xfId="10254" xr:uid="{00000000-0005-0000-0000-0000022B0000}"/>
    <cellStyle name="설계서-내용 3 4" xfId="10255" xr:uid="{00000000-0005-0000-0000-0000032B0000}"/>
    <cellStyle name="설계서-내용 3 5" xfId="10256" xr:uid="{00000000-0005-0000-0000-0000042B0000}"/>
    <cellStyle name="설계서-내용 4" xfId="16641" xr:uid="{00000000-0005-0000-0000-0000052B0000}"/>
    <cellStyle name="설계서-내용-소수점" xfId="10257" xr:uid="{00000000-0005-0000-0000-0000062B0000}"/>
    <cellStyle name="설계서-내용-소수점 2" xfId="10258" xr:uid="{00000000-0005-0000-0000-0000072B0000}"/>
    <cellStyle name="설계서-내용-소수점 2 2" xfId="10259" xr:uid="{00000000-0005-0000-0000-0000082B0000}"/>
    <cellStyle name="설계서-내용-소수점 2 2 2" xfId="10260" xr:uid="{00000000-0005-0000-0000-0000092B0000}"/>
    <cellStyle name="설계서-내용-소수점 2 2 3" xfId="10261" xr:uid="{00000000-0005-0000-0000-00000A2B0000}"/>
    <cellStyle name="설계서-내용-소수점 2 2 4" xfId="10262" xr:uid="{00000000-0005-0000-0000-00000B2B0000}"/>
    <cellStyle name="설계서-내용-소수점 2 2 5" xfId="10263" xr:uid="{00000000-0005-0000-0000-00000C2B0000}"/>
    <cellStyle name="설계서-내용-소수점 3" xfId="10264" xr:uid="{00000000-0005-0000-0000-00000D2B0000}"/>
    <cellStyle name="설계서-내용-소수점 3 2" xfId="10265" xr:uid="{00000000-0005-0000-0000-00000E2B0000}"/>
    <cellStyle name="설계서-내용-소수점 3 3" xfId="10266" xr:uid="{00000000-0005-0000-0000-00000F2B0000}"/>
    <cellStyle name="설계서-내용-소수점 3 4" xfId="10267" xr:uid="{00000000-0005-0000-0000-0000102B0000}"/>
    <cellStyle name="설계서-내용-소수점 3 5" xfId="10268" xr:uid="{00000000-0005-0000-0000-0000112B0000}"/>
    <cellStyle name="설계서-내용-소수점 4" xfId="16642" xr:uid="{00000000-0005-0000-0000-0000122B0000}"/>
    <cellStyle name="설계서-내용-우" xfId="10269" xr:uid="{00000000-0005-0000-0000-0000132B0000}"/>
    <cellStyle name="설계서-내용-우 2" xfId="10270" xr:uid="{00000000-0005-0000-0000-0000142B0000}"/>
    <cellStyle name="설계서-내용-우 3" xfId="16643" xr:uid="{00000000-0005-0000-0000-0000152B0000}"/>
    <cellStyle name="설계서-내용-좌" xfId="10271" xr:uid="{00000000-0005-0000-0000-0000162B0000}"/>
    <cellStyle name="설계서-내용-좌 2" xfId="10272" xr:uid="{00000000-0005-0000-0000-0000172B0000}"/>
    <cellStyle name="설계서-내용-좌 3" xfId="16644" xr:uid="{00000000-0005-0000-0000-0000182B0000}"/>
    <cellStyle name="설계서-소제목" xfId="10273" xr:uid="{00000000-0005-0000-0000-0000192B0000}"/>
    <cellStyle name="설계서-소제목 2" xfId="10274" xr:uid="{00000000-0005-0000-0000-00001A2B0000}"/>
    <cellStyle name="설계서-소제목 2 2" xfId="10275" xr:uid="{00000000-0005-0000-0000-00001B2B0000}"/>
    <cellStyle name="설계서-소제목 2 2 2" xfId="10276" xr:uid="{00000000-0005-0000-0000-00001C2B0000}"/>
    <cellStyle name="설계서-소제목 2 2 3" xfId="10277" xr:uid="{00000000-0005-0000-0000-00001D2B0000}"/>
    <cellStyle name="설계서-소제목 2 2 4" xfId="10278" xr:uid="{00000000-0005-0000-0000-00001E2B0000}"/>
    <cellStyle name="설계서-소제목 2 2 5" xfId="10279" xr:uid="{00000000-0005-0000-0000-00001F2B0000}"/>
    <cellStyle name="설계서-소제목 3" xfId="10280" xr:uid="{00000000-0005-0000-0000-0000202B0000}"/>
    <cellStyle name="설계서-소제목 3 2" xfId="10281" xr:uid="{00000000-0005-0000-0000-0000212B0000}"/>
    <cellStyle name="설계서-소제목 3 3" xfId="10282" xr:uid="{00000000-0005-0000-0000-0000222B0000}"/>
    <cellStyle name="설계서-소제목 3 4" xfId="10283" xr:uid="{00000000-0005-0000-0000-0000232B0000}"/>
    <cellStyle name="설계서-소제목 3 5" xfId="10284" xr:uid="{00000000-0005-0000-0000-0000242B0000}"/>
    <cellStyle name="설계서-소제목 4" xfId="16645" xr:uid="{00000000-0005-0000-0000-0000252B0000}"/>
    <cellStyle name="설계서-타이틀" xfId="10285" xr:uid="{00000000-0005-0000-0000-0000262B0000}"/>
    <cellStyle name="설계서-타이틀 2" xfId="10286" xr:uid="{00000000-0005-0000-0000-0000272B0000}"/>
    <cellStyle name="설계서-타이틀 3" xfId="16646" xr:uid="{00000000-0005-0000-0000-0000282B0000}"/>
    <cellStyle name="설계서-항목" xfId="10287" xr:uid="{00000000-0005-0000-0000-0000292B0000}"/>
    <cellStyle name="설계서-항목 2" xfId="10288" xr:uid="{00000000-0005-0000-0000-00002A2B0000}"/>
    <cellStyle name="설계서-항목 3" xfId="16647" xr:uid="{00000000-0005-0000-0000-00002B2B0000}"/>
    <cellStyle name="설명 텍스트 2" xfId="10289" xr:uid="{00000000-0005-0000-0000-00002C2B0000}"/>
    <cellStyle name="설명 텍스트 2 10" xfId="10290" xr:uid="{00000000-0005-0000-0000-00002D2B0000}"/>
    <cellStyle name="설명 텍스트 2 11" xfId="16648" xr:uid="{00000000-0005-0000-0000-00002E2B0000}"/>
    <cellStyle name="설명 텍스트 2 2" xfId="10291" xr:uid="{00000000-0005-0000-0000-00002F2B0000}"/>
    <cellStyle name="설명 텍스트 2 2 2" xfId="10292" xr:uid="{00000000-0005-0000-0000-0000302B0000}"/>
    <cellStyle name="설명 텍스트 2 3" xfId="10293" xr:uid="{00000000-0005-0000-0000-0000312B0000}"/>
    <cellStyle name="설명 텍스트 2 3 2" xfId="10294" xr:uid="{00000000-0005-0000-0000-0000322B0000}"/>
    <cellStyle name="설명 텍스트 2 4" xfId="10295" xr:uid="{00000000-0005-0000-0000-0000332B0000}"/>
    <cellStyle name="설명 텍스트 2 4 2" xfId="10296" xr:uid="{00000000-0005-0000-0000-0000342B0000}"/>
    <cellStyle name="설명 텍스트 2 5" xfId="10297" xr:uid="{00000000-0005-0000-0000-0000352B0000}"/>
    <cellStyle name="설명 텍스트 2 5 2" xfId="10298" xr:uid="{00000000-0005-0000-0000-0000362B0000}"/>
    <cellStyle name="설명 텍스트 2 6" xfId="10299" xr:uid="{00000000-0005-0000-0000-0000372B0000}"/>
    <cellStyle name="설명 텍스트 2 6 2" xfId="10300" xr:uid="{00000000-0005-0000-0000-0000382B0000}"/>
    <cellStyle name="설명 텍스트 2 7" xfId="10301" xr:uid="{00000000-0005-0000-0000-0000392B0000}"/>
    <cellStyle name="설명 텍스트 2 7 2" xfId="10302" xr:uid="{00000000-0005-0000-0000-00003A2B0000}"/>
    <cellStyle name="설명 텍스트 2 8" xfId="10303" xr:uid="{00000000-0005-0000-0000-00003B2B0000}"/>
    <cellStyle name="설명 텍스트 2 8 2" xfId="10304" xr:uid="{00000000-0005-0000-0000-00003C2B0000}"/>
    <cellStyle name="설명 텍스트 2 9" xfId="10305" xr:uid="{00000000-0005-0000-0000-00003D2B0000}"/>
    <cellStyle name="설명 텍스트 2 9 2" xfId="10306" xr:uid="{00000000-0005-0000-0000-00003E2B0000}"/>
    <cellStyle name="설명 텍스트 3" xfId="10307" xr:uid="{00000000-0005-0000-0000-00003F2B0000}"/>
    <cellStyle name="설명 텍스트 3 10" xfId="10308" xr:uid="{00000000-0005-0000-0000-0000402B0000}"/>
    <cellStyle name="설명 텍스트 3 2" xfId="10309" xr:uid="{00000000-0005-0000-0000-0000412B0000}"/>
    <cellStyle name="설명 텍스트 3 2 2" xfId="10310" xr:uid="{00000000-0005-0000-0000-0000422B0000}"/>
    <cellStyle name="설명 텍스트 3 3" xfId="10311" xr:uid="{00000000-0005-0000-0000-0000432B0000}"/>
    <cellStyle name="설명 텍스트 3 3 2" xfId="10312" xr:uid="{00000000-0005-0000-0000-0000442B0000}"/>
    <cellStyle name="설명 텍스트 3 4" xfId="10313" xr:uid="{00000000-0005-0000-0000-0000452B0000}"/>
    <cellStyle name="설명 텍스트 3 4 2" xfId="10314" xr:uid="{00000000-0005-0000-0000-0000462B0000}"/>
    <cellStyle name="설명 텍스트 3 5" xfId="10315" xr:uid="{00000000-0005-0000-0000-0000472B0000}"/>
    <cellStyle name="설명 텍스트 3 5 2" xfId="10316" xr:uid="{00000000-0005-0000-0000-0000482B0000}"/>
    <cellStyle name="설명 텍스트 3 6" xfId="10317" xr:uid="{00000000-0005-0000-0000-0000492B0000}"/>
    <cellStyle name="설명 텍스트 3 6 2" xfId="10318" xr:uid="{00000000-0005-0000-0000-00004A2B0000}"/>
    <cellStyle name="설명 텍스트 3 7" xfId="10319" xr:uid="{00000000-0005-0000-0000-00004B2B0000}"/>
    <cellStyle name="설명 텍스트 3 7 2" xfId="10320" xr:uid="{00000000-0005-0000-0000-00004C2B0000}"/>
    <cellStyle name="설명 텍스트 3 8" xfId="10321" xr:uid="{00000000-0005-0000-0000-00004D2B0000}"/>
    <cellStyle name="설명 텍스트 3 8 2" xfId="10322" xr:uid="{00000000-0005-0000-0000-00004E2B0000}"/>
    <cellStyle name="설명 텍스트 3 9" xfId="10323" xr:uid="{00000000-0005-0000-0000-00004F2B0000}"/>
    <cellStyle name="설명 텍스트 3 9 2" xfId="10324" xr:uid="{00000000-0005-0000-0000-0000502B0000}"/>
    <cellStyle name="설명 텍스트 4" xfId="10325" xr:uid="{00000000-0005-0000-0000-0000512B0000}"/>
    <cellStyle name="설명 텍스트 4 10" xfId="10326" xr:uid="{00000000-0005-0000-0000-0000522B0000}"/>
    <cellStyle name="설명 텍스트 4 2" xfId="10327" xr:uid="{00000000-0005-0000-0000-0000532B0000}"/>
    <cellStyle name="설명 텍스트 4 2 2" xfId="10328" xr:uid="{00000000-0005-0000-0000-0000542B0000}"/>
    <cellStyle name="설명 텍스트 4 3" xfId="10329" xr:uid="{00000000-0005-0000-0000-0000552B0000}"/>
    <cellStyle name="설명 텍스트 4 3 2" xfId="10330" xr:uid="{00000000-0005-0000-0000-0000562B0000}"/>
    <cellStyle name="설명 텍스트 4 4" xfId="10331" xr:uid="{00000000-0005-0000-0000-0000572B0000}"/>
    <cellStyle name="설명 텍스트 4 4 2" xfId="10332" xr:uid="{00000000-0005-0000-0000-0000582B0000}"/>
    <cellStyle name="설명 텍스트 4 5" xfId="10333" xr:uid="{00000000-0005-0000-0000-0000592B0000}"/>
    <cellStyle name="설명 텍스트 4 5 2" xfId="10334" xr:uid="{00000000-0005-0000-0000-00005A2B0000}"/>
    <cellStyle name="설명 텍스트 4 6" xfId="10335" xr:uid="{00000000-0005-0000-0000-00005B2B0000}"/>
    <cellStyle name="설명 텍스트 4 6 2" xfId="10336" xr:uid="{00000000-0005-0000-0000-00005C2B0000}"/>
    <cellStyle name="설명 텍스트 4 7" xfId="10337" xr:uid="{00000000-0005-0000-0000-00005D2B0000}"/>
    <cellStyle name="설명 텍스트 4 7 2" xfId="10338" xr:uid="{00000000-0005-0000-0000-00005E2B0000}"/>
    <cellStyle name="설명 텍스트 4 8" xfId="10339" xr:uid="{00000000-0005-0000-0000-00005F2B0000}"/>
    <cellStyle name="설명 텍스트 4 8 2" xfId="10340" xr:uid="{00000000-0005-0000-0000-0000602B0000}"/>
    <cellStyle name="설명 텍스트 4 9" xfId="10341" xr:uid="{00000000-0005-0000-0000-0000612B0000}"/>
    <cellStyle name="설명 텍스트 4 9 2" xfId="10342" xr:uid="{00000000-0005-0000-0000-0000622B0000}"/>
    <cellStyle name="설명 텍스트 5" xfId="10343" xr:uid="{00000000-0005-0000-0000-0000632B0000}"/>
    <cellStyle name="설명 텍스트 5 10" xfId="10344" xr:uid="{00000000-0005-0000-0000-0000642B0000}"/>
    <cellStyle name="설명 텍스트 5 2" xfId="10345" xr:uid="{00000000-0005-0000-0000-0000652B0000}"/>
    <cellStyle name="설명 텍스트 5 2 2" xfId="10346" xr:uid="{00000000-0005-0000-0000-0000662B0000}"/>
    <cellStyle name="설명 텍스트 5 3" xfId="10347" xr:uid="{00000000-0005-0000-0000-0000672B0000}"/>
    <cellStyle name="설명 텍스트 5 3 2" xfId="10348" xr:uid="{00000000-0005-0000-0000-0000682B0000}"/>
    <cellStyle name="설명 텍스트 5 4" xfId="10349" xr:uid="{00000000-0005-0000-0000-0000692B0000}"/>
    <cellStyle name="설명 텍스트 5 4 2" xfId="10350" xr:uid="{00000000-0005-0000-0000-00006A2B0000}"/>
    <cellStyle name="설명 텍스트 5 5" xfId="10351" xr:uid="{00000000-0005-0000-0000-00006B2B0000}"/>
    <cellStyle name="설명 텍스트 5 5 2" xfId="10352" xr:uid="{00000000-0005-0000-0000-00006C2B0000}"/>
    <cellStyle name="설명 텍스트 5 6" xfId="10353" xr:uid="{00000000-0005-0000-0000-00006D2B0000}"/>
    <cellStyle name="설명 텍스트 5 6 2" xfId="10354" xr:uid="{00000000-0005-0000-0000-00006E2B0000}"/>
    <cellStyle name="설명 텍스트 5 7" xfId="10355" xr:uid="{00000000-0005-0000-0000-00006F2B0000}"/>
    <cellStyle name="설명 텍스트 5 7 2" xfId="10356" xr:uid="{00000000-0005-0000-0000-0000702B0000}"/>
    <cellStyle name="설명 텍스트 5 8" xfId="10357" xr:uid="{00000000-0005-0000-0000-0000712B0000}"/>
    <cellStyle name="설명 텍스트 5 8 2" xfId="10358" xr:uid="{00000000-0005-0000-0000-0000722B0000}"/>
    <cellStyle name="설명 텍스트 5 9" xfId="10359" xr:uid="{00000000-0005-0000-0000-0000732B0000}"/>
    <cellStyle name="설명 텍스트 5 9 2" xfId="10360" xr:uid="{00000000-0005-0000-0000-0000742B0000}"/>
    <cellStyle name="설명 텍스트 6" xfId="10361" xr:uid="{00000000-0005-0000-0000-0000752B0000}"/>
    <cellStyle name="설명 텍스트 6 10" xfId="10362" xr:uid="{00000000-0005-0000-0000-0000762B0000}"/>
    <cellStyle name="설명 텍스트 6 2" xfId="10363" xr:uid="{00000000-0005-0000-0000-0000772B0000}"/>
    <cellStyle name="설명 텍스트 6 2 2" xfId="10364" xr:uid="{00000000-0005-0000-0000-0000782B0000}"/>
    <cellStyle name="설명 텍스트 6 3" xfId="10365" xr:uid="{00000000-0005-0000-0000-0000792B0000}"/>
    <cellStyle name="설명 텍스트 6 3 2" xfId="10366" xr:uid="{00000000-0005-0000-0000-00007A2B0000}"/>
    <cellStyle name="설명 텍스트 6 4" xfId="10367" xr:uid="{00000000-0005-0000-0000-00007B2B0000}"/>
    <cellStyle name="설명 텍스트 6 4 2" xfId="10368" xr:uid="{00000000-0005-0000-0000-00007C2B0000}"/>
    <cellStyle name="설명 텍스트 6 5" xfId="10369" xr:uid="{00000000-0005-0000-0000-00007D2B0000}"/>
    <cellStyle name="설명 텍스트 6 5 2" xfId="10370" xr:uid="{00000000-0005-0000-0000-00007E2B0000}"/>
    <cellStyle name="설명 텍스트 6 6" xfId="10371" xr:uid="{00000000-0005-0000-0000-00007F2B0000}"/>
    <cellStyle name="설명 텍스트 6 6 2" xfId="10372" xr:uid="{00000000-0005-0000-0000-0000802B0000}"/>
    <cellStyle name="설명 텍스트 6 7" xfId="10373" xr:uid="{00000000-0005-0000-0000-0000812B0000}"/>
    <cellStyle name="설명 텍스트 6 7 2" xfId="10374" xr:uid="{00000000-0005-0000-0000-0000822B0000}"/>
    <cellStyle name="설명 텍스트 6 8" xfId="10375" xr:uid="{00000000-0005-0000-0000-0000832B0000}"/>
    <cellStyle name="설명 텍스트 6 8 2" xfId="10376" xr:uid="{00000000-0005-0000-0000-0000842B0000}"/>
    <cellStyle name="설명 텍스트 6 9" xfId="10377" xr:uid="{00000000-0005-0000-0000-0000852B0000}"/>
    <cellStyle name="설명 텍스트 6 9 2" xfId="10378" xr:uid="{00000000-0005-0000-0000-0000862B0000}"/>
    <cellStyle name="셀 확인 2" xfId="10379" xr:uid="{00000000-0005-0000-0000-0000872B0000}"/>
    <cellStyle name="셀 확인 2 10" xfId="10380" xr:uid="{00000000-0005-0000-0000-0000882B0000}"/>
    <cellStyle name="셀 확인 2 11" xfId="16649" xr:uid="{00000000-0005-0000-0000-0000892B0000}"/>
    <cellStyle name="셀 확인 2 2" xfId="10381" xr:uid="{00000000-0005-0000-0000-00008A2B0000}"/>
    <cellStyle name="셀 확인 2 2 2" xfId="10382" xr:uid="{00000000-0005-0000-0000-00008B2B0000}"/>
    <cellStyle name="셀 확인 2 3" xfId="10383" xr:uid="{00000000-0005-0000-0000-00008C2B0000}"/>
    <cellStyle name="셀 확인 2 3 2" xfId="10384" xr:uid="{00000000-0005-0000-0000-00008D2B0000}"/>
    <cellStyle name="셀 확인 2 4" xfId="10385" xr:uid="{00000000-0005-0000-0000-00008E2B0000}"/>
    <cellStyle name="셀 확인 2 4 2" xfId="10386" xr:uid="{00000000-0005-0000-0000-00008F2B0000}"/>
    <cellStyle name="셀 확인 2 5" xfId="10387" xr:uid="{00000000-0005-0000-0000-0000902B0000}"/>
    <cellStyle name="셀 확인 2 5 2" xfId="10388" xr:uid="{00000000-0005-0000-0000-0000912B0000}"/>
    <cellStyle name="셀 확인 2 6" xfId="10389" xr:uid="{00000000-0005-0000-0000-0000922B0000}"/>
    <cellStyle name="셀 확인 2 6 2" xfId="10390" xr:uid="{00000000-0005-0000-0000-0000932B0000}"/>
    <cellStyle name="셀 확인 2 7" xfId="10391" xr:uid="{00000000-0005-0000-0000-0000942B0000}"/>
    <cellStyle name="셀 확인 2 7 2" xfId="10392" xr:uid="{00000000-0005-0000-0000-0000952B0000}"/>
    <cellStyle name="셀 확인 2 8" xfId="10393" xr:uid="{00000000-0005-0000-0000-0000962B0000}"/>
    <cellStyle name="셀 확인 2 8 2" xfId="10394" xr:uid="{00000000-0005-0000-0000-0000972B0000}"/>
    <cellStyle name="셀 확인 2 9" xfId="10395" xr:uid="{00000000-0005-0000-0000-0000982B0000}"/>
    <cellStyle name="셀 확인 2 9 2" xfId="10396" xr:uid="{00000000-0005-0000-0000-0000992B0000}"/>
    <cellStyle name="셀 확인 3" xfId="10397" xr:uid="{00000000-0005-0000-0000-00009A2B0000}"/>
    <cellStyle name="셀 확인 3 10" xfId="10398" xr:uid="{00000000-0005-0000-0000-00009B2B0000}"/>
    <cellStyle name="셀 확인 3 2" xfId="10399" xr:uid="{00000000-0005-0000-0000-00009C2B0000}"/>
    <cellStyle name="셀 확인 3 2 2" xfId="10400" xr:uid="{00000000-0005-0000-0000-00009D2B0000}"/>
    <cellStyle name="셀 확인 3 3" xfId="10401" xr:uid="{00000000-0005-0000-0000-00009E2B0000}"/>
    <cellStyle name="셀 확인 3 3 2" xfId="10402" xr:uid="{00000000-0005-0000-0000-00009F2B0000}"/>
    <cellStyle name="셀 확인 3 4" xfId="10403" xr:uid="{00000000-0005-0000-0000-0000A02B0000}"/>
    <cellStyle name="셀 확인 3 4 2" xfId="10404" xr:uid="{00000000-0005-0000-0000-0000A12B0000}"/>
    <cellStyle name="셀 확인 3 5" xfId="10405" xr:uid="{00000000-0005-0000-0000-0000A22B0000}"/>
    <cellStyle name="셀 확인 3 5 2" xfId="10406" xr:uid="{00000000-0005-0000-0000-0000A32B0000}"/>
    <cellStyle name="셀 확인 3 6" xfId="10407" xr:uid="{00000000-0005-0000-0000-0000A42B0000}"/>
    <cellStyle name="셀 확인 3 6 2" xfId="10408" xr:uid="{00000000-0005-0000-0000-0000A52B0000}"/>
    <cellStyle name="셀 확인 3 7" xfId="10409" xr:uid="{00000000-0005-0000-0000-0000A62B0000}"/>
    <cellStyle name="셀 확인 3 7 2" xfId="10410" xr:uid="{00000000-0005-0000-0000-0000A72B0000}"/>
    <cellStyle name="셀 확인 3 8" xfId="10411" xr:uid="{00000000-0005-0000-0000-0000A82B0000}"/>
    <cellStyle name="셀 확인 3 8 2" xfId="10412" xr:uid="{00000000-0005-0000-0000-0000A92B0000}"/>
    <cellStyle name="셀 확인 3 9" xfId="10413" xr:uid="{00000000-0005-0000-0000-0000AA2B0000}"/>
    <cellStyle name="셀 확인 3 9 2" xfId="10414" xr:uid="{00000000-0005-0000-0000-0000AB2B0000}"/>
    <cellStyle name="셀 확인 4" xfId="10415" xr:uid="{00000000-0005-0000-0000-0000AC2B0000}"/>
    <cellStyle name="셀 확인 4 10" xfId="10416" xr:uid="{00000000-0005-0000-0000-0000AD2B0000}"/>
    <cellStyle name="셀 확인 4 2" xfId="10417" xr:uid="{00000000-0005-0000-0000-0000AE2B0000}"/>
    <cellStyle name="셀 확인 4 2 2" xfId="10418" xr:uid="{00000000-0005-0000-0000-0000AF2B0000}"/>
    <cellStyle name="셀 확인 4 3" xfId="10419" xr:uid="{00000000-0005-0000-0000-0000B02B0000}"/>
    <cellStyle name="셀 확인 4 3 2" xfId="10420" xr:uid="{00000000-0005-0000-0000-0000B12B0000}"/>
    <cellStyle name="셀 확인 4 4" xfId="10421" xr:uid="{00000000-0005-0000-0000-0000B22B0000}"/>
    <cellStyle name="셀 확인 4 4 2" xfId="10422" xr:uid="{00000000-0005-0000-0000-0000B32B0000}"/>
    <cellStyle name="셀 확인 4 5" xfId="10423" xr:uid="{00000000-0005-0000-0000-0000B42B0000}"/>
    <cellStyle name="셀 확인 4 5 2" xfId="10424" xr:uid="{00000000-0005-0000-0000-0000B52B0000}"/>
    <cellStyle name="셀 확인 4 6" xfId="10425" xr:uid="{00000000-0005-0000-0000-0000B62B0000}"/>
    <cellStyle name="셀 확인 4 6 2" xfId="10426" xr:uid="{00000000-0005-0000-0000-0000B72B0000}"/>
    <cellStyle name="셀 확인 4 7" xfId="10427" xr:uid="{00000000-0005-0000-0000-0000B82B0000}"/>
    <cellStyle name="셀 확인 4 7 2" xfId="10428" xr:uid="{00000000-0005-0000-0000-0000B92B0000}"/>
    <cellStyle name="셀 확인 4 8" xfId="10429" xr:uid="{00000000-0005-0000-0000-0000BA2B0000}"/>
    <cellStyle name="셀 확인 4 8 2" xfId="10430" xr:uid="{00000000-0005-0000-0000-0000BB2B0000}"/>
    <cellStyle name="셀 확인 4 9" xfId="10431" xr:uid="{00000000-0005-0000-0000-0000BC2B0000}"/>
    <cellStyle name="셀 확인 4 9 2" xfId="10432" xr:uid="{00000000-0005-0000-0000-0000BD2B0000}"/>
    <cellStyle name="셀 확인 5" xfId="10433" xr:uid="{00000000-0005-0000-0000-0000BE2B0000}"/>
    <cellStyle name="셀 확인 5 10" xfId="10434" xr:uid="{00000000-0005-0000-0000-0000BF2B0000}"/>
    <cellStyle name="셀 확인 5 2" xfId="10435" xr:uid="{00000000-0005-0000-0000-0000C02B0000}"/>
    <cellStyle name="셀 확인 5 2 2" xfId="10436" xr:uid="{00000000-0005-0000-0000-0000C12B0000}"/>
    <cellStyle name="셀 확인 5 3" xfId="10437" xr:uid="{00000000-0005-0000-0000-0000C22B0000}"/>
    <cellStyle name="셀 확인 5 3 2" xfId="10438" xr:uid="{00000000-0005-0000-0000-0000C32B0000}"/>
    <cellStyle name="셀 확인 5 4" xfId="10439" xr:uid="{00000000-0005-0000-0000-0000C42B0000}"/>
    <cellStyle name="셀 확인 5 4 2" xfId="10440" xr:uid="{00000000-0005-0000-0000-0000C52B0000}"/>
    <cellStyle name="셀 확인 5 5" xfId="10441" xr:uid="{00000000-0005-0000-0000-0000C62B0000}"/>
    <cellStyle name="셀 확인 5 5 2" xfId="10442" xr:uid="{00000000-0005-0000-0000-0000C72B0000}"/>
    <cellStyle name="셀 확인 5 6" xfId="10443" xr:uid="{00000000-0005-0000-0000-0000C82B0000}"/>
    <cellStyle name="셀 확인 5 6 2" xfId="10444" xr:uid="{00000000-0005-0000-0000-0000C92B0000}"/>
    <cellStyle name="셀 확인 5 7" xfId="10445" xr:uid="{00000000-0005-0000-0000-0000CA2B0000}"/>
    <cellStyle name="셀 확인 5 7 2" xfId="10446" xr:uid="{00000000-0005-0000-0000-0000CB2B0000}"/>
    <cellStyle name="셀 확인 5 8" xfId="10447" xr:uid="{00000000-0005-0000-0000-0000CC2B0000}"/>
    <cellStyle name="셀 확인 5 8 2" xfId="10448" xr:uid="{00000000-0005-0000-0000-0000CD2B0000}"/>
    <cellStyle name="셀 확인 5 9" xfId="10449" xr:uid="{00000000-0005-0000-0000-0000CE2B0000}"/>
    <cellStyle name="셀 확인 5 9 2" xfId="10450" xr:uid="{00000000-0005-0000-0000-0000CF2B0000}"/>
    <cellStyle name="셀 확인 6" xfId="10451" xr:uid="{00000000-0005-0000-0000-0000D02B0000}"/>
    <cellStyle name="셀 확인 6 10" xfId="10452" xr:uid="{00000000-0005-0000-0000-0000D12B0000}"/>
    <cellStyle name="셀 확인 6 2" xfId="10453" xr:uid="{00000000-0005-0000-0000-0000D22B0000}"/>
    <cellStyle name="셀 확인 6 2 2" xfId="10454" xr:uid="{00000000-0005-0000-0000-0000D32B0000}"/>
    <cellStyle name="셀 확인 6 3" xfId="10455" xr:uid="{00000000-0005-0000-0000-0000D42B0000}"/>
    <cellStyle name="셀 확인 6 3 2" xfId="10456" xr:uid="{00000000-0005-0000-0000-0000D52B0000}"/>
    <cellStyle name="셀 확인 6 4" xfId="10457" xr:uid="{00000000-0005-0000-0000-0000D62B0000}"/>
    <cellStyle name="셀 확인 6 4 2" xfId="10458" xr:uid="{00000000-0005-0000-0000-0000D72B0000}"/>
    <cellStyle name="셀 확인 6 5" xfId="10459" xr:uid="{00000000-0005-0000-0000-0000D82B0000}"/>
    <cellStyle name="셀 확인 6 5 2" xfId="10460" xr:uid="{00000000-0005-0000-0000-0000D92B0000}"/>
    <cellStyle name="셀 확인 6 6" xfId="10461" xr:uid="{00000000-0005-0000-0000-0000DA2B0000}"/>
    <cellStyle name="셀 확인 6 6 2" xfId="10462" xr:uid="{00000000-0005-0000-0000-0000DB2B0000}"/>
    <cellStyle name="셀 확인 6 7" xfId="10463" xr:uid="{00000000-0005-0000-0000-0000DC2B0000}"/>
    <cellStyle name="셀 확인 6 7 2" xfId="10464" xr:uid="{00000000-0005-0000-0000-0000DD2B0000}"/>
    <cellStyle name="셀 확인 6 8" xfId="10465" xr:uid="{00000000-0005-0000-0000-0000DE2B0000}"/>
    <cellStyle name="셀 확인 6 8 2" xfId="10466" xr:uid="{00000000-0005-0000-0000-0000DF2B0000}"/>
    <cellStyle name="셀 확인 6 9" xfId="10467" xr:uid="{00000000-0005-0000-0000-0000E02B0000}"/>
    <cellStyle name="셀 확인 6 9 2" xfId="10468" xr:uid="{00000000-0005-0000-0000-0000E12B0000}"/>
    <cellStyle name="소수" xfId="10469" xr:uid="{00000000-0005-0000-0000-0000E22B0000}"/>
    <cellStyle name="소수3" xfId="10470" xr:uid="{00000000-0005-0000-0000-0000E32B0000}"/>
    <cellStyle name="소수4" xfId="10471" xr:uid="{00000000-0005-0000-0000-0000E42B0000}"/>
    <cellStyle name="소수점" xfId="10472" xr:uid="{00000000-0005-0000-0000-0000E52B0000}"/>
    <cellStyle name="수량" xfId="10473" xr:uid="{00000000-0005-0000-0000-0000E62B0000}"/>
    <cellStyle name="수량 10" xfId="10474" xr:uid="{00000000-0005-0000-0000-0000E72B0000}"/>
    <cellStyle name="수량 10 2" xfId="10475" xr:uid="{00000000-0005-0000-0000-0000E82B0000}"/>
    <cellStyle name="수량 11" xfId="10476" xr:uid="{00000000-0005-0000-0000-0000E92B0000}"/>
    <cellStyle name="수량 11 2" xfId="10477" xr:uid="{00000000-0005-0000-0000-0000EA2B0000}"/>
    <cellStyle name="수량 12" xfId="10478" xr:uid="{00000000-0005-0000-0000-0000EB2B0000}"/>
    <cellStyle name="수량 12 2" xfId="10479" xr:uid="{00000000-0005-0000-0000-0000EC2B0000}"/>
    <cellStyle name="수량 13" xfId="10480" xr:uid="{00000000-0005-0000-0000-0000ED2B0000}"/>
    <cellStyle name="수량 13 2" xfId="10481" xr:uid="{00000000-0005-0000-0000-0000EE2B0000}"/>
    <cellStyle name="수량 14" xfId="10482" xr:uid="{00000000-0005-0000-0000-0000EF2B0000}"/>
    <cellStyle name="수량 14 2" xfId="10483" xr:uid="{00000000-0005-0000-0000-0000F02B0000}"/>
    <cellStyle name="수량 14 2 2" xfId="10484" xr:uid="{00000000-0005-0000-0000-0000F12B0000}"/>
    <cellStyle name="수량 14 2 3" xfId="10485" xr:uid="{00000000-0005-0000-0000-0000F22B0000}"/>
    <cellStyle name="수량 14 2 4" xfId="10486" xr:uid="{00000000-0005-0000-0000-0000F32B0000}"/>
    <cellStyle name="수량 14 2 5" xfId="10487" xr:uid="{00000000-0005-0000-0000-0000F42B0000}"/>
    <cellStyle name="수량 15" xfId="10488" xr:uid="{00000000-0005-0000-0000-0000F52B0000}"/>
    <cellStyle name="수량 15 2" xfId="10489" xr:uid="{00000000-0005-0000-0000-0000F62B0000}"/>
    <cellStyle name="수량 15 3" xfId="10490" xr:uid="{00000000-0005-0000-0000-0000F72B0000}"/>
    <cellStyle name="수량 15 4" xfId="10491" xr:uid="{00000000-0005-0000-0000-0000F82B0000}"/>
    <cellStyle name="수량 15 5" xfId="10492" xr:uid="{00000000-0005-0000-0000-0000F92B0000}"/>
    <cellStyle name="수량 16" xfId="16650" xr:uid="{00000000-0005-0000-0000-0000FA2B0000}"/>
    <cellStyle name="수량 2" xfId="10493" xr:uid="{00000000-0005-0000-0000-0000FB2B0000}"/>
    <cellStyle name="수량 2 2" xfId="10494" xr:uid="{00000000-0005-0000-0000-0000FC2B0000}"/>
    <cellStyle name="수량 2 2 2" xfId="10495" xr:uid="{00000000-0005-0000-0000-0000FD2B0000}"/>
    <cellStyle name="수량 2 3" xfId="10496" xr:uid="{00000000-0005-0000-0000-0000FE2B0000}"/>
    <cellStyle name="수량 2 3 2" xfId="10497" xr:uid="{00000000-0005-0000-0000-0000FF2B0000}"/>
    <cellStyle name="수량 2 3 2 2" xfId="10498" xr:uid="{00000000-0005-0000-0000-0000002C0000}"/>
    <cellStyle name="수량 2 3 2 3" xfId="10499" xr:uid="{00000000-0005-0000-0000-0000012C0000}"/>
    <cellStyle name="수량 2 3 2 4" xfId="10500" xr:uid="{00000000-0005-0000-0000-0000022C0000}"/>
    <cellStyle name="수량 2 3 2 5" xfId="10501" xr:uid="{00000000-0005-0000-0000-0000032C0000}"/>
    <cellStyle name="수량 2 4" xfId="10502" xr:uid="{00000000-0005-0000-0000-0000042C0000}"/>
    <cellStyle name="수량 2 4 2" xfId="10503" xr:uid="{00000000-0005-0000-0000-0000052C0000}"/>
    <cellStyle name="수량 2 4 3" xfId="10504" xr:uid="{00000000-0005-0000-0000-0000062C0000}"/>
    <cellStyle name="수량 2 4 4" xfId="10505" xr:uid="{00000000-0005-0000-0000-0000072C0000}"/>
    <cellStyle name="수량 2 4 5" xfId="10506" xr:uid="{00000000-0005-0000-0000-0000082C0000}"/>
    <cellStyle name="수량 3" xfId="10507" xr:uid="{00000000-0005-0000-0000-0000092C0000}"/>
    <cellStyle name="수량 3 2" xfId="10508" xr:uid="{00000000-0005-0000-0000-00000A2C0000}"/>
    <cellStyle name="수량 4" xfId="10509" xr:uid="{00000000-0005-0000-0000-00000B2C0000}"/>
    <cellStyle name="수량 4 2" xfId="10510" xr:uid="{00000000-0005-0000-0000-00000C2C0000}"/>
    <cellStyle name="수량 5" xfId="10511" xr:uid="{00000000-0005-0000-0000-00000D2C0000}"/>
    <cellStyle name="수량 5 2" xfId="10512" xr:uid="{00000000-0005-0000-0000-00000E2C0000}"/>
    <cellStyle name="수량 6" xfId="10513" xr:uid="{00000000-0005-0000-0000-00000F2C0000}"/>
    <cellStyle name="수량 6 2" xfId="10514" xr:uid="{00000000-0005-0000-0000-0000102C0000}"/>
    <cellStyle name="수량 7" xfId="10515" xr:uid="{00000000-0005-0000-0000-0000112C0000}"/>
    <cellStyle name="수량 7 2" xfId="10516" xr:uid="{00000000-0005-0000-0000-0000122C0000}"/>
    <cellStyle name="수량 8" xfId="10517" xr:uid="{00000000-0005-0000-0000-0000132C0000}"/>
    <cellStyle name="수량 8 2" xfId="10518" xr:uid="{00000000-0005-0000-0000-0000142C0000}"/>
    <cellStyle name="수량 9" xfId="10519" xr:uid="{00000000-0005-0000-0000-0000152C0000}"/>
    <cellStyle name="수량 9 2" xfId="10520" xr:uid="{00000000-0005-0000-0000-0000162C0000}"/>
    <cellStyle name="숨기기" xfId="10521" xr:uid="{00000000-0005-0000-0000-0000172C0000}"/>
    <cellStyle name="숫자" xfId="10522" xr:uid="{00000000-0005-0000-0000-0000182C0000}"/>
    <cellStyle name="숫자 2" xfId="10523" xr:uid="{00000000-0005-0000-0000-0000192C0000}"/>
    <cellStyle name="숫자(R)" xfId="10524" xr:uid="{00000000-0005-0000-0000-00001A2C0000}"/>
    <cellStyle name="숫자(R) 10" xfId="10525" xr:uid="{00000000-0005-0000-0000-00001B2C0000}"/>
    <cellStyle name="숫자(R) 10 2" xfId="10526" xr:uid="{00000000-0005-0000-0000-00001C2C0000}"/>
    <cellStyle name="숫자(R) 11" xfId="10527" xr:uid="{00000000-0005-0000-0000-00001D2C0000}"/>
    <cellStyle name="숫자(R) 11 2" xfId="10528" xr:uid="{00000000-0005-0000-0000-00001E2C0000}"/>
    <cellStyle name="숫자(R) 12" xfId="10529" xr:uid="{00000000-0005-0000-0000-00001F2C0000}"/>
    <cellStyle name="숫자(R) 12 2" xfId="10530" xr:uid="{00000000-0005-0000-0000-0000202C0000}"/>
    <cellStyle name="숫자(R) 13" xfId="10531" xr:uid="{00000000-0005-0000-0000-0000212C0000}"/>
    <cellStyle name="숫자(R) 13 2" xfId="10532" xr:uid="{00000000-0005-0000-0000-0000222C0000}"/>
    <cellStyle name="숫자(R) 14" xfId="10533" xr:uid="{00000000-0005-0000-0000-0000232C0000}"/>
    <cellStyle name="숫자(R) 15" xfId="10534" xr:uid="{00000000-0005-0000-0000-0000242C0000}"/>
    <cellStyle name="숫자(R) 16" xfId="10535" xr:uid="{00000000-0005-0000-0000-0000252C0000}"/>
    <cellStyle name="숫자(R) 17" xfId="16651" xr:uid="{00000000-0005-0000-0000-0000262C0000}"/>
    <cellStyle name="숫자(R) 2" xfId="10536" xr:uid="{00000000-0005-0000-0000-0000272C0000}"/>
    <cellStyle name="숫자(R) 2 2" xfId="10537" xr:uid="{00000000-0005-0000-0000-0000282C0000}"/>
    <cellStyle name="숫자(R) 2 2 2" xfId="10538" xr:uid="{00000000-0005-0000-0000-0000292C0000}"/>
    <cellStyle name="숫자(R) 2 3" xfId="10539" xr:uid="{00000000-0005-0000-0000-00002A2C0000}"/>
    <cellStyle name="숫자(R) 2 4" xfId="16652" xr:uid="{00000000-0005-0000-0000-00002B2C0000}"/>
    <cellStyle name="숫자(R) 3" xfId="10540" xr:uid="{00000000-0005-0000-0000-00002C2C0000}"/>
    <cellStyle name="숫자(R) 3 2" xfId="10541" xr:uid="{00000000-0005-0000-0000-00002D2C0000}"/>
    <cellStyle name="숫자(R) 3 3" xfId="16653" xr:uid="{00000000-0005-0000-0000-00002E2C0000}"/>
    <cellStyle name="숫자(R) 4" xfId="10542" xr:uid="{00000000-0005-0000-0000-00002F2C0000}"/>
    <cellStyle name="숫자(R) 4 2" xfId="10543" xr:uid="{00000000-0005-0000-0000-0000302C0000}"/>
    <cellStyle name="숫자(R) 4 3" xfId="16654" xr:uid="{00000000-0005-0000-0000-0000312C0000}"/>
    <cellStyle name="숫자(R) 5" xfId="10544" xr:uid="{00000000-0005-0000-0000-0000322C0000}"/>
    <cellStyle name="숫자(R) 5 2" xfId="10545" xr:uid="{00000000-0005-0000-0000-0000332C0000}"/>
    <cellStyle name="숫자(R) 5 3" xfId="16655" xr:uid="{00000000-0005-0000-0000-0000342C0000}"/>
    <cellStyle name="숫자(R) 6" xfId="10546" xr:uid="{00000000-0005-0000-0000-0000352C0000}"/>
    <cellStyle name="숫자(R) 6 2" xfId="10547" xr:uid="{00000000-0005-0000-0000-0000362C0000}"/>
    <cellStyle name="숫자(R) 7" xfId="10548" xr:uid="{00000000-0005-0000-0000-0000372C0000}"/>
    <cellStyle name="숫자(R) 7 2" xfId="10549" xr:uid="{00000000-0005-0000-0000-0000382C0000}"/>
    <cellStyle name="숫자(R) 8" xfId="10550" xr:uid="{00000000-0005-0000-0000-0000392C0000}"/>
    <cellStyle name="숫자(R) 8 2" xfId="10551" xr:uid="{00000000-0005-0000-0000-00003A2C0000}"/>
    <cellStyle name="숫자(R) 9" xfId="10552" xr:uid="{00000000-0005-0000-0000-00003B2C0000}"/>
    <cellStyle name="숫자(R) 9 2" xfId="10553" xr:uid="{00000000-0005-0000-0000-00003C2C0000}"/>
    <cellStyle name="숫자(R)_1부여부지 콘도미니엄 신축공사 AV설비 견적서_20100121" xfId="10554" xr:uid="{00000000-0005-0000-0000-00003D2C0000}"/>
    <cellStyle name="숫자_강교제작및가설계획" xfId="10555" xr:uid="{00000000-0005-0000-0000-00003E2C0000}"/>
    <cellStyle name="쉼표 [0]" xfId="1" builtinId="6"/>
    <cellStyle name="쉼표 [0] 10" xfId="10556" xr:uid="{00000000-0005-0000-0000-0000402C0000}"/>
    <cellStyle name="쉼표 [0] 10 10" xfId="10557" xr:uid="{00000000-0005-0000-0000-0000412C0000}"/>
    <cellStyle name="쉼표 [0] 10 10 2" xfId="10558" xr:uid="{00000000-0005-0000-0000-0000422C0000}"/>
    <cellStyle name="쉼표 [0] 10 11" xfId="10559" xr:uid="{00000000-0005-0000-0000-0000432C0000}"/>
    <cellStyle name="쉼표 [0] 10 11 2" xfId="10560" xr:uid="{00000000-0005-0000-0000-0000442C0000}"/>
    <cellStyle name="쉼표 [0] 10 12" xfId="10561" xr:uid="{00000000-0005-0000-0000-0000452C0000}"/>
    <cellStyle name="쉼표 [0] 10 12 2" xfId="10562" xr:uid="{00000000-0005-0000-0000-0000462C0000}"/>
    <cellStyle name="쉼표 [0] 10 13" xfId="10563" xr:uid="{00000000-0005-0000-0000-0000472C0000}"/>
    <cellStyle name="쉼표 [0] 10 13 2" xfId="10564" xr:uid="{00000000-0005-0000-0000-0000482C0000}"/>
    <cellStyle name="쉼표 [0] 10 14" xfId="10565" xr:uid="{00000000-0005-0000-0000-0000492C0000}"/>
    <cellStyle name="쉼표 [0] 10 14 2" xfId="10566" xr:uid="{00000000-0005-0000-0000-00004A2C0000}"/>
    <cellStyle name="쉼표 [0] 10 15" xfId="10567" xr:uid="{00000000-0005-0000-0000-00004B2C0000}"/>
    <cellStyle name="쉼표 [0] 10 15 2" xfId="10568" xr:uid="{00000000-0005-0000-0000-00004C2C0000}"/>
    <cellStyle name="쉼표 [0] 10 16" xfId="10569" xr:uid="{00000000-0005-0000-0000-00004D2C0000}"/>
    <cellStyle name="쉼표 [0] 10 16 2" xfId="10570" xr:uid="{00000000-0005-0000-0000-00004E2C0000}"/>
    <cellStyle name="쉼표 [0] 10 17" xfId="10571" xr:uid="{00000000-0005-0000-0000-00004F2C0000}"/>
    <cellStyle name="쉼표 [0] 10 17 2" xfId="10572" xr:uid="{00000000-0005-0000-0000-0000502C0000}"/>
    <cellStyle name="쉼표 [0] 10 18" xfId="10573" xr:uid="{00000000-0005-0000-0000-0000512C0000}"/>
    <cellStyle name="쉼표 [0] 10 18 2" xfId="10574" xr:uid="{00000000-0005-0000-0000-0000522C0000}"/>
    <cellStyle name="쉼표 [0] 10 19" xfId="10575" xr:uid="{00000000-0005-0000-0000-0000532C0000}"/>
    <cellStyle name="쉼표 [0] 10 19 2" xfId="10576" xr:uid="{00000000-0005-0000-0000-0000542C0000}"/>
    <cellStyle name="쉼표 [0] 10 2" xfId="10577" xr:uid="{00000000-0005-0000-0000-0000552C0000}"/>
    <cellStyle name="쉼표 [0] 10 2 2" xfId="10578" xr:uid="{00000000-0005-0000-0000-0000562C0000}"/>
    <cellStyle name="쉼표 [0] 10 20" xfId="10579" xr:uid="{00000000-0005-0000-0000-0000572C0000}"/>
    <cellStyle name="쉼표 [0] 10 20 2" xfId="10580" xr:uid="{00000000-0005-0000-0000-0000582C0000}"/>
    <cellStyle name="쉼표 [0] 10 21" xfId="10581" xr:uid="{00000000-0005-0000-0000-0000592C0000}"/>
    <cellStyle name="쉼표 [0] 10 21 2" xfId="10582" xr:uid="{00000000-0005-0000-0000-00005A2C0000}"/>
    <cellStyle name="쉼표 [0] 10 22" xfId="10583" xr:uid="{00000000-0005-0000-0000-00005B2C0000}"/>
    <cellStyle name="쉼표 [0] 10 22 2" xfId="10584" xr:uid="{00000000-0005-0000-0000-00005C2C0000}"/>
    <cellStyle name="쉼표 [0] 10 23" xfId="10585" xr:uid="{00000000-0005-0000-0000-00005D2C0000}"/>
    <cellStyle name="쉼표 [0] 10 23 2" xfId="10586" xr:uid="{00000000-0005-0000-0000-00005E2C0000}"/>
    <cellStyle name="쉼표 [0] 10 24" xfId="10587" xr:uid="{00000000-0005-0000-0000-00005F2C0000}"/>
    <cellStyle name="쉼표 [0] 10 24 2" xfId="10588" xr:uid="{00000000-0005-0000-0000-0000602C0000}"/>
    <cellStyle name="쉼표 [0] 10 25" xfId="10589" xr:uid="{00000000-0005-0000-0000-0000612C0000}"/>
    <cellStyle name="쉼표 [0] 10 25 2" xfId="10590" xr:uid="{00000000-0005-0000-0000-0000622C0000}"/>
    <cellStyle name="쉼표 [0] 10 26" xfId="10591" xr:uid="{00000000-0005-0000-0000-0000632C0000}"/>
    <cellStyle name="쉼표 [0] 10 27" xfId="16656" xr:uid="{00000000-0005-0000-0000-0000642C0000}"/>
    <cellStyle name="쉼표 [0] 10 3" xfId="10592" xr:uid="{00000000-0005-0000-0000-0000652C0000}"/>
    <cellStyle name="쉼표 [0] 10 3 2" xfId="10593" xr:uid="{00000000-0005-0000-0000-0000662C0000}"/>
    <cellStyle name="쉼표 [0] 10 4" xfId="10594" xr:uid="{00000000-0005-0000-0000-0000672C0000}"/>
    <cellStyle name="쉼표 [0] 10 4 2" xfId="10595" xr:uid="{00000000-0005-0000-0000-0000682C0000}"/>
    <cellStyle name="쉼표 [0] 10 5" xfId="10596" xr:uid="{00000000-0005-0000-0000-0000692C0000}"/>
    <cellStyle name="쉼표 [0] 10 5 2" xfId="10597" xr:uid="{00000000-0005-0000-0000-00006A2C0000}"/>
    <cellStyle name="쉼표 [0] 10 6" xfId="10598" xr:uid="{00000000-0005-0000-0000-00006B2C0000}"/>
    <cellStyle name="쉼표 [0] 10 6 2" xfId="10599" xr:uid="{00000000-0005-0000-0000-00006C2C0000}"/>
    <cellStyle name="쉼표 [0] 10 7" xfId="10600" xr:uid="{00000000-0005-0000-0000-00006D2C0000}"/>
    <cellStyle name="쉼표 [0] 10 7 2" xfId="10601" xr:uid="{00000000-0005-0000-0000-00006E2C0000}"/>
    <cellStyle name="쉼표 [0] 10 8" xfId="10602" xr:uid="{00000000-0005-0000-0000-00006F2C0000}"/>
    <cellStyle name="쉼표 [0] 10 8 2" xfId="10603" xr:uid="{00000000-0005-0000-0000-0000702C0000}"/>
    <cellStyle name="쉼표 [0] 10 9" xfId="10604" xr:uid="{00000000-0005-0000-0000-0000712C0000}"/>
    <cellStyle name="쉼표 [0] 10 9 2" xfId="10605" xr:uid="{00000000-0005-0000-0000-0000722C0000}"/>
    <cellStyle name="쉼표 [0] 102" xfId="15947" xr:uid="{00000000-0005-0000-0000-0000732C0000}"/>
    <cellStyle name="쉼표 [0] 11" xfId="10606" xr:uid="{00000000-0005-0000-0000-0000742C0000}"/>
    <cellStyle name="쉼표 [0] 11 2" xfId="10607" xr:uid="{00000000-0005-0000-0000-0000752C0000}"/>
    <cellStyle name="쉼표 [0] 11 2 2" xfId="10608" xr:uid="{00000000-0005-0000-0000-0000762C0000}"/>
    <cellStyle name="쉼표 [0] 11 3" xfId="16798" xr:uid="{00000000-0005-0000-0000-0000772C0000}"/>
    <cellStyle name="쉼표 [0] 12" xfId="10609" xr:uid="{00000000-0005-0000-0000-0000782C0000}"/>
    <cellStyle name="쉼표 [0] 12 2" xfId="10610" xr:uid="{00000000-0005-0000-0000-0000792C0000}"/>
    <cellStyle name="쉼표 [0] 13" xfId="10611" xr:uid="{00000000-0005-0000-0000-00007A2C0000}"/>
    <cellStyle name="쉼표 [0] 13 2" xfId="10612" xr:uid="{00000000-0005-0000-0000-00007B2C0000}"/>
    <cellStyle name="쉼표 [0] 14" xfId="10613" xr:uid="{00000000-0005-0000-0000-00007C2C0000}"/>
    <cellStyle name="쉼표 [0] 14 2" xfId="10614" xr:uid="{00000000-0005-0000-0000-00007D2C0000}"/>
    <cellStyle name="쉼표 [0] 15" xfId="10615" xr:uid="{00000000-0005-0000-0000-00007E2C0000}"/>
    <cellStyle name="쉼표 [0] 15 2" xfId="10616" xr:uid="{00000000-0005-0000-0000-00007F2C0000}"/>
    <cellStyle name="쉼표 [0] 16" xfId="10617" xr:uid="{00000000-0005-0000-0000-0000802C0000}"/>
    <cellStyle name="쉼표 [0] 16 2" xfId="10618" xr:uid="{00000000-0005-0000-0000-0000812C0000}"/>
    <cellStyle name="쉼표 [0] 16 2 2" xfId="10619" xr:uid="{00000000-0005-0000-0000-0000822C0000}"/>
    <cellStyle name="쉼표 [0] 16 3" xfId="10620" xr:uid="{00000000-0005-0000-0000-0000832C0000}"/>
    <cellStyle name="쉼표 [0] 16 3 2" xfId="10621" xr:uid="{00000000-0005-0000-0000-0000842C0000}"/>
    <cellStyle name="쉼표 [0] 16 4" xfId="10622" xr:uid="{00000000-0005-0000-0000-0000852C0000}"/>
    <cellStyle name="쉼표 [0] 16 4 2" xfId="10623" xr:uid="{00000000-0005-0000-0000-0000862C0000}"/>
    <cellStyle name="쉼표 [0] 16 5" xfId="10624" xr:uid="{00000000-0005-0000-0000-0000872C0000}"/>
    <cellStyle name="쉼표 [0] 16 5 2" xfId="10625" xr:uid="{00000000-0005-0000-0000-0000882C0000}"/>
    <cellStyle name="쉼표 [0] 16 6" xfId="10626" xr:uid="{00000000-0005-0000-0000-0000892C0000}"/>
    <cellStyle name="쉼표 [0] 16 6 2" xfId="10627" xr:uid="{00000000-0005-0000-0000-00008A2C0000}"/>
    <cellStyle name="쉼표 [0] 16 7" xfId="10628" xr:uid="{00000000-0005-0000-0000-00008B2C0000}"/>
    <cellStyle name="쉼표 [0] 16 7 2" xfId="10629" xr:uid="{00000000-0005-0000-0000-00008C2C0000}"/>
    <cellStyle name="쉼표 [0] 16 8" xfId="10630" xr:uid="{00000000-0005-0000-0000-00008D2C0000}"/>
    <cellStyle name="쉼표 [0] 17" xfId="10631" xr:uid="{00000000-0005-0000-0000-00008E2C0000}"/>
    <cellStyle name="쉼표 [0] 17 2" xfId="10632" xr:uid="{00000000-0005-0000-0000-00008F2C0000}"/>
    <cellStyle name="쉼표 [0] 17 2 2" xfId="10633" xr:uid="{00000000-0005-0000-0000-0000902C0000}"/>
    <cellStyle name="쉼표 [0] 17 3" xfId="10634" xr:uid="{00000000-0005-0000-0000-0000912C0000}"/>
    <cellStyle name="쉼표 [0] 17 3 2" xfId="10635" xr:uid="{00000000-0005-0000-0000-0000922C0000}"/>
    <cellStyle name="쉼표 [0] 17 4" xfId="10636" xr:uid="{00000000-0005-0000-0000-0000932C0000}"/>
    <cellStyle name="쉼표 [0] 17 4 2" xfId="10637" xr:uid="{00000000-0005-0000-0000-0000942C0000}"/>
    <cellStyle name="쉼표 [0] 17 5" xfId="10638" xr:uid="{00000000-0005-0000-0000-0000952C0000}"/>
    <cellStyle name="쉼표 [0] 17 5 2" xfId="10639" xr:uid="{00000000-0005-0000-0000-0000962C0000}"/>
    <cellStyle name="쉼표 [0] 17 6" xfId="10640" xr:uid="{00000000-0005-0000-0000-0000972C0000}"/>
    <cellStyle name="쉼표 [0] 17 6 2" xfId="10641" xr:uid="{00000000-0005-0000-0000-0000982C0000}"/>
    <cellStyle name="쉼표 [0] 17 7" xfId="10642" xr:uid="{00000000-0005-0000-0000-0000992C0000}"/>
    <cellStyle name="쉼표 [0] 17 7 2" xfId="10643" xr:uid="{00000000-0005-0000-0000-00009A2C0000}"/>
    <cellStyle name="쉼표 [0] 17 8" xfId="10644" xr:uid="{00000000-0005-0000-0000-00009B2C0000}"/>
    <cellStyle name="쉼표 [0] 17 8 2" xfId="10645" xr:uid="{00000000-0005-0000-0000-00009C2C0000}"/>
    <cellStyle name="쉼표 [0] 17 9" xfId="10646" xr:uid="{00000000-0005-0000-0000-00009D2C0000}"/>
    <cellStyle name="쉼표 [0] 18" xfId="10647" xr:uid="{00000000-0005-0000-0000-00009E2C0000}"/>
    <cellStyle name="쉼표 [0] 18 2" xfId="10648" xr:uid="{00000000-0005-0000-0000-00009F2C0000}"/>
    <cellStyle name="쉼표 [0] 18 2 2" xfId="10649" xr:uid="{00000000-0005-0000-0000-0000A02C0000}"/>
    <cellStyle name="쉼표 [0] 18 3" xfId="10650" xr:uid="{00000000-0005-0000-0000-0000A12C0000}"/>
    <cellStyle name="쉼표 [0] 18 3 2" xfId="10651" xr:uid="{00000000-0005-0000-0000-0000A22C0000}"/>
    <cellStyle name="쉼표 [0] 18 4" xfId="10652" xr:uid="{00000000-0005-0000-0000-0000A32C0000}"/>
    <cellStyle name="쉼표 [0] 18 4 2" xfId="10653" xr:uid="{00000000-0005-0000-0000-0000A42C0000}"/>
    <cellStyle name="쉼표 [0] 18 5" xfId="10654" xr:uid="{00000000-0005-0000-0000-0000A52C0000}"/>
    <cellStyle name="쉼표 [0] 18 5 2" xfId="10655" xr:uid="{00000000-0005-0000-0000-0000A62C0000}"/>
    <cellStyle name="쉼표 [0] 18 6" xfId="10656" xr:uid="{00000000-0005-0000-0000-0000A72C0000}"/>
    <cellStyle name="쉼표 [0] 18 6 2" xfId="10657" xr:uid="{00000000-0005-0000-0000-0000A82C0000}"/>
    <cellStyle name="쉼표 [0] 18 7" xfId="10658" xr:uid="{00000000-0005-0000-0000-0000A92C0000}"/>
    <cellStyle name="쉼표 [0] 18 7 2" xfId="10659" xr:uid="{00000000-0005-0000-0000-0000AA2C0000}"/>
    <cellStyle name="쉼표 [0] 18 8" xfId="10660" xr:uid="{00000000-0005-0000-0000-0000AB2C0000}"/>
    <cellStyle name="쉼표 [0] 19" xfId="10661" xr:uid="{00000000-0005-0000-0000-0000AC2C0000}"/>
    <cellStyle name="쉼표 [0] 19 10" xfId="10662" xr:uid="{00000000-0005-0000-0000-0000AD2C0000}"/>
    <cellStyle name="쉼표 [0] 19 10 2" xfId="10663" xr:uid="{00000000-0005-0000-0000-0000AE2C0000}"/>
    <cellStyle name="쉼표 [0] 19 11" xfId="10664" xr:uid="{00000000-0005-0000-0000-0000AF2C0000}"/>
    <cellStyle name="쉼표 [0] 19 11 2" xfId="10665" xr:uid="{00000000-0005-0000-0000-0000B02C0000}"/>
    <cellStyle name="쉼표 [0] 19 12" xfId="10666" xr:uid="{00000000-0005-0000-0000-0000B12C0000}"/>
    <cellStyle name="쉼표 [0] 19 12 2" xfId="10667" xr:uid="{00000000-0005-0000-0000-0000B22C0000}"/>
    <cellStyle name="쉼표 [0] 19 13" xfId="10668" xr:uid="{00000000-0005-0000-0000-0000B32C0000}"/>
    <cellStyle name="쉼표 [0] 19 13 2" xfId="10669" xr:uid="{00000000-0005-0000-0000-0000B42C0000}"/>
    <cellStyle name="쉼표 [0] 19 14" xfId="10670" xr:uid="{00000000-0005-0000-0000-0000B52C0000}"/>
    <cellStyle name="쉼표 [0] 19 14 2" xfId="10671" xr:uid="{00000000-0005-0000-0000-0000B62C0000}"/>
    <cellStyle name="쉼표 [0] 19 15" xfId="10672" xr:uid="{00000000-0005-0000-0000-0000B72C0000}"/>
    <cellStyle name="쉼표 [0] 19 15 2" xfId="10673" xr:uid="{00000000-0005-0000-0000-0000B82C0000}"/>
    <cellStyle name="쉼표 [0] 19 16" xfId="10674" xr:uid="{00000000-0005-0000-0000-0000B92C0000}"/>
    <cellStyle name="쉼표 [0] 19 16 2" xfId="10675" xr:uid="{00000000-0005-0000-0000-0000BA2C0000}"/>
    <cellStyle name="쉼표 [0] 19 17" xfId="10676" xr:uid="{00000000-0005-0000-0000-0000BB2C0000}"/>
    <cellStyle name="쉼표 [0] 19 2" xfId="10677" xr:uid="{00000000-0005-0000-0000-0000BC2C0000}"/>
    <cellStyle name="쉼표 [0] 19 2 2" xfId="10678" xr:uid="{00000000-0005-0000-0000-0000BD2C0000}"/>
    <cellStyle name="쉼표 [0] 19 3" xfId="10679" xr:uid="{00000000-0005-0000-0000-0000BE2C0000}"/>
    <cellStyle name="쉼표 [0] 19 3 2" xfId="10680" xr:uid="{00000000-0005-0000-0000-0000BF2C0000}"/>
    <cellStyle name="쉼표 [0] 19 4" xfId="10681" xr:uid="{00000000-0005-0000-0000-0000C02C0000}"/>
    <cellStyle name="쉼표 [0] 19 4 2" xfId="10682" xr:uid="{00000000-0005-0000-0000-0000C12C0000}"/>
    <cellStyle name="쉼표 [0] 19 5" xfId="10683" xr:uid="{00000000-0005-0000-0000-0000C22C0000}"/>
    <cellStyle name="쉼표 [0] 19 5 2" xfId="10684" xr:uid="{00000000-0005-0000-0000-0000C32C0000}"/>
    <cellStyle name="쉼표 [0] 19 6" xfId="10685" xr:uid="{00000000-0005-0000-0000-0000C42C0000}"/>
    <cellStyle name="쉼표 [0] 19 6 2" xfId="10686" xr:uid="{00000000-0005-0000-0000-0000C52C0000}"/>
    <cellStyle name="쉼표 [0] 19 7" xfId="10687" xr:uid="{00000000-0005-0000-0000-0000C62C0000}"/>
    <cellStyle name="쉼표 [0] 19 7 2" xfId="10688" xr:uid="{00000000-0005-0000-0000-0000C72C0000}"/>
    <cellStyle name="쉼표 [0] 19 8" xfId="10689" xr:uid="{00000000-0005-0000-0000-0000C82C0000}"/>
    <cellStyle name="쉼표 [0] 19 8 2" xfId="10690" xr:uid="{00000000-0005-0000-0000-0000C92C0000}"/>
    <cellStyle name="쉼표 [0] 19 9" xfId="10691" xr:uid="{00000000-0005-0000-0000-0000CA2C0000}"/>
    <cellStyle name="쉼표 [0] 19 9 2" xfId="10692" xr:uid="{00000000-0005-0000-0000-0000CB2C0000}"/>
    <cellStyle name="쉼표 [0] 2" xfId="10693" xr:uid="{00000000-0005-0000-0000-0000CC2C0000}"/>
    <cellStyle name="쉼표 [0] 2 10" xfId="10694" xr:uid="{00000000-0005-0000-0000-0000CD2C0000}"/>
    <cellStyle name="쉼표 [0] 2 11" xfId="10695" xr:uid="{00000000-0005-0000-0000-0000CE2C0000}"/>
    <cellStyle name="쉼표 [0] 2 12" xfId="10696" xr:uid="{00000000-0005-0000-0000-0000CF2C0000}"/>
    <cellStyle name="쉼표 [0] 2 13" xfId="10697" xr:uid="{00000000-0005-0000-0000-0000D02C0000}"/>
    <cellStyle name="쉼표 [0] 2 14" xfId="10698" xr:uid="{00000000-0005-0000-0000-0000D12C0000}"/>
    <cellStyle name="쉼표 [0] 2 15" xfId="15898" xr:uid="{00000000-0005-0000-0000-0000D22C0000}"/>
    <cellStyle name="쉼표 [0] 2 16" xfId="15948" xr:uid="{00000000-0005-0000-0000-0000D32C0000}"/>
    <cellStyle name="쉼표 [0] 2 2" xfId="10699" xr:uid="{00000000-0005-0000-0000-0000D42C0000}"/>
    <cellStyle name="쉼표 [0] 2 2 2" xfId="10700" xr:uid="{00000000-0005-0000-0000-0000D52C0000}"/>
    <cellStyle name="쉼표 [0] 2 2 2 2" xfId="10701" xr:uid="{00000000-0005-0000-0000-0000D62C0000}"/>
    <cellStyle name="쉼표 [0] 2 2 2 2 2" xfId="16659" xr:uid="{00000000-0005-0000-0000-0000D72C0000}"/>
    <cellStyle name="쉼표 [0] 2 2 2 3" xfId="10702" xr:uid="{00000000-0005-0000-0000-0000D82C0000}"/>
    <cellStyle name="쉼표 [0] 2 2 2 4" xfId="16658" xr:uid="{00000000-0005-0000-0000-0000D92C0000}"/>
    <cellStyle name="쉼표 [0] 2 2 3" xfId="10703" xr:uid="{00000000-0005-0000-0000-0000DA2C0000}"/>
    <cellStyle name="쉼표 [0] 2 2 3 2" xfId="10704" xr:uid="{00000000-0005-0000-0000-0000DB2C0000}"/>
    <cellStyle name="쉼표 [0] 2 2 3 2 2" xfId="16794" xr:uid="{00000000-0005-0000-0000-0000DC2C0000}"/>
    <cellStyle name="쉼표 [0] 2 2 3 3" xfId="16660" xr:uid="{00000000-0005-0000-0000-0000DD2C0000}"/>
    <cellStyle name="쉼표 [0] 2 2 3 4" xfId="15998" xr:uid="{00000000-0005-0000-0000-0000DE2C0000}"/>
    <cellStyle name="쉼표 [0] 2 2 4" xfId="10705" xr:uid="{00000000-0005-0000-0000-0000DF2C0000}"/>
    <cellStyle name="쉼표 [0] 2 2 5" xfId="10706" xr:uid="{00000000-0005-0000-0000-0000E02C0000}"/>
    <cellStyle name="쉼표 [0] 2 2 6" xfId="15953" xr:uid="{00000000-0005-0000-0000-0000E12C0000}"/>
    <cellStyle name="쉼표 [0] 2 2 7" xfId="16657" xr:uid="{00000000-0005-0000-0000-0000E22C0000}"/>
    <cellStyle name="쉼표 [0] 2 3" xfId="10707" xr:uid="{00000000-0005-0000-0000-0000E32C0000}"/>
    <cellStyle name="쉼표 [0] 2 3 2" xfId="10708" xr:uid="{00000000-0005-0000-0000-0000E42C0000}"/>
    <cellStyle name="쉼표 [0] 2 3 2 2" xfId="10709" xr:uid="{00000000-0005-0000-0000-0000E52C0000}"/>
    <cellStyle name="쉼표 [0] 2 3 2 3" xfId="10710" xr:uid="{00000000-0005-0000-0000-0000E62C0000}"/>
    <cellStyle name="쉼표 [0] 2 3 2 4" xfId="16828" xr:uid="{00000000-0005-0000-0000-0000E72C0000}"/>
    <cellStyle name="쉼표 [0] 2 3 3" xfId="10711" xr:uid="{00000000-0005-0000-0000-0000E82C0000}"/>
    <cellStyle name="쉼표 [0] 2 3 3 2" xfId="10712" xr:uid="{00000000-0005-0000-0000-0000E92C0000}"/>
    <cellStyle name="쉼표 [0] 2 3 3 3" xfId="16811" xr:uid="{00000000-0005-0000-0000-0000EA2C0000}"/>
    <cellStyle name="쉼표 [0] 2 3 4" xfId="10713" xr:uid="{00000000-0005-0000-0000-0000EB2C0000}"/>
    <cellStyle name="쉼표 [0] 2 3 5" xfId="10714" xr:uid="{00000000-0005-0000-0000-0000EC2C0000}"/>
    <cellStyle name="쉼표 [0] 2 3 6" xfId="10715" xr:uid="{00000000-0005-0000-0000-0000ED2C0000}"/>
    <cellStyle name="쉼표 [0] 2 3 7" xfId="16661" xr:uid="{00000000-0005-0000-0000-0000EE2C0000}"/>
    <cellStyle name="쉼표 [0] 2 4" xfId="10716" xr:uid="{00000000-0005-0000-0000-0000EF2C0000}"/>
    <cellStyle name="쉼표 [0] 2 4 2" xfId="10717" xr:uid="{00000000-0005-0000-0000-0000F02C0000}"/>
    <cellStyle name="쉼표 [0] 2 4 2 2" xfId="10718" xr:uid="{00000000-0005-0000-0000-0000F12C0000}"/>
    <cellStyle name="쉼표 [0] 2 4 3" xfId="10719" xr:uid="{00000000-0005-0000-0000-0000F22C0000}"/>
    <cellStyle name="쉼표 [0] 2 4 4" xfId="10720" xr:uid="{00000000-0005-0000-0000-0000F32C0000}"/>
    <cellStyle name="쉼표 [0] 2 4 5" xfId="16662" xr:uid="{00000000-0005-0000-0000-0000F42C0000}"/>
    <cellStyle name="쉼표 [0] 2 5" xfId="10721" xr:uid="{00000000-0005-0000-0000-0000F52C0000}"/>
    <cellStyle name="쉼표 [0] 2 5 2" xfId="10722" xr:uid="{00000000-0005-0000-0000-0000F62C0000}"/>
    <cellStyle name="쉼표 [0] 2 5 2 2" xfId="10723" xr:uid="{00000000-0005-0000-0000-0000F72C0000}"/>
    <cellStyle name="쉼표 [0] 2 5 3" xfId="10724" xr:uid="{00000000-0005-0000-0000-0000F82C0000}"/>
    <cellStyle name="쉼표 [0] 2 5 4" xfId="16797" xr:uid="{00000000-0005-0000-0000-0000F92C0000}"/>
    <cellStyle name="쉼표 [0] 2 6" xfId="10725" xr:uid="{00000000-0005-0000-0000-0000FA2C0000}"/>
    <cellStyle name="쉼표 [0] 2 6 2" xfId="10726" xr:uid="{00000000-0005-0000-0000-0000FB2C0000}"/>
    <cellStyle name="쉼표 [0] 2 6 3" xfId="16810" xr:uid="{00000000-0005-0000-0000-0000FC2C0000}"/>
    <cellStyle name="쉼표 [0] 2 7" xfId="10727" xr:uid="{00000000-0005-0000-0000-0000FD2C0000}"/>
    <cellStyle name="쉼표 [0] 2 7 2" xfId="10728" xr:uid="{00000000-0005-0000-0000-0000FE2C0000}"/>
    <cellStyle name="쉼표 [0] 2 8" xfId="10729" xr:uid="{00000000-0005-0000-0000-0000FF2C0000}"/>
    <cellStyle name="쉼표 [0] 2 8 2" xfId="10730" xr:uid="{00000000-0005-0000-0000-0000002D0000}"/>
    <cellStyle name="쉼표 [0] 2 8 3" xfId="16663" xr:uid="{00000000-0005-0000-0000-0000012D0000}"/>
    <cellStyle name="쉼표 [0] 2 9" xfId="10731" xr:uid="{00000000-0005-0000-0000-0000022D0000}"/>
    <cellStyle name="쉼표 [0] 2 9 2" xfId="10732" xr:uid="{00000000-0005-0000-0000-0000032D0000}"/>
    <cellStyle name="쉼표 [0] 2_롯데 일산점 무대조명_총괄표_100503_수정" xfId="10733" xr:uid="{00000000-0005-0000-0000-0000042D0000}"/>
    <cellStyle name="쉼표 [0] 20" xfId="10734" xr:uid="{00000000-0005-0000-0000-0000052D0000}"/>
    <cellStyle name="쉼표 [0] 20 2" xfId="10735" xr:uid="{00000000-0005-0000-0000-0000062D0000}"/>
    <cellStyle name="쉼표 [0] 21" xfId="10736" xr:uid="{00000000-0005-0000-0000-0000072D0000}"/>
    <cellStyle name="쉼표 [0] 21 2" xfId="10737" xr:uid="{00000000-0005-0000-0000-0000082D0000}"/>
    <cellStyle name="쉼표 [0] 22" xfId="10738" xr:uid="{00000000-0005-0000-0000-0000092D0000}"/>
    <cellStyle name="쉼표 [0] 22 2" xfId="10739" xr:uid="{00000000-0005-0000-0000-00000A2D0000}"/>
    <cellStyle name="쉼표 [0] 23" xfId="10740" xr:uid="{00000000-0005-0000-0000-00000B2D0000}"/>
    <cellStyle name="쉼표 [0] 23 2" xfId="10741" xr:uid="{00000000-0005-0000-0000-00000C2D0000}"/>
    <cellStyle name="쉼표 [0] 24" xfId="10742" xr:uid="{00000000-0005-0000-0000-00000D2D0000}"/>
    <cellStyle name="쉼표 [0] 24 2" xfId="10743" xr:uid="{00000000-0005-0000-0000-00000E2D0000}"/>
    <cellStyle name="쉼표 [0] 25" xfId="10744" xr:uid="{00000000-0005-0000-0000-00000F2D0000}"/>
    <cellStyle name="쉼표 [0] 25 2" xfId="10745" xr:uid="{00000000-0005-0000-0000-0000102D0000}"/>
    <cellStyle name="쉼표 [0] 26" xfId="10746" xr:uid="{00000000-0005-0000-0000-0000112D0000}"/>
    <cellStyle name="쉼표 [0] 26 2" xfId="10747" xr:uid="{00000000-0005-0000-0000-0000122D0000}"/>
    <cellStyle name="쉼표 [0] 27" xfId="10748" xr:uid="{00000000-0005-0000-0000-0000132D0000}"/>
    <cellStyle name="쉼표 [0] 27 2" xfId="10749" xr:uid="{00000000-0005-0000-0000-0000142D0000}"/>
    <cellStyle name="쉼표 [0] 28" xfId="10750" xr:uid="{00000000-0005-0000-0000-0000152D0000}"/>
    <cellStyle name="쉼표 [0] 28 2" xfId="10751" xr:uid="{00000000-0005-0000-0000-0000162D0000}"/>
    <cellStyle name="쉼표 [0] 29" xfId="10752" xr:uid="{00000000-0005-0000-0000-0000172D0000}"/>
    <cellStyle name="쉼표 [0] 29 2" xfId="10753" xr:uid="{00000000-0005-0000-0000-0000182D0000}"/>
    <cellStyle name="쉼표 [0] 3" xfId="10754" xr:uid="{00000000-0005-0000-0000-0000192D0000}"/>
    <cellStyle name="쉼표 [0] 3 10" xfId="10755" xr:uid="{00000000-0005-0000-0000-00001A2D0000}"/>
    <cellStyle name="쉼표 [0] 3 10 2" xfId="10756" xr:uid="{00000000-0005-0000-0000-00001B2D0000}"/>
    <cellStyle name="쉼표 [0] 3 11" xfId="10757" xr:uid="{00000000-0005-0000-0000-00001C2D0000}"/>
    <cellStyle name="쉼표 [0] 3 11 2" xfId="10758" xr:uid="{00000000-0005-0000-0000-00001D2D0000}"/>
    <cellStyle name="쉼표 [0] 3 12" xfId="10759" xr:uid="{00000000-0005-0000-0000-00001E2D0000}"/>
    <cellStyle name="쉼표 [0] 3 13" xfId="10760" xr:uid="{00000000-0005-0000-0000-00001F2D0000}"/>
    <cellStyle name="쉼표 [0] 3 14" xfId="16664" xr:uid="{00000000-0005-0000-0000-0000202D0000}"/>
    <cellStyle name="쉼표 [0] 3 15" xfId="16948" xr:uid="{00000000-0005-0000-0000-0000212D0000}"/>
    <cellStyle name="쉼표 [0] 3 2" xfId="10761" xr:uid="{00000000-0005-0000-0000-0000222D0000}"/>
    <cellStyle name="쉼표 [0] 3 2 2" xfId="10762" xr:uid="{00000000-0005-0000-0000-0000232D0000}"/>
    <cellStyle name="쉼표 [0] 3 2 2 2" xfId="10763" xr:uid="{00000000-0005-0000-0000-0000242D0000}"/>
    <cellStyle name="쉼표 [0] 3 2 2 3" xfId="10764" xr:uid="{00000000-0005-0000-0000-0000252D0000}"/>
    <cellStyle name="쉼표 [0] 3 2 3" xfId="10765" xr:uid="{00000000-0005-0000-0000-0000262D0000}"/>
    <cellStyle name="쉼표 [0] 3 2 3 2" xfId="10766" xr:uid="{00000000-0005-0000-0000-0000272D0000}"/>
    <cellStyle name="쉼표 [0] 3 2 3 3" xfId="16665" xr:uid="{00000000-0005-0000-0000-0000282D0000}"/>
    <cellStyle name="쉼표 [0] 3 2 4" xfId="10767" xr:uid="{00000000-0005-0000-0000-0000292D0000}"/>
    <cellStyle name="쉼표 [0] 3 2 5" xfId="10768" xr:uid="{00000000-0005-0000-0000-00002A2D0000}"/>
    <cellStyle name="쉼표 [0] 3 2 6" xfId="10769" xr:uid="{00000000-0005-0000-0000-00002B2D0000}"/>
    <cellStyle name="쉼표 [0] 3 2 7" xfId="16799" xr:uid="{00000000-0005-0000-0000-00002C2D0000}"/>
    <cellStyle name="쉼표 [0] 3 3" xfId="10770" xr:uid="{00000000-0005-0000-0000-00002D2D0000}"/>
    <cellStyle name="쉼표 [0] 3 3 2" xfId="10771" xr:uid="{00000000-0005-0000-0000-00002E2D0000}"/>
    <cellStyle name="쉼표 [0] 3 3 3" xfId="16829" xr:uid="{00000000-0005-0000-0000-00002F2D0000}"/>
    <cellStyle name="쉼표 [0] 3 4" xfId="10772" xr:uid="{00000000-0005-0000-0000-0000302D0000}"/>
    <cellStyle name="쉼표 [0] 3 4 2" xfId="10773" xr:uid="{00000000-0005-0000-0000-0000312D0000}"/>
    <cellStyle name="쉼표 [0] 3 4 3" xfId="10774" xr:uid="{00000000-0005-0000-0000-0000322D0000}"/>
    <cellStyle name="쉼표 [0] 3 4 4" xfId="16812" xr:uid="{00000000-0005-0000-0000-0000332D0000}"/>
    <cellStyle name="쉼표 [0] 3 5" xfId="10775" xr:uid="{00000000-0005-0000-0000-0000342D0000}"/>
    <cellStyle name="쉼표 [0] 3 5 2" xfId="10776" xr:uid="{00000000-0005-0000-0000-0000352D0000}"/>
    <cellStyle name="쉼표 [0] 3 5 2 2" xfId="10777" xr:uid="{00000000-0005-0000-0000-0000362D0000}"/>
    <cellStyle name="쉼표 [0] 3 5 3" xfId="10778" xr:uid="{00000000-0005-0000-0000-0000372D0000}"/>
    <cellStyle name="쉼표 [0] 3 6" xfId="10779" xr:uid="{00000000-0005-0000-0000-0000382D0000}"/>
    <cellStyle name="쉼표 [0] 3 6 2" xfId="10780" xr:uid="{00000000-0005-0000-0000-0000392D0000}"/>
    <cellStyle name="쉼표 [0] 3 7" xfId="10781" xr:uid="{00000000-0005-0000-0000-00003A2D0000}"/>
    <cellStyle name="쉼표 [0] 3 7 2" xfId="10782" xr:uid="{00000000-0005-0000-0000-00003B2D0000}"/>
    <cellStyle name="쉼표 [0] 3 7 2 2" xfId="10783" xr:uid="{00000000-0005-0000-0000-00003C2D0000}"/>
    <cellStyle name="쉼표 [0] 3 7 3" xfId="10784" xr:uid="{00000000-0005-0000-0000-00003D2D0000}"/>
    <cellStyle name="쉼표 [0] 3 8" xfId="10785" xr:uid="{00000000-0005-0000-0000-00003E2D0000}"/>
    <cellStyle name="쉼표 [0] 3 8 2" xfId="10786" xr:uid="{00000000-0005-0000-0000-00003F2D0000}"/>
    <cellStyle name="쉼표 [0] 3 9" xfId="10787" xr:uid="{00000000-0005-0000-0000-0000402D0000}"/>
    <cellStyle name="쉼표 [0] 3 9 2" xfId="10788" xr:uid="{00000000-0005-0000-0000-0000412D0000}"/>
    <cellStyle name="쉼표 [0] 3_전파진흥원_AV설비_설치공사_(원가포함)_SMT110903" xfId="10789" xr:uid="{00000000-0005-0000-0000-0000422D0000}"/>
    <cellStyle name="쉼표 [0] 30" xfId="10790" xr:uid="{00000000-0005-0000-0000-0000432D0000}"/>
    <cellStyle name="쉼표 [0] 30 2" xfId="10791" xr:uid="{00000000-0005-0000-0000-0000442D0000}"/>
    <cellStyle name="쉼표 [0] 31" xfId="10792" xr:uid="{00000000-0005-0000-0000-0000452D0000}"/>
    <cellStyle name="쉼표 [0] 31 2" xfId="10793" xr:uid="{00000000-0005-0000-0000-0000462D0000}"/>
    <cellStyle name="쉼표 [0] 32" xfId="10794" xr:uid="{00000000-0005-0000-0000-0000472D0000}"/>
    <cellStyle name="쉼표 [0] 32 2" xfId="10795" xr:uid="{00000000-0005-0000-0000-0000482D0000}"/>
    <cellStyle name="쉼표 [0] 33" xfId="10796" xr:uid="{00000000-0005-0000-0000-0000492D0000}"/>
    <cellStyle name="쉼표 [0] 33 2" xfId="10797" xr:uid="{00000000-0005-0000-0000-00004A2D0000}"/>
    <cellStyle name="쉼표 [0] 34" xfId="10798" xr:uid="{00000000-0005-0000-0000-00004B2D0000}"/>
    <cellStyle name="쉼표 [0] 34 2" xfId="10799" xr:uid="{00000000-0005-0000-0000-00004C2D0000}"/>
    <cellStyle name="쉼표 [0] 35" xfId="10800" xr:uid="{00000000-0005-0000-0000-00004D2D0000}"/>
    <cellStyle name="쉼표 [0] 35 2" xfId="10801" xr:uid="{00000000-0005-0000-0000-00004E2D0000}"/>
    <cellStyle name="쉼표 [0] 36" xfId="10802" xr:uid="{00000000-0005-0000-0000-00004F2D0000}"/>
    <cellStyle name="쉼표 [0] 37" xfId="10803" xr:uid="{00000000-0005-0000-0000-0000502D0000}"/>
    <cellStyle name="쉼표 [0] 37 2" xfId="10804" xr:uid="{00000000-0005-0000-0000-0000512D0000}"/>
    <cellStyle name="쉼표 [0] 38" xfId="10805" xr:uid="{00000000-0005-0000-0000-0000522D0000}"/>
    <cellStyle name="쉼표 [0] 38 2" xfId="10806" xr:uid="{00000000-0005-0000-0000-0000532D0000}"/>
    <cellStyle name="쉼표 [0] 39" xfId="10807" xr:uid="{00000000-0005-0000-0000-0000542D0000}"/>
    <cellStyle name="쉼표 [0] 39 2" xfId="10808" xr:uid="{00000000-0005-0000-0000-0000552D0000}"/>
    <cellStyle name="쉼표 [0] 4" xfId="10809" xr:uid="{00000000-0005-0000-0000-0000562D0000}"/>
    <cellStyle name="쉼표 [0] 4 10" xfId="16666" xr:uid="{00000000-0005-0000-0000-0000572D0000}"/>
    <cellStyle name="쉼표 [0] 4 11" xfId="16947" xr:uid="{00000000-0005-0000-0000-0000582D0000}"/>
    <cellStyle name="쉼표 [0] 4 2" xfId="10810" xr:uid="{00000000-0005-0000-0000-0000592D0000}"/>
    <cellStyle name="쉼표 [0] 4 2 2" xfId="10811" xr:uid="{00000000-0005-0000-0000-00005A2D0000}"/>
    <cellStyle name="쉼표 [0] 4 2 3" xfId="10812" xr:uid="{00000000-0005-0000-0000-00005B2D0000}"/>
    <cellStyle name="쉼표 [0] 4 2 4" xfId="10813" xr:uid="{00000000-0005-0000-0000-00005C2D0000}"/>
    <cellStyle name="쉼표 [0] 4 2 5" xfId="16813" xr:uid="{00000000-0005-0000-0000-00005D2D0000}"/>
    <cellStyle name="쉼표 [0] 4 3" xfId="10814" xr:uid="{00000000-0005-0000-0000-00005E2D0000}"/>
    <cellStyle name="쉼표 [0] 4 3 2" xfId="10815" xr:uid="{00000000-0005-0000-0000-00005F2D0000}"/>
    <cellStyle name="쉼표 [0] 4 3 3" xfId="10816" xr:uid="{00000000-0005-0000-0000-0000602D0000}"/>
    <cellStyle name="쉼표 [0] 4 4" xfId="10817" xr:uid="{00000000-0005-0000-0000-0000612D0000}"/>
    <cellStyle name="쉼표 [0] 4 4 2" xfId="10818" xr:uid="{00000000-0005-0000-0000-0000622D0000}"/>
    <cellStyle name="쉼표 [0] 4 5" xfId="10819" xr:uid="{00000000-0005-0000-0000-0000632D0000}"/>
    <cellStyle name="쉼표 [0] 4 5 2" xfId="10820" xr:uid="{00000000-0005-0000-0000-0000642D0000}"/>
    <cellStyle name="쉼표 [0] 4 6" xfId="10821" xr:uid="{00000000-0005-0000-0000-0000652D0000}"/>
    <cellStyle name="쉼표 [0] 4 7" xfId="10822" xr:uid="{00000000-0005-0000-0000-0000662D0000}"/>
    <cellStyle name="쉼표 [0] 4 8" xfId="10823" xr:uid="{00000000-0005-0000-0000-0000672D0000}"/>
    <cellStyle name="쉼표 [0] 4 9" xfId="10824" xr:uid="{00000000-0005-0000-0000-0000682D0000}"/>
    <cellStyle name="쉼표 [0] 40" xfId="10825" xr:uid="{00000000-0005-0000-0000-0000692D0000}"/>
    <cellStyle name="쉼표 [0] 41" xfId="10826" xr:uid="{00000000-0005-0000-0000-00006A2D0000}"/>
    <cellStyle name="쉼표 [0] 41 2" xfId="10827" xr:uid="{00000000-0005-0000-0000-00006B2D0000}"/>
    <cellStyle name="쉼표 [0] 42" xfId="10828" xr:uid="{00000000-0005-0000-0000-00006C2D0000}"/>
    <cellStyle name="쉼표 [0] 43" xfId="10829" xr:uid="{00000000-0005-0000-0000-00006D2D0000}"/>
    <cellStyle name="쉼표 [0] 44" xfId="10830" xr:uid="{00000000-0005-0000-0000-00006E2D0000}"/>
    <cellStyle name="쉼표 [0] 45" xfId="10831" xr:uid="{00000000-0005-0000-0000-00006F2D0000}"/>
    <cellStyle name="쉼표 [0] 46" xfId="10832" xr:uid="{00000000-0005-0000-0000-0000702D0000}"/>
    <cellStyle name="쉼표 [0] 47" xfId="10833" xr:uid="{00000000-0005-0000-0000-0000712D0000}"/>
    <cellStyle name="쉼표 [0] 48" xfId="10834" xr:uid="{00000000-0005-0000-0000-0000722D0000}"/>
    <cellStyle name="쉼표 [0] 49" xfId="10835" xr:uid="{00000000-0005-0000-0000-0000732D0000}"/>
    <cellStyle name="쉼표 [0] 5" xfId="10836" xr:uid="{00000000-0005-0000-0000-0000742D0000}"/>
    <cellStyle name="쉼표 [0] 5 10" xfId="10837" xr:uid="{00000000-0005-0000-0000-0000752D0000}"/>
    <cellStyle name="쉼표 [0] 5 11" xfId="10838" xr:uid="{00000000-0005-0000-0000-0000762D0000}"/>
    <cellStyle name="쉼표 [0] 5 12" xfId="10839" xr:uid="{00000000-0005-0000-0000-0000772D0000}"/>
    <cellStyle name="쉼표 [0] 5 13" xfId="16667" xr:uid="{00000000-0005-0000-0000-0000782D0000}"/>
    <cellStyle name="쉼표 [0] 5 2" xfId="10840" xr:uid="{00000000-0005-0000-0000-0000792D0000}"/>
    <cellStyle name="쉼표 [0] 5 2 2" xfId="10841" xr:uid="{00000000-0005-0000-0000-00007A2D0000}"/>
    <cellStyle name="쉼표 [0] 5 2 3" xfId="10842" xr:uid="{00000000-0005-0000-0000-00007B2D0000}"/>
    <cellStyle name="쉼표 [0] 5 2 4" xfId="16830" xr:uid="{00000000-0005-0000-0000-00007C2D0000}"/>
    <cellStyle name="쉼표 [0] 5 3" xfId="10843" xr:uid="{00000000-0005-0000-0000-00007D2D0000}"/>
    <cellStyle name="쉼표 [0] 5 3 2" xfId="10844" xr:uid="{00000000-0005-0000-0000-00007E2D0000}"/>
    <cellStyle name="쉼표 [0] 5 4" xfId="10845" xr:uid="{00000000-0005-0000-0000-00007F2D0000}"/>
    <cellStyle name="쉼표 [0] 5 4 2" xfId="10846" xr:uid="{00000000-0005-0000-0000-0000802D0000}"/>
    <cellStyle name="쉼표 [0] 5 5" xfId="10847" xr:uid="{00000000-0005-0000-0000-0000812D0000}"/>
    <cellStyle name="쉼표 [0] 5 5 2" xfId="10848" xr:uid="{00000000-0005-0000-0000-0000822D0000}"/>
    <cellStyle name="쉼표 [0] 5 6" xfId="10849" xr:uid="{00000000-0005-0000-0000-0000832D0000}"/>
    <cellStyle name="쉼표 [0] 5 6 2" xfId="10850" xr:uid="{00000000-0005-0000-0000-0000842D0000}"/>
    <cellStyle name="쉼표 [0] 5 7" xfId="10851" xr:uid="{00000000-0005-0000-0000-0000852D0000}"/>
    <cellStyle name="쉼표 [0] 5 7 2" xfId="10852" xr:uid="{00000000-0005-0000-0000-0000862D0000}"/>
    <cellStyle name="쉼표 [0] 5 8" xfId="10853" xr:uid="{00000000-0005-0000-0000-0000872D0000}"/>
    <cellStyle name="쉼표 [0] 5 8 2" xfId="10854" xr:uid="{00000000-0005-0000-0000-0000882D0000}"/>
    <cellStyle name="쉼표 [0] 5 9" xfId="10855" xr:uid="{00000000-0005-0000-0000-0000892D0000}"/>
    <cellStyle name="쉼표 [0] 50" xfId="10856" xr:uid="{00000000-0005-0000-0000-00008A2D0000}"/>
    <cellStyle name="쉼표 [0] 51" xfId="10857" xr:uid="{00000000-0005-0000-0000-00008B2D0000}"/>
    <cellStyle name="쉼표 [0] 52" xfId="10858" xr:uid="{00000000-0005-0000-0000-00008C2D0000}"/>
    <cellStyle name="쉼표 [0] 53" xfId="10859" xr:uid="{00000000-0005-0000-0000-00008D2D0000}"/>
    <cellStyle name="쉼표 [0] 54" xfId="10860" xr:uid="{00000000-0005-0000-0000-00008E2D0000}"/>
    <cellStyle name="쉼표 [0] 55" xfId="10861" xr:uid="{00000000-0005-0000-0000-00008F2D0000}"/>
    <cellStyle name="쉼표 [0] 56" xfId="10862" xr:uid="{00000000-0005-0000-0000-0000902D0000}"/>
    <cellStyle name="쉼표 [0] 57" xfId="10863" xr:uid="{00000000-0005-0000-0000-0000912D0000}"/>
    <cellStyle name="쉼표 [0] 58" xfId="10864" xr:uid="{00000000-0005-0000-0000-0000922D0000}"/>
    <cellStyle name="쉼표 [0] 59" xfId="10865" xr:uid="{00000000-0005-0000-0000-0000932D0000}"/>
    <cellStyle name="쉼표 [0] 6" xfId="10866" xr:uid="{00000000-0005-0000-0000-0000942D0000}"/>
    <cellStyle name="쉼표 [0] 6 2" xfId="10867" xr:uid="{00000000-0005-0000-0000-0000952D0000}"/>
    <cellStyle name="쉼표 [0] 6 2 2" xfId="10868" xr:uid="{00000000-0005-0000-0000-0000962D0000}"/>
    <cellStyle name="쉼표 [0] 6 2 3" xfId="10869" xr:uid="{00000000-0005-0000-0000-0000972D0000}"/>
    <cellStyle name="쉼표 [0] 6 3" xfId="10870" xr:uid="{00000000-0005-0000-0000-0000982D0000}"/>
    <cellStyle name="쉼표 [0] 6 3 2" xfId="10871" xr:uid="{00000000-0005-0000-0000-0000992D0000}"/>
    <cellStyle name="쉼표 [0] 6 4" xfId="10872" xr:uid="{00000000-0005-0000-0000-00009A2D0000}"/>
    <cellStyle name="쉼표 [0] 6 4 2" xfId="10873" xr:uid="{00000000-0005-0000-0000-00009B2D0000}"/>
    <cellStyle name="쉼표 [0] 6 5" xfId="10874" xr:uid="{00000000-0005-0000-0000-00009C2D0000}"/>
    <cellStyle name="쉼표 [0] 6 6" xfId="10875" xr:uid="{00000000-0005-0000-0000-00009D2D0000}"/>
    <cellStyle name="쉼표 [0] 6 7" xfId="10876" xr:uid="{00000000-0005-0000-0000-00009E2D0000}"/>
    <cellStyle name="쉼표 [0] 6 8" xfId="16668" xr:uid="{00000000-0005-0000-0000-00009F2D0000}"/>
    <cellStyle name="쉼표 [0] 6 9" xfId="16946" xr:uid="{00000000-0005-0000-0000-0000A02D0000}"/>
    <cellStyle name="쉼표 [0] 6_전파진흥원_AV설비_설치공사_(원가포함)_SMT110903" xfId="10877" xr:uid="{00000000-0005-0000-0000-0000A12D0000}"/>
    <cellStyle name="쉼표 [0] 60" xfId="10878" xr:uid="{00000000-0005-0000-0000-0000A22D0000}"/>
    <cellStyle name="쉼표 [0] 61" xfId="10879" xr:uid="{00000000-0005-0000-0000-0000A32D0000}"/>
    <cellStyle name="쉼표 [0] 62" xfId="10880" xr:uid="{00000000-0005-0000-0000-0000A42D0000}"/>
    <cellStyle name="쉼표 [0] 63" xfId="10881" xr:uid="{00000000-0005-0000-0000-0000A52D0000}"/>
    <cellStyle name="쉼표 [0] 64" xfId="10882" xr:uid="{00000000-0005-0000-0000-0000A62D0000}"/>
    <cellStyle name="쉼표 [0] 65" xfId="10883" xr:uid="{00000000-0005-0000-0000-0000A72D0000}"/>
    <cellStyle name="쉼표 [0] 66" xfId="10884" xr:uid="{00000000-0005-0000-0000-0000A82D0000}"/>
    <cellStyle name="쉼표 [0] 67" xfId="15897" xr:uid="{00000000-0005-0000-0000-0000A92D0000}"/>
    <cellStyle name="쉼표 [0] 68" xfId="15901" xr:uid="{00000000-0005-0000-0000-0000AA2D0000}"/>
    <cellStyle name="쉼표 [0] 69" xfId="15904" xr:uid="{00000000-0005-0000-0000-0000AB2D0000}"/>
    <cellStyle name="쉼표 [0] 69 2" xfId="10885" xr:uid="{00000000-0005-0000-0000-0000AC2D0000}"/>
    <cellStyle name="쉼표 [0] 69 2 2" xfId="10886" xr:uid="{00000000-0005-0000-0000-0000AD2D0000}"/>
    <cellStyle name="쉼표 [0] 7" xfId="10887" xr:uid="{00000000-0005-0000-0000-0000AE2D0000}"/>
    <cellStyle name="쉼표 [0] 7 2" xfId="10888" xr:uid="{00000000-0005-0000-0000-0000AF2D0000}"/>
    <cellStyle name="쉼표 [0] 7 3" xfId="10889" xr:uid="{00000000-0005-0000-0000-0000B02D0000}"/>
    <cellStyle name="쉼표 [0] 7 4" xfId="10890" xr:uid="{00000000-0005-0000-0000-0000B12D0000}"/>
    <cellStyle name="쉼표 [0] 7 5" xfId="16669" xr:uid="{00000000-0005-0000-0000-0000B22D0000}"/>
    <cellStyle name="쉼표 [0] 70" xfId="15907" xr:uid="{00000000-0005-0000-0000-0000B32D0000}"/>
    <cellStyle name="쉼표 [0] 71" xfId="15910" xr:uid="{00000000-0005-0000-0000-0000B42D0000}"/>
    <cellStyle name="쉼표 [0] 72" xfId="15913" xr:uid="{00000000-0005-0000-0000-0000B52D0000}"/>
    <cellStyle name="쉼표 [0] 73" xfId="15916" xr:uid="{00000000-0005-0000-0000-0000B62D0000}"/>
    <cellStyle name="쉼표 [0] 74" xfId="15919" xr:uid="{00000000-0005-0000-0000-0000B72D0000}"/>
    <cellStyle name="쉼표 [0] 75" xfId="15922" xr:uid="{00000000-0005-0000-0000-0000B82D0000}"/>
    <cellStyle name="쉼표 [0] 76" xfId="15929" xr:uid="{00000000-0005-0000-0000-0000B92D0000}"/>
    <cellStyle name="쉼표 [0] 77" xfId="15933" xr:uid="{00000000-0005-0000-0000-0000BA2D0000}"/>
    <cellStyle name="쉼표 [0] 78" xfId="10891" xr:uid="{00000000-0005-0000-0000-0000BB2D0000}"/>
    <cellStyle name="쉼표 [0] 78 2" xfId="10892" xr:uid="{00000000-0005-0000-0000-0000BC2D0000}"/>
    <cellStyle name="쉼표 [0] 79" xfId="15937" xr:uid="{00000000-0005-0000-0000-0000BD2D0000}"/>
    <cellStyle name="쉼표 [0] 8" xfId="10893" xr:uid="{00000000-0005-0000-0000-0000BE2D0000}"/>
    <cellStyle name="쉼표 [0] 8 2" xfId="10894" xr:uid="{00000000-0005-0000-0000-0000BF2D0000}"/>
    <cellStyle name="쉼표 [0] 8 2 2" xfId="16858" xr:uid="{00000000-0005-0000-0000-0000C02D0000}"/>
    <cellStyle name="쉼표 [0] 8 2 2 2" xfId="16894" xr:uid="{00000000-0005-0000-0000-0000C12D0000}"/>
    <cellStyle name="쉼표 [0] 8 2 3" xfId="16876" xr:uid="{00000000-0005-0000-0000-0000C22D0000}"/>
    <cellStyle name="쉼표 [0] 8 2 4" xfId="16840" xr:uid="{00000000-0005-0000-0000-0000C32D0000}"/>
    <cellStyle name="쉼표 [0] 8 3" xfId="10895" xr:uid="{00000000-0005-0000-0000-0000C42D0000}"/>
    <cellStyle name="쉼표 [0] 8 3 2" xfId="16864" xr:uid="{00000000-0005-0000-0000-0000C52D0000}"/>
    <cellStyle name="쉼표 [0] 8 3 2 2" xfId="16900" xr:uid="{00000000-0005-0000-0000-0000C62D0000}"/>
    <cellStyle name="쉼표 [0] 8 3 3" xfId="16882" xr:uid="{00000000-0005-0000-0000-0000C72D0000}"/>
    <cellStyle name="쉼표 [0] 8 3 4" xfId="16846" xr:uid="{00000000-0005-0000-0000-0000C82D0000}"/>
    <cellStyle name="쉼표 [0] 8 4" xfId="10896" xr:uid="{00000000-0005-0000-0000-0000C92D0000}"/>
    <cellStyle name="쉼표 [0] 8 4 2" xfId="16888" xr:uid="{00000000-0005-0000-0000-0000CA2D0000}"/>
    <cellStyle name="쉼표 [0] 8 4 3" xfId="16852" xr:uid="{00000000-0005-0000-0000-0000CB2D0000}"/>
    <cellStyle name="쉼표 [0] 8 5" xfId="16870" xr:uid="{00000000-0005-0000-0000-0000CC2D0000}"/>
    <cellStyle name="쉼표 [0] 8 6" xfId="16670" xr:uid="{00000000-0005-0000-0000-0000CD2D0000}"/>
    <cellStyle name="쉼표 [0] 80" xfId="15941" xr:uid="{00000000-0005-0000-0000-0000CE2D0000}"/>
    <cellStyle name="쉼표 [0] 81" xfId="15945" xr:uid="{00000000-0005-0000-0000-0000CF2D0000}"/>
    <cellStyle name="쉼표 [0] 82" xfId="15996" xr:uid="{00000000-0005-0000-0000-0000D02D0000}"/>
    <cellStyle name="쉼표 [0] 87 2" xfId="10897" xr:uid="{00000000-0005-0000-0000-0000D12D0000}"/>
    <cellStyle name="쉼표 [0] 9" xfId="10898" xr:uid="{00000000-0005-0000-0000-0000D22D0000}"/>
    <cellStyle name="쉼표 [0] 9 2" xfId="10899" xr:uid="{00000000-0005-0000-0000-0000D32D0000}"/>
    <cellStyle name="쉼표 [0] 9 2 2" xfId="16857" xr:uid="{00000000-0005-0000-0000-0000D42D0000}"/>
    <cellStyle name="쉼표 [0] 9 2 2 2" xfId="16893" xr:uid="{00000000-0005-0000-0000-0000D52D0000}"/>
    <cellStyle name="쉼표 [0] 9 2 3" xfId="16875" xr:uid="{00000000-0005-0000-0000-0000D62D0000}"/>
    <cellStyle name="쉼표 [0] 9 2 4" xfId="16839" xr:uid="{00000000-0005-0000-0000-0000D72D0000}"/>
    <cellStyle name="쉼표 [0] 9 3" xfId="16845" xr:uid="{00000000-0005-0000-0000-0000D82D0000}"/>
    <cellStyle name="쉼표 [0] 9 3 2" xfId="16863" xr:uid="{00000000-0005-0000-0000-0000D92D0000}"/>
    <cellStyle name="쉼표 [0] 9 3 2 2" xfId="16899" xr:uid="{00000000-0005-0000-0000-0000DA2D0000}"/>
    <cellStyle name="쉼표 [0] 9 3 3" xfId="16881" xr:uid="{00000000-0005-0000-0000-0000DB2D0000}"/>
    <cellStyle name="쉼표 [0] 9 4" xfId="16851" xr:uid="{00000000-0005-0000-0000-0000DC2D0000}"/>
    <cellStyle name="쉼표 [0] 9 4 2" xfId="16887" xr:uid="{00000000-0005-0000-0000-0000DD2D0000}"/>
    <cellStyle name="쉼표 [0] 9 5" xfId="16869" xr:uid="{00000000-0005-0000-0000-0000DE2D0000}"/>
    <cellStyle name="쉼표 [0] 9 6" xfId="16002" xr:uid="{00000000-0005-0000-0000-0000DF2D0000}"/>
    <cellStyle name="쉼표 10" xfId="10900" xr:uid="{00000000-0005-0000-0000-0000E02D0000}"/>
    <cellStyle name="쉼표 10 2" xfId="10901" xr:uid="{00000000-0005-0000-0000-0000E12D0000}"/>
    <cellStyle name="쉼표 11" xfId="10902" xr:uid="{00000000-0005-0000-0000-0000E22D0000}"/>
    <cellStyle name="쉼표 11 2" xfId="10903" xr:uid="{00000000-0005-0000-0000-0000E32D0000}"/>
    <cellStyle name="쉼표 12" xfId="10904" xr:uid="{00000000-0005-0000-0000-0000E42D0000}"/>
    <cellStyle name="쉼표 12 2" xfId="10905" xr:uid="{00000000-0005-0000-0000-0000E52D0000}"/>
    <cellStyle name="쉼표 13" xfId="10906" xr:uid="{00000000-0005-0000-0000-0000E62D0000}"/>
    <cellStyle name="쉼표 13 2" xfId="10907" xr:uid="{00000000-0005-0000-0000-0000E72D0000}"/>
    <cellStyle name="쉼표 14" xfId="10908" xr:uid="{00000000-0005-0000-0000-0000E82D0000}"/>
    <cellStyle name="쉼표 14 2" xfId="10909" xr:uid="{00000000-0005-0000-0000-0000E92D0000}"/>
    <cellStyle name="쉼표 15" xfId="10910" xr:uid="{00000000-0005-0000-0000-0000EA2D0000}"/>
    <cellStyle name="쉼표 15 2" xfId="10911" xr:uid="{00000000-0005-0000-0000-0000EB2D0000}"/>
    <cellStyle name="쉼표 16" xfId="10912" xr:uid="{00000000-0005-0000-0000-0000EC2D0000}"/>
    <cellStyle name="쉼표 16 2" xfId="10913" xr:uid="{00000000-0005-0000-0000-0000ED2D0000}"/>
    <cellStyle name="쉼표 17" xfId="10914" xr:uid="{00000000-0005-0000-0000-0000EE2D0000}"/>
    <cellStyle name="쉼표 17 2" xfId="10915" xr:uid="{00000000-0005-0000-0000-0000EF2D0000}"/>
    <cellStyle name="쉼표 18" xfId="10916" xr:uid="{00000000-0005-0000-0000-0000F02D0000}"/>
    <cellStyle name="쉼표 18 2" xfId="10917" xr:uid="{00000000-0005-0000-0000-0000F12D0000}"/>
    <cellStyle name="쉼표 19" xfId="10918" xr:uid="{00000000-0005-0000-0000-0000F22D0000}"/>
    <cellStyle name="쉼표 19 2" xfId="10919" xr:uid="{00000000-0005-0000-0000-0000F32D0000}"/>
    <cellStyle name="쉼표 2" xfId="10920" xr:uid="{00000000-0005-0000-0000-0000F42D0000}"/>
    <cellStyle name="쉼표 2 2" xfId="10921" xr:uid="{00000000-0005-0000-0000-0000F52D0000}"/>
    <cellStyle name="쉼표 20" xfId="10922" xr:uid="{00000000-0005-0000-0000-0000F62D0000}"/>
    <cellStyle name="쉼표 20 2" xfId="10923" xr:uid="{00000000-0005-0000-0000-0000F72D0000}"/>
    <cellStyle name="쉼표 21" xfId="10924" xr:uid="{00000000-0005-0000-0000-0000F82D0000}"/>
    <cellStyle name="쉼표 21 2" xfId="10925" xr:uid="{00000000-0005-0000-0000-0000F92D0000}"/>
    <cellStyle name="쉼표 3" xfId="10926" xr:uid="{00000000-0005-0000-0000-0000FA2D0000}"/>
    <cellStyle name="쉼표 3 2" xfId="10927" xr:uid="{00000000-0005-0000-0000-0000FB2D0000}"/>
    <cellStyle name="쉼표 4" xfId="10928" xr:uid="{00000000-0005-0000-0000-0000FC2D0000}"/>
    <cellStyle name="쉼표 4 2" xfId="10929" xr:uid="{00000000-0005-0000-0000-0000FD2D0000}"/>
    <cellStyle name="쉼표 5" xfId="10930" xr:uid="{00000000-0005-0000-0000-0000FE2D0000}"/>
    <cellStyle name="쉼표 5 2" xfId="10931" xr:uid="{00000000-0005-0000-0000-0000FF2D0000}"/>
    <cellStyle name="쉼표 6" xfId="10932" xr:uid="{00000000-0005-0000-0000-0000002E0000}"/>
    <cellStyle name="쉼표 6 2" xfId="10933" xr:uid="{00000000-0005-0000-0000-0000012E0000}"/>
    <cellStyle name="쉼표 7" xfId="10934" xr:uid="{00000000-0005-0000-0000-0000022E0000}"/>
    <cellStyle name="쉼표 7 2" xfId="10935" xr:uid="{00000000-0005-0000-0000-0000032E0000}"/>
    <cellStyle name="쉼표 8" xfId="10936" xr:uid="{00000000-0005-0000-0000-0000042E0000}"/>
    <cellStyle name="쉼표 8 2" xfId="10937" xr:uid="{00000000-0005-0000-0000-0000052E0000}"/>
    <cellStyle name="쉼표 9" xfId="10938" xr:uid="{00000000-0005-0000-0000-0000062E0000}"/>
    <cellStyle name="쉼표 9 2" xfId="10939" xr:uid="{00000000-0005-0000-0000-0000072E0000}"/>
    <cellStyle name="스타일 1" xfId="10940" xr:uid="{00000000-0005-0000-0000-0000082E0000}"/>
    <cellStyle name="스타일 1 10" xfId="10941" xr:uid="{00000000-0005-0000-0000-0000092E0000}"/>
    <cellStyle name="스타일 1 10 2" xfId="10942" xr:uid="{00000000-0005-0000-0000-00000A2E0000}"/>
    <cellStyle name="스타일 1 11" xfId="10943" xr:uid="{00000000-0005-0000-0000-00000B2E0000}"/>
    <cellStyle name="스타일 1 11 2" xfId="10944" xr:uid="{00000000-0005-0000-0000-00000C2E0000}"/>
    <cellStyle name="스타일 1 12" xfId="10945" xr:uid="{00000000-0005-0000-0000-00000D2E0000}"/>
    <cellStyle name="스타일 1 12 2" xfId="10946" xr:uid="{00000000-0005-0000-0000-00000E2E0000}"/>
    <cellStyle name="스타일 1 13" xfId="10947" xr:uid="{00000000-0005-0000-0000-00000F2E0000}"/>
    <cellStyle name="스타일 1 13 2" xfId="10948" xr:uid="{00000000-0005-0000-0000-0000102E0000}"/>
    <cellStyle name="스타일 1 14" xfId="10949" xr:uid="{00000000-0005-0000-0000-0000112E0000}"/>
    <cellStyle name="스타일 1 14 2" xfId="10950" xr:uid="{00000000-0005-0000-0000-0000122E0000}"/>
    <cellStyle name="스타일 1 15" xfId="10951" xr:uid="{00000000-0005-0000-0000-0000132E0000}"/>
    <cellStyle name="스타일 1 15 2" xfId="10952" xr:uid="{00000000-0005-0000-0000-0000142E0000}"/>
    <cellStyle name="스타일 1 16" xfId="10953" xr:uid="{00000000-0005-0000-0000-0000152E0000}"/>
    <cellStyle name="스타일 1 16 2" xfId="10954" xr:uid="{00000000-0005-0000-0000-0000162E0000}"/>
    <cellStyle name="스타일 1 17" xfId="10955" xr:uid="{00000000-0005-0000-0000-0000172E0000}"/>
    <cellStyle name="스타일 1 17 2" xfId="10956" xr:uid="{00000000-0005-0000-0000-0000182E0000}"/>
    <cellStyle name="스타일 1 18" xfId="10957" xr:uid="{00000000-0005-0000-0000-0000192E0000}"/>
    <cellStyle name="스타일 1 18 2" xfId="10958" xr:uid="{00000000-0005-0000-0000-00001A2E0000}"/>
    <cellStyle name="스타일 1 19" xfId="10959" xr:uid="{00000000-0005-0000-0000-00001B2E0000}"/>
    <cellStyle name="스타일 1 19 2" xfId="10960" xr:uid="{00000000-0005-0000-0000-00001C2E0000}"/>
    <cellStyle name="스타일 1 2" xfId="10961" xr:uid="{00000000-0005-0000-0000-00001D2E0000}"/>
    <cellStyle name="스타일 1 2 2" xfId="10962" xr:uid="{00000000-0005-0000-0000-00001E2E0000}"/>
    <cellStyle name="스타일 1 2 2 2" xfId="10963" xr:uid="{00000000-0005-0000-0000-00001F2E0000}"/>
    <cellStyle name="스타일 1 2 3" xfId="10964" xr:uid="{00000000-0005-0000-0000-0000202E0000}"/>
    <cellStyle name="스타일 1 2 3 2" xfId="10965" xr:uid="{00000000-0005-0000-0000-0000212E0000}"/>
    <cellStyle name="스타일 1 2 4" xfId="10966" xr:uid="{00000000-0005-0000-0000-0000222E0000}"/>
    <cellStyle name="스타일 1 2 4 2" xfId="10967" xr:uid="{00000000-0005-0000-0000-0000232E0000}"/>
    <cellStyle name="스타일 1 2 5" xfId="10968" xr:uid="{00000000-0005-0000-0000-0000242E0000}"/>
    <cellStyle name="스타일 1 2 5 2" xfId="10969" xr:uid="{00000000-0005-0000-0000-0000252E0000}"/>
    <cellStyle name="스타일 1 2 6" xfId="10970" xr:uid="{00000000-0005-0000-0000-0000262E0000}"/>
    <cellStyle name="스타일 1 2 7" xfId="10971" xr:uid="{00000000-0005-0000-0000-0000272E0000}"/>
    <cellStyle name="스타일 1 2 8" xfId="16672" xr:uid="{00000000-0005-0000-0000-0000282E0000}"/>
    <cellStyle name="스타일 1 20" xfId="10972" xr:uid="{00000000-0005-0000-0000-0000292E0000}"/>
    <cellStyle name="스타일 1 20 2" xfId="10973" xr:uid="{00000000-0005-0000-0000-00002A2E0000}"/>
    <cellStyle name="스타일 1 21" xfId="10974" xr:uid="{00000000-0005-0000-0000-00002B2E0000}"/>
    <cellStyle name="스타일 1 21 2" xfId="10975" xr:uid="{00000000-0005-0000-0000-00002C2E0000}"/>
    <cellStyle name="스타일 1 22" xfId="10976" xr:uid="{00000000-0005-0000-0000-00002D2E0000}"/>
    <cellStyle name="스타일 1 22 2" xfId="10977" xr:uid="{00000000-0005-0000-0000-00002E2E0000}"/>
    <cellStyle name="스타일 1 23" xfId="10978" xr:uid="{00000000-0005-0000-0000-00002F2E0000}"/>
    <cellStyle name="스타일 1 23 2" xfId="10979" xr:uid="{00000000-0005-0000-0000-0000302E0000}"/>
    <cellStyle name="스타일 1 24" xfId="10980" xr:uid="{00000000-0005-0000-0000-0000312E0000}"/>
    <cellStyle name="스타일 1 24 2" xfId="10981" xr:uid="{00000000-0005-0000-0000-0000322E0000}"/>
    <cellStyle name="스타일 1 25" xfId="10982" xr:uid="{00000000-0005-0000-0000-0000332E0000}"/>
    <cellStyle name="스타일 1 25 2" xfId="10983" xr:uid="{00000000-0005-0000-0000-0000342E0000}"/>
    <cellStyle name="스타일 1 26" xfId="10984" xr:uid="{00000000-0005-0000-0000-0000352E0000}"/>
    <cellStyle name="스타일 1 26 2" xfId="10985" xr:uid="{00000000-0005-0000-0000-0000362E0000}"/>
    <cellStyle name="스타일 1 27" xfId="10986" xr:uid="{00000000-0005-0000-0000-0000372E0000}"/>
    <cellStyle name="스타일 1 27 2" xfId="10987" xr:uid="{00000000-0005-0000-0000-0000382E0000}"/>
    <cellStyle name="스타일 1 28" xfId="10988" xr:uid="{00000000-0005-0000-0000-0000392E0000}"/>
    <cellStyle name="스타일 1 28 2" xfId="10989" xr:uid="{00000000-0005-0000-0000-00003A2E0000}"/>
    <cellStyle name="스타일 1 29" xfId="10990" xr:uid="{00000000-0005-0000-0000-00003B2E0000}"/>
    <cellStyle name="스타일 1 29 2" xfId="10991" xr:uid="{00000000-0005-0000-0000-00003C2E0000}"/>
    <cellStyle name="스타일 1 3" xfId="10992" xr:uid="{00000000-0005-0000-0000-00003D2E0000}"/>
    <cellStyle name="스타일 1 3 2" xfId="10993" xr:uid="{00000000-0005-0000-0000-00003E2E0000}"/>
    <cellStyle name="스타일 1 3 3" xfId="16673" xr:uid="{00000000-0005-0000-0000-00003F2E0000}"/>
    <cellStyle name="스타일 1 3 4" xfId="16945" xr:uid="{00000000-0005-0000-0000-0000402E0000}"/>
    <cellStyle name="스타일 1 30" xfId="10994" xr:uid="{00000000-0005-0000-0000-0000412E0000}"/>
    <cellStyle name="스타일 1 30 2" xfId="10995" xr:uid="{00000000-0005-0000-0000-0000422E0000}"/>
    <cellStyle name="스타일 1 31" xfId="10996" xr:uid="{00000000-0005-0000-0000-0000432E0000}"/>
    <cellStyle name="스타일 1 31 2" xfId="10997" xr:uid="{00000000-0005-0000-0000-0000442E0000}"/>
    <cellStyle name="스타일 1 32" xfId="10998" xr:uid="{00000000-0005-0000-0000-0000452E0000}"/>
    <cellStyle name="스타일 1 32 2" xfId="10999" xr:uid="{00000000-0005-0000-0000-0000462E0000}"/>
    <cellStyle name="스타일 1 33" xfId="11000" xr:uid="{00000000-0005-0000-0000-0000472E0000}"/>
    <cellStyle name="스타일 1 33 2" xfId="11001" xr:uid="{00000000-0005-0000-0000-0000482E0000}"/>
    <cellStyle name="스타일 1 34" xfId="11002" xr:uid="{00000000-0005-0000-0000-0000492E0000}"/>
    <cellStyle name="스타일 1 34 2" xfId="11003" xr:uid="{00000000-0005-0000-0000-00004A2E0000}"/>
    <cellStyle name="스타일 1 35" xfId="11004" xr:uid="{00000000-0005-0000-0000-00004B2E0000}"/>
    <cellStyle name="스타일 1 35 2" xfId="11005" xr:uid="{00000000-0005-0000-0000-00004C2E0000}"/>
    <cellStyle name="스타일 1 36" xfId="11006" xr:uid="{00000000-0005-0000-0000-00004D2E0000}"/>
    <cellStyle name="스타일 1 36 2" xfId="11007" xr:uid="{00000000-0005-0000-0000-00004E2E0000}"/>
    <cellStyle name="스타일 1 37" xfId="11008" xr:uid="{00000000-0005-0000-0000-00004F2E0000}"/>
    <cellStyle name="스타일 1 37 2" xfId="11009" xr:uid="{00000000-0005-0000-0000-0000502E0000}"/>
    <cellStyle name="스타일 1 38" xfId="11010" xr:uid="{00000000-0005-0000-0000-0000512E0000}"/>
    <cellStyle name="스타일 1 38 2" xfId="11011" xr:uid="{00000000-0005-0000-0000-0000522E0000}"/>
    <cellStyle name="스타일 1 39" xfId="11012" xr:uid="{00000000-0005-0000-0000-0000532E0000}"/>
    <cellStyle name="스타일 1 39 2" xfId="11013" xr:uid="{00000000-0005-0000-0000-0000542E0000}"/>
    <cellStyle name="스타일 1 4" xfId="11014" xr:uid="{00000000-0005-0000-0000-0000552E0000}"/>
    <cellStyle name="스타일 1 4 2" xfId="11015" xr:uid="{00000000-0005-0000-0000-0000562E0000}"/>
    <cellStyle name="스타일 1 40" xfId="11016" xr:uid="{00000000-0005-0000-0000-0000572E0000}"/>
    <cellStyle name="스타일 1 40 2" xfId="11017" xr:uid="{00000000-0005-0000-0000-0000582E0000}"/>
    <cellStyle name="스타일 1 41" xfId="11018" xr:uid="{00000000-0005-0000-0000-0000592E0000}"/>
    <cellStyle name="스타일 1 41 2" xfId="11019" xr:uid="{00000000-0005-0000-0000-00005A2E0000}"/>
    <cellStyle name="스타일 1 42" xfId="11020" xr:uid="{00000000-0005-0000-0000-00005B2E0000}"/>
    <cellStyle name="스타일 1 42 2" xfId="11021" xr:uid="{00000000-0005-0000-0000-00005C2E0000}"/>
    <cellStyle name="스타일 1 43" xfId="11022" xr:uid="{00000000-0005-0000-0000-00005D2E0000}"/>
    <cellStyle name="스타일 1 43 2" xfId="11023" xr:uid="{00000000-0005-0000-0000-00005E2E0000}"/>
    <cellStyle name="스타일 1 44" xfId="11024" xr:uid="{00000000-0005-0000-0000-00005F2E0000}"/>
    <cellStyle name="스타일 1 45" xfId="11025" xr:uid="{00000000-0005-0000-0000-0000602E0000}"/>
    <cellStyle name="스타일 1 46" xfId="16671" xr:uid="{00000000-0005-0000-0000-0000612E0000}"/>
    <cellStyle name="스타일 1 5" xfId="11026" xr:uid="{00000000-0005-0000-0000-0000622E0000}"/>
    <cellStyle name="스타일 1 5 2" xfId="11027" xr:uid="{00000000-0005-0000-0000-0000632E0000}"/>
    <cellStyle name="스타일 1 6" xfId="11028" xr:uid="{00000000-0005-0000-0000-0000642E0000}"/>
    <cellStyle name="스타일 1 6 2" xfId="11029" xr:uid="{00000000-0005-0000-0000-0000652E0000}"/>
    <cellStyle name="스타일 1 7" xfId="11030" xr:uid="{00000000-0005-0000-0000-0000662E0000}"/>
    <cellStyle name="스타일 1 7 2" xfId="11031" xr:uid="{00000000-0005-0000-0000-0000672E0000}"/>
    <cellStyle name="스타일 1 8" xfId="11032" xr:uid="{00000000-0005-0000-0000-0000682E0000}"/>
    <cellStyle name="스타일 1 8 2" xfId="11033" xr:uid="{00000000-0005-0000-0000-0000692E0000}"/>
    <cellStyle name="스타일 1 9" xfId="11034" xr:uid="{00000000-0005-0000-0000-00006A2E0000}"/>
    <cellStyle name="스타일 1 9 2" xfId="11035" xr:uid="{00000000-0005-0000-0000-00006B2E0000}"/>
    <cellStyle name="스타일 1_1부여부지 콘도미니엄 신축공사 AV설비 견적서_20100121" xfId="11036" xr:uid="{00000000-0005-0000-0000-00006C2E0000}"/>
    <cellStyle name="스타일 10" xfId="11037" xr:uid="{00000000-0005-0000-0000-00006D2E0000}"/>
    <cellStyle name="스타일 10 2" xfId="11038" xr:uid="{00000000-0005-0000-0000-00006E2E0000}"/>
    <cellStyle name="스타일 100" xfId="11039" xr:uid="{00000000-0005-0000-0000-00006F2E0000}"/>
    <cellStyle name="스타일 100 2" xfId="11040" xr:uid="{00000000-0005-0000-0000-0000702E0000}"/>
    <cellStyle name="스타일 101" xfId="11041" xr:uid="{00000000-0005-0000-0000-0000712E0000}"/>
    <cellStyle name="스타일 101 2" xfId="11042" xr:uid="{00000000-0005-0000-0000-0000722E0000}"/>
    <cellStyle name="스타일 102" xfId="11043" xr:uid="{00000000-0005-0000-0000-0000732E0000}"/>
    <cellStyle name="스타일 102 2" xfId="11044" xr:uid="{00000000-0005-0000-0000-0000742E0000}"/>
    <cellStyle name="스타일 103" xfId="11045" xr:uid="{00000000-0005-0000-0000-0000752E0000}"/>
    <cellStyle name="스타일 103 2" xfId="11046" xr:uid="{00000000-0005-0000-0000-0000762E0000}"/>
    <cellStyle name="스타일 104" xfId="11047" xr:uid="{00000000-0005-0000-0000-0000772E0000}"/>
    <cellStyle name="스타일 104 2" xfId="11048" xr:uid="{00000000-0005-0000-0000-0000782E0000}"/>
    <cellStyle name="스타일 105" xfId="11049" xr:uid="{00000000-0005-0000-0000-0000792E0000}"/>
    <cellStyle name="스타일 105 2" xfId="11050" xr:uid="{00000000-0005-0000-0000-00007A2E0000}"/>
    <cellStyle name="스타일 106" xfId="11051" xr:uid="{00000000-0005-0000-0000-00007B2E0000}"/>
    <cellStyle name="스타일 106 2" xfId="11052" xr:uid="{00000000-0005-0000-0000-00007C2E0000}"/>
    <cellStyle name="스타일 107" xfId="11053" xr:uid="{00000000-0005-0000-0000-00007D2E0000}"/>
    <cellStyle name="스타일 107 2" xfId="11054" xr:uid="{00000000-0005-0000-0000-00007E2E0000}"/>
    <cellStyle name="스타일 108" xfId="11055" xr:uid="{00000000-0005-0000-0000-00007F2E0000}"/>
    <cellStyle name="스타일 108 2" xfId="11056" xr:uid="{00000000-0005-0000-0000-0000802E0000}"/>
    <cellStyle name="스타일 109" xfId="11057" xr:uid="{00000000-0005-0000-0000-0000812E0000}"/>
    <cellStyle name="스타일 109 2" xfId="11058" xr:uid="{00000000-0005-0000-0000-0000822E0000}"/>
    <cellStyle name="스타일 11" xfId="11059" xr:uid="{00000000-0005-0000-0000-0000832E0000}"/>
    <cellStyle name="스타일 11 2" xfId="11060" xr:uid="{00000000-0005-0000-0000-0000842E0000}"/>
    <cellStyle name="스타일 110" xfId="11061" xr:uid="{00000000-0005-0000-0000-0000852E0000}"/>
    <cellStyle name="스타일 110 2" xfId="11062" xr:uid="{00000000-0005-0000-0000-0000862E0000}"/>
    <cellStyle name="스타일 111" xfId="11063" xr:uid="{00000000-0005-0000-0000-0000872E0000}"/>
    <cellStyle name="스타일 111 2" xfId="11064" xr:uid="{00000000-0005-0000-0000-0000882E0000}"/>
    <cellStyle name="스타일 112" xfId="11065" xr:uid="{00000000-0005-0000-0000-0000892E0000}"/>
    <cellStyle name="스타일 112 2" xfId="11066" xr:uid="{00000000-0005-0000-0000-00008A2E0000}"/>
    <cellStyle name="스타일 113" xfId="11067" xr:uid="{00000000-0005-0000-0000-00008B2E0000}"/>
    <cellStyle name="스타일 113 2" xfId="11068" xr:uid="{00000000-0005-0000-0000-00008C2E0000}"/>
    <cellStyle name="스타일 114" xfId="11069" xr:uid="{00000000-0005-0000-0000-00008D2E0000}"/>
    <cellStyle name="스타일 114 2" xfId="11070" xr:uid="{00000000-0005-0000-0000-00008E2E0000}"/>
    <cellStyle name="스타일 115" xfId="11071" xr:uid="{00000000-0005-0000-0000-00008F2E0000}"/>
    <cellStyle name="스타일 115 2" xfId="11072" xr:uid="{00000000-0005-0000-0000-0000902E0000}"/>
    <cellStyle name="스타일 116" xfId="11073" xr:uid="{00000000-0005-0000-0000-0000912E0000}"/>
    <cellStyle name="스타일 116 2" xfId="11074" xr:uid="{00000000-0005-0000-0000-0000922E0000}"/>
    <cellStyle name="스타일 117" xfId="11075" xr:uid="{00000000-0005-0000-0000-0000932E0000}"/>
    <cellStyle name="스타일 117 2" xfId="11076" xr:uid="{00000000-0005-0000-0000-0000942E0000}"/>
    <cellStyle name="스타일 118" xfId="11077" xr:uid="{00000000-0005-0000-0000-0000952E0000}"/>
    <cellStyle name="스타일 118 2" xfId="11078" xr:uid="{00000000-0005-0000-0000-0000962E0000}"/>
    <cellStyle name="스타일 119" xfId="11079" xr:uid="{00000000-0005-0000-0000-0000972E0000}"/>
    <cellStyle name="스타일 119 2" xfId="11080" xr:uid="{00000000-0005-0000-0000-0000982E0000}"/>
    <cellStyle name="스타일 12" xfId="11081" xr:uid="{00000000-0005-0000-0000-0000992E0000}"/>
    <cellStyle name="스타일 12 2" xfId="11082" xr:uid="{00000000-0005-0000-0000-00009A2E0000}"/>
    <cellStyle name="스타일 120" xfId="11083" xr:uid="{00000000-0005-0000-0000-00009B2E0000}"/>
    <cellStyle name="스타일 120 2" xfId="11084" xr:uid="{00000000-0005-0000-0000-00009C2E0000}"/>
    <cellStyle name="스타일 121" xfId="11085" xr:uid="{00000000-0005-0000-0000-00009D2E0000}"/>
    <cellStyle name="스타일 121 2" xfId="11086" xr:uid="{00000000-0005-0000-0000-00009E2E0000}"/>
    <cellStyle name="스타일 122" xfId="11087" xr:uid="{00000000-0005-0000-0000-00009F2E0000}"/>
    <cellStyle name="스타일 122 2" xfId="11088" xr:uid="{00000000-0005-0000-0000-0000A02E0000}"/>
    <cellStyle name="스타일 123" xfId="11089" xr:uid="{00000000-0005-0000-0000-0000A12E0000}"/>
    <cellStyle name="스타일 123 2" xfId="11090" xr:uid="{00000000-0005-0000-0000-0000A22E0000}"/>
    <cellStyle name="스타일 124" xfId="11091" xr:uid="{00000000-0005-0000-0000-0000A32E0000}"/>
    <cellStyle name="스타일 124 2" xfId="11092" xr:uid="{00000000-0005-0000-0000-0000A42E0000}"/>
    <cellStyle name="스타일 125" xfId="11093" xr:uid="{00000000-0005-0000-0000-0000A52E0000}"/>
    <cellStyle name="스타일 125 2" xfId="11094" xr:uid="{00000000-0005-0000-0000-0000A62E0000}"/>
    <cellStyle name="스타일 126" xfId="11095" xr:uid="{00000000-0005-0000-0000-0000A72E0000}"/>
    <cellStyle name="스타일 126 2" xfId="11096" xr:uid="{00000000-0005-0000-0000-0000A82E0000}"/>
    <cellStyle name="스타일 127" xfId="11097" xr:uid="{00000000-0005-0000-0000-0000A92E0000}"/>
    <cellStyle name="스타일 127 2" xfId="11098" xr:uid="{00000000-0005-0000-0000-0000AA2E0000}"/>
    <cellStyle name="스타일 128" xfId="11099" xr:uid="{00000000-0005-0000-0000-0000AB2E0000}"/>
    <cellStyle name="스타일 128 2" xfId="11100" xr:uid="{00000000-0005-0000-0000-0000AC2E0000}"/>
    <cellStyle name="스타일 129" xfId="11101" xr:uid="{00000000-0005-0000-0000-0000AD2E0000}"/>
    <cellStyle name="스타일 129 2" xfId="11102" xr:uid="{00000000-0005-0000-0000-0000AE2E0000}"/>
    <cellStyle name="스타일 13" xfId="11103" xr:uid="{00000000-0005-0000-0000-0000AF2E0000}"/>
    <cellStyle name="스타일 13 2" xfId="11104" xr:uid="{00000000-0005-0000-0000-0000B02E0000}"/>
    <cellStyle name="스타일 130" xfId="11105" xr:uid="{00000000-0005-0000-0000-0000B12E0000}"/>
    <cellStyle name="스타일 130 2" xfId="11106" xr:uid="{00000000-0005-0000-0000-0000B22E0000}"/>
    <cellStyle name="스타일 131" xfId="11107" xr:uid="{00000000-0005-0000-0000-0000B32E0000}"/>
    <cellStyle name="스타일 131 2" xfId="11108" xr:uid="{00000000-0005-0000-0000-0000B42E0000}"/>
    <cellStyle name="스타일 132" xfId="11109" xr:uid="{00000000-0005-0000-0000-0000B52E0000}"/>
    <cellStyle name="스타일 132 2" xfId="11110" xr:uid="{00000000-0005-0000-0000-0000B62E0000}"/>
    <cellStyle name="스타일 133" xfId="11111" xr:uid="{00000000-0005-0000-0000-0000B72E0000}"/>
    <cellStyle name="스타일 133 2" xfId="11112" xr:uid="{00000000-0005-0000-0000-0000B82E0000}"/>
    <cellStyle name="스타일 134" xfId="11113" xr:uid="{00000000-0005-0000-0000-0000B92E0000}"/>
    <cellStyle name="스타일 134 2" xfId="11114" xr:uid="{00000000-0005-0000-0000-0000BA2E0000}"/>
    <cellStyle name="스타일 135" xfId="11115" xr:uid="{00000000-0005-0000-0000-0000BB2E0000}"/>
    <cellStyle name="스타일 135 2" xfId="11116" xr:uid="{00000000-0005-0000-0000-0000BC2E0000}"/>
    <cellStyle name="스타일 136" xfId="11117" xr:uid="{00000000-0005-0000-0000-0000BD2E0000}"/>
    <cellStyle name="스타일 136 2" xfId="11118" xr:uid="{00000000-0005-0000-0000-0000BE2E0000}"/>
    <cellStyle name="스타일 137" xfId="11119" xr:uid="{00000000-0005-0000-0000-0000BF2E0000}"/>
    <cellStyle name="스타일 137 2" xfId="11120" xr:uid="{00000000-0005-0000-0000-0000C02E0000}"/>
    <cellStyle name="스타일 138" xfId="11121" xr:uid="{00000000-0005-0000-0000-0000C12E0000}"/>
    <cellStyle name="스타일 138 2" xfId="11122" xr:uid="{00000000-0005-0000-0000-0000C22E0000}"/>
    <cellStyle name="스타일 139" xfId="11123" xr:uid="{00000000-0005-0000-0000-0000C32E0000}"/>
    <cellStyle name="스타일 139 2" xfId="11124" xr:uid="{00000000-0005-0000-0000-0000C42E0000}"/>
    <cellStyle name="스타일 14" xfId="11125" xr:uid="{00000000-0005-0000-0000-0000C52E0000}"/>
    <cellStyle name="스타일 14 2" xfId="11126" xr:uid="{00000000-0005-0000-0000-0000C62E0000}"/>
    <cellStyle name="스타일 140" xfId="11127" xr:uid="{00000000-0005-0000-0000-0000C72E0000}"/>
    <cellStyle name="스타일 140 2" xfId="11128" xr:uid="{00000000-0005-0000-0000-0000C82E0000}"/>
    <cellStyle name="스타일 141" xfId="11129" xr:uid="{00000000-0005-0000-0000-0000C92E0000}"/>
    <cellStyle name="스타일 141 2" xfId="11130" xr:uid="{00000000-0005-0000-0000-0000CA2E0000}"/>
    <cellStyle name="스타일 142" xfId="11131" xr:uid="{00000000-0005-0000-0000-0000CB2E0000}"/>
    <cellStyle name="스타일 142 2" xfId="11132" xr:uid="{00000000-0005-0000-0000-0000CC2E0000}"/>
    <cellStyle name="스타일 143" xfId="11133" xr:uid="{00000000-0005-0000-0000-0000CD2E0000}"/>
    <cellStyle name="스타일 143 2" xfId="11134" xr:uid="{00000000-0005-0000-0000-0000CE2E0000}"/>
    <cellStyle name="스타일 144" xfId="11135" xr:uid="{00000000-0005-0000-0000-0000CF2E0000}"/>
    <cellStyle name="스타일 144 2" xfId="11136" xr:uid="{00000000-0005-0000-0000-0000D02E0000}"/>
    <cellStyle name="스타일 145" xfId="11137" xr:uid="{00000000-0005-0000-0000-0000D12E0000}"/>
    <cellStyle name="스타일 145 2" xfId="11138" xr:uid="{00000000-0005-0000-0000-0000D22E0000}"/>
    <cellStyle name="스타일 146" xfId="11139" xr:uid="{00000000-0005-0000-0000-0000D32E0000}"/>
    <cellStyle name="스타일 146 2" xfId="11140" xr:uid="{00000000-0005-0000-0000-0000D42E0000}"/>
    <cellStyle name="스타일 147" xfId="11141" xr:uid="{00000000-0005-0000-0000-0000D52E0000}"/>
    <cellStyle name="스타일 147 2" xfId="11142" xr:uid="{00000000-0005-0000-0000-0000D62E0000}"/>
    <cellStyle name="스타일 148" xfId="11143" xr:uid="{00000000-0005-0000-0000-0000D72E0000}"/>
    <cellStyle name="스타일 148 2" xfId="11144" xr:uid="{00000000-0005-0000-0000-0000D82E0000}"/>
    <cellStyle name="스타일 149" xfId="11145" xr:uid="{00000000-0005-0000-0000-0000D92E0000}"/>
    <cellStyle name="스타일 149 2" xfId="11146" xr:uid="{00000000-0005-0000-0000-0000DA2E0000}"/>
    <cellStyle name="스타일 15" xfId="11147" xr:uid="{00000000-0005-0000-0000-0000DB2E0000}"/>
    <cellStyle name="스타일 15 2" xfId="11148" xr:uid="{00000000-0005-0000-0000-0000DC2E0000}"/>
    <cellStyle name="스타일 150" xfId="11149" xr:uid="{00000000-0005-0000-0000-0000DD2E0000}"/>
    <cellStyle name="스타일 150 2" xfId="11150" xr:uid="{00000000-0005-0000-0000-0000DE2E0000}"/>
    <cellStyle name="스타일 151" xfId="11151" xr:uid="{00000000-0005-0000-0000-0000DF2E0000}"/>
    <cellStyle name="스타일 151 2" xfId="11152" xr:uid="{00000000-0005-0000-0000-0000E02E0000}"/>
    <cellStyle name="스타일 152" xfId="11153" xr:uid="{00000000-0005-0000-0000-0000E12E0000}"/>
    <cellStyle name="스타일 152 2" xfId="11154" xr:uid="{00000000-0005-0000-0000-0000E22E0000}"/>
    <cellStyle name="스타일 153" xfId="11155" xr:uid="{00000000-0005-0000-0000-0000E32E0000}"/>
    <cellStyle name="스타일 153 2" xfId="11156" xr:uid="{00000000-0005-0000-0000-0000E42E0000}"/>
    <cellStyle name="스타일 154" xfId="11157" xr:uid="{00000000-0005-0000-0000-0000E52E0000}"/>
    <cellStyle name="스타일 154 2" xfId="11158" xr:uid="{00000000-0005-0000-0000-0000E62E0000}"/>
    <cellStyle name="스타일 155" xfId="11159" xr:uid="{00000000-0005-0000-0000-0000E72E0000}"/>
    <cellStyle name="스타일 155 2" xfId="11160" xr:uid="{00000000-0005-0000-0000-0000E82E0000}"/>
    <cellStyle name="스타일 156" xfId="11161" xr:uid="{00000000-0005-0000-0000-0000E92E0000}"/>
    <cellStyle name="스타일 156 2" xfId="11162" xr:uid="{00000000-0005-0000-0000-0000EA2E0000}"/>
    <cellStyle name="스타일 157" xfId="11163" xr:uid="{00000000-0005-0000-0000-0000EB2E0000}"/>
    <cellStyle name="스타일 157 2" xfId="11164" xr:uid="{00000000-0005-0000-0000-0000EC2E0000}"/>
    <cellStyle name="스타일 158" xfId="11165" xr:uid="{00000000-0005-0000-0000-0000ED2E0000}"/>
    <cellStyle name="스타일 158 2" xfId="11166" xr:uid="{00000000-0005-0000-0000-0000EE2E0000}"/>
    <cellStyle name="스타일 159" xfId="11167" xr:uid="{00000000-0005-0000-0000-0000EF2E0000}"/>
    <cellStyle name="스타일 159 2" xfId="11168" xr:uid="{00000000-0005-0000-0000-0000F02E0000}"/>
    <cellStyle name="스타일 16" xfId="11169" xr:uid="{00000000-0005-0000-0000-0000F12E0000}"/>
    <cellStyle name="스타일 16 2" xfId="11170" xr:uid="{00000000-0005-0000-0000-0000F22E0000}"/>
    <cellStyle name="스타일 160" xfId="11171" xr:uid="{00000000-0005-0000-0000-0000F32E0000}"/>
    <cellStyle name="스타일 160 2" xfId="11172" xr:uid="{00000000-0005-0000-0000-0000F42E0000}"/>
    <cellStyle name="스타일 161" xfId="11173" xr:uid="{00000000-0005-0000-0000-0000F52E0000}"/>
    <cellStyle name="스타일 161 2" xfId="11174" xr:uid="{00000000-0005-0000-0000-0000F62E0000}"/>
    <cellStyle name="스타일 162" xfId="11175" xr:uid="{00000000-0005-0000-0000-0000F72E0000}"/>
    <cellStyle name="스타일 162 2" xfId="11176" xr:uid="{00000000-0005-0000-0000-0000F82E0000}"/>
    <cellStyle name="스타일 163" xfId="11177" xr:uid="{00000000-0005-0000-0000-0000F92E0000}"/>
    <cellStyle name="스타일 163 2" xfId="11178" xr:uid="{00000000-0005-0000-0000-0000FA2E0000}"/>
    <cellStyle name="스타일 164" xfId="11179" xr:uid="{00000000-0005-0000-0000-0000FB2E0000}"/>
    <cellStyle name="스타일 164 2" xfId="11180" xr:uid="{00000000-0005-0000-0000-0000FC2E0000}"/>
    <cellStyle name="스타일 165" xfId="11181" xr:uid="{00000000-0005-0000-0000-0000FD2E0000}"/>
    <cellStyle name="스타일 165 2" xfId="11182" xr:uid="{00000000-0005-0000-0000-0000FE2E0000}"/>
    <cellStyle name="스타일 166" xfId="11183" xr:uid="{00000000-0005-0000-0000-0000FF2E0000}"/>
    <cellStyle name="스타일 166 2" xfId="11184" xr:uid="{00000000-0005-0000-0000-0000002F0000}"/>
    <cellStyle name="스타일 167" xfId="11185" xr:uid="{00000000-0005-0000-0000-0000012F0000}"/>
    <cellStyle name="스타일 167 2" xfId="11186" xr:uid="{00000000-0005-0000-0000-0000022F0000}"/>
    <cellStyle name="스타일 168" xfId="11187" xr:uid="{00000000-0005-0000-0000-0000032F0000}"/>
    <cellStyle name="스타일 168 2" xfId="11188" xr:uid="{00000000-0005-0000-0000-0000042F0000}"/>
    <cellStyle name="스타일 169" xfId="11189" xr:uid="{00000000-0005-0000-0000-0000052F0000}"/>
    <cellStyle name="스타일 169 2" xfId="11190" xr:uid="{00000000-0005-0000-0000-0000062F0000}"/>
    <cellStyle name="스타일 17" xfId="11191" xr:uid="{00000000-0005-0000-0000-0000072F0000}"/>
    <cellStyle name="스타일 17 2" xfId="11192" xr:uid="{00000000-0005-0000-0000-0000082F0000}"/>
    <cellStyle name="스타일 170" xfId="11193" xr:uid="{00000000-0005-0000-0000-0000092F0000}"/>
    <cellStyle name="스타일 170 2" xfId="11194" xr:uid="{00000000-0005-0000-0000-00000A2F0000}"/>
    <cellStyle name="스타일 171" xfId="11195" xr:uid="{00000000-0005-0000-0000-00000B2F0000}"/>
    <cellStyle name="스타일 171 2" xfId="11196" xr:uid="{00000000-0005-0000-0000-00000C2F0000}"/>
    <cellStyle name="스타일 172" xfId="11197" xr:uid="{00000000-0005-0000-0000-00000D2F0000}"/>
    <cellStyle name="스타일 172 2" xfId="11198" xr:uid="{00000000-0005-0000-0000-00000E2F0000}"/>
    <cellStyle name="스타일 173" xfId="11199" xr:uid="{00000000-0005-0000-0000-00000F2F0000}"/>
    <cellStyle name="스타일 173 2" xfId="11200" xr:uid="{00000000-0005-0000-0000-0000102F0000}"/>
    <cellStyle name="스타일 174" xfId="11201" xr:uid="{00000000-0005-0000-0000-0000112F0000}"/>
    <cellStyle name="스타일 174 2" xfId="11202" xr:uid="{00000000-0005-0000-0000-0000122F0000}"/>
    <cellStyle name="스타일 175" xfId="11203" xr:uid="{00000000-0005-0000-0000-0000132F0000}"/>
    <cellStyle name="스타일 175 2" xfId="11204" xr:uid="{00000000-0005-0000-0000-0000142F0000}"/>
    <cellStyle name="스타일 176" xfId="11205" xr:uid="{00000000-0005-0000-0000-0000152F0000}"/>
    <cellStyle name="스타일 176 2" xfId="11206" xr:uid="{00000000-0005-0000-0000-0000162F0000}"/>
    <cellStyle name="스타일 177" xfId="11207" xr:uid="{00000000-0005-0000-0000-0000172F0000}"/>
    <cellStyle name="스타일 177 2" xfId="11208" xr:uid="{00000000-0005-0000-0000-0000182F0000}"/>
    <cellStyle name="스타일 178" xfId="11209" xr:uid="{00000000-0005-0000-0000-0000192F0000}"/>
    <cellStyle name="스타일 178 2" xfId="11210" xr:uid="{00000000-0005-0000-0000-00001A2F0000}"/>
    <cellStyle name="스타일 179" xfId="11211" xr:uid="{00000000-0005-0000-0000-00001B2F0000}"/>
    <cellStyle name="스타일 179 2" xfId="11212" xr:uid="{00000000-0005-0000-0000-00001C2F0000}"/>
    <cellStyle name="스타일 18" xfId="11213" xr:uid="{00000000-0005-0000-0000-00001D2F0000}"/>
    <cellStyle name="스타일 18 2" xfId="11214" xr:uid="{00000000-0005-0000-0000-00001E2F0000}"/>
    <cellStyle name="스타일 180" xfId="11215" xr:uid="{00000000-0005-0000-0000-00001F2F0000}"/>
    <cellStyle name="스타일 180 2" xfId="11216" xr:uid="{00000000-0005-0000-0000-0000202F0000}"/>
    <cellStyle name="스타일 181" xfId="11217" xr:uid="{00000000-0005-0000-0000-0000212F0000}"/>
    <cellStyle name="스타일 181 2" xfId="11218" xr:uid="{00000000-0005-0000-0000-0000222F0000}"/>
    <cellStyle name="스타일 182" xfId="11219" xr:uid="{00000000-0005-0000-0000-0000232F0000}"/>
    <cellStyle name="스타일 182 2" xfId="11220" xr:uid="{00000000-0005-0000-0000-0000242F0000}"/>
    <cellStyle name="스타일 183" xfId="11221" xr:uid="{00000000-0005-0000-0000-0000252F0000}"/>
    <cellStyle name="스타일 183 2" xfId="11222" xr:uid="{00000000-0005-0000-0000-0000262F0000}"/>
    <cellStyle name="스타일 184" xfId="11223" xr:uid="{00000000-0005-0000-0000-0000272F0000}"/>
    <cellStyle name="스타일 184 2" xfId="11224" xr:uid="{00000000-0005-0000-0000-0000282F0000}"/>
    <cellStyle name="스타일 185" xfId="11225" xr:uid="{00000000-0005-0000-0000-0000292F0000}"/>
    <cellStyle name="스타일 185 2" xfId="11226" xr:uid="{00000000-0005-0000-0000-00002A2F0000}"/>
    <cellStyle name="스타일 186" xfId="11227" xr:uid="{00000000-0005-0000-0000-00002B2F0000}"/>
    <cellStyle name="스타일 186 2" xfId="11228" xr:uid="{00000000-0005-0000-0000-00002C2F0000}"/>
    <cellStyle name="스타일 187" xfId="11229" xr:uid="{00000000-0005-0000-0000-00002D2F0000}"/>
    <cellStyle name="스타일 187 2" xfId="11230" xr:uid="{00000000-0005-0000-0000-00002E2F0000}"/>
    <cellStyle name="스타일 188" xfId="11231" xr:uid="{00000000-0005-0000-0000-00002F2F0000}"/>
    <cellStyle name="스타일 188 2" xfId="11232" xr:uid="{00000000-0005-0000-0000-0000302F0000}"/>
    <cellStyle name="스타일 189" xfId="11233" xr:uid="{00000000-0005-0000-0000-0000312F0000}"/>
    <cellStyle name="스타일 189 2" xfId="11234" xr:uid="{00000000-0005-0000-0000-0000322F0000}"/>
    <cellStyle name="스타일 19" xfId="11235" xr:uid="{00000000-0005-0000-0000-0000332F0000}"/>
    <cellStyle name="스타일 19 2" xfId="11236" xr:uid="{00000000-0005-0000-0000-0000342F0000}"/>
    <cellStyle name="스타일 190" xfId="11237" xr:uid="{00000000-0005-0000-0000-0000352F0000}"/>
    <cellStyle name="스타일 190 2" xfId="11238" xr:uid="{00000000-0005-0000-0000-0000362F0000}"/>
    <cellStyle name="스타일 191" xfId="11239" xr:uid="{00000000-0005-0000-0000-0000372F0000}"/>
    <cellStyle name="스타일 191 2" xfId="11240" xr:uid="{00000000-0005-0000-0000-0000382F0000}"/>
    <cellStyle name="스타일 192" xfId="11241" xr:uid="{00000000-0005-0000-0000-0000392F0000}"/>
    <cellStyle name="스타일 192 2" xfId="11242" xr:uid="{00000000-0005-0000-0000-00003A2F0000}"/>
    <cellStyle name="스타일 193" xfId="11243" xr:uid="{00000000-0005-0000-0000-00003B2F0000}"/>
    <cellStyle name="스타일 193 2" xfId="11244" xr:uid="{00000000-0005-0000-0000-00003C2F0000}"/>
    <cellStyle name="스타일 194" xfId="11245" xr:uid="{00000000-0005-0000-0000-00003D2F0000}"/>
    <cellStyle name="스타일 194 2" xfId="11246" xr:uid="{00000000-0005-0000-0000-00003E2F0000}"/>
    <cellStyle name="스타일 195" xfId="11247" xr:uid="{00000000-0005-0000-0000-00003F2F0000}"/>
    <cellStyle name="스타일 195 2" xfId="11248" xr:uid="{00000000-0005-0000-0000-0000402F0000}"/>
    <cellStyle name="스타일 196" xfId="11249" xr:uid="{00000000-0005-0000-0000-0000412F0000}"/>
    <cellStyle name="스타일 196 2" xfId="11250" xr:uid="{00000000-0005-0000-0000-0000422F0000}"/>
    <cellStyle name="스타일 197" xfId="11251" xr:uid="{00000000-0005-0000-0000-0000432F0000}"/>
    <cellStyle name="스타일 197 2" xfId="11252" xr:uid="{00000000-0005-0000-0000-0000442F0000}"/>
    <cellStyle name="스타일 198" xfId="11253" xr:uid="{00000000-0005-0000-0000-0000452F0000}"/>
    <cellStyle name="스타일 198 2" xfId="11254" xr:uid="{00000000-0005-0000-0000-0000462F0000}"/>
    <cellStyle name="스타일 199" xfId="11255" xr:uid="{00000000-0005-0000-0000-0000472F0000}"/>
    <cellStyle name="스타일 199 2" xfId="11256" xr:uid="{00000000-0005-0000-0000-0000482F0000}"/>
    <cellStyle name="스타일 2" xfId="11257" xr:uid="{00000000-0005-0000-0000-0000492F0000}"/>
    <cellStyle name="스타일 2 10" xfId="11258" xr:uid="{00000000-0005-0000-0000-00004A2F0000}"/>
    <cellStyle name="스타일 2 10 2" xfId="11259" xr:uid="{00000000-0005-0000-0000-00004B2F0000}"/>
    <cellStyle name="스타일 2 11" xfId="11260" xr:uid="{00000000-0005-0000-0000-00004C2F0000}"/>
    <cellStyle name="스타일 2 11 2" xfId="11261" xr:uid="{00000000-0005-0000-0000-00004D2F0000}"/>
    <cellStyle name="스타일 2 12" xfId="11262" xr:uid="{00000000-0005-0000-0000-00004E2F0000}"/>
    <cellStyle name="스타일 2 12 2" xfId="11263" xr:uid="{00000000-0005-0000-0000-00004F2F0000}"/>
    <cellStyle name="스타일 2 13" xfId="11264" xr:uid="{00000000-0005-0000-0000-0000502F0000}"/>
    <cellStyle name="스타일 2 13 2" xfId="11265" xr:uid="{00000000-0005-0000-0000-0000512F0000}"/>
    <cellStyle name="스타일 2 14" xfId="11266" xr:uid="{00000000-0005-0000-0000-0000522F0000}"/>
    <cellStyle name="스타일 2 14 2" xfId="11267" xr:uid="{00000000-0005-0000-0000-0000532F0000}"/>
    <cellStyle name="스타일 2 15" xfId="11268" xr:uid="{00000000-0005-0000-0000-0000542F0000}"/>
    <cellStyle name="스타일 2 15 2" xfId="11269" xr:uid="{00000000-0005-0000-0000-0000552F0000}"/>
    <cellStyle name="스타일 2 16" xfId="11270" xr:uid="{00000000-0005-0000-0000-0000562F0000}"/>
    <cellStyle name="스타일 2 16 2" xfId="11271" xr:uid="{00000000-0005-0000-0000-0000572F0000}"/>
    <cellStyle name="스타일 2 17" xfId="11272" xr:uid="{00000000-0005-0000-0000-0000582F0000}"/>
    <cellStyle name="스타일 2 17 2" xfId="11273" xr:uid="{00000000-0005-0000-0000-0000592F0000}"/>
    <cellStyle name="스타일 2 18" xfId="11274" xr:uid="{00000000-0005-0000-0000-00005A2F0000}"/>
    <cellStyle name="스타일 2 18 2" xfId="11275" xr:uid="{00000000-0005-0000-0000-00005B2F0000}"/>
    <cellStyle name="스타일 2 19" xfId="11276" xr:uid="{00000000-0005-0000-0000-00005C2F0000}"/>
    <cellStyle name="스타일 2 19 2" xfId="11277" xr:uid="{00000000-0005-0000-0000-00005D2F0000}"/>
    <cellStyle name="스타일 2 2" xfId="11278" xr:uid="{00000000-0005-0000-0000-00005E2F0000}"/>
    <cellStyle name="스타일 2 2 2" xfId="11279" xr:uid="{00000000-0005-0000-0000-00005F2F0000}"/>
    <cellStyle name="스타일 2 2 2 2" xfId="11280" xr:uid="{00000000-0005-0000-0000-0000602F0000}"/>
    <cellStyle name="스타일 2 2 3" xfId="11281" xr:uid="{00000000-0005-0000-0000-0000612F0000}"/>
    <cellStyle name="스타일 2 2 4" xfId="16675" xr:uid="{00000000-0005-0000-0000-0000622F0000}"/>
    <cellStyle name="스타일 2 20" xfId="11282" xr:uid="{00000000-0005-0000-0000-0000632F0000}"/>
    <cellStyle name="스타일 2 20 2" xfId="11283" xr:uid="{00000000-0005-0000-0000-0000642F0000}"/>
    <cellStyle name="스타일 2 21" xfId="11284" xr:uid="{00000000-0005-0000-0000-0000652F0000}"/>
    <cellStyle name="스타일 2 21 2" xfId="11285" xr:uid="{00000000-0005-0000-0000-0000662F0000}"/>
    <cellStyle name="스타일 2 22" xfId="11286" xr:uid="{00000000-0005-0000-0000-0000672F0000}"/>
    <cellStyle name="스타일 2 22 2" xfId="11287" xr:uid="{00000000-0005-0000-0000-0000682F0000}"/>
    <cellStyle name="스타일 2 23" xfId="11288" xr:uid="{00000000-0005-0000-0000-0000692F0000}"/>
    <cellStyle name="스타일 2 23 2" xfId="11289" xr:uid="{00000000-0005-0000-0000-00006A2F0000}"/>
    <cellStyle name="스타일 2 24" xfId="11290" xr:uid="{00000000-0005-0000-0000-00006B2F0000}"/>
    <cellStyle name="스타일 2 24 2" xfId="11291" xr:uid="{00000000-0005-0000-0000-00006C2F0000}"/>
    <cellStyle name="스타일 2 25" xfId="11292" xr:uid="{00000000-0005-0000-0000-00006D2F0000}"/>
    <cellStyle name="스타일 2 25 2" xfId="11293" xr:uid="{00000000-0005-0000-0000-00006E2F0000}"/>
    <cellStyle name="스타일 2 26" xfId="11294" xr:uid="{00000000-0005-0000-0000-00006F2F0000}"/>
    <cellStyle name="스타일 2 26 2" xfId="11295" xr:uid="{00000000-0005-0000-0000-0000702F0000}"/>
    <cellStyle name="스타일 2 27" xfId="11296" xr:uid="{00000000-0005-0000-0000-0000712F0000}"/>
    <cellStyle name="스타일 2 27 2" xfId="11297" xr:uid="{00000000-0005-0000-0000-0000722F0000}"/>
    <cellStyle name="스타일 2 28" xfId="11298" xr:uid="{00000000-0005-0000-0000-0000732F0000}"/>
    <cellStyle name="스타일 2 28 2" xfId="11299" xr:uid="{00000000-0005-0000-0000-0000742F0000}"/>
    <cellStyle name="스타일 2 29" xfId="11300" xr:uid="{00000000-0005-0000-0000-0000752F0000}"/>
    <cellStyle name="스타일 2 29 2" xfId="11301" xr:uid="{00000000-0005-0000-0000-0000762F0000}"/>
    <cellStyle name="스타일 2 3" xfId="11302" xr:uid="{00000000-0005-0000-0000-0000772F0000}"/>
    <cellStyle name="스타일 2 3 2" xfId="11303" xr:uid="{00000000-0005-0000-0000-0000782F0000}"/>
    <cellStyle name="스타일 2 30" xfId="11304" xr:uid="{00000000-0005-0000-0000-0000792F0000}"/>
    <cellStyle name="스타일 2 30 2" xfId="11305" xr:uid="{00000000-0005-0000-0000-00007A2F0000}"/>
    <cellStyle name="스타일 2 31" xfId="11306" xr:uid="{00000000-0005-0000-0000-00007B2F0000}"/>
    <cellStyle name="스타일 2 31 2" xfId="11307" xr:uid="{00000000-0005-0000-0000-00007C2F0000}"/>
    <cellStyle name="스타일 2 32" xfId="11308" xr:uid="{00000000-0005-0000-0000-00007D2F0000}"/>
    <cellStyle name="스타일 2 32 2" xfId="11309" xr:uid="{00000000-0005-0000-0000-00007E2F0000}"/>
    <cellStyle name="스타일 2 33" xfId="11310" xr:uid="{00000000-0005-0000-0000-00007F2F0000}"/>
    <cellStyle name="스타일 2 33 2" xfId="11311" xr:uid="{00000000-0005-0000-0000-0000802F0000}"/>
    <cellStyle name="스타일 2 34" xfId="11312" xr:uid="{00000000-0005-0000-0000-0000812F0000}"/>
    <cellStyle name="스타일 2 34 2" xfId="11313" xr:uid="{00000000-0005-0000-0000-0000822F0000}"/>
    <cellStyle name="스타일 2 35" xfId="11314" xr:uid="{00000000-0005-0000-0000-0000832F0000}"/>
    <cellStyle name="스타일 2 35 2" xfId="11315" xr:uid="{00000000-0005-0000-0000-0000842F0000}"/>
    <cellStyle name="스타일 2 36" xfId="11316" xr:uid="{00000000-0005-0000-0000-0000852F0000}"/>
    <cellStyle name="스타일 2 36 2" xfId="11317" xr:uid="{00000000-0005-0000-0000-0000862F0000}"/>
    <cellStyle name="스타일 2 37" xfId="11318" xr:uid="{00000000-0005-0000-0000-0000872F0000}"/>
    <cellStyle name="스타일 2 37 2" xfId="11319" xr:uid="{00000000-0005-0000-0000-0000882F0000}"/>
    <cellStyle name="스타일 2 38" xfId="11320" xr:uid="{00000000-0005-0000-0000-0000892F0000}"/>
    <cellStyle name="스타일 2 38 2" xfId="11321" xr:uid="{00000000-0005-0000-0000-00008A2F0000}"/>
    <cellStyle name="스타일 2 39" xfId="11322" xr:uid="{00000000-0005-0000-0000-00008B2F0000}"/>
    <cellStyle name="스타일 2 39 2" xfId="11323" xr:uid="{00000000-0005-0000-0000-00008C2F0000}"/>
    <cellStyle name="스타일 2 4" xfId="11324" xr:uid="{00000000-0005-0000-0000-00008D2F0000}"/>
    <cellStyle name="스타일 2 4 2" xfId="11325" xr:uid="{00000000-0005-0000-0000-00008E2F0000}"/>
    <cellStyle name="스타일 2 40" xfId="11326" xr:uid="{00000000-0005-0000-0000-00008F2F0000}"/>
    <cellStyle name="스타일 2 40 2" xfId="11327" xr:uid="{00000000-0005-0000-0000-0000902F0000}"/>
    <cellStyle name="스타일 2 41" xfId="11328" xr:uid="{00000000-0005-0000-0000-0000912F0000}"/>
    <cellStyle name="스타일 2 41 2" xfId="11329" xr:uid="{00000000-0005-0000-0000-0000922F0000}"/>
    <cellStyle name="스타일 2 42" xfId="11330" xr:uid="{00000000-0005-0000-0000-0000932F0000}"/>
    <cellStyle name="스타일 2 42 2" xfId="11331" xr:uid="{00000000-0005-0000-0000-0000942F0000}"/>
    <cellStyle name="스타일 2 43" xfId="11332" xr:uid="{00000000-0005-0000-0000-0000952F0000}"/>
    <cellStyle name="스타일 2 43 2" xfId="11333" xr:uid="{00000000-0005-0000-0000-0000962F0000}"/>
    <cellStyle name="스타일 2 44" xfId="11334" xr:uid="{00000000-0005-0000-0000-0000972F0000}"/>
    <cellStyle name="스타일 2 45" xfId="16674" xr:uid="{00000000-0005-0000-0000-0000982F0000}"/>
    <cellStyle name="스타일 2 5" xfId="11335" xr:uid="{00000000-0005-0000-0000-0000992F0000}"/>
    <cellStyle name="스타일 2 5 2" xfId="11336" xr:uid="{00000000-0005-0000-0000-00009A2F0000}"/>
    <cellStyle name="스타일 2 6" xfId="11337" xr:uid="{00000000-0005-0000-0000-00009B2F0000}"/>
    <cellStyle name="스타일 2 6 2" xfId="11338" xr:uid="{00000000-0005-0000-0000-00009C2F0000}"/>
    <cellStyle name="스타일 2 7" xfId="11339" xr:uid="{00000000-0005-0000-0000-00009D2F0000}"/>
    <cellStyle name="스타일 2 7 2" xfId="11340" xr:uid="{00000000-0005-0000-0000-00009E2F0000}"/>
    <cellStyle name="스타일 2 8" xfId="11341" xr:uid="{00000000-0005-0000-0000-00009F2F0000}"/>
    <cellStyle name="스타일 2 8 2" xfId="11342" xr:uid="{00000000-0005-0000-0000-0000A02F0000}"/>
    <cellStyle name="스타일 2 9" xfId="11343" xr:uid="{00000000-0005-0000-0000-0000A12F0000}"/>
    <cellStyle name="스타일 2 9 2" xfId="11344" xr:uid="{00000000-0005-0000-0000-0000A22F0000}"/>
    <cellStyle name="스타일 2_1부여부지 콘도미니엄 신축공사 AV설비 견적서_20100121" xfId="11345" xr:uid="{00000000-0005-0000-0000-0000A32F0000}"/>
    <cellStyle name="스타일 20" xfId="11346" xr:uid="{00000000-0005-0000-0000-0000A42F0000}"/>
    <cellStyle name="스타일 20 2" xfId="11347" xr:uid="{00000000-0005-0000-0000-0000A52F0000}"/>
    <cellStyle name="스타일 200" xfId="11348" xr:uid="{00000000-0005-0000-0000-0000A62F0000}"/>
    <cellStyle name="스타일 200 2" xfId="11349" xr:uid="{00000000-0005-0000-0000-0000A72F0000}"/>
    <cellStyle name="스타일 201" xfId="11350" xr:uid="{00000000-0005-0000-0000-0000A82F0000}"/>
    <cellStyle name="스타일 201 2" xfId="11351" xr:uid="{00000000-0005-0000-0000-0000A92F0000}"/>
    <cellStyle name="스타일 202" xfId="11352" xr:uid="{00000000-0005-0000-0000-0000AA2F0000}"/>
    <cellStyle name="스타일 202 2" xfId="11353" xr:uid="{00000000-0005-0000-0000-0000AB2F0000}"/>
    <cellStyle name="스타일 203" xfId="11354" xr:uid="{00000000-0005-0000-0000-0000AC2F0000}"/>
    <cellStyle name="스타일 203 2" xfId="11355" xr:uid="{00000000-0005-0000-0000-0000AD2F0000}"/>
    <cellStyle name="스타일 204" xfId="11356" xr:uid="{00000000-0005-0000-0000-0000AE2F0000}"/>
    <cellStyle name="스타일 204 2" xfId="11357" xr:uid="{00000000-0005-0000-0000-0000AF2F0000}"/>
    <cellStyle name="스타일 205" xfId="11358" xr:uid="{00000000-0005-0000-0000-0000B02F0000}"/>
    <cellStyle name="스타일 205 2" xfId="11359" xr:uid="{00000000-0005-0000-0000-0000B12F0000}"/>
    <cellStyle name="스타일 206" xfId="11360" xr:uid="{00000000-0005-0000-0000-0000B22F0000}"/>
    <cellStyle name="스타일 206 2" xfId="11361" xr:uid="{00000000-0005-0000-0000-0000B32F0000}"/>
    <cellStyle name="스타일 207" xfId="11362" xr:uid="{00000000-0005-0000-0000-0000B42F0000}"/>
    <cellStyle name="스타일 207 2" xfId="11363" xr:uid="{00000000-0005-0000-0000-0000B52F0000}"/>
    <cellStyle name="스타일 208" xfId="11364" xr:uid="{00000000-0005-0000-0000-0000B62F0000}"/>
    <cellStyle name="스타일 208 2" xfId="11365" xr:uid="{00000000-0005-0000-0000-0000B72F0000}"/>
    <cellStyle name="스타일 209" xfId="11366" xr:uid="{00000000-0005-0000-0000-0000B82F0000}"/>
    <cellStyle name="스타일 209 2" xfId="11367" xr:uid="{00000000-0005-0000-0000-0000B92F0000}"/>
    <cellStyle name="스타일 21" xfId="11368" xr:uid="{00000000-0005-0000-0000-0000BA2F0000}"/>
    <cellStyle name="스타일 21 2" xfId="11369" xr:uid="{00000000-0005-0000-0000-0000BB2F0000}"/>
    <cellStyle name="스타일 210" xfId="11370" xr:uid="{00000000-0005-0000-0000-0000BC2F0000}"/>
    <cellStyle name="스타일 210 2" xfId="11371" xr:uid="{00000000-0005-0000-0000-0000BD2F0000}"/>
    <cellStyle name="스타일 211" xfId="11372" xr:uid="{00000000-0005-0000-0000-0000BE2F0000}"/>
    <cellStyle name="스타일 211 2" xfId="11373" xr:uid="{00000000-0005-0000-0000-0000BF2F0000}"/>
    <cellStyle name="스타일 212" xfId="11374" xr:uid="{00000000-0005-0000-0000-0000C02F0000}"/>
    <cellStyle name="스타일 212 2" xfId="11375" xr:uid="{00000000-0005-0000-0000-0000C12F0000}"/>
    <cellStyle name="스타일 213" xfId="11376" xr:uid="{00000000-0005-0000-0000-0000C22F0000}"/>
    <cellStyle name="스타일 213 2" xfId="11377" xr:uid="{00000000-0005-0000-0000-0000C32F0000}"/>
    <cellStyle name="스타일 214" xfId="11378" xr:uid="{00000000-0005-0000-0000-0000C42F0000}"/>
    <cellStyle name="스타일 214 2" xfId="11379" xr:uid="{00000000-0005-0000-0000-0000C52F0000}"/>
    <cellStyle name="스타일 215" xfId="11380" xr:uid="{00000000-0005-0000-0000-0000C62F0000}"/>
    <cellStyle name="스타일 215 2" xfId="11381" xr:uid="{00000000-0005-0000-0000-0000C72F0000}"/>
    <cellStyle name="스타일 216" xfId="11382" xr:uid="{00000000-0005-0000-0000-0000C82F0000}"/>
    <cellStyle name="스타일 216 2" xfId="11383" xr:uid="{00000000-0005-0000-0000-0000C92F0000}"/>
    <cellStyle name="스타일 217" xfId="11384" xr:uid="{00000000-0005-0000-0000-0000CA2F0000}"/>
    <cellStyle name="스타일 217 2" xfId="11385" xr:uid="{00000000-0005-0000-0000-0000CB2F0000}"/>
    <cellStyle name="스타일 218" xfId="11386" xr:uid="{00000000-0005-0000-0000-0000CC2F0000}"/>
    <cellStyle name="스타일 218 2" xfId="11387" xr:uid="{00000000-0005-0000-0000-0000CD2F0000}"/>
    <cellStyle name="스타일 219" xfId="11388" xr:uid="{00000000-0005-0000-0000-0000CE2F0000}"/>
    <cellStyle name="스타일 219 2" xfId="11389" xr:uid="{00000000-0005-0000-0000-0000CF2F0000}"/>
    <cellStyle name="스타일 22" xfId="11390" xr:uid="{00000000-0005-0000-0000-0000D02F0000}"/>
    <cellStyle name="스타일 22 2" xfId="11391" xr:uid="{00000000-0005-0000-0000-0000D12F0000}"/>
    <cellStyle name="스타일 220" xfId="11392" xr:uid="{00000000-0005-0000-0000-0000D22F0000}"/>
    <cellStyle name="스타일 220 2" xfId="11393" xr:uid="{00000000-0005-0000-0000-0000D32F0000}"/>
    <cellStyle name="스타일 221" xfId="11394" xr:uid="{00000000-0005-0000-0000-0000D42F0000}"/>
    <cellStyle name="스타일 221 2" xfId="11395" xr:uid="{00000000-0005-0000-0000-0000D52F0000}"/>
    <cellStyle name="스타일 222" xfId="11396" xr:uid="{00000000-0005-0000-0000-0000D62F0000}"/>
    <cellStyle name="스타일 222 2" xfId="11397" xr:uid="{00000000-0005-0000-0000-0000D72F0000}"/>
    <cellStyle name="스타일 223" xfId="11398" xr:uid="{00000000-0005-0000-0000-0000D82F0000}"/>
    <cellStyle name="스타일 223 2" xfId="11399" xr:uid="{00000000-0005-0000-0000-0000D92F0000}"/>
    <cellStyle name="스타일 224" xfId="11400" xr:uid="{00000000-0005-0000-0000-0000DA2F0000}"/>
    <cellStyle name="스타일 224 2" xfId="11401" xr:uid="{00000000-0005-0000-0000-0000DB2F0000}"/>
    <cellStyle name="스타일 225" xfId="11402" xr:uid="{00000000-0005-0000-0000-0000DC2F0000}"/>
    <cellStyle name="스타일 225 2" xfId="11403" xr:uid="{00000000-0005-0000-0000-0000DD2F0000}"/>
    <cellStyle name="스타일 226" xfId="11404" xr:uid="{00000000-0005-0000-0000-0000DE2F0000}"/>
    <cellStyle name="스타일 226 2" xfId="11405" xr:uid="{00000000-0005-0000-0000-0000DF2F0000}"/>
    <cellStyle name="스타일 227" xfId="11406" xr:uid="{00000000-0005-0000-0000-0000E02F0000}"/>
    <cellStyle name="스타일 227 2" xfId="11407" xr:uid="{00000000-0005-0000-0000-0000E12F0000}"/>
    <cellStyle name="스타일 228" xfId="11408" xr:uid="{00000000-0005-0000-0000-0000E22F0000}"/>
    <cellStyle name="스타일 228 2" xfId="11409" xr:uid="{00000000-0005-0000-0000-0000E32F0000}"/>
    <cellStyle name="스타일 229" xfId="11410" xr:uid="{00000000-0005-0000-0000-0000E42F0000}"/>
    <cellStyle name="스타일 229 2" xfId="11411" xr:uid="{00000000-0005-0000-0000-0000E52F0000}"/>
    <cellStyle name="스타일 23" xfId="11412" xr:uid="{00000000-0005-0000-0000-0000E62F0000}"/>
    <cellStyle name="스타일 23 2" xfId="11413" xr:uid="{00000000-0005-0000-0000-0000E72F0000}"/>
    <cellStyle name="스타일 230" xfId="11414" xr:uid="{00000000-0005-0000-0000-0000E82F0000}"/>
    <cellStyle name="스타일 230 2" xfId="11415" xr:uid="{00000000-0005-0000-0000-0000E92F0000}"/>
    <cellStyle name="스타일 231" xfId="11416" xr:uid="{00000000-0005-0000-0000-0000EA2F0000}"/>
    <cellStyle name="스타일 231 2" xfId="11417" xr:uid="{00000000-0005-0000-0000-0000EB2F0000}"/>
    <cellStyle name="스타일 232" xfId="11418" xr:uid="{00000000-0005-0000-0000-0000EC2F0000}"/>
    <cellStyle name="스타일 232 2" xfId="11419" xr:uid="{00000000-0005-0000-0000-0000ED2F0000}"/>
    <cellStyle name="스타일 233" xfId="11420" xr:uid="{00000000-0005-0000-0000-0000EE2F0000}"/>
    <cellStyle name="스타일 233 2" xfId="11421" xr:uid="{00000000-0005-0000-0000-0000EF2F0000}"/>
    <cellStyle name="스타일 234" xfId="11422" xr:uid="{00000000-0005-0000-0000-0000F02F0000}"/>
    <cellStyle name="스타일 234 2" xfId="11423" xr:uid="{00000000-0005-0000-0000-0000F12F0000}"/>
    <cellStyle name="스타일 235" xfId="11424" xr:uid="{00000000-0005-0000-0000-0000F22F0000}"/>
    <cellStyle name="스타일 235 2" xfId="11425" xr:uid="{00000000-0005-0000-0000-0000F32F0000}"/>
    <cellStyle name="스타일 236" xfId="11426" xr:uid="{00000000-0005-0000-0000-0000F42F0000}"/>
    <cellStyle name="스타일 236 2" xfId="11427" xr:uid="{00000000-0005-0000-0000-0000F52F0000}"/>
    <cellStyle name="스타일 237" xfId="11428" xr:uid="{00000000-0005-0000-0000-0000F62F0000}"/>
    <cellStyle name="스타일 237 2" xfId="11429" xr:uid="{00000000-0005-0000-0000-0000F72F0000}"/>
    <cellStyle name="스타일 238" xfId="11430" xr:uid="{00000000-0005-0000-0000-0000F82F0000}"/>
    <cellStyle name="스타일 238 2" xfId="11431" xr:uid="{00000000-0005-0000-0000-0000F92F0000}"/>
    <cellStyle name="스타일 239" xfId="11432" xr:uid="{00000000-0005-0000-0000-0000FA2F0000}"/>
    <cellStyle name="스타일 239 2" xfId="11433" xr:uid="{00000000-0005-0000-0000-0000FB2F0000}"/>
    <cellStyle name="스타일 24" xfId="11434" xr:uid="{00000000-0005-0000-0000-0000FC2F0000}"/>
    <cellStyle name="스타일 24 2" xfId="11435" xr:uid="{00000000-0005-0000-0000-0000FD2F0000}"/>
    <cellStyle name="스타일 240" xfId="11436" xr:uid="{00000000-0005-0000-0000-0000FE2F0000}"/>
    <cellStyle name="스타일 240 2" xfId="11437" xr:uid="{00000000-0005-0000-0000-0000FF2F0000}"/>
    <cellStyle name="스타일 241" xfId="11438" xr:uid="{00000000-0005-0000-0000-000000300000}"/>
    <cellStyle name="스타일 241 2" xfId="11439" xr:uid="{00000000-0005-0000-0000-000001300000}"/>
    <cellStyle name="스타일 242" xfId="11440" xr:uid="{00000000-0005-0000-0000-000002300000}"/>
    <cellStyle name="스타일 242 2" xfId="11441" xr:uid="{00000000-0005-0000-0000-000003300000}"/>
    <cellStyle name="스타일 243" xfId="11442" xr:uid="{00000000-0005-0000-0000-000004300000}"/>
    <cellStyle name="스타일 243 2" xfId="11443" xr:uid="{00000000-0005-0000-0000-000005300000}"/>
    <cellStyle name="스타일 244" xfId="11444" xr:uid="{00000000-0005-0000-0000-000006300000}"/>
    <cellStyle name="스타일 244 2" xfId="11445" xr:uid="{00000000-0005-0000-0000-000007300000}"/>
    <cellStyle name="스타일 245" xfId="11446" xr:uid="{00000000-0005-0000-0000-000008300000}"/>
    <cellStyle name="스타일 245 2" xfId="11447" xr:uid="{00000000-0005-0000-0000-000009300000}"/>
    <cellStyle name="스타일 246" xfId="11448" xr:uid="{00000000-0005-0000-0000-00000A300000}"/>
    <cellStyle name="스타일 246 2" xfId="11449" xr:uid="{00000000-0005-0000-0000-00000B300000}"/>
    <cellStyle name="스타일 247" xfId="11450" xr:uid="{00000000-0005-0000-0000-00000C300000}"/>
    <cellStyle name="스타일 247 2" xfId="11451" xr:uid="{00000000-0005-0000-0000-00000D300000}"/>
    <cellStyle name="스타일 248" xfId="11452" xr:uid="{00000000-0005-0000-0000-00000E300000}"/>
    <cellStyle name="스타일 248 2" xfId="11453" xr:uid="{00000000-0005-0000-0000-00000F300000}"/>
    <cellStyle name="스타일 249" xfId="11454" xr:uid="{00000000-0005-0000-0000-000010300000}"/>
    <cellStyle name="스타일 249 2" xfId="11455" xr:uid="{00000000-0005-0000-0000-000011300000}"/>
    <cellStyle name="스타일 25" xfId="11456" xr:uid="{00000000-0005-0000-0000-000012300000}"/>
    <cellStyle name="스타일 25 2" xfId="11457" xr:uid="{00000000-0005-0000-0000-000013300000}"/>
    <cellStyle name="스타일 250" xfId="11458" xr:uid="{00000000-0005-0000-0000-000014300000}"/>
    <cellStyle name="스타일 250 2" xfId="11459" xr:uid="{00000000-0005-0000-0000-000015300000}"/>
    <cellStyle name="스타일 251" xfId="11460" xr:uid="{00000000-0005-0000-0000-000016300000}"/>
    <cellStyle name="스타일 251 2" xfId="11461" xr:uid="{00000000-0005-0000-0000-000017300000}"/>
    <cellStyle name="스타일 252" xfId="11462" xr:uid="{00000000-0005-0000-0000-000018300000}"/>
    <cellStyle name="스타일 252 2" xfId="11463" xr:uid="{00000000-0005-0000-0000-000019300000}"/>
    <cellStyle name="스타일 253" xfId="11464" xr:uid="{00000000-0005-0000-0000-00001A300000}"/>
    <cellStyle name="스타일 253 2" xfId="11465" xr:uid="{00000000-0005-0000-0000-00001B300000}"/>
    <cellStyle name="스타일 254" xfId="11466" xr:uid="{00000000-0005-0000-0000-00001C300000}"/>
    <cellStyle name="스타일 254 2" xfId="11467" xr:uid="{00000000-0005-0000-0000-00001D300000}"/>
    <cellStyle name="스타일 255" xfId="11468" xr:uid="{00000000-0005-0000-0000-00001E300000}"/>
    <cellStyle name="스타일 255 2" xfId="11469" xr:uid="{00000000-0005-0000-0000-00001F300000}"/>
    <cellStyle name="스타일 26" xfId="11470" xr:uid="{00000000-0005-0000-0000-000020300000}"/>
    <cellStyle name="스타일 26 2" xfId="11471" xr:uid="{00000000-0005-0000-0000-000021300000}"/>
    <cellStyle name="스타일 27" xfId="11472" xr:uid="{00000000-0005-0000-0000-000022300000}"/>
    <cellStyle name="스타일 27 2" xfId="11473" xr:uid="{00000000-0005-0000-0000-000023300000}"/>
    <cellStyle name="스타일 28" xfId="11474" xr:uid="{00000000-0005-0000-0000-000024300000}"/>
    <cellStyle name="스타일 28 2" xfId="11475" xr:uid="{00000000-0005-0000-0000-000025300000}"/>
    <cellStyle name="스타일 29" xfId="11476" xr:uid="{00000000-0005-0000-0000-000026300000}"/>
    <cellStyle name="스타일 29 2" xfId="11477" xr:uid="{00000000-0005-0000-0000-000027300000}"/>
    <cellStyle name="스타일 3" xfId="11478" xr:uid="{00000000-0005-0000-0000-000028300000}"/>
    <cellStyle name="스타일 3 10" xfId="11479" xr:uid="{00000000-0005-0000-0000-000029300000}"/>
    <cellStyle name="스타일 3 10 2" xfId="11480" xr:uid="{00000000-0005-0000-0000-00002A300000}"/>
    <cellStyle name="스타일 3 11" xfId="11481" xr:uid="{00000000-0005-0000-0000-00002B300000}"/>
    <cellStyle name="스타일 3 11 2" xfId="11482" xr:uid="{00000000-0005-0000-0000-00002C300000}"/>
    <cellStyle name="스타일 3 12" xfId="11483" xr:uid="{00000000-0005-0000-0000-00002D300000}"/>
    <cellStyle name="스타일 3 12 2" xfId="11484" xr:uid="{00000000-0005-0000-0000-00002E300000}"/>
    <cellStyle name="스타일 3 13" xfId="11485" xr:uid="{00000000-0005-0000-0000-00002F300000}"/>
    <cellStyle name="스타일 3 13 2" xfId="11486" xr:uid="{00000000-0005-0000-0000-000030300000}"/>
    <cellStyle name="스타일 3 14" xfId="11487" xr:uid="{00000000-0005-0000-0000-000031300000}"/>
    <cellStyle name="스타일 3 14 2" xfId="11488" xr:uid="{00000000-0005-0000-0000-000032300000}"/>
    <cellStyle name="스타일 3 15" xfId="11489" xr:uid="{00000000-0005-0000-0000-000033300000}"/>
    <cellStyle name="스타일 3 15 2" xfId="11490" xr:uid="{00000000-0005-0000-0000-000034300000}"/>
    <cellStyle name="스타일 3 16" xfId="11491" xr:uid="{00000000-0005-0000-0000-000035300000}"/>
    <cellStyle name="스타일 3 16 2" xfId="11492" xr:uid="{00000000-0005-0000-0000-000036300000}"/>
    <cellStyle name="스타일 3 17" xfId="11493" xr:uid="{00000000-0005-0000-0000-000037300000}"/>
    <cellStyle name="스타일 3 17 2" xfId="11494" xr:uid="{00000000-0005-0000-0000-000038300000}"/>
    <cellStyle name="스타일 3 18" xfId="11495" xr:uid="{00000000-0005-0000-0000-000039300000}"/>
    <cellStyle name="스타일 3 18 2" xfId="11496" xr:uid="{00000000-0005-0000-0000-00003A300000}"/>
    <cellStyle name="스타일 3 19" xfId="11497" xr:uid="{00000000-0005-0000-0000-00003B300000}"/>
    <cellStyle name="스타일 3 19 2" xfId="11498" xr:uid="{00000000-0005-0000-0000-00003C300000}"/>
    <cellStyle name="스타일 3 2" xfId="11499" xr:uid="{00000000-0005-0000-0000-00003D300000}"/>
    <cellStyle name="스타일 3 2 2" xfId="11500" xr:uid="{00000000-0005-0000-0000-00003E300000}"/>
    <cellStyle name="스타일 3 2 2 2" xfId="11501" xr:uid="{00000000-0005-0000-0000-00003F300000}"/>
    <cellStyle name="스타일 3 2 3" xfId="11502" xr:uid="{00000000-0005-0000-0000-000040300000}"/>
    <cellStyle name="스타일 3 20" xfId="11503" xr:uid="{00000000-0005-0000-0000-000041300000}"/>
    <cellStyle name="스타일 3 20 2" xfId="11504" xr:uid="{00000000-0005-0000-0000-000042300000}"/>
    <cellStyle name="스타일 3 21" xfId="11505" xr:uid="{00000000-0005-0000-0000-000043300000}"/>
    <cellStyle name="스타일 3 21 2" xfId="11506" xr:uid="{00000000-0005-0000-0000-000044300000}"/>
    <cellStyle name="스타일 3 22" xfId="11507" xr:uid="{00000000-0005-0000-0000-000045300000}"/>
    <cellStyle name="스타일 3 22 2" xfId="11508" xr:uid="{00000000-0005-0000-0000-000046300000}"/>
    <cellStyle name="스타일 3 23" xfId="11509" xr:uid="{00000000-0005-0000-0000-000047300000}"/>
    <cellStyle name="스타일 3 23 2" xfId="11510" xr:uid="{00000000-0005-0000-0000-000048300000}"/>
    <cellStyle name="스타일 3 24" xfId="11511" xr:uid="{00000000-0005-0000-0000-000049300000}"/>
    <cellStyle name="스타일 3 24 2" xfId="11512" xr:uid="{00000000-0005-0000-0000-00004A300000}"/>
    <cellStyle name="스타일 3 25" xfId="11513" xr:uid="{00000000-0005-0000-0000-00004B300000}"/>
    <cellStyle name="스타일 3 25 2" xfId="11514" xr:uid="{00000000-0005-0000-0000-00004C300000}"/>
    <cellStyle name="스타일 3 26" xfId="11515" xr:uid="{00000000-0005-0000-0000-00004D300000}"/>
    <cellStyle name="스타일 3 26 2" xfId="11516" xr:uid="{00000000-0005-0000-0000-00004E300000}"/>
    <cellStyle name="스타일 3 27" xfId="11517" xr:uid="{00000000-0005-0000-0000-00004F300000}"/>
    <cellStyle name="스타일 3 27 2" xfId="11518" xr:uid="{00000000-0005-0000-0000-000050300000}"/>
    <cellStyle name="스타일 3 28" xfId="11519" xr:uid="{00000000-0005-0000-0000-000051300000}"/>
    <cellStyle name="스타일 3 28 2" xfId="11520" xr:uid="{00000000-0005-0000-0000-000052300000}"/>
    <cellStyle name="스타일 3 29" xfId="11521" xr:uid="{00000000-0005-0000-0000-000053300000}"/>
    <cellStyle name="스타일 3 29 2" xfId="11522" xr:uid="{00000000-0005-0000-0000-000054300000}"/>
    <cellStyle name="스타일 3 3" xfId="11523" xr:uid="{00000000-0005-0000-0000-000055300000}"/>
    <cellStyle name="스타일 3 3 2" xfId="11524" xr:uid="{00000000-0005-0000-0000-000056300000}"/>
    <cellStyle name="스타일 3 30" xfId="11525" xr:uid="{00000000-0005-0000-0000-000057300000}"/>
    <cellStyle name="스타일 3 30 2" xfId="11526" xr:uid="{00000000-0005-0000-0000-000058300000}"/>
    <cellStyle name="스타일 3 31" xfId="11527" xr:uid="{00000000-0005-0000-0000-000059300000}"/>
    <cellStyle name="스타일 3 31 2" xfId="11528" xr:uid="{00000000-0005-0000-0000-00005A300000}"/>
    <cellStyle name="스타일 3 32" xfId="11529" xr:uid="{00000000-0005-0000-0000-00005B300000}"/>
    <cellStyle name="스타일 3 32 2" xfId="11530" xr:uid="{00000000-0005-0000-0000-00005C300000}"/>
    <cellStyle name="스타일 3 33" xfId="11531" xr:uid="{00000000-0005-0000-0000-00005D300000}"/>
    <cellStyle name="스타일 3 33 2" xfId="11532" xr:uid="{00000000-0005-0000-0000-00005E300000}"/>
    <cellStyle name="스타일 3 34" xfId="11533" xr:uid="{00000000-0005-0000-0000-00005F300000}"/>
    <cellStyle name="스타일 3 34 2" xfId="11534" xr:uid="{00000000-0005-0000-0000-000060300000}"/>
    <cellStyle name="스타일 3 35" xfId="11535" xr:uid="{00000000-0005-0000-0000-000061300000}"/>
    <cellStyle name="스타일 3 35 2" xfId="11536" xr:uid="{00000000-0005-0000-0000-000062300000}"/>
    <cellStyle name="스타일 3 36" xfId="11537" xr:uid="{00000000-0005-0000-0000-000063300000}"/>
    <cellStyle name="스타일 3 36 2" xfId="11538" xr:uid="{00000000-0005-0000-0000-000064300000}"/>
    <cellStyle name="스타일 3 37" xfId="11539" xr:uid="{00000000-0005-0000-0000-000065300000}"/>
    <cellStyle name="스타일 3 37 2" xfId="11540" xr:uid="{00000000-0005-0000-0000-000066300000}"/>
    <cellStyle name="스타일 3 38" xfId="11541" xr:uid="{00000000-0005-0000-0000-000067300000}"/>
    <cellStyle name="스타일 3 38 2" xfId="11542" xr:uid="{00000000-0005-0000-0000-000068300000}"/>
    <cellStyle name="스타일 3 39" xfId="11543" xr:uid="{00000000-0005-0000-0000-000069300000}"/>
    <cellStyle name="스타일 3 39 2" xfId="11544" xr:uid="{00000000-0005-0000-0000-00006A300000}"/>
    <cellStyle name="스타일 3 4" xfId="11545" xr:uid="{00000000-0005-0000-0000-00006B300000}"/>
    <cellStyle name="스타일 3 4 2" xfId="11546" xr:uid="{00000000-0005-0000-0000-00006C300000}"/>
    <cellStyle name="스타일 3 40" xfId="11547" xr:uid="{00000000-0005-0000-0000-00006D300000}"/>
    <cellStyle name="스타일 3 40 2" xfId="11548" xr:uid="{00000000-0005-0000-0000-00006E300000}"/>
    <cellStyle name="스타일 3 41" xfId="11549" xr:uid="{00000000-0005-0000-0000-00006F300000}"/>
    <cellStyle name="스타일 3 41 2" xfId="11550" xr:uid="{00000000-0005-0000-0000-000070300000}"/>
    <cellStyle name="스타일 3 42" xfId="11551" xr:uid="{00000000-0005-0000-0000-000071300000}"/>
    <cellStyle name="스타일 3 42 2" xfId="11552" xr:uid="{00000000-0005-0000-0000-000072300000}"/>
    <cellStyle name="스타일 3 43" xfId="11553" xr:uid="{00000000-0005-0000-0000-000073300000}"/>
    <cellStyle name="스타일 3 43 2" xfId="11554" xr:uid="{00000000-0005-0000-0000-000074300000}"/>
    <cellStyle name="스타일 3 44" xfId="11555" xr:uid="{00000000-0005-0000-0000-000075300000}"/>
    <cellStyle name="스타일 3 45" xfId="16676" xr:uid="{00000000-0005-0000-0000-000076300000}"/>
    <cellStyle name="스타일 3 5" xfId="11556" xr:uid="{00000000-0005-0000-0000-000077300000}"/>
    <cellStyle name="스타일 3 5 2" xfId="11557" xr:uid="{00000000-0005-0000-0000-000078300000}"/>
    <cellStyle name="스타일 3 6" xfId="11558" xr:uid="{00000000-0005-0000-0000-000079300000}"/>
    <cellStyle name="스타일 3 6 2" xfId="11559" xr:uid="{00000000-0005-0000-0000-00007A300000}"/>
    <cellStyle name="스타일 3 7" xfId="11560" xr:uid="{00000000-0005-0000-0000-00007B300000}"/>
    <cellStyle name="스타일 3 7 2" xfId="11561" xr:uid="{00000000-0005-0000-0000-00007C300000}"/>
    <cellStyle name="스타일 3 8" xfId="11562" xr:uid="{00000000-0005-0000-0000-00007D300000}"/>
    <cellStyle name="스타일 3 8 2" xfId="11563" xr:uid="{00000000-0005-0000-0000-00007E300000}"/>
    <cellStyle name="스타일 3 9" xfId="11564" xr:uid="{00000000-0005-0000-0000-00007F300000}"/>
    <cellStyle name="스타일 3 9 2" xfId="11565" xr:uid="{00000000-0005-0000-0000-000080300000}"/>
    <cellStyle name="스타일 3_1부여부지 콘도미니엄 신축공사 AV설비 견적서_20100121" xfId="11566" xr:uid="{00000000-0005-0000-0000-000081300000}"/>
    <cellStyle name="스타일 30" xfId="11567" xr:uid="{00000000-0005-0000-0000-000082300000}"/>
    <cellStyle name="스타일 30 2" xfId="11568" xr:uid="{00000000-0005-0000-0000-000083300000}"/>
    <cellStyle name="스타일 31" xfId="11569" xr:uid="{00000000-0005-0000-0000-000084300000}"/>
    <cellStyle name="스타일 31 2" xfId="11570" xr:uid="{00000000-0005-0000-0000-000085300000}"/>
    <cellStyle name="스타일 32" xfId="11571" xr:uid="{00000000-0005-0000-0000-000086300000}"/>
    <cellStyle name="스타일 32 2" xfId="11572" xr:uid="{00000000-0005-0000-0000-000087300000}"/>
    <cellStyle name="스타일 33" xfId="11573" xr:uid="{00000000-0005-0000-0000-000088300000}"/>
    <cellStyle name="스타일 33 2" xfId="11574" xr:uid="{00000000-0005-0000-0000-000089300000}"/>
    <cellStyle name="스타일 34" xfId="11575" xr:uid="{00000000-0005-0000-0000-00008A300000}"/>
    <cellStyle name="스타일 34 2" xfId="11576" xr:uid="{00000000-0005-0000-0000-00008B300000}"/>
    <cellStyle name="스타일 35" xfId="11577" xr:uid="{00000000-0005-0000-0000-00008C300000}"/>
    <cellStyle name="스타일 35 2" xfId="11578" xr:uid="{00000000-0005-0000-0000-00008D300000}"/>
    <cellStyle name="스타일 36" xfId="11579" xr:uid="{00000000-0005-0000-0000-00008E300000}"/>
    <cellStyle name="스타일 36 2" xfId="11580" xr:uid="{00000000-0005-0000-0000-00008F300000}"/>
    <cellStyle name="스타일 37" xfId="11581" xr:uid="{00000000-0005-0000-0000-000090300000}"/>
    <cellStyle name="스타일 37 2" xfId="11582" xr:uid="{00000000-0005-0000-0000-000091300000}"/>
    <cellStyle name="스타일 38" xfId="11583" xr:uid="{00000000-0005-0000-0000-000092300000}"/>
    <cellStyle name="스타일 38 2" xfId="11584" xr:uid="{00000000-0005-0000-0000-000093300000}"/>
    <cellStyle name="스타일 39" xfId="11585" xr:uid="{00000000-0005-0000-0000-000094300000}"/>
    <cellStyle name="스타일 39 2" xfId="11586" xr:uid="{00000000-0005-0000-0000-000095300000}"/>
    <cellStyle name="스타일 4" xfId="11587" xr:uid="{00000000-0005-0000-0000-000096300000}"/>
    <cellStyle name="스타일 4 10" xfId="11588" xr:uid="{00000000-0005-0000-0000-000097300000}"/>
    <cellStyle name="스타일 4 10 2" xfId="11589" xr:uid="{00000000-0005-0000-0000-000098300000}"/>
    <cellStyle name="스타일 4 11" xfId="11590" xr:uid="{00000000-0005-0000-0000-000099300000}"/>
    <cellStyle name="스타일 4 11 2" xfId="11591" xr:uid="{00000000-0005-0000-0000-00009A300000}"/>
    <cellStyle name="스타일 4 12" xfId="11592" xr:uid="{00000000-0005-0000-0000-00009B300000}"/>
    <cellStyle name="스타일 4 2" xfId="11593" xr:uid="{00000000-0005-0000-0000-00009C300000}"/>
    <cellStyle name="스타일 4 2 2" xfId="11594" xr:uid="{00000000-0005-0000-0000-00009D300000}"/>
    <cellStyle name="스타일 4 2 2 2" xfId="11595" xr:uid="{00000000-0005-0000-0000-00009E300000}"/>
    <cellStyle name="스타일 4 2 3" xfId="11596" xr:uid="{00000000-0005-0000-0000-00009F300000}"/>
    <cellStyle name="스타일 4 3" xfId="11597" xr:uid="{00000000-0005-0000-0000-0000A0300000}"/>
    <cellStyle name="스타일 4 3 2" xfId="11598" xr:uid="{00000000-0005-0000-0000-0000A1300000}"/>
    <cellStyle name="스타일 4 4" xfId="11599" xr:uid="{00000000-0005-0000-0000-0000A2300000}"/>
    <cellStyle name="스타일 4 4 2" xfId="11600" xr:uid="{00000000-0005-0000-0000-0000A3300000}"/>
    <cellStyle name="스타일 4 5" xfId="11601" xr:uid="{00000000-0005-0000-0000-0000A4300000}"/>
    <cellStyle name="스타일 4 5 2" xfId="11602" xr:uid="{00000000-0005-0000-0000-0000A5300000}"/>
    <cellStyle name="스타일 4 6" xfId="11603" xr:uid="{00000000-0005-0000-0000-0000A6300000}"/>
    <cellStyle name="스타일 4 6 2" xfId="11604" xr:uid="{00000000-0005-0000-0000-0000A7300000}"/>
    <cellStyle name="스타일 4 7" xfId="11605" xr:uid="{00000000-0005-0000-0000-0000A8300000}"/>
    <cellStyle name="스타일 4 7 2" xfId="11606" xr:uid="{00000000-0005-0000-0000-0000A9300000}"/>
    <cellStyle name="스타일 4 8" xfId="11607" xr:uid="{00000000-0005-0000-0000-0000AA300000}"/>
    <cellStyle name="스타일 4 8 2" xfId="11608" xr:uid="{00000000-0005-0000-0000-0000AB300000}"/>
    <cellStyle name="스타일 4 9" xfId="11609" xr:uid="{00000000-0005-0000-0000-0000AC300000}"/>
    <cellStyle name="스타일 4 9 2" xfId="11610" xr:uid="{00000000-0005-0000-0000-0000AD300000}"/>
    <cellStyle name="스타일 4_1부여부지 콘도미니엄 신축공사 AV설비 견적서_20100121" xfId="11611" xr:uid="{00000000-0005-0000-0000-0000AE300000}"/>
    <cellStyle name="스타일 40" xfId="11612" xr:uid="{00000000-0005-0000-0000-0000AF300000}"/>
    <cellStyle name="스타일 40 2" xfId="11613" xr:uid="{00000000-0005-0000-0000-0000B0300000}"/>
    <cellStyle name="스타일 41" xfId="11614" xr:uid="{00000000-0005-0000-0000-0000B1300000}"/>
    <cellStyle name="스타일 41 2" xfId="11615" xr:uid="{00000000-0005-0000-0000-0000B2300000}"/>
    <cellStyle name="스타일 42" xfId="11616" xr:uid="{00000000-0005-0000-0000-0000B3300000}"/>
    <cellStyle name="스타일 42 2" xfId="11617" xr:uid="{00000000-0005-0000-0000-0000B4300000}"/>
    <cellStyle name="스타일 43" xfId="11618" xr:uid="{00000000-0005-0000-0000-0000B5300000}"/>
    <cellStyle name="스타일 43 2" xfId="11619" xr:uid="{00000000-0005-0000-0000-0000B6300000}"/>
    <cellStyle name="스타일 44" xfId="11620" xr:uid="{00000000-0005-0000-0000-0000B7300000}"/>
    <cellStyle name="스타일 44 2" xfId="11621" xr:uid="{00000000-0005-0000-0000-0000B8300000}"/>
    <cellStyle name="스타일 45" xfId="11622" xr:uid="{00000000-0005-0000-0000-0000B9300000}"/>
    <cellStyle name="스타일 45 2" xfId="11623" xr:uid="{00000000-0005-0000-0000-0000BA300000}"/>
    <cellStyle name="스타일 46" xfId="11624" xr:uid="{00000000-0005-0000-0000-0000BB300000}"/>
    <cellStyle name="스타일 46 2" xfId="11625" xr:uid="{00000000-0005-0000-0000-0000BC300000}"/>
    <cellStyle name="스타일 47" xfId="11626" xr:uid="{00000000-0005-0000-0000-0000BD300000}"/>
    <cellStyle name="스타일 47 2" xfId="11627" xr:uid="{00000000-0005-0000-0000-0000BE300000}"/>
    <cellStyle name="스타일 48" xfId="11628" xr:uid="{00000000-0005-0000-0000-0000BF300000}"/>
    <cellStyle name="스타일 48 2" xfId="11629" xr:uid="{00000000-0005-0000-0000-0000C0300000}"/>
    <cellStyle name="스타일 49" xfId="11630" xr:uid="{00000000-0005-0000-0000-0000C1300000}"/>
    <cellStyle name="스타일 49 2" xfId="11631" xr:uid="{00000000-0005-0000-0000-0000C2300000}"/>
    <cellStyle name="스타일 5" xfId="11632" xr:uid="{00000000-0005-0000-0000-0000C3300000}"/>
    <cellStyle name="스타일 5 2" xfId="11633" xr:uid="{00000000-0005-0000-0000-0000C4300000}"/>
    <cellStyle name="스타일 50" xfId="11634" xr:uid="{00000000-0005-0000-0000-0000C5300000}"/>
    <cellStyle name="스타일 50 2" xfId="11635" xr:uid="{00000000-0005-0000-0000-0000C6300000}"/>
    <cellStyle name="스타일 51" xfId="11636" xr:uid="{00000000-0005-0000-0000-0000C7300000}"/>
    <cellStyle name="스타일 51 2" xfId="11637" xr:uid="{00000000-0005-0000-0000-0000C8300000}"/>
    <cellStyle name="스타일 52" xfId="11638" xr:uid="{00000000-0005-0000-0000-0000C9300000}"/>
    <cellStyle name="스타일 52 2" xfId="11639" xr:uid="{00000000-0005-0000-0000-0000CA300000}"/>
    <cellStyle name="스타일 53" xfId="11640" xr:uid="{00000000-0005-0000-0000-0000CB300000}"/>
    <cellStyle name="스타일 53 2" xfId="11641" xr:uid="{00000000-0005-0000-0000-0000CC300000}"/>
    <cellStyle name="스타일 54" xfId="11642" xr:uid="{00000000-0005-0000-0000-0000CD300000}"/>
    <cellStyle name="스타일 54 2" xfId="11643" xr:uid="{00000000-0005-0000-0000-0000CE300000}"/>
    <cellStyle name="스타일 55" xfId="11644" xr:uid="{00000000-0005-0000-0000-0000CF300000}"/>
    <cellStyle name="스타일 55 2" xfId="11645" xr:uid="{00000000-0005-0000-0000-0000D0300000}"/>
    <cellStyle name="스타일 56" xfId="11646" xr:uid="{00000000-0005-0000-0000-0000D1300000}"/>
    <cellStyle name="스타일 56 2" xfId="11647" xr:uid="{00000000-0005-0000-0000-0000D2300000}"/>
    <cellStyle name="스타일 57" xfId="11648" xr:uid="{00000000-0005-0000-0000-0000D3300000}"/>
    <cellStyle name="스타일 57 2" xfId="11649" xr:uid="{00000000-0005-0000-0000-0000D4300000}"/>
    <cellStyle name="스타일 58" xfId="11650" xr:uid="{00000000-0005-0000-0000-0000D5300000}"/>
    <cellStyle name="스타일 58 2" xfId="11651" xr:uid="{00000000-0005-0000-0000-0000D6300000}"/>
    <cellStyle name="스타일 59" xfId="11652" xr:uid="{00000000-0005-0000-0000-0000D7300000}"/>
    <cellStyle name="스타일 59 2" xfId="11653" xr:uid="{00000000-0005-0000-0000-0000D8300000}"/>
    <cellStyle name="스타일 6" xfId="11654" xr:uid="{00000000-0005-0000-0000-0000D9300000}"/>
    <cellStyle name="스타일 6 2" xfId="11655" xr:uid="{00000000-0005-0000-0000-0000DA300000}"/>
    <cellStyle name="스타일 60" xfId="11656" xr:uid="{00000000-0005-0000-0000-0000DB300000}"/>
    <cellStyle name="스타일 60 2" xfId="11657" xr:uid="{00000000-0005-0000-0000-0000DC300000}"/>
    <cellStyle name="스타일 61" xfId="11658" xr:uid="{00000000-0005-0000-0000-0000DD300000}"/>
    <cellStyle name="스타일 61 2" xfId="11659" xr:uid="{00000000-0005-0000-0000-0000DE300000}"/>
    <cellStyle name="스타일 62" xfId="11660" xr:uid="{00000000-0005-0000-0000-0000DF300000}"/>
    <cellStyle name="스타일 62 2" xfId="11661" xr:uid="{00000000-0005-0000-0000-0000E0300000}"/>
    <cellStyle name="스타일 63" xfId="11662" xr:uid="{00000000-0005-0000-0000-0000E1300000}"/>
    <cellStyle name="스타일 63 2" xfId="11663" xr:uid="{00000000-0005-0000-0000-0000E2300000}"/>
    <cellStyle name="스타일 64" xfId="11664" xr:uid="{00000000-0005-0000-0000-0000E3300000}"/>
    <cellStyle name="스타일 64 2" xfId="11665" xr:uid="{00000000-0005-0000-0000-0000E4300000}"/>
    <cellStyle name="스타일 65" xfId="11666" xr:uid="{00000000-0005-0000-0000-0000E5300000}"/>
    <cellStyle name="스타일 65 2" xfId="11667" xr:uid="{00000000-0005-0000-0000-0000E6300000}"/>
    <cellStyle name="스타일 66" xfId="11668" xr:uid="{00000000-0005-0000-0000-0000E7300000}"/>
    <cellStyle name="스타일 66 2" xfId="11669" xr:uid="{00000000-0005-0000-0000-0000E8300000}"/>
    <cellStyle name="스타일 67" xfId="11670" xr:uid="{00000000-0005-0000-0000-0000E9300000}"/>
    <cellStyle name="스타일 67 2" xfId="11671" xr:uid="{00000000-0005-0000-0000-0000EA300000}"/>
    <cellStyle name="스타일 68" xfId="11672" xr:uid="{00000000-0005-0000-0000-0000EB300000}"/>
    <cellStyle name="스타일 68 2" xfId="11673" xr:uid="{00000000-0005-0000-0000-0000EC300000}"/>
    <cellStyle name="스타일 69" xfId="11674" xr:uid="{00000000-0005-0000-0000-0000ED300000}"/>
    <cellStyle name="스타일 69 2" xfId="11675" xr:uid="{00000000-0005-0000-0000-0000EE300000}"/>
    <cellStyle name="스타일 7" xfId="11676" xr:uid="{00000000-0005-0000-0000-0000EF300000}"/>
    <cellStyle name="스타일 7 2" xfId="11677" xr:uid="{00000000-0005-0000-0000-0000F0300000}"/>
    <cellStyle name="스타일 70" xfId="11678" xr:uid="{00000000-0005-0000-0000-0000F1300000}"/>
    <cellStyle name="스타일 70 2" xfId="11679" xr:uid="{00000000-0005-0000-0000-0000F2300000}"/>
    <cellStyle name="스타일 71" xfId="11680" xr:uid="{00000000-0005-0000-0000-0000F3300000}"/>
    <cellStyle name="스타일 71 2" xfId="11681" xr:uid="{00000000-0005-0000-0000-0000F4300000}"/>
    <cellStyle name="스타일 72" xfId="11682" xr:uid="{00000000-0005-0000-0000-0000F5300000}"/>
    <cellStyle name="스타일 72 2" xfId="11683" xr:uid="{00000000-0005-0000-0000-0000F6300000}"/>
    <cellStyle name="스타일 73" xfId="11684" xr:uid="{00000000-0005-0000-0000-0000F7300000}"/>
    <cellStyle name="스타일 73 2" xfId="11685" xr:uid="{00000000-0005-0000-0000-0000F8300000}"/>
    <cellStyle name="스타일 74" xfId="11686" xr:uid="{00000000-0005-0000-0000-0000F9300000}"/>
    <cellStyle name="스타일 74 2" xfId="11687" xr:uid="{00000000-0005-0000-0000-0000FA300000}"/>
    <cellStyle name="스타일 75" xfId="11688" xr:uid="{00000000-0005-0000-0000-0000FB300000}"/>
    <cellStyle name="스타일 75 2" xfId="11689" xr:uid="{00000000-0005-0000-0000-0000FC300000}"/>
    <cellStyle name="스타일 76" xfId="11690" xr:uid="{00000000-0005-0000-0000-0000FD300000}"/>
    <cellStyle name="스타일 76 2" xfId="11691" xr:uid="{00000000-0005-0000-0000-0000FE300000}"/>
    <cellStyle name="스타일 77" xfId="11692" xr:uid="{00000000-0005-0000-0000-0000FF300000}"/>
    <cellStyle name="스타일 77 2" xfId="11693" xr:uid="{00000000-0005-0000-0000-000000310000}"/>
    <cellStyle name="스타일 78" xfId="11694" xr:uid="{00000000-0005-0000-0000-000001310000}"/>
    <cellStyle name="스타일 78 2" xfId="11695" xr:uid="{00000000-0005-0000-0000-000002310000}"/>
    <cellStyle name="스타일 79" xfId="11696" xr:uid="{00000000-0005-0000-0000-000003310000}"/>
    <cellStyle name="스타일 79 2" xfId="11697" xr:uid="{00000000-0005-0000-0000-000004310000}"/>
    <cellStyle name="스타일 8" xfId="11698" xr:uid="{00000000-0005-0000-0000-000005310000}"/>
    <cellStyle name="스타일 8 2" xfId="11699" xr:uid="{00000000-0005-0000-0000-000006310000}"/>
    <cellStyle name="스타일 80" xfId="11700" xr:uid="{00000000-0005-0000-0000-000007310000}"/>
    <cellStyle name="스타일 80 2" xfId="11701" xr:uid="{00000000-0005-0000-0000-000008310000}"/>
    <cellStyle name="스타일 81" xfId="11702" xr:uid="{00000000-0005-0000-0000-000009310000}"/>
    <cellStyle name="스타일 81 2" xfId="11703" xr:uid="{00000000-0005-0000-0000-00000A310000}"/>
    <cellStyle name="스타일 82" xfId="11704" xr:uid="{00000000-0005-0000-0000-00000B310000}"/>
    <cellStyle name="스타일 82 2" xfId="11705" xr:uid="{00000000-0005-0000-0000-00000C310000}"/>
    <cellStyle name="스타일 83" xfId="11706" xr:uid="{00000000-0005-0000-0000-00000D310000}"/>
    <cellStyle name="스타일 83 2" xfId="11707" xr:uid="{00000000-0005-0000-0000-00000E310000}"/>
    <cellStyle name="스타일 84" xfId="11708" xr:uid="{00000000-0005-0000-0000-00000F310000}"/>
    <cellStyle name="스타일 84 2" xfId="11709" xr:uid="{00000000-0005-0000-0000-000010310000}"/>
    <cellStyle name="스타일 85" xfId="11710" xr:uid="{00000000-0005-0000-0000-000011310000}"/>
    <cellStyle name="스타일 85 2" xfId="11711" xr:uid="{00000000-0005-0000-0000-000012310000}"/>
    <cellStyle name="스타일 86" xfId="11712" xr:uid="{00000000-0005-0000-0000-000013310000}"/>
    <cellStyle name="스타일 86 2" xfId="11713" xr:uid="{00000000-0005-0000-0000-000014310000}"/>
    <cellStyle name="스타일 87" xfId="11714" xr:uid="{00000000-0005-0000-0000-000015310000}"/>
    <cellStyle name="스타일 87 2" xfId="11715" xr:uid="{00000000-0005-0000-0000-000016310000}"/>
    <cellStyle name="스타일 88" xfId="11716" xr:uid="{00000000-0005-0000-0000-000017310000}"/>
    <cellStyle name="스타일 88 2" xfId="11717" xr:uid="{00000000-0005-0000-0000-000018310000}"/>
    <cellStyle name="스타일 89" xfId="11718" xr:uid="{00000000-0005-0000-0000-000019310000}"/>
    <cellStyle name="스타일 89 2" xfId="11719" xr:uid="{00000000-0005-0000-0000-00001A310000}"/>
    <cellStyle name="스타일 9" xfId="11720" xr:uid="{00000000-0005-0000-0000-00001B310000}"/>
    <cellStyle name="스타일 9 2" xfId="11721" xr:uid="{00000000-0005-0000-0000-00001C310000}"/>
    <cellStyle name="스타일 90" xfId="11722" xr:uid="{00000000-0005-0000-0000-00001D310000}"/>
    <cellStyle name="스타일 90 2" xfId="11723" xr:uid="{00000000-0005-0000-0000-00001E310000}"/>
    <cellStyle name="스타일 91" xfId="11724" xr:uid="{00000000-0005-0000-0000-00001F310000}"/>
    <cellStyle name="스타일 91 2" xfId="11725" xr:uid="{00000000-0005-0000-0000-000020310000}"/>
    <cellStyle name="스타일 92" xfId="11726" xr:uid="{00000000-0005-0000-0000-000021310000}"/>
    <cellStyle name="스타일 92 2" xfId="11727" xr:uid="{00000000-0005-0000-0000-000022310000}"/>
    <cellStyle name="스타일 93" xfId="11728" xr:uid="{00000000-0005-0000-0000-000023310000}"/>
    <cellStyle name="스타일 93 2" xfId="11729" xr:uid="{00000000-0005-0000-0000-000024310000}"/>
    <cellStyle name="스타일 94" xfId="11730" xr:uid="{00000000-0005-0000-0000-000025310000}"/>
    <cellStyle name="스타일 94 2" xfId="11731" xr:uid="{00000000-0005-0000-0000-000026310000}"/>
    <cellStyle name="스타일 95" xfId="11732" xr:uid="{00000000-0005-0000-0000-000027310000}"/>
    <cellStyle name="스타일 95 2" xfId="11733" xr:uid="{00000000-0005-0000-0000-000028310000}"/>
    <cellStyle name="스타일 96" xfId="11734" xr:uid="{00000000-0005-0000-0000-000029310000}"/>
    <cellStyle name="스타일 96 2" xfId="11735" xr:uid="{00000000-0005-0000-0000-00002A310000}"/>
    <cellStyle name="스타일 97" xfId="11736" xr:uid="{00000000-0005-0000-0000-00002B310000}"/>
    <cellStyle name="스타일 97 2" xfId="11737" xr:uid="{00000000-0005-0000-0000-00002C310000}"/>
    <cellStyle name="스타일 98" xfId="11738" xr:uid="{00000000-0005-0000-0000-00002D310000}"/>
    <cellStyle name="스타일 98 2" xfId="11739" xr:uid="{00000000-0005-0000-0000-00002E310000}"/>
    <cellStyle name="스타일 99" xfId="11740" xr:uid="{00000000-0005-0000-0000-00002F310000}"/>
    <cellStyle name="스타일 99 2" xfId="11741" xr:uid="{00000000-0005-0000-0000-000030310000}"/>
    <cellStyle name="안건회계법인" xfId="11742" xr:uid="{00000000-0005-0000-0000-000031310000}"/>
    <cellStyle name="안건회계법인 2" xfId="11743" xr:uid="{00000000-0005-0000-0000-000032310000}"/>
    <cellStyle name="안건회계법인 3" xfId="16677" xr:uid="{00000000-0005-0000-0000-000033310000}"/>
    <cellStyle name="연결된 셀 2" xfId="11744" xr:uid="{00000000-0005-0000-0000-000034310000}"/>
    <cellStyle name="연결된 셀 2 10" xfId="11745" xr:uid="{00000000-0005-0000-0000-000035310000}"/>
    <cellStyle name="연결된 셀 2 11" xfId="16678" xr:uid="{00000000-0005-0000-0000-000036310000}"/>
    <cellStyle name="연결된 셀 2 2" xfId="11746" xr:uid="{00000000-0005-0000-0000-000037310000}"/>
    <cellStyle name="연결된 셀 2 2 2" xfId="11747" xr:uid="{00000000-0005-0000-0000-000038310000}"/>
    <cellStyle name="연결된 셀 2 3" xfId="11748" xr:uid="{00000000-0005-0000-0000-000039310000}"/>
    <cellStyle name="연결된 셀 2 3 2" xfId="11749" xr:uid="{00000000-0005-0000-0000-00003A310000}"/>
    <cellStyle name="연결된 셀 2 4" xfId="11750" xr:uid="{00000000-0005-0000-0000-00003B310000}"/>
    <cellStyle name="연결된 셀 2 4 2" xfId="11751" xr:uid="{00000000-0005-0000-0000-00003C310000}"/>
    <cellStyle name="연결된 셀 2 5" xfId="11752" xr:uid="{00000000-0005-0000-0000-00003D310000}"/>
    <cellStyle name="연결된 셀 2 5 2" xfId="11753" xr:uid="{00000000-0005-0000-0000-00003E310000}"/>
    <cellStyle name="연결된 셀 2 6" xfId="11754" xr:uid="{00000000-0005-0000-0000-00003F310000}"/>
    <cellStyle name="연결된 셀 2 6 2" xfId="11755" xr:uid="{00000000-0005-0000-0000-000040310000}"/>
    <cellStyle name="연결된 셀 2 7" xfId="11756" xr:uid="{00000000-0005-0000-0000-000041310000}"/>
    <cellStyle name="연결된 셀 2 7 2" xfId="11757" xr:uid="{00000000-0005-0000-0000-000042310000}"/>
    <cellStyle name="연결된 셀 2 8" xfId="11758" xr:uid="{00000000-0005-0000-0000-000043310000}"/>
    <cellStyle name="연결된 셀 2 8 2" xfId="11759" xr:uid="{00000000-0005-0000-0000-000044310000}"/>
    <cellStyle name="연결된 셀 2 9" xfId="11760" xr:uid="{00000000-0005-0000-0000-000045310000}"/>
    <cellStyle name="연결된 셀 2 9 2" xfId="11761" xr:uid="{00000000-0005-0000-0000-000046310000}"/>
    <cellStyle name="연결된 셀 3" xfId="11762" xr:uid="{00000000-0005-0000-0000-000047310000}"/>
    <cellStyle name="연결된 셀 3 10" xfId="11763" xr:uid="{00000000-0005-0000-0000-000048310000}"/>
    <cellStyle name="연결된 셀 3 2" xfId="11764" xr:uid="{00000000-0005-0000-0000-000049310000}"/>
    <cellStyle name="연결된 셀 3 2 2" xfId="11765" xr:uid="{00000000-0005-0000-0000-00004A310000}"/>
    <cellStyle name="연결된 셀 3 3" xfId="11766" xr:uid="{00000000-0005-0000-0000-00004B310000}"/>
    <cellStyle name="연결된 셀 3 3 2" xfId="11767" xr:uid="{00000000-0005-0000-0000-00004C310000}"/>
    <cellStyle name="연결된 셀 3 4" xfId="11768" xr:uid="{00000000-0005-0000-0000-00004D310000}"/>
    <cellStyle name="연결된 셀 3 4 2" xfId="11769" xr:uid="{00000000-0005-0000-0000-00004E310000}"/>
    <cellStyle name="연결된 셀 3 5" xfId="11770" xr:uid="{00000000-0005-0000-0000-00004F310000}"/>
    <cellStyle name="연결된 셀 3 5 2" xfId="11771" xr:uid="{00000000-0005-0000-0000-000050310000}"/>
    <cellStyle name="연결된 셀 3 6" xfId="11772" xr:uid="{00000000-0005-0000-0000-000051310000}"/>
    <cellStyle name="연결된 셀 3 6 2" xfId="11773" xr:uid="{00000000-0005-0000-0000-000052310000}"/>
    <cellStyle name="연결된 셀 3 7" xfId="11774" xr:uid="{00000000-0005-0000-0000-000053310000}"/>
    <cellStyle name="연결된 셀 3 7 2" xfId="11775" xr:uid="{00000000-0005-0000-0000-000054310000}"/>
    <cellStyle name="연결된 셀 3 8" xfId="11776" xr:uid="{00000000-0005-0000-0000-000055310000}"/>
    <cellStyle name="연결된 셀 3 8 2" xfId="11777" xr:uid="{00000000-0005-0000-0000-000056310000}"/>
    <cellStyle name="연결된 셀 3 9" xfId="11778" xr:uid="{00000000-0005-0000-0000-000057310000}"/>
    <cellStyle name="연결된 셀 3 9 2" xfId="11779" xr:uid="{00000000-0005-0000-0000-000058310000}"/>
    <cellStyle name="연결된 셀 4" xfId="11780" xr:uid="{00000000-0005-0000-0000-000059310000}"/>
    <cellStyle name="연결된 셀 4 10" xfId="11781" xr:uid="{00000000-0005-0000-0000-00005A310000}"/>
    <cellStyle name="연결된 셀 4 2" xfId="11782" xr:uid="{00000000-0005-0000-0000-00005B310000}"/>
    <cellStyle name="연결된 셀 4 2 2" xfId="11783" xr:uid="{00000000-0005-0000-0000-00005C310000}"/>
    <cellStyle name="연결된 셀 4 3" xfId="11784" xr:uid="{00000000-0005-0000-0000-00005D310000}"/>
    <cellStyle name="연결된 셀 4 3 2" xfId="11785" xr:uid="{00000000-0005-0000-0000-00005E310000}"/>
    <cellStyle name="연결된 셀 4 4" xfId="11786" xr:uid="{00000000-0005-0000-0000-00005F310000}"/>
    <cellStyle name="연결된 셀 4 4 2" xfId="11787" xr:uid="{00000000-0005-0000-0000-000060310000}"/>
    <cellStyle name="연결된 셀 4 5" xfId="11788" xr:uid="{00000000-0005-0000-0000-000061310000}"/>
    <cellStyle name="연결된 셀 4 5 2" xfId="11789" xr:uid="{00000000-0005-0000-0000-000062310000}"/>
    <cellStyle name="연결된 셀 4 6" xfId="11790" xr:uid="{00000000-0005-0000-0000-000063310000}"/>
    <cellStyle name="연결된 셀 4 6 2" xfId="11791" xr:uid="{00000000-0005-0000-0000-000064310000}"/>
    <cellStyle name="연결된 셀 4 7" xfId="11792" xr:uid="{00000000-0005-0000-0000-000065310000}"/>
    <cellStyle name="연결된 셀 4 7 2" xfId="11793" xr:uid="{00000000-0005-0000-0000-000066310000}"/>
    <cellStyle name="연결된 셀 4 8" xfId="11794" xr:uid="{00000000-0005-0000-0000-000067310000}"/>
    <cellStyle name="연결된 셀 4 8 2" xfId="11795" xr:uid="{00000000-0005-0000-0000-000068310000}"/>
    <cellStyle name="연결된 셀 4 9" xfId="11796" xr:uid="{00000000-0005-0000-0000-000069310000}"/>
    <cellStyle name="연결된 셀 4 9 2" xfId="11797" xr:uid="{00000000-0005-0000-0000-00006A310000}"/>
    <cellStyle name="연결된 셀 5" xfId="11798" xr:uid="{00000000-0005-0000-0000-00006B310000}"/>
    <cellStyle name="연결된 셀 5 10" xfId="11799" xr:uid="{00000000-0005-0000-0000-00006C310000}"/>
    <cellStyle name="연결된 셀 5 2" xfId="11800" xr:uid="{00000000-0005-0000-0000-00006D310000}"/>
    <cellStyle name="연결된 셀 5 2 2" xfId="11801" xr:uid="{00000000-0005-0000-0000-00006E310000}"/>
    <cellStyle name="연결된 셀 5 3" xfId="11802" xr:uid="{00000000-0005-0000-0000-00006F310000}"/>
    <cellStyle name="연결된 셀 5 3 2" xfId="11803" xr:uid="{00000000-0005-0000-0000-000070310000}"/>
    <cellStyle name="연결된 셀 5 4" xfId="11804" xr:uid="{00000000-0005-0000-0000-000071310000}"/>
    <cellStyle name="연결된 셀 5 4 2" xfId="11805" xr:uid="{00000000-0005-0000-0000-000072310000}"/>
    <cellStyle name="연결된 셀 5 5" xfId="11806" xr:uid="{00000000-0005-0000-0000-000073310000}"/>
    <cellStyle name="연결된 셀 5 5 2" xfId="11807" xr:uid="{00000000-0005-0000-0000-000074310000}"/>
    <cellStyle name="연결된 셀 5 6" xfId="11808" xr:uid="{00000000-0005-0000-0000-000075310000}"/>
    <cellStyle name="연결된 셀 5 6 2" xfId="11809" xr:uid="{00000000-0005-0000-0000-000076310000}"/>
    <cellStyle name="연결된 셀 5 7" xfId="11810" xr:uid="{00000000-0005-0000-0000-000077310000}"/>
    <cellStyle name="연결된 셀 5 7 2" xfId="11811" xr:uid="{00000000-0005-0000-0000-000078310000}"/>
    <cellStyle name="연결된 셀 5 8" xfId="11812" xr:uid="{00000000-0005-0000-0000-000079310000}"/>
    <cellStyle name="연결된 셀 5 8 2" xfId="11813" xr:uid="{00000000-0005-0000-0000-00007A310000}"/>
    <cellStyle name="연결된 셀 5 9" xfId="11814" xr:uid="{00000000-0005-0000-0000-00007B310000}"/>
    <cellStyle name="연결된 셀 5 9 2" xfId="11815" xr:uid="{00000000-0005-0000-0000-00007C310000}"/>
    <cellStyle name="연결된 셀 6" xfId="11816" xr:uid="{00000000-0005-0000-0000-00007D310000}"/>
    <cellStyle name="연결된 셀 6 10" xfId="11817" xr:uid="{00000000-0005-0000-0000-00007E310000}"/>
    <cellStyle name="연결된 셀 6 2" xfId="11818" xr:uid="{00000000-0005-0000-0000-00007F310000}"/>
    <cellStyle name="연결된 셀 6 2 2" xfId="11819" xr:uid="{00000000-0005-0000-0000-000080310000}"/>
    <cellStyle name="연결된 셀 6 3" xfId="11820" xr:uid="{00000000-0005-0000-0000-000081310000}"/>
    <cellStyle name="연결된 셀 6 3 2" xfId="11821" xr:uid="{00000000-0005-0000-0000-000082310000}"/>
    <cellStyle name="연결된 셀 6 4" xfId="11822" xr:uid="{00000000-0005-0000-0000-000083310000}"/>
    <cellStyle name="연결된 셀 6 4 2" xfId="11823" xr:uid="{00000000-0005-0000-0000-000084310000}"/>
    <cellStyle name="연결된 셀 6 5" xfId="11824" xr:uid="{00000000-0005-0000-0000-000085310000}"/>
    <cellStyle name="연결된 셀 6 5 2" xfId="11825" xr:uid="{00000000-0005-0000-0000-000086310000}"/>
    <cellStyle name="연결된 셀 6 6" xfId="11826" xr:uid="{00000000-0005-0000-0000-000087310000}"/>
    <cellStyle name="연결된 셀 6 6 2" xfId="11827" xr:uid="{00000000-0005-0000-0000-000088310000}"/>
    <cellStyle name="연결된 셀 6 7" xfId="11828" xr:uid="{00000000-0005-0000-0000-000089310000}"/>
    <cellStyle name="연결된 셀 6 7 2" xfId="11829" xr:uid="{00000000-0005-0000-0000-00008A310000}"/>
    <cellStyle name="연결된 셀 6 8" xfId="11830" xr:uid="{00000000-0005-0000-0000-00008B310000}"/>
    <cellStyle name="연결된 셀 6 8 2" xfId="11831" xr:uid="{00000000-0005-0000-0000-00008C310000}"/>
    <cellStyle name="연결된 셀 6 9" xfId="11832" xr:uid="{00000000-0005-0000-0000-00008D310000}"/>
    <cellStyle name="연결된 셀 6 9 2" xfId="11833" xr:uid="{00000000-0005-0000-0000-00008E310000}"/>
    <cellStyle name="열어본 하이퍼링크" xfId="11834" xr:uid="{00000000-0005-0000-0000-00008F310000}"/>
    <cellStyle name="열어본 하이퍼링크 2" xfId="11835" xr:uid="{00000000-0005-0000-0000-000090310000}"/>
    <cellStyle name="옛체" xfId="11836" xr:uid="{00000000-0005-0000-0000-000091310000}"/>
    <cellStyle name="옛체 2" xfId="11837" xr:uid="{00000000-0005-0000-0000-000092310000}"/>
    <cellStyle name="왼쪽2" xfId="11838" xr:uid="{00000000-0005-0000-0000-000093310000}"/>
    <cellStyle name="왼쪽2 2" xfId="11839" xr:uid="{00000000-0005-0000-0000-000094310000}"/>
    <cellStyle name="왼쪽2 2 2" xfId="11840" xr:uid="{00000000-0005-0000-0000-000095310000}"/>
    <cellStyle name="왼쪽2 2 3" xfId="11841" xr:uid="{00000000-0005-0000-0000-000096310000}"/>
    <cellStyle name="왼쪽2 2 4" xfId="11842" xr:uid="{00000000-0005-0000-0000-000097310000}"/>
    <cellStyle name="왼쪽2 2 5" xfId="11843" xr:uid="{00000000-0005-0000-0000-000098310000}"/>
    <cellStyle name="요약 2" xfId="11844" xr:uid="{00000000-0005-0000-0000-000099310000}"/>
    <cellStyle name="요약 2 10" xfId="11845" xr:uid="{00000000-0005-0000-0000-00009A310000}"/>
    <cellStyle name="요약 2 10 2" xfId="11846" xr:uid="{00000000-0005-0000-0000-00009B310000}"/>
    <cellStyle name="요약 2 10 2 2" xfId="11847" xr:uid="{00000000-0005-0000-0000-00009C310000}"/>
    <cellStyle name="요약 2 10 2 3" xfId="11848" xr:uid="{00000000-0005-0000-0000-00009D310000}"/>
    <cellStyle name="요약 2 10 2 4" xfId="11849" xr:uid="{00000000-0005-0000-0000-00009E310000}"/>
    <cellStyle name="요약 2 10 2 5" xfId="11850" xr:uid="{00000000-0005-0000-0000-00009F310000}"/>
    <cellStyle name="요약 2 11" xfId="11851" xr:uid="{00000000-0005-0000-0000-0000A0310000}"/>
    <cellStyle name="요약 2 11 2" xfId="11852" xr:uid="{00000000-0005-0000-0000-0000A1310000}"/>
    <cellStyle name="요약 2 11 3" xfId="11853" xr:uid="{00000000-0005-0000-0000-0000A2310000}"/>
    <cellStyle name="요약 2 11 4" xfId="11854" xr:uid="{00000000-0005-0000-0000-0000A3310000}"/>
    <cellStyle name="요약 2 11 5" xfId="11855" xr:uid="{00000000-0005-0000-0000-0000A4310000}"/>
    <cellStyle name="요약 2 12" xfId="16679" xr:uid="{00000000-0005-0000-0000-0000A5310000}"/>
    <cellStyle name="요약 2 13" xfId="16925" xr:uid="{00000000-0005-0000-0000-0000A6310000}"/>
    <cellStyle name="요약 2 14" xfId="16944" xr:uid="{00000000-0005-0000-0000-0000A7310000}"/>
    <cellStyle name="요약 2 15" xfId="16997" xr:uid="{00000000-0005-0000-0000-0000A8310000}"/>
    <cellStyle name="요약 2 2" xfId="11856" xr:uid="{00000000-0005-0000-0000-0000A9310000}"/>
    <cellStyle name="요약 2 2 2" xfId="11857" xr:uid="{00000000-0005-0000-0000-0000AA310000}"/>
    <cellStyle name="요약 2 2 2 2" xfId="11858" xr:uid="{00000000-0005-0000-0000-0000AB310000}"/>
    <cellStyle name="요약 2 2 2 2 2" xfId="11859" xr:uid="{00000000-0005-0000-0000-0000AC310000}"/>
    <cellStyle name="요약 2 2 2 2 3" xfId="11860" xr:uid="{00000000-0005-0000-0000-0000AD310000}"/>
    <cellStyle name="요약 2 2 2 2 4" xfId="11861" xr:uid="{00000000-0005-0000-0000-0000AE310000}"/>
    <cellStyle name="요약 2 2 2 2 5" xfId="11862" xr:uid="{00000000-0005-0000-0000-0000AF310000}"/>
    <cellStyle name="요약 2 2 3" xfId="11863" xr:uid="{00000000-0005-0000-0000-0000B0310000}"/>
    <cellStyle name="요약 2 2 3 2" xfId="11864" xr:uid="{00000000-0005-0000-0000-0000B1310000}"/>
    <cellStyle name="요약 2 2 3 3" xfId="11865" xr:uid="{00000000-0005-0000-0000-0000B2310000}"/>
    <cellStyle name="요약 2 2 3 4" xfId="11866" xr:uid="{00000000-0005-0000-0000-0000B3310000}"/>
    <cellStyle name="요약 2 2 3 5" xfId="11867" xr:uid="{00000000-0005-0000-0000-0000B4310000}"/>
    <cellStyle name="요약 2 3" xfId="11868" xr:uid="{00000000-0005-0000-0000-0000B5310000}"/>
    <cellStyle name="요약 2 3 2" xfId="11869" xr:uid="{00000000-0005-0000-0000-0000B6310000}"/>
    <cellStyle name="요약 2 3 2 2" xfId="11870" xr:uid="{00000000-0005-0000-0000-0000B7310000}"/>
    <cellStyle name="요약 2 3 2 2 2" xfId="11871" xr:uid="{00000000-0005-0000-0000-0000B8310000}"/>
    <cellStyle name="요약 2 3 2 2 3" xfId="11872" xr:uid="{00000000-0005-0000-0000-0000B9310000}"/>
    <cellStyle name="요약 2 3 2 2 4" xfId="11873" xr:uid="{00000000-0005-0000-0000-0000BA310000}"/>
    <cellStyle name="요약 2 3 2 2 5" xfId="11874" xr:uid="{00000000-0005-0000-0000-0000BB310000}"/>
    <cellStyle name="요약 2 3 3" xfId="11875" xr:uid="{00000000-0005-0000-0000-0000BC310000}"/>
    <cellStyle name="요약 2 3 3 2" xfId="11876" xr:uid="{00000000-0005-0000-0000-0000BD310000}"/>
    <cellStyle name="요약 2 3 3 3" xfId="11877" xr:uid="{00000000-0005-0000-0000-0000BE310000}"/>
    <cellStyle name="요약 2 3 3 4" xfId="11878" xr:uid="{00000000-0005-0000-0000-0000BF310000}"/>
    <cellStyle name="요약 2 3 3 5" xfId="11879" xr:uid="{00000000-0005-0000-0000-0000C0310000}"/>
    <cellStyle name="요약 2 4" xfId="11880" xr:uid="{00000000-0005-0000-0000-0000C1310000}"/>
    <cellStyle name="요약 2 4 2" xfId="11881" xr:uid="{00000000-0005-0000-0000-0000C2310000}"/>
    <cellStyle name="요약 2 4 2 2" xfId="11882" xr:uid="{00000000-0005-0000-0000-0000C3310000}"/>
    <cellStyle name="요약 2 4 2 2 2" xfId="11883" xr:uid="{00000000-0005-0000-0000-0000C4310000}"/>
    <cellStyle name="요약 2 4 2 2 3" xfId="11884" xr:uid="{00000000-0005-0000-0000-0000C5310000}"/>
    <cellStyle name="요약 2 4 2 2 4" xfId="11885" xr:uid="{00000000-0005-0000-0000-0000C6310000}"/>
    <cellStyle name="요약 2 4 2 2 5" xfId="11886" xr:uid="{00000000-0005-0000-0000-0000C7310000}"/>
    <cellStyle name="요약 2 4 3" xfId="11887" xr:uid="{00000000-0005-0000-0000-0000C8310000}"/>
    <cellStyle name="요약 2 4 3 2" xfId="11888" xr:uid="{00000000-0005-0000-0000-0000C9310000}"/>
    <cellStyle name="요약 2 4 3 3" xfId="11889" xr:uid="{00000000-0005-0000-0000-0000CA310000}"/>
    <cellStyle name="요약 2 4 3 4" xfId="11890" xr:uid="{00000000-0005-0000-0000-0000CB310000}"/>
    <cellStyle name="요약 2 4 3 5" xfId="11891" xr:uid="{00000000-0005-0000-0000-0000CC310000}"/>
    <cellStyle name="요약 2 5" xfId="11892" xr:uid="{00000000-0005-0000-0000-0000CD310000}"/>
    <cellStyle name="요약 2 5 2" xfId="11893" xr:uid="{00000000-0005-0000-0000-0000CE310000}"/>
    <cellStyle name="요약 2 5 2 2" xfId="11894" xr:uid="{00000000-0005-0000-0000-0000CF310000}"/>
    <cellStyle name="요약 2 5 2 2 2" xfId="11895" xr:uid="{00000000-0005-0000-0000-0000D0310000}"/>
    <cellStyle name="요약 2 5 2 2 3" xfId="11896" xr:uid="{00000000-0005-0000-0000-0000D1310000}"/>
    <cellStyle name="요약 2 5 2 2 4" xfId="11897" xr:uid="{00000000-0005-0000-0000-0000D2310000}"/>
    <cellStyle name="요약 2 5 2 2 5" xfId="11898" xr:uid="{00000000-0005-0000-0000-0000D3310000}"/>
    <cellStyle name="요약 2 5 3" xfId="11899" xr:uid="{00000000-0005-0000-0000-0000D4310000}"/>
    <cellStyle name="요약 2 5 3 2" xfId="11900" xr:uid="{00000000-0005-0000-0000-0000D5310000}"/>
    <cellStyle name="요약 2 5 3 3" xfId="11901" xr:uid="{00000000-0005-0000-0000-0000D6310000}"/>
    <cellStyle name="요약 2 5 3 4" xfId="11902" xr:uid="{00000000-0005-0000-0000-0000D7310000}"/>
    <cellStyle name="요약 2 5 3 5" xfId="11903" xr:uid="{00000000-0005-0000-0000-0000D8310000}"/>
    <cellStyle name="요약 2 6" xfId="11904" xr:uid="{00000000-0005-0000-0000-0000D9310000}"/>
    <cellStyle name="요약 2 6 2" xfId="11905" xr:uid="{00000000-0005-0000-0000-0000DA310000}"/>
    <cellStyle name="요약 2 6 2 2" xfId="11906" xr:uid="{00000000-0005-0000-0000-0000DB310000}"/>
    <cellStyle name="요약 2 6 2 2 2" xfId="11907" xr:uid="{00000000-0005-0000-0000-0000DC310000}"/>
    <cellStyle name="요약 2 6 2 2 3" xfId="11908" xr:uid="{00000000-0005-0000-0000-0000DD310000}"/>
    <cellStyle name="요약 2 6 2 2 4" xfId="11909" xr:uid="{00000000-0005-0000-0000-0000DE310000}"/>
    <cellStyle name="요약 2 6 2 2 5" xfId="11910" xr:uid="{00000000-0005-0000-0000-0000DF310000}"/>
    <cellStyle name="요약 2 6 3" xfId="11911" xr:uid="{00000000-0005-0000-0000-0000E0310000}"/>
    <cellStyle name="요약 2 6 3 2" xfId="11912" xr:uid="{00000000-0005-0000-0000-0000E1310000}"/>
    <cellStyle name="요약 2 6 3 3" xfId="11913" xr:uid="{00000000-0005-0000-0000-0000E2310000}"/>
    <cellStyle name="요약 2 6 3 4" xfId="11914" xr:uid="{00000000-0005-0000-0000-0000E3310000}"/>
    <cellStyle name="요약 2 6 3 5" xfId="11915" xr:uid="{00000000-0005-0000-0000-0000E4310000}"/>
    <cellStyle name="요약 2 7" xfId="11916" xr:uid="{00000000-0005-0000-0000-0000E5310000}"/>
    <cellStyle name="요약 2 7 2" xfId="11917" xr:uid="{00000000-0005-0000-0000-0000E6310000}"/>
    <cellStyle name="요약 2 7 2 2" xfId="11918" xr:uid="{00000000-0005-0000-0000-0000E7310000}"/>
    <cellStyle name="요약 2 7 2 2 2" xfId="11919" xr:uid="{00000000-0005-0000-0000-0000E8310000}"/>
    <cellStyle name="요약 2 7 2 2 3" xfId="11920" xr:uid="{00000000-0005-0000-0000-0000E9310000}"/>
    <cellStyle name="요약 2 7 2 2 4" xfId="11921" xr:uid="{00000000-0005-0000-0000-0000EA310000}"/>
    <cellStyle name="요약 2 7 2 2 5" xfId="11922" xr:uid="{00000000-0005-0000-0000-0000EB310000}"/>
    <cellStyle name="요약 2 7 3" xfId="11923" xr:uid="{00000000-0005-0000-0000-0000EC310000}"/>
    <cellStyle name="요약 2 7 3 2" xfId="11924" xr:uid="{00000000-0005-0000-0000-0000ED310000}"/>
    <cellStyle name="요약 2 7 3 3" xfId="11925" xr:uid="{00000000-0005-0000-0000-0000EE310000}"/>
    <cellStyle name="요약 2 7 3 4" xfId="11926" xr:uid="{00000000-0005-0000-0000-0000EF310000}"/>
    <cellStyle name="요약 2 7 3 5" xfId="11927" xr:uid="{00000000-0005-0000-0000-0000F0310000}"/>
    <cellStyle name="요약 2 8" xfId="11928" xr:uid="{00000000-0005-0000-0000-0000F1310000}"/>
    <cellStyle name="요약 2 8 2" xfId="11929" xr:uid="{00000000-0005-0000-0000-0000F2310000}"/>
    <cellStyle name="요약 2 8 2 2" xfId="11930" xr:uid="{00000000-0005-0000-0000-0000F3310000}"/>
    <cellStyle name="요약 2 8 2 2 2" xfId="11931" xr:uid="{00000000-0005-0000-0000-0000F4310000}"/>
    <cellStyle name="요약 2 8 2 2 3" xfId="11932" xr:uid="{00000000-0005-0000-0000-0000F5310000}"/>
    <cellStyle name="요약 2 8 2 2 4" xfId="11933" xr:uid="{00000000-0005-0000-0000-0000F6310000}"/>
    <cellStyle name="요약 2 8 2 2 5" xfId="11934" xr:uid="{00000000-0005-0000-0000-0000F7310000}"/>
    <cellStyle name="요약 2 8 3" xfId="11935" xr:uid="{00000000-0005-0000-0000-0000F8310000}"/>
    <cellStyle name="요약 2 8 3 2" xfId="11936" xr:uid="{00000000-0005-0000-0000-0000F9310000}"/>
    <cellStyle name="요약 2 8 3 3" xfId="11937" xr:uid="{00000000-0005-0000-0000-0000FA310000}"/>
    <cellStyle name="요약 2 8 3 4" xfId="11938" xr:uid="{00000000-0005-0000-0000-0000FB310000}"/>
    <cellStyle name="요약 2 8 3 5" xfId="11939" xr:uid="{00000000-0005-0000-0000-0000FC310000}"/>
    <cellStyle name="요약 2 9" xfId="11940" xr:uid="{00000000-0005-0000-0000-0000FD310000}"/>
    <cellStyle name="요약 2 9 2" xfId="11941" xr:uid="{00000000-0005-0000-0000-0000FE310000}"/>
    <cellStyle name="요약 2 9 2 2" xfId="11942" xr:uid="{00000000-0005-0000-0000-0000FF310000}"/>
    <cellStyle name="요약 2 9 2 2 2" xfId="11943" xr:uid="{00000000-0005-0000-0000-000000320000}"/>
    <cellStyle name="요약 2 9 2 2 3" xfId="11944" xr:uid="{00000000-0005-0000-0000-000001320000}"/>
    <cellStyle name="요약 2 9 2 2 4" xfId="11945" xr:uid="{00000000-0005-0000-0000-000002320000}"/>
    <cellStyle name="요약 2 9 2 2 5" xfId="11946" xr:uid="{00000000-0005-0000-0000-000003320000}"/>
    <cellStyle name="요약 2 9 3" xfId="11947" xr:uid="{00000000-0005-0000-0000-000004320000}"/>
    <cellStyle name="요약 2 9 3 2" xfId="11948" xr:uid="{00000000-0005-0000-0000-000005320000}"/>
    <cellStyle name="요약 2 9 3 3" xfId="11949" xr:uid="{00000000-0005-0000-0000-000006320000}"/>
    <cellStyle name="요약 2 9 3 4" xfId="11950" xr:uid="{00000000-0005-0000-0000-000007320000}"/>
    <cellStyle name="요약 2 9 3 5" xfId="11951" xr:uid="{00000000-0005-0000-0000-000008320000}"/>
    <cellStyle name="요약 3" xfId="11952" xr:uid="{00000000-0005-0000-0000-000009320000}"/>
    <cellStyle name="요약 3 10" xfId="11953" xr:uid="{00000000-0005-0000-0000-00000A320000}"/>
    <cellStyle name="요약 3 10 2" xfId="11954" xr:uid="{00000000-0005-0000-0000-00000B320000}"/>
    <cellStyle name="요약 3 10 2 2" xfId="11955" xr:uid="{00000000-0005-0000-0000-00000C320000}"/>
    <cellStyle name="요약 3 10 2 3" xfId="11956" xr:uid="{00000000-0005-0000-0000-00000D320000}"/>
    <cellStyle name="요약 3 10 2 4" xfId="11957" xr:uid="{00000000-0005-0000-0000-00000E320000}"/>
    <cellStyle name="요약 3 10 2 5" xfId="11958" xr:uid="{00000000-0005-0000-0000-00000F320000}"/>
    <cellStyle name="요약 3 11" xfId="11959" xr:uid="{00000000-0005-0000-0000-000010320000}"/>
    <cellStyle name="요약 3 11 2" xfId="11960" xr:uid="{00000000-0005-0000-0000-000011320000}"/>
    <cellStyle name="요약 3 11 3" xfId="11961" xr:uid="{00000000-0005-0000-0000-000012320000}"/>
    <cellStyle name="요약 3 11 4" xfId="11962" xr:uid="{00000000-0005-0000-0000-000013320000}"/>
    <cellStyle name="요약 3 11 5" xfId="11963" xr:uid="{00000000-0005-0000-0000-000014320000}"/>
    <cellStyle name="요약 3 2" xfId="11964" xr:uid="{00000000-0005-0000-0000-000015320000}"/>
    <cellStyle name="요약 3 2 2" xfId="11965" xr:uid="{00000000-0005-0000-0000-000016320000}"/>
    <cellStyle name="요약 3 2 2 2" xfId="11966" xr:uid="{00000000-0005-0000-0000-000017320000}"/>
    <cellStyle name="요약 3 2 2 2 2" xfId="11967" xr:uid="{00000000-0005-0000-0000-000018320000}"/>
    <cellStyle name="요약 3 2 2 2 3" xfId="11968" xr:uid="{00000000-0005-0000-0000-000019320000}"/>
    <cellStyle name="요약 3 2 2 2 4" xfId="11969" xr:uid="{00000000-0005-0000-0000-00001A320000}"/>
    <cellStyle name="요약 3 2 2 2 5" xfId="11970" xr:uid="{00000000-0005-0000-0000-00001B320000}"/>
    <cellStyle name="요약 3 2 3" xfId="11971" xr:uid="{00000000-0005-0000-0000-00001C320000}"/>
    <cellStyle name="요약 3 2 3 2" xfId="11972" xr:uid="{00000000-0005-0000-0000-00001D320000}"/>
    <cellStyle name="요약 3 2 3 3" xfId="11973" xr:uid="{00000000-0005-0000-0000-00001E320000}"/>
    <cellStyle name="요약 3 2 3 4" xfId="11974" xr:uid="{00000000-0005-0000-0000-00001F320000}"/>
    <cellStyle name="요약 3 2 3 5" xfId="11975" xr:uid="{00000000-0005-0000-0000-000020320000}"/>
    <cellStyle name="요약 3 3" xfId="11976" xr:uid="{00000000-0005-0000-0000-000021320000}"/>
    <cellStyle name="요약 3 3 2" xfId="11977" xr:uid="{00000000-0005-0000-0000-000022320000}"/>
    <cellStyle name="요약 3 3 2 2" xfId="11978" xr:uid="{00000000-0005-0000-0000-000023320000}"/>
    <cellStyle name="요약 3 3 2 2 2" xfId="11979" xr:uid="{00000000-0005-0000-0000-000024320000}"/>
    <cellStyle name="요약 3 3 2 2 3" xfId="11980" xr:uid="{00000000-0005-0000-0000-000025320000}"/>
    <cellStyle name="요약 3 3 2 2 4" xfId="11981" xr:uid="{00000000-0005-0000-0000-000026320000}"/>
    <cellStyle name="요약 3 3 2 2 5" xfId="11982" xr:uid="{00000000-0005-0000-0000-000027320000}"/>
    <cellStyle name="요약 3 3 3" xfId="11983" xr:uid="{00000000-0005-0000-0000-000028320000}"/>
    <cellStyle name="요약 3 3 3 2" xfId="11984" xr:uid="{00000000-0005-0000-0000-000029320000}"/>
    <cellStyle name="요약 3 3 3 3" xfId="11985" xr:uid="{00000000-0005-0000-0000-00002A320000}"/>
    <cellStyle name="요약 3 3 3 4" xfId="11986" xr:uid="{00000000-0005-0000-0000-00002B320000}"/>
    <cellStyle name="요약 3 3 3 5" xfId="11987" xr:uid="{00000000-0005-0000-0000-00002C320000}"/>
    <cellStyle name="요약 3 4" xfId="11988" xr:uid="{00000000-0005-0000-0000-00002D320000}"/>
    <cellStyle name="요약 3 4 2" xfId="11989" xr:uid="{00000000-0005-0000-0000-00002E320000}"/>
    <cellStyle name="요약 3 4 2 2" xfId="11990" xr:uid="{00000000-0005-0000-0000-00002F320000}"/>
    <cellStyle name="요약 3 4 2 2 2" xfId="11991" xr:uid="{00000000-0005-0000-0000-000030320000}"/>
    <cellStyle name="요약 3 4 2 2 3" xfId="11992" xr:uid="{00000000-0005-0000-0000-000031320000}"/>
    <cellStyle name="요약 3 4 2 2 4" xfId="11993" xr:uid="{00000000-0005-0000-0000-000032320000}"/>
    <cellStyle name="요약 3 4 2 2 5" xfId="11994" xr:uid="{00000000-0005-0000-0000-000033320000}"/>
    <cellStyle name="요약 3 4 3" xfId="11995" xr:uid="{00000000-0005-0000-0000-000034320000}"/>
    <cellStyle name="요약 3 4 3 2" xfId="11996" xr:uid="{00000000-0005-0000-0000-000035320000}"/>
    <cellStyle name="요약 3 4 3 3" xfId="11997" xr:uid="{00000000-0005-0000-0000-000036320000}"/>
    <cellStyle name="요약 3 4 3 4" xfId="11998" xr:uid="{00000000-0005-0000-0000-000037320000}"/>
    <cellStyle name="요약 3 4 3 5" xfId="11999" xr:uid="{00000000-0005-0000-0000-000038320000}"/>
    <cellStyle name="요약 3 5" xfId="12000" xr:uid="{00000000-0005-0000-0000-000039320000}"/>
    <cellStyle name="요약 3 5 2" xfId="12001" xr:uid="{00000000-0005-0000-0000-00003A320000}"/>
    <cellStyle name="요약 3 5 2 2" xfId="12002" xr:uid="{00000000-0005-0000-0000-00003B320000}"/>
    <cellStyle name="요약 3 5 2 2 2" xfId="12003" xr:uid="{00000000-0005-0000-0000-00003C320000}"/>
    <cellStyle name="요약 3 5 2 2 3" xfId="12004" xr:uid="{00000000-0005-0000-0000-00003D320000}"/>
    <cellStyle name="요약 3 5 2 2 4" xfId="12005" xr:uid="{00000000-0005-0000-0000-00003E320000}"/>
    <cellStyle name="요약 3 5 2 2 5" xfId="12006" xr:uid="{00000000-0005-0000-0000-00003F320000}"/>
    <cellStyle name="요약 3 5 3" xfId="12007" xr:uid="{00000000-0005-0000-0000-000040320000}"/>
    <cellStyle name="요약 3 5 3 2" xfId="12008" xr:uid="{00000000-0005-0000-0000-000041320000}"/>
    <cellStyle name="요약 3 5 3 3" xfId="12009" xr:uid="{00000000-0005-0000-0000-000042320000}"/>
    <cellStyle name="요약 3 5 3 4" xfId="12010" xr:uid="{00000000-0005-0000-0000-000043320000}"/>
    <cellStyle name="요약 3 5 3 5" xfId="12011" xr:uid="{00000000-0005-0000-0000-000044320000}"/>
    <cellStyle name="요약 3 6" xfId="12012" xr:uid="{00000000-0005-0000-0000-000045320000}"/>
    <cellStyle name="요약 3 6 2" xfId="12013" xr:uid="{00000000-0005-0000-0000-000046320000}"/>
    <cellStyle name="요약 3 6 2 2" xfId="12014" xr:uid="{00000000-0005-0000-0000-000047320000}"/>
    <cellStyle name="요약 3 6 2 2 2" xfId="12015" xr:uid="{00000000-0005-0000-0000-000048320000}"/>
    <cellStyle name="요약 3 6 2 2 3" xfId="12016" xr:uid="{00000000-0005-0000-0000-000049320000}"/>
    <cellStyle name="요약 3 6 2 2 4" xfId="12017" xr:uid="{00000000-0005-0000-0000-00004A320000}"/>
    <cellStyle name="요약 3 6 2 2 5" xfId="12018" xr:uid="{00000000-0005-0000-0000-00004B320000}"/>
    <cellStyle name="요약 3 6 3" xfId="12019" xr:uid="{00000000-0005-0000-0000-00004C320000}"/>
    <cellStyle name="요약 3 6 3 2" xfId="12020" xr:uid="{00000000-0005-0000-0000-00004D320000}"/>
    <cellStyle name="요약 3 6 3 3" xfId="12021" xr:uid="{00000000-0005-0000-0000-00004E320000}"/>
    <cellStyle name="요약 3 6 3 4" xfId="12022" xr:uid="{00000000-0005-0000-0000-00004F320000}"/>
    <cellStyle name="요약 3 6 3 5" xfId="12023" xr:uid="{00000000-0005-0000-0000-000050320000}"/>
    <cellStyle name="요약 3 7" xfId="12024" xr:uid="{00000000-0005-0000-0000-000051320000}"/>
    <cellStyle name="요약 3 7 2" xfId="12025" xr:uid="{00000000-0005-0000-0000-000052320000}"/>
    <cellStyle name="요약 3 7 2 2" xfId="12026" xr:uid="{00000000-0005-0000-0000-000053320000}"/>
    <cellStyle name="요약 3 7 2 2 2" xfId="12027" xr:uid="{00000000-0005-0000-0000-000054320000}"/>
    <cellStyle name="요약 3 7 2 2 3" xfId="12028" xr:uid="{00000000-0005-0000-0000-000055320000}"/>
    <cellStyle name="요약 3 7 2 2 4" xfId="12029" xr:uid="{00000000-0005-0000-0000-000056320000}"/>
    <cellStyle name="요약 3 7 2 2 5" xfId="12030" xr:uid="{00000000-0005-0000-0000-000057320000}"/>
    <cellStyle name="요약 3 7 3" xfId="12031" xr:uid="{00000000-0005-0000-0000-000058320000}"/>
    <cellStyle name="요약 3 7 3 2" xfId="12032" xr:uid="{00000000-0005-0000-0000-000059320000}"/>
    <cellStyle name="요약 3 7 3 3" xfId="12033" xr:uid="{00000000-0005-0000-0000-00005A320000}"/>
    <cellStyle name="요약 3 7 3 4" xfId="12034" xr:uid="{00000000-0005-0000-0000-00005B320000}"/>
    <cellStyle name="요약 3 7 3 5" xfId="12035" xr:uid="{00000000-0005-0000-0000-00005C320000}"/>
    <cellStyle name="요약 3 8" xfId="12036" xr:uid="{00000000-0005-0000-0000-00005D320000}"/>
    <cellStyle name="요약 3 8 2" xfId="12037" xr:uid="{00000000-0005-0000-0000-00005E320000}"/>
    <cellStyle name="요약 3 8 2 2" xfId="12038" xr:uid="{00000000-0005-0000-0000-00005F320000}"/>
    <cellStyle name="요약 3 8 2 2 2" xfId="12039" xr:uid="{00000000-0005-0000-0000-000060320000}"/>
    <cellStyle name="요약 3 8 2 2 3" xfId="12040" xr:uid="{00000000-0005-0000-0000-000061320000}"/>
    <cellStyle name="요약 3 8 2 2 4" xfId="12041" xr:uid="{00000000-0005-0000-0000-000062320000}"/>
    <cellStyle name="요약 3 8 2 2 5" xfId="12042" xr:uid="{00000000-0005-0000-0000-000063320000}"/>
    <cellStyle name="요약 3 8 3" xfId="12043" xr:uid="{00000000-0005-0000-0000-000064320000}"/>
    <cellStyle name="요약 3 8 3 2" xfId="12044" xr:uid="{00000000-0005-0000-0000-000065320000}"/>
    <cellStyle name="요약 3 8 3 3" xfId="12045" xr:uid="{00000000-0005-0000-0000-000066320000}"/>
    <cellStyle name="요약 3 8 3 4" xfId="12046" xr:uid="{00000000-0005-0000-0000-000067320000}"/>
    <cellStyle name="요약 3 8 3 5" xfId="12047" xr:uid="{00000000-0005-0000-0000-000068320000}"/>
    <cellStyle name="요약 3 9" xfId="12048" xr:uid="{00000000-0005-0000-0000-000069320000}"/>
    <cellStyle name="요약 3 9 2" xfId="12049" xr:uid="{00000000-0005-0000-0000-00006A320000}"/>
    <cellStyle name="요약 3 9 2 2" xfId="12050" xr:uid="{00000000-0005-0000-0000-00006B320000}"/>
    <cellStyle name="요약 3 9 2 2 2" xfId="12051" xr:uid="{00000000-0005-0000-0000-00006C320000}"/>
    <cellStyle name="요약 3 9 2 2 3" xfId="12052" xr:uid="{00000000-0005-0000-0000-00006D320000}"/>
    <cellStyle name="요약 3 9 2 2 4" xfId="12053" xr:uid="{00000000-0005-0000-0000-00006E320000}"/>
    <cellStyle name="요약 3 9 2 2 5" xfId="12054" xr:uid="{00000000-0005-0000-0000-00006F320000}"/>
    <cellStyle name="요약 3 9 3" xfId="12055" xr:uid="{00000000-0005-0000-0000-000070320000}"/>
    <cellStyle name="요약 3 9 3 2" xfId="12056" xr:uid="{00000000-0005-0000-0000-000071320000}"/>
    <cellStyle name="요약 3 9 3 3" xfId="12057" xr:uid="{00000000-0005-0000-0000-000072320000}"/>
    <cellStyle name="요약 3 9 3 4" xfId="12058" xr:uid="{00000000-0005-0000-0000-000073320000}"/>
    <cellStyle name="요약 3 9 3 5" xfId="12059" xr:uid="{00000000-0005-0000-0000-000074320000}"/>
    <cellStyle name="요약 4" xfId="12060" xr:uid="{00000000-0005-0000-0000-000075320000}"/>
    <cellStyle name="요약 4 10" xfId="12061" xr:uid="{00000000-0005-0000-0000-000076320000}"/>
    <cellStyle name="요약 4 10 2" xfId="12062" xr:uid="{00000000-0005-0000-0000-000077320000}"/>
    <cellStyle name="요약 4 10 2 2" xfId="12063" xr:uid="{00000000-0005-0000-0000-000078320000}"/>
    <cellStyle name="요약 4 10 2 3" xfId="12064" xr:uid="{00000000-0005-0000-0000-000079320000}"/>
    <cellStyle name="요약 4 10 2 4" xfId="12065" xr:uid="{00000000-0005-0000-0000-00007A320000}"/>
    <cellStyle name="요약 4 10 2 5" xfId="12066" xr:uid="{00000000-0005-0000-0000-00007B320000}"/>
    <cellStyle name="요약 4 11" xfId="12067" xr:uid="{00000000-0005-0000-0000-00007C320000}"/>
    <cellStyle name="요약 4 11 2" xfId="12068" xr:uid="{00000000-0005-0000-0000-00007D320000}"/>
    <cellStyle name="요약 4 11 3" xfId="12069" xr:uid="{00000000-0005-0000-0000-00007E320000}"/>
    <cellStyle name="요약 4 11 4" xfId="12070" xr:uid="{00000000-0005-0000-0000-00007F320000}"/>
    <cellStyle name="요약 4 11 5" xfId="12071" xr:uid="{00000000-0005-0000-0000-000080320000}"/>
    <cellStyle name="요약 4 2" xfId="12072" xr:uid="{00000000-0005-0000-0000-000081320000}"/>
    <cellStyle name="요약 4 2 2" xfId="12073" xr:uid="{00000000-0005-0000-0000-000082320000}"/>
    <cellStyle name="요약 4 2 2 2" xfId="12074" xr:uid="{00000000-0005-0000-0000-000083320000}"/>
    <cellStyle name="요약 4 2 2 2 2" xfId="12075" xr:uid="{00000000-0005-0000-0000-000084320000}"/>
    <cellStyle name="요약 4 2 2 2 3" xfId="12076" xr:uid="{00000000-0005-0000-0000-000085320000}"/>
    <cellStyle name="요약 4 2 2 2 4" xfId="12077" xr:uid="{00000000-0005-0000-0000-000086320000}"/>
    <cellStyle name="요약 4 2 2 2 5" xfId="12078" xr:uid="{00000000-0005-0000-0000-000087320000}"/>
    <cellStyle name="요약 4 2 3" xfId="12079" xr:uid="{00000000-0005-0000-0000-000088320000}"/>
    <cellStyle name="요약 4 2 3 2" xfId="12080" xr:uid="{00000000-0005-0000-0000-000089320000}"/>
    <cellStyle name="요약 4 2 3 3" xfId="12081" xr:uid="{00000000-0005-0000-0000-00008A320000}"/>
    <cellStyle name="요약 4 2 3 4" xfId="12082" xr:uid="{00000000-0005-0000-0000-00008B320000}"/>
    <cellStyle name="요약 4 2 3 5" xfId="12083" xr:uid="{00000000-0005-0000-0000-00008C320000}"/>
    <cellStyle name="요약 4 3" xfId="12084" xr:uid="{00000000-0005-0000-0000-00008D320000}"/>
    <cellStyle name="요약 4 3 2" xfId="12085" xr:uid="{00000000-0005-0000-0000-00008E320000}"/>
    <cellStyle name="요약 4 3 2 2" xfId="12086" xr:uid="{00000000-0005-0000-0000-00008F320000}"/>
    <cellStyle name="요약 4 3 2 2 2" xfId="12087" xr:uid="{00000000-0005-0000-0000-000090320000}"/>
    <cellStyle name="요약 4 3 2 2 3" xfId="12088" xr:uid="{00000000-0005-0000-0000-000091320000}"/>
    <cellStyle name="요약 4 3 2 2 4" xfId="12089" xr:uid="{00000000-0005-0000-0000-000092320000}"/>
    <cellStyle name="요약 4 3 2 2 5" xfId="12090" xr:uid="{00000000-0005-0000-0000-000093320000}"/>
    <cellStyle name="요약 4 3 3" xfId="12091" xr:uid="{00000000-0005-0000-0000-000094320000}"/>
    <cellStyle name="요약 4 3 3 2" xfId="12092" xr:uid="{00000000-0005-0000-0000-000095320000}"/>
    <cellStyle name="요약 4 3 3 3" xfId="12093" xr:uid="{00000000-0005-0000-0000-000096320000}"/>
    <cellStyle name="요약 4 3 3 4" xfId="12094" xr:uid="{00000000-0005-0000-0000-000097320000}"/>
    <cellStyle name="요약 4 3 3 5" xfId="12095" xr:uid="{00000000-0005-0000-0000-000098320000}"/>
    <cellStyle name="요약 4 4" xfId="12096" xr:uid="{00000000-0005-0000-0000-000099320000}"/>
    <cellStyle name="요약 4 4 2" xfId="12097" xr:uid="{00000000-0005-0000-0000-00009A320000}"/>
    <cellStyle name="요약 4 4 2 2" xfId="12098" xr:uid="{00000000-0005-0000-0000-00009B320000}"/>
    <cellStyle name="요약 4 4 2 2 2" xfId="12099" xr:uid="{00000000-0005-0000-0000-00009C320000}"/>
    <cellStyle name="요약 4 4 2 2 3" xfId="12100" xr:uid="{00000000-0005-0000-0000-00009D320000}"/>
    <cellStyle name="요약 4 4 2 2 4" xfId="12101" xr:uid="{00000000-0005-0000-0000-00009E320000}"/>
    <cellStyle name="요약 4 4 2 2 5" xfId="12102" xr:uid="{00000000-0005-0000-0000-00009F320000}"/>
    <cellStyle name="요약 4 4 3" xfId="12103" xr:uid="{00000000-0005-0000-0000-0000A0320000}"/>
    <cellStyle name="요약 4 4 3 2" xfId="12104" xr:uid="{00000000-0005-0000-0000-0000A1320000}"/>
    <cellStyle name="요약 4 4 3 3" xfId="12105" xr:uid="{00000000-0005-0000-0000-0000A2320000}"/>
    <cellStyle name="요약 4 4 3 4" xfId="12106" xr:uid="{00000000-0005-0000-0000-0000A3320000}"/>
    <cellStyle name="요약 4 4 3 5" xfId="12107" xr:uid="{00000000-0005-0000-0000-0000A4320000}"/>
    <cellStyle name="요약 4 5" xfId="12108" xr:uid="{00000000-0005-0000-0000-0000A5320000}"/>
    <cellStyle name="요약 4 5 2" xfId="12109" xr:uid="{00000000-0005-0000-0000-0000A6320000}"/>
    <cellStyle name="요약 4 5 2 2" xfId="12110" xr:uid="{00000000-0005-0000-0000-0000A7320000}"/>
    <cellStyle name="요약 4 5 2 2 2" xfId="12111" xr:uid="{00000000-0005-0000-0000-0000A8320000}"/>
    <cellStyle name="요약 4 5 2 2 3" xfId="12112" xr:uid="{00000000-0005-0000-0000-0000A9320000}"/>
    <cellStyle name="요약 4 5 2 2 4" xfId="12113" xr:uid="{00000000-0005-0000-0000-0000AA320000}"/>
    <cellStyle name="요약 4 5 2 2 5" xfId="12114" xr:uid="{00000000-0005-0000-0000-0000AB320000}"/>
    <cellStyle name="요약 4 5 3" xfId="12115" xr:uid="{00000000-0005-0000-0000-0000AC320000}"/>
    <cellStyle name="요약 4 5 3 2" xfId="12116" xr:uid="{00000000-0005-0000-0000-0000AD320000}"/>
    <cellStyle name="요약 4 5 3 3" xfId="12117" xr:uid="{00000000-0005-0000-0000-0000AE320000}"/>
    <cellStyle name="요약 4 5 3 4" xfId="12118" xr:uid="{00000000-0005-0000-0000-0000AF320000}"/>
    <cellStyle name="요약 4 5 3 5" xfId="12119" xr:uid="{00000000-0005-0000-0000-0000B0320000}"/>
    <cellStyle name="요약 4 6" xfId="12120" xr:uid="{00000000-0005-0000-0000-0000B1320000}"/>
    <cellStyle name="요약 4 6 2" xfId="12121" xr:uid="{00000000-0005-0000-0000-0000B2320000}"/>
    <cellStyle name="요약 4 6 2 2" xfId="12122" xr:uid="{00000000-0005-0000-0000-0000B3320000}"/>
    <cellStyle name="요약 4 6 2 2 2" xfId="12123" xr:uid="{00000000-0005-0000-0000-0000B4320000}"/>
    <cellStyle name="요약 4 6 2 2 3" xfId="12124" xr:uid="{00000000-0005-0000-0000-0000B5320000}"/>
    <cellStyle name="요약 4 6 2 2 4" xfId="12125" xr:uid="{00000000-0005-0000-0000-0000B6320000}"/>
    <cellStyle name="요약 4 6 2 2 5" xfId="12126" xr:uid="{00000000-0005-0000-0000-0000B7320000}"/>
    <cellStyle name="요약 4 6 3" xfId="12127" xr:uid="{00000000-0005-0000-0000-0000B8320000}"/>
    <cellStyle name="요약 4 6 3 2" xfId="12128" xr:uid="{00000000-0005-0000-0000-0000B9320000}"/>
    <cellStyle name="요약 4 6 3 3" xfId="12129" xr:uid="{00000000-0005-0000-0000-0000BA320000}"/>
    <cellStyle name="요약 4 6 3 4" xfId="12130" xr:uid="{00000000-0005-0000-0000-0000BB320000}"/>
    <cellStyle name="요약 4 6 3 5" xfId="12131" xr:uid="{00000000-0005-0000-0000-0000BC320000}"/>
    <cellStyle name="요약 4 7" xfId="12132" xr:uid="{00000000-0005-0000-0000-0000BD320000}"/>
    <cellStyle name="요약 4 7 2" xfId="12133" xr:uid="{00000000-0005-0000-0000-0000BE320000}"/>
    <cellStyle name="요약 4 7 2 2" xfId="12134" xr:uid="{00000000-0005-0000-0000-0000BF320000}"/>
    <cellStyle name="요약 4 7 2 2 2" xfId="12135" xr:uid="{00000000-0005-0000-0000-0000C0320000}"/>
    <cellStyle name="요약 4 7 2 2 3" xfId="12136" xr:uid="{00000000-0005-0000-0000-0000C1320000}"/>
    <cellStyle name="요약 4 7 2 2 4" xfId="12137" xr:uid="{00000000-0005-0000-0000-0000C2320000}"/>
    <cellStyle name="요약 4 7 2 2 5" xfId="12138" xr:uid="{00000000-0005-0000-0000-0000C3320000}"/>
    <cellStyle name="요약 4 7 3" xfId="12139" xr:uid="{00000000-0005-0000-0000-0000C4320000}"/>
    <cellStyle name="요약 4 7 3 2" xfId="12140" xr:uid="{00000000-0005-0000-0000-0000C5320000}"/>
    <cellStyle name="요약 4 7 3 3" xfId="12141" xr:uid="{00000000-0005-0000-0000-0000C6320000}"/>
    <cellStyle name="요약 4 7 3 4" xfId="12142" xr:uid="{00000000-0005-0000-0000-0000C7320000}"/>
    <cellStyle name="요약 4 7 3 5" xfId="12143" xr:uid="{00000000-0005-0000-0000-0000C8320000}"/>
    <cellStyle name="요약 4 8" xfId="12144" xr:uid="{00000000-0005-0000-0000-0000C9320000}"/>
    <cellStyle name="요약 4 8 2" xfId="12145" xr:uid="{00000000-0005-0000-0000-0000CA320000}"/>
    <cellStyle name="요약 4 8 2 2" xfId="12146" xr:uid="{00000000-0005-0000-0000-0000CB320000}"/>
    <cellStyle name="요약 4 8 2 2 2" xfId="12147" xr:uid="{00000000-0005-0000-0000-0000CC320000}"/>
    <cellStyle name="요약 4 8 2 2 3" xfId="12148" xr:uid="{00000000-0005-0000-0000-0000CD320000}"/>
    <cellStyle name="요약 4 8 2 2 4" xfId="12149" xr:uid="{00000000-0005-0000-0000-0000CE320000}"/>
    <cellStyle name="요약 4 8 2 2 5" xfId="12150" xr:uid="{00000000-0005-0000-0000-0000CF320000}"/>
    <cellStyle name="요약 4 8 3" xfId="12151" xr:uid="{00000000-0005-0000-0000-0000D0320000}"/>
    <cellStyle name="요약 4 8 3 2" xfId="12152" xr:uid="{00000000-0005-0000-0000-0000D1320000}"/>
    <cellStyle name="요약 4 8 3 3" xfId="12153" xr:uid="{00000000-0005-0000-0000-0000D2320000}"/>
    <cellStyle name="요약 4 8 3 4" xfId="12154" xr:uid="{00000000-0005-0000-0000-0000D3320000}"/>
    <cellStyle name="요약 4 8 3 5" xfId="12155" xr:uid="{00000000-0005-0000-0000-0000D4320000}"/>
    <cellStyle name="요약 4 9" xfId="12156" xr:uid="{00000000-0005-0000-0000-0000D5320000}"/>
    <cellStyle name="요약 4 9 2" xfId="12157" xr:uid="{00000000-0005-0000-0000-0000D6320000}"/>
    <cellStyle name="요약 4 9 2 2" xfId="12158" xr:uid="{00000000-0005-0000-0000-0000D7320000}"/>
    <cellStyle name="요약 4 9 2 2 2" xfId="12159" xr:uid="{00000000-0005-0000-0000-0000D8320000}"/>
    <cellStyle name="요약 4 9 2 2 3" xfId="12160" xr:uid="{00000000-0005-0000-0000-0000D9320000}"/>
    <cellStyle name="요약 4 9 2 2 4" xfId="12161" xr:uid="{00000000-0005-0000-0000-0000DA320000}"/>
    <cellStyle name="요약 4 9 2 2 5" xfId="12162" xr:uid="{00000000-0005-0000-0000-0000DB320000}"/>
    <cellStyle name="요약 4 9 3" xfId="12163" xr:uid="{00000000-0005-0000-0000-0000DC320000}"/>
    <cellStyle name="요약 4 9 3 2" xfId="12164" xr:uid="{00000000-0005-0000-0000-0000DD320000}"/>
    <cellStyle name="요약 4 9 3 3" xfId="12165" xr:uid="{00000000-0005-0000-0000-0000DE320000}"/>
    <cellStyle name="요약 4 9 3 4" xfId="12166" xr:uid="{00000000-0005-0000-0000-0000DF320000}"/>
    <cellStyle name="요약 4 9 3 5" xfId="12167" xr:uid="{00000000-0005-0000-0000-0000E0320000}"/>
    <cellStyle name="요약 5" xfId="12168" xr:uid="{00000000-0005-0000-0000-0000E1320000}"/>
    <cellStyle name="요약 5 10" xfId="12169" xr:uid="{00000000-0005-0000-0000-0000E2320000}"/>
    <cellStyle name="요약 5 10 2" xfId="12170" xr:uid="{00000000-0005-0000-0000-0000E3320000}"/>
    <cellStyle name="요약 5 10 2 2" xfId="12171" xr:uid="{00000000-0005-0000-0000-0000E4320000}"/>
    <cellStyle name="요약 5 10 2 3" xfId="12172" xr:uid="{00000000-0005-0000-0000-0000E5320000}"/>
    <cellStyle name="요약 5 10 2 4" xfId="12173" xr:uid="{00000000-0005-0000-0000-0000E6320000}"/>
    <cellStyle name="요약 5 10 2 5" xfId="12174" xr:uid="{00000000-0005-0000-0000-0000E7320000}"/>
    <cellStyle name="요약 5 11" xfId="12175" xr:uid="{00000000-0005-0000-0000-0000E8320000}"/>
    <cellStyle name="요약 5 11 2" xfId="12176" xr:uid="{00000000-0005-0000-0000-0000E9320000}"/>
    <cellStyle name="요약 5 11 3" xfId="12177" xr:uid="{00000000-0005-0000-0000-0000EA320000}"/>
    <cellStyle name="요약 5 11 4" xfId="12178" xr:uid="{00000000-0005-0000-0000-0000EB320000}"/>
    <cellStyle name="요약 5 11 5" xfId="12179" xr:uid="{00000000-0005-0000-0000-0000EC320000}"/>
    <cellStyle name="요약 5 2" xfId="12180" xr:uid="{00000000-0005-0000-0000-0000ED320000}"/>
    <cellStyle name="요약 5 2 2" xfId="12181" xr:uid="{00000000-0005-0000-0000-0000EE320000}"/>
    <cellStyle name="요약 5 2 2 2" xfId="12182" xr:uid="{00000000-0005-0000-0000-0000EF320000}"/>
    <cellStyle name="요약 5 2 2 2 2" xfId="12183" xr:uid="{00000000-0005-0000-0000-0000F0320000}"/>
    <cellStyle name="요약 5 2 2 2 3" xfId="12184" xr:uid="{00000000-0005-0000-0000-0000F1320000}"/>
    <cellStyle name="요약 5 2 2 2 4" xfId="12185" xr:uid="{00000000-0005-0000-0000-0000F2320000}"/>
    <cellStyle name="요약 5 2 2 2 5" xfId="12186" xr:uid="{00000000-0005-0000-0000-0000F3320000}"/>
    <cellStyle name="요약 5 2 3" xfId="12187" xr:uid="{00000000-0005-0000-0000-0000F4320000}"/>
    <cellStyle name="요약 5 2 3 2" xfId="12188" xr:uid="{00000000-0005-0000-0000-0000F5320000}"/>
    <cellStyle name="요약 5 2 3 3" xfId="12189" xr:uid="{00000000-0005-0000-0000-0000F6320000}"/>
    <cellStyle name="요약 5 2 3 4" xfId="12190" xr:uid="{00000000-0005-0000-0000-0000F7320000}"/>
    <cellStyle name="요약 5 2 3 5" xfId="12191" xr:uid="{00000000-0005-0000-0000-0000F8320000}"/>
    <cellStyle name="요약 5 3" xfId="12192" xr:uid="{00000000-0005-0000-0000-0000F9320000}"/>
    <cellStyle name="요약 5 3 2" xfId="12193" xr:uid="{00000000-0005-0000-0000-0000FA320000}"/>
    <cellStyle name="요약 5 3 2 2" xfId="12194" xr:uid="{00000000-0005-0000-0000-0000FB320000}"/>
    <cellStyle name="요약 5 3 2 2 2" xfId="12195" xr:uid="{00000000-0005-0000-0000-0000FC320000}"/>
    <cellStyle name="요약 5 3 2 2 3" xfId="12196" xr:uid="{00000000-0005-0000-0000-0000FD320000}"/>
    <cellStyle name="요약 5 3 2 2 4" xfId="12197" xr:uid="{00000000-0005-0000-0000-0000FE320000}"/>
    <cellStyle name="요약 5 3 2 2 5" xfId="12198" xr:uid="{00000000-0005-0000-0000-0000FF320000}"/>
    <cellStyle name="요약 5 3 3" xfId="12199" xr:uid="{00000000-0005-0000-0000-000000330000}"/>
    <cellStyle name="요약 5 3 3 2" xfId="12200" xr:uid="{00000000-0005-0000-0000-000001330000}"/>
    <cellStyle name="요약 5 3 3 3" xfId="12201" xr:uid="{00000000-0005-0000-0000-000002330000}"/>
    <cellStyle name="요약 5 3 3 4" xfId="12202" xr:uid="{00000000-0005-0000-0000-000003330000}"/>
    <cellStyle name="요약 5 3 3 5" xfId="12203" xr:uid="{00000000-0005-0000-0000-000004330000}"/>
    <cellStyle name="요약 5 4" xfId="12204" xr:uid="{00000000-0005-0000-0000-000005330000}"/>
    <cellStyle name="요약 5 4 2" xfId="12205" xr:uid="{00000000-0005-0000-0000-000006330000}"/>
    <cellStyle name="요약 5 4 2 2" xfId="12206" xr:uid="{00000000-0005-0000-0000-000007330000}"/>
    <cellStyle name="요약 5 4 2 2 2" xfId="12207" xr:uid="{00000000-0005-0000-0000-000008330000}"/>
    <cellStyle name="요약 5 4 2 2 3" xfId="12208" xr:uid="{00000000-0005-0000-0000-000009330000}"/>
    <cellStyle name="요약 5 4 2 2 4" xfId="12209" xr:uid="{00000000-0005-0000-0000-00000A330000}"/>
    <cellStyle name="요약 5 4 2 2 5" xfId="12210" xr:uid="{00000000-0005-0000-0000-00000B330000}"/>
    <cellStyle name="요약 5 4 3" xfId="12211" xr:uid="{00000000-0005-0000-0000-00000C330000}"/>
    <cellStyle name="요약 5 4 3 2" xfId="12212" xr:uid="{00000000-0005-0000-0000-00000D330000}"/>
    <cellStyle name="요약 5 4 3 3" xfId="12213" xr:uid="{00000000-0005-0000-0000-00000E330000}"/>
    <cellStyle name="요약 5 4 3 4" xfId="12214" xr:uid="{00000000-0005-0000-0000-00000F330000}"/>
    <cellStyle name="요약 5 4 3 5" xfId="12215" xr:uid="{00000000-0005-0000-0000-000010330000}"/>
    <cellStyle name="요약 5 5" xfId="12216" xr:uid="{00000000-0005-0000-0000-000011330000}"/>
    <cellStyle name="요약 5 5 2" xfId="12217" xr:uid="{00000000-0005-0000-0000-000012330000}"/>
    <cellStyle name="요약 5 5 2 2" xfId="12218" xr:uid="{00000000-0005-0000-0000-000013330000}"/>
    <cellStyle name="요약 5 5 2 2 2" xfId="12219" xr:uid="{00000000-0005-0000-0000-000014330000}"/>
    <cellStyle name="요약 5 5 2 2 3" xfId="12220" xr:uid="{00000000-0005-0000-0000-000015330000}"/>
    <cellStyle name="요약 5 5 2 2 4" xfId="12221" xr:uid="{00000000-0005-0000-0000-000016330000}"/>
    <cellStyle name="요약 5 5 2 2 5" xfId="12222" xr:uid="{00000000-0005-0000-0000-000017330000}"/>
    <cellStyle name="요약 5 5 3" xfId="12223" xr:uid="{00000000-0005-0000-0000-000018330000}"/>
    <cellStyle name="요약 5 5 3 2" xfId="12224" xr:uid="{00000000-0005-0000-0000-000019330000}"/>
    <cellStyle name="요약 5 5 3 3" xfId="12225" xr:uid="{00000000-0005-0000-0000-00001A330000}"/>
    <cellStyle name="요약 5 5 3 4" xfId="12226" xr:uid="{00000000-0005-0000-0000-00001B330000}"/>
    <cellStyle name="요약 5 5 3 5" xfId="12227" xr:uid="{00000000-0005-0000-0000-00001C330000}"/>
    <cellStyle name="요약 5 6" xfId="12228" xr:uid="{00000000-0005-0000-0000-00001D330000}"/>
    <cellStyle name="요약 5 6 2" xfId="12229" xr:uid="{00000000-0005-0000-0000-00001E330000}"/>
    <cellStyle name="요약 5 6 2 2" xfId="12230" xr:uid="{00000000-0005-0000-0000-00001F330000}"/>
    <cellStyle name="요약 5 6 2 2 2" xfId="12231" xr:uid="{00000000-0005-0000-0000-000020330000}"/>
    <cellStyle name="요약 5 6 2 2 3" xfId="12232" xr:uid="{00000000-0005-0000-0000-000021330000}"/>
    <cellStyle name="요약 5 6 2 2 4" xfId="12233" xr:uid="{00000000-0005-0000-0000-000022330000}"/>
    <cellStyle name="요약 5 6 2 2 5" xfId="12234" xr:uid="{00000000-0005-0000-0000-000023330000}"/>
    <cellStyle name="요약 5 6 3" xfId="12235" xr:uid="{00000000-0005-0000-0000-000024330000}"/>
    <cellStyle name="요약 5 6 3 2" xfId="12236" xr:uid="{00000000-0005-0000-0000-000025330000}"/>
    <cellStyle name="요약 5 6 3 3" xfId="12237" xr:uid="{00000000-0005-0000-0000-000026330000}"/>
    <cellStyle name="요약 5 6 3 4" xfId="12238" xr:uid="{00000000-0005-0000-0000-000027330000}"/>
    <cellStyle name="요약 5 6 3 5" xfId="12239" xr:uid="{00000000-0005-0000-0000-000028330000}"/>
    <cellStyle name="요약 5 7" xfId="12240" xr:uid="{00000000-0005-0000-0000-000029330000}"/>
    <cellStyle name="요약 5 7 2" xfId="12241" xr:uid="{00000000-0005-0000-0000-00002A330000}"/>
    <cellStyle name="요약 5 7 2 2" xfId="12242" xr:uid="{00000000-0005-0000-0000-00002B330000}"/>
    <cellStyle name="요약 5 7 2 2 2" xfId="12243" xr:uid="{00000000-0005-0000-0000-00002C330000}"/>
    <cellStyle name="요약 5 7 2 2 3" xfId="12244" xr:uid="{00000000-0005-0000-0000-00002D330000}"/>
    <cellStyle name="요약 5 7 2 2 4" xfId="12245" xr:uid="{00000000-0005-0000-0000-00002E330000}"/>
    <cellStyle name="요약 5 7 2 2 5" xfId="12246" xr:uid="{00000000-0005-0000-0000-00002F330000}"/>
    <cellStyle name="요약 5 7 3" xfId="12247" xr:uid="{00000000-0005-0000-0000-000030330000}"/>
    <cellStyle name="요약 5 7 3 2" xfId="12248" xr:uid="{00000000-0005-0000-0000-000031330000}"/>
    <cellStyle name="요약 5 7 3 3" xfId="12249" xr:uid="{00000000-0005-0000-0000-000032330000}"/>
    <cellStyle name="요약 5 7 3 4" xfId="12250" xr:uid="{00000000-0005-0000-0000-000033330000}"/>
    <cellStyle name="요약 5 7 3 5" xfId="12251" xr:uid="{00000000-0005-0000-0000-000034330000}"/>
    <cellStyle name="요약 5 8" xfId="12252" xr:uid="{00000000-0005-0000-0000-000035330000}"/>
    <cellStyle name="요약 5 8 2" xfId="12253" xr:uid="{00000000-0005-0000-0000-000036330000}"/>
    <cellStyle name="요약 5 8 2 2" xfId="12254" xr:uid="{00000000-0005-0000-0000-000037330000}"/>
    <cellStyle name="요약 5 8 2 2 2" xfId="12255" xr:uid="{00000000-0005-0000-0000-000038330000}"/>
    <cellStyle name="요약 5 8 2 2 3" xfId="12256" xr:uid="{00000000-0005-0000-0000-000039330000}"/>
    <cellStyle name="요약 5 8 2 2 4" xfId="12257" xr:uid="{00000000-0005-0000-0000-00003A330000}"/>
    <cellStyle name="요약 5 8 2 2 5" xfId="12258" xr:uid="{00000000-0005-0000-0000-00003B330000}"/>
    <cellStyle name="요약 5 8 3" xfId="12259" xr:uid="{00000000-0005-0000-0000-00003C330000}"/>
    <cellStyle name="요약 5 8 3 2" xfId="12260" xr:uid="{00000000-0005-0000-0000-00003D330000}"/>
    <cellStyle name="요약 5 8 3 3" xfId="12261" xr:uid="{00000000-0005-0000-0000-00003E330000}"/>
    <cellStyle name="요약 5 8 3 4" xfId="12262" xr:uid="{00000000-0005-0000-0000-00003F330000}"/>
    <cellStyle name="요약 5 8 3 5" xfId="12263" xr:uid="{00000000-0005-0000-0000-000040330000}"/>
    <cellStyle name="요약 5 9" xfId="12264" xr:uid="{00000000-0005-0000-0000-000041330000}"/>
    <cellStyle name="요약 5 9 2" xfId="12265" xr:uid="{00000000-0005-0000-0000-000042330000}"/>
    <cellStyle name="요약 5 9 2 2" xfId="12266" xr:uid="{00000000-0005-0000-0000-000043330000}"/>
    <cellStyle name="요약 5 9 2 2 2" xfId="12267" xr:uid="{00000000-0005-0000-0000-000044330000}"/>
    <cellStyle name="요약 5 9 2 2 3" xfId="12268" xr:uid="{00000000-0005-0000-0000-000045330000}"/>
    <cellStyle name="요약 5 9 2 2 4" xfId="12269" xr:uid="{00000000-0005-0000-0000-000046330000}"/>
    <cellStyle name="요약 5 9 2 2 5" xfId="12270" xr:uid="{00000000-0005-0000-0000-000047330000}"/>
    <cellStyle name="요약 5 9 3" xfId="12271" xr:uid="{00000000-0005-0000-0000-000048330000}"/>
    <cellStyle name="요약 5 9 3 2" xfId="12272" xr:uid="{00000000-0005-0000-0000-000049330000}"/>
    <cellStyle name="요약 5 9 3 3" xfId="12273" xr:uid="{00000000-0005-0000-0000-00004A330000}"/>
    <cellStyle name="요약 5 9 3 4" xfId="12274" xr:uid="{00000000-0005-0000-0000-00004B330000}"/>
    <cellStyle name="요약 5 9 3 5" xfId="12275" xr:uid="{00000000-0005-0000-0000-00004C330000}"/>
    <cellStyle name="요약 6" xfId="12276" xr:uid="{00000000-0005-0000-0000-00004D330000}"/>
    <cellStyle name="요약 6 10" xfId="12277" xr:uid="{00000000-0005-0000-0000-00004E330000}"/>
    <cellStyle name="요약 6 10 2" xfId="12278" xr:uid="{00000000-0005-0000-0000-00004F330000}"/>
    <cellStyle name="요약 6 10 2 2" xfId="12279" xr:uid="{00000000-0005-0000-0000-000050330000}"/>
    <cellStyle name="요약 6 10 2 3" xfId="12280" xr:uid="{00000000-0005-0000-0000-000051330000}"/>
    <cellStyle name="요약 6 10 2 4" xfId="12281" xr:uid="{00000000-0005-0000-0000-000052330000}"/>
    <cellStyle name="요약 6 10 2 5" xfId="12282" xr:uid="{00000000-0005-0000-0000-000053330000}"/>
    <cellStyle name="요약 6 11" xfId="12283" xr:uid="{00000000-0005-0000-0000-000054330000}"/>
    <cellStyle name="요약 6 11 2" xfId="12284" xr:uid="{00000000-0005-0000-0000-000055330000}"/>
    <cellStyle name="요약 6 11 3" xfId="12285" xr:uid="{00000000-0005-0000-0000-000056330000}"/>
    <cellStyle name="요약 6 11 4" xfId="12286" xr:uid="{00000000-0005-0000-0000-000057330000}"/>
    <cellStyle name="요약 6 11 5" xfId="12287" xr:uid="{00000000-0005-0000-0000-000058330000}"/>
    <cellStyle name="요약 6 2" xfId="12288" xr:uid="{00000000-0005-0000-0000-000059330000}"/>
    <cellStyle name="요약 6 2 2" xfId="12289" xr:uid="{00000000-0005-0000-0000-00005A330000}"/>
    <cellStyle name="요약 6 2 2 2" xfId="12290" xr:uid="{00000000-0005-0000-0000-00005B330000}"/>
    <cellStyle name="요약 6 2 2 2 2" xfId="12291" xr:uid="{00000000-0005-0000-0000-00005C330000}"/>
    <cellStyle name="요약 6 2 2 2 3" xfId="12292" xr:uid="{00000000-0005-0000-0000-00005D330000}"/>
    <cellStyle name="요약 6 2 2 2 4" xfId="12293" xr:uid="{00000000-0005-0000-0000-00005E330000}"/>
    <cellStyle name="요약 6 2 2 2 5" xfId="12294" xr:uid="{00000000-0005-0000-0000-00005F330000}"/>
    <cellStyle name="요약 6 2 3" xfId="12295" xr:uid="{00000000-0005-0000-0000-000060330000}"/>
    <cellStyle name="요약 6 2 3 2" xfId="12296" xr:uid="{00000000-0005-0000-0000-000061330000}"/>
    <cellStyle name="요약 6 2 3 3" xfId="12297" xr:uid="{00000000-0005-0000-0000-000062330000}"/>
    <cellStyle name="요약 6 2 3 4" xfId="12298" xr:uid="{00000000-0005-0000-0000-000063330000}"/>
    <cellStyle name="요약 6 2 3 5" xfId="12299" xr:uid="{00000000-0005-0000-0000-000064330000}"/>
    <cellStyle name="요약 6 3" xfId="12300" xr:uid="{00000000-0005-0000-0000-000065330000}"/>
    <cellStyle name="요약 6 3 2" xfId="12301" xr:uid="{00000000-0005-0000-0000-000066330000}"/>
    <cellStyle name="요약 6 3 2 2" xfId="12302" xr:uid="{00000000-0005-0000-0000-000067330000}"/>
    <cellStyle name="요약 6 3 2 2 2" xfId="12303" xr:uid="{00000000-0005-0000-0000-000068330000}"/>
    <cellStyle name="요약 6 3 2 2 3" xfId="12304" xr:uid="{00000000-0005-0000-0000-000069330000}"/>
    <cellStyle name="요약 6 3 2 2 4" xfId="12305" xr:uid="{00000000-0005-0000-0000-00006A330000}"/>
    <cellStyle name="요약 6 3 2 2 5" xfId="12306" xr:uid="{00000000-0005-0000-0000-00006B330000}"/>
    <cellStyle name="요약 6 3 3" xfId="12307" xr:uid="{00000000-0005-0000-0000-00006C330000}"/>
    <cellStyle name="요약 6 3 3 2" xfId="12308" xr:uid="{00000000-0005-0000-0000-00006D330000}"/>
    <cellStyle name="요약 6 3 3 3" xfId="12309" xr:uid="{00000000-0005-0000-0000-00006E330000}"/>
    <cellStyle name="요약 6 3 3 4" xfId="12310" xr:uid="{00000000-0005-0000-0000-00006F330000}"/>
    <cellStyle name="요약 6 3 3 5" xfId="12311" xr:uid="{00000000-0005-0000-0000-000070330000}"/>
    <cellStyle name="요약 6 4" xfId="12312" xr:uid="{00000000-0005-0000-0000-000071330000}"/>
    <cellStyle name="요약 6 4 2" xfId="12313" xr:uid="{00000000-0005-0000-0000-000072330000}"/>
    <cellStyle name="요약 6 4 2 2" xfId="12314" xr:uid="{00000000-0005-0000-0000-000073330000}"/>
    <cellStyle name="요약 6 4 2 2 2" xfId="12315" xr:uid="{00000000-0005-0000-0000-000074330000}"/>
    <cellStyle name="요약 6 4 2 2 3" xfId="12316" xr:uid="{00000000-0005-0000-0000-000075330000}"/>
    <cellStyle name="요약 6 4 2 2 4" xfId="12317" xr:uid="{00000000-0005-0000-0000-000076330000}"/>
    <cellStyle name="요약 6 4 2 2 5" xfId="12318" xr:uid="{00000000-0005-0000-0000-000077330000}"/>
    <cellStyle name="요약 6 4 3" xfId="12319" xr:uid="{00000000-0005-0000-0000-000078330000}"/>
    <cellStyle name="요약 6 4 3 2" xfId="12320" xr:uid="{00000000-0005-0000-0000-000079330000}"/>
    <cellStyle name="요약 6 4 3 3" xfId="12321" xr:uid="{00000000-0005-0000-0000-00007A330000}"/>
    <cellStyle name="요약 6 4 3 4" xfId="12322" xr:uid="{00000000-0005-0000-0000-00007B330000}"/>
    <cellStyle name="요약 6 4 3 5" xfId="12323" xr:uid="{00000000-0005-0000-0000-00007C330000}"/>
    <cellStyle name="요약 6 5" xfId="12324" xr:uid="{00000000-0005-0000-0000-00007D330000}"/>
    <cellStyle name="요약 6 5 2" xfId="12325" xr:uid="{00000000-0005-0000-0000-00007E330000}"/>
    <cellStyle name="요약 6 5 2 2" xfId="12326" xr:uid="{00000000-0005-0000-0000-00007F330000}"/>
    <cellStyle name="요약 6 5 2 2 2" xfId="12327" xr:uid="{00000000-0005-0000-0000-000080330000}"/>
    <cellStyle name="요약 6 5 2 2 3" xfId="12328" xr:uid="{00000000-0005-0000-0000-000081330000}"/>
    <cellStyle name="요약 6 5 2 2 4" xfId="12329" xr:uid="{00000000-0005-0000-0000-000082330000}"/>
    <cellStyle name="요약 6 5 2 2 5" xfId="12330" xr:uid="{00000000-0005-0000-0000-000083330000}"/>
    <cellStyle name="요약 6 5 3" xfId="12331" xr:uid="{00000000-0005-0000-0000-000084330000}"/>
    <cellStyle name="요약 6 5 3 2" xfId="12332" xr:uid="{00000000-0005-0000-0000-000085330000}"/>
    <cellStyle name="요약 6 5 3 3" xfId="12333" xr:uid="{00000000-0005-0000-0000-000086330000}"/>
    <cellStyle name="요약 6 5 3 4" xfId="12334" xr:uid="{00000000-0005-0000-0000-000087330000}"/>
    <cellStyle name="요약 6 5 3 5" xfId="12335" xr:uid="{00000000-0005-0000-0000-000088330000}"/>
    <cellStyle name="요약 6 6" xfId="12336" xr:uid="{00000000-0005-0000-0000-000089330000}"/>
    <cellStyle name="요약 6 6 2" xfId="12337" xr:uid="{00000000-0005-0000-0000-00008A330000}"/>
    <cellStyle name="요약 6 6 2 2" xfId="12338" xr:uid="{00000000-0005-0000-0000-00008B330000}"/>
    <cellStyle name="요약 6 6 2 2 2" xfId="12339" xr:uid="{00000000-0005-0000-0000-00008C330000}"/>
    <cellStyle name="요약 6 6 2 2 3" xfId="12340" xr:uid="{00000000-0005-0000-0000-00008D330000}"/>
    <cellStyle name="요약 6 6 2 2 4" xfId="12341" xr:uid="{00000000-0005-0000-0000-00008E330000}"/>
    <cellStyle name="요약 6 6 2 2 5" xfId="12342" xr:uid="{00000000-0005-0000-0000-00008F330000}"/>
    <cellStyle name="요약 6 6 3" xfId="12343" xr:uid="{00000000-0005-0000-0000-000090330000}"/>
    <cellStyle name="요약 6 6 3 2" xfId="12344" xr:uid="{00000000-0005-0000-0000-000091330000}"/>
    <cellStyle name="요약 6 6 3 3" xfId="12345" xr:uid="{00000000-0005-0000-0000-000092330000}"/>
    <cellStyle name="요약 6 6 3 4" xfId="12346" xr:uid="{00000000-0005-0000-0000-000093330000}"/>
    <cellStyle name="요약 6 6 3 5" xfId="12347" xr:uid="{00000000-0005-0000-0000-000094330000}"/>
    <cellStyle name="요약 6 7" xfId="12348" xr:uid="{00000000-0005-0000-0000-000095330000}"/>
    <cellStyle name="요약 6 7 2" xfId="12349" xr:uid="{00000000-0005-0000-0000-000096330000}"/>
    <cellStyle name="요약 6 7 2 2" xfId="12350" xr:uid="{00000000-0005-0000-0000-000097330000}"/>
    <cellStyle name="요약 6 7 2 2 2" xfId="12351" xr:uid="{00000000-0005-0000-0000-000098330000}"/>
    <cellStyle name="요약 6 7 2 2 3" xfId="12352" xr:uid="{00000000-0005-0000-0000-000099330000}"/>
    <cellStyle name="요약 6 7 2 2 4" xfId="12353" xr:uid="{00000000-0005-0000-0000-00009A330000}"/>
    <cellStyle name="요약 6 7 2 2 5" xfId="12354" xr:uid="{00000000-0005-0000-0000-00009B330000}"/>
    <cellStyle name="요약 6 7 3" xfId="12355" xr:uid="{00000000-0005-0000-0000-00009C330000}"/>
    <cellStyle name="요약 6 7 3 2" xfId="12356" xr:uid="{00000000-0005-0000-0000-00009D330000}"/>
    <cellStyle name="요약 6 7 3 3" xfId="12357" xr:uid="{00000000-0005-0000-0000-00009E330000}"/>
    <cellStyle name="요약 6 7 3 4" xfId="12358" xr:uid="{00000000-0005-0000-0000-00009F330000}"/>
    <cellStyle name="요약 6 7 3 5" xfId="12359" xr:uid="{00000000-0005-0000-0000-0000A0330000}"/>
    <cellStyle name="요약 6 8" xfId="12360" xr:uid="{00000000-0005-0000-0000-0000A1330000}"/>
    <cellStyle name="요약 6 8 2" xfId="12361" xr:uid="{00000000-0005-0000-0000-0000A2330000}"/>
    <cellStyle name="요약 6 8 2 2" xfId="12362" xr:uid="{00000000-0005-0000-0000-0000A3330000}"/>
    <cellStyle name="요약 6 8 2 2 2" xfId="12363" xr:uid="{00000000-0005-0000-0000-0000A4330000}"/>
    <cellStyle name="요약 6 8 2 2 3" xfId="12364" xr:uid="{00000000-0005-0000-0000-0000A5330000}"/>
    <cellStyle name="요약 6 8 2 2 4" xfId="12365" xr:uid="{00000000-0005-0000-0000-0000A6330000}"/>
    <cellStyle name="요약 6 8 2 2 5" xfId="12366" xr:uid="{00000000-0005-0000-0000-0000A7330000}"/>
    <cellStyle name="요약 6 8 3" xfId="12367" xr:uid="{00000000-0005-0000-0000-0000A8330000}"/>
    <cellStyle name="요약 6 8 3 2" xfId="12368" xr:uid="{00000000-0005-0000-0000-0000A9330000}"/>
    <cellStyle name="요약 6 8 3 3" xfId="12369" xr:uid="{00000000-0005-0000-0000-0000AA330000}"/>
    <cellStyle name="요약 6 8 3 4" xfId="12370" xr:uid="{00000000-0005-0000-0000-0000AB330000}"/>
    <cellStyle name="요약 6 8 3 5" xfId="12371" xr:uid="{00000000-0005-0000-0000-0000AC330000}"/>
    <cellStyle name="요약 6 9" xfId="12372" xr:uid="{00000000-0005-0000-0000-0000AD330000}"/>
    <cellStyle name="요약 6 9 2" xfId="12373" xr:uid="{00000000-0005-0000-0000-0000AE330000}"/>
    <cellStyle name="요약 6 9 2 2" xfId="12374" xr:uid="{00000000-0005-0000-0000-0000AF330000}"/>
    <cellStyle name="요약 6 9 2 2 2" xfId="12375" xr:uid="{00000000-0005-0000-0000-0000B0330000}"/>
    <cellStyle name="요약 6 9 2 2 3" xfId="12376" xr:uid="{00000000-0005-0000-0000-0000B1330000}"/>
    <cellStyle name="요약 6 9 2 2 4" xfId="12377" xr:uid="{00000000-0005-0000-0000-0000B2330000}"/>
    <cellStyle name="요약 6 9 2 2 5" xfId="12378" xr:uid="{00000000-0005-0000-0000-0000B3330000}"/>
    <cellStyle name="요약 6 9 3" xfId="12379" xr:uid="{00000000-0005-0000-0000-0000B4330000}"/>
    <cellStyle name="요약 6 9 3 2" xfId="12380" xr:uid="{00000000-0005-0000-0000-0000B5330000}"/>
    <cellStyle name="요약 6 9 3 3" xfId="12381" xr:uid="{00000000-0005-0000-0000-0000B6330000}"/>
    <cellStyle name="요약 6 9 3 4" xfId="12382" xr:uid="{00000000-0005-0000-0000-0000B7330000}"/>
    <cellStyle name="요약 6 9 3 5" xfId="12383" xr:uid="{00000000-0005-0000-0000-0000B8330000}"/>
    <cellStyle name="원" xfId="12384" xr:uid="{00000000-0005-0000-0000-0000B9330000}"/>
    <cellStyle name="원 10" xfId="12385" xr:uid="{00000000-0005-0000-0000-0000BA330000}"/>
    <cellStyle name="원 10 2" xfId="12386" xr:uid="{00000000-0005-0000-0000-0000BB330000}"/>
    <cellStyle name="원 11" xfId="12387" xr:uid="{00000000-0005-0000-0000-0000BC330000}"/>
    <cellStyle name="원 11 2" xfId="12388" xr:uid="{00000000-0005-0000-0000-0000BD330000}"/>
    <cellStyle name="원 12" xfId="12389" xr:uid="{00000000-0005-0000-0000-0000BE330000}"/>
    <cellStyle name="원 12 2" xfId="12390" xr:uid="{00000000-0005-0000-0000-0000BF330000}"/>
    <cellStyle name="원 13" xfId="12391" xr:uid="{00000000-0005-0000-0000-0000C0330000}"/>
    <cellStyle name="원 13 2" xfId="12392" xr:uid="{00000000-0005-0000-0000-0000C1330000}"/>
    <cellStyle name="원 14" xfId="12393" xr:uid="{00000000-0005-0000-0000-0000C2330000}"/>
    <cellStyle name="원 14 2" xfId="12394" xr:uid="{00000000-0005-0000-0000-0000C3330000}"/>
    <cellStyle name="원 15" xfId="12395" xr:uid="{00000000-0005-0000-0000-0000C4330000}"/>
    <cellStyle name="원 15 2" xfId="12396" xr:uid="{00000000-0005-0000-0000-0000C5330000}"/>
    <cellStyle name="원 16" xfId="12397" xr:uid="{00000000-0005-0000-0000-0000C6330000}"/>
    <cellStyle name="원 16 2" xfId="12398" xr:uid="{00000000-0005-0000-0000-0000C7330000}"/>
    <cellStyle name="원 17" xfId="12399" xr:uid="{00000000-0005-0000-0000-0000C8330000}"/>
    <cellStyle name="원 17 2" xfId="12400" xr:uid="{00000000-0005-0000-0000-0000C9330000}"/>
    <cellStyle name="원 18" xfId="12401" xr:uid="{00000000-0005-0000-0000-0000CA330000}"/>
    <cellStyle name="원 18 2" xfId="12402" xr:uid="{00000000-0005-0000-0000-0000CB330000}"/>
    <cellStyle name="원 19" xfId="12403" xr:uid="{00000000-0005-0000-0000-0000CC330000}"/>
    <cellStyle name="원 19 2" xfId="12404" xr:uid="{00000000-0005-0000-0000-0000CD330000}"/>
    <cellStyle name="원 2" xfId="12405" xr:uid="{00000000-0005-0000-0000-0000CE330000}"/>
    <cellStyle name="원 2 2" xfId="12406" xr:uid="{00000000-0005-0000-0000-0000CF330000}"/>
    <cellStyle name="원 2 2 2" xfId="12407" xr:uid="{00000000-0005-0000-0000-0000D0330000}"/>
    <cellStyle name="원 2 3" xfId="12408" xr:uid="{00000000-0005-0000-0000-0000D1330000}"/>
    <cellStyle name="원 20" xfId="12409" xr:uid="{00000000-0005-0000-0000-0000D2330000}"/>
    <cellStyle name="원 20 2" xfId="12410" xr:uid="{00000000-0005-0000-0000-0000D3330000}"/>
    <cellStyle name="원 21" xfId="12411" xr:uid="{00000000-0005-0000-0000-0000D4330000}"/>
    <cellStyle name="원 21 2" xfId="12412" xr:uid="{00000000-0005-0000-0000-0000D5330000}"/>
    <cellStyle name="원 22" xfId="12413" xr:uid="{00000000-0005-0000-0000-0000D6330000}"/>
    <cellStyle name="원 22 2" xfId="12414" xr:uid="{00000000-0005-0000-0000-0000D7330000}"/>
    <cellStyle name="원 23" xfId="12415" xr:uid="{00000000-0005-0000-0000-0000D8330000}"/>
    <cellStyle name="원 23 2" xfId="12416" xr:uid="{00000000-0005-0000-0000-0000D9330000}"/>
    <cellStyle name="원 24" xfId="12417" xr:uid="{00000000-0005-0000-0000-0000DA330000}"/>
    <cellStyle name="원 24 2" xfId="12418" xr:uid="{00000000-0005-0000-0000-0000DB330000}"/>
    <cellStyle name="원 25" xfId="12419" xr:uid="{00000000-0005-0000-0000-0000DC330000}"/>
    <cellStyle name="원 25 2" xfId="12420" xr:uid="{00000000-0005-0000-0000-0000DD330000}"/>
    <cellStyle name="원 26" xfId="12421" xr:uid="{00000000-0005-0000-0000-0000DE330000}"/>
    <cellStyle name="원 26 2" xfId="12422" xr:uid="{00000000-0005-0000-0000-0000DF330000}"/>
    <cellStyle name="원 27" xfId="12423" xr:uid="{00000000-0005-0000-0000-0000E0330000}"/>
    <cellStyle name="원 27 2" xfId="12424" xr:uid="{00000000-0005-0000-0000-0000E1330000}"/>
    <cellStyle name="원 28" xfId="12425" xr:uid="{00000000-0005-0000-0000-0000E2330000}"/>
    <cellStyle name="원 28 2" xfId="12426" xr:uid="{00000000-0005-0000-0000-0000E3330000}"/>
    <cellStyle name="원 29" xfId="12427" xr:uid="{00000000-0005-0000-0000-0000E4330000}"/>
    <cellStyle name="원 29 2" xfId="12428" xr:uid="{00000000-0005-0000-0000-0000E5330000}"/>
    <cellStyle name="원 3" xfId="12429" xr:uid="{00000000-0005-0000-0000-0000E6330000}"/>
    <cellStyle name="원 3 2" xfId="12430" xr:uid="{00000000-0005-0000-0000-0000E7330000}"/>
    <cellStyle name="원 30" xfId="12431" xr:uid="{00000000-0005-0000-0000-0000E8330000}"/>
    <cellStyle name="원 30 2" xfId="12432" xr:uid="{00000000-0005-0000-0000-0000E9330000}"/>
    <cellStyle name="원 31" xfId="12433" xr:uid="{00000000-0005-0000-0000-0000EA330000}"/>
    <cellStyle name="원 31 2" xfId="12434" xr:uid="{00000000-0005-0000-0000-0000EB330000}"/>
    <cellStyle name="원 32" xfId="12435" xr:uid="{00000000-0005-0000-0000-0000EC330000}"/>
    <cellStyle name="원 32 2" xfId="12436" xr:uid="{00000000-0005-0000-0000-0000ED330000}"/>
    <cellStyle name="원 33" xfId="12437" xr:uid="{00000000-0005-0000-0000-0000EE330000}"/>
    <cellStyle name="원 33 2" xfId="12438" xr:uid="{00000000-0005-0000-0000-0000EF330000}"/>
    <cellStyle name="원 34" xfId="12439" xr:uid="{00000000-0005-0000-0000-0000F0330000}"/>
    <cellStyle name="원 34 2" xfId="12440" xr:uid="{00000000-0005-0000-0000-0000F1330000}"/>
    <cellStyle name="원 35" xfId="12441" xr:uid="{00000000-0005-0000-0000-0000F2330000}"/>
    <cellStyle name="원 35 2" xfId="12442" xr:uid="{00000000-0005-0000-0000-0000F3330000}"/>
    <cellStyle name="원 36" xfId="12443" xr:uid="{00000000-0005-0000-0000-0000F4330000}"/>
    <cellStyle name="원 36 2" xfId="12444" xr:uid="{00000000-0005-0000-0000-0000F5330000}"/>
    <cellStyle name="원 37" xfId="12445" xr:uid="{00000000-0005-0000-0000-0000F6330000}"/>
    <cellStyle name="원 37 2" xfId="12446" xr:uid="{00000000-0005-0000-0000-0000F7330000}"/>
    <cellStyle name="원 38" xfId="12447" xr:uid="{00000000-0005-0000-0000-0000F8330000}"/>
    <cellStyle name="원 38 2" xfId="12448" xr:uid="{00000000-0005-0000-0000-0000F9330000}"/>
    <cellStyle name="원 39" xfId="12449" xr:uid="{00000000-0005-0000-0000-0000FA330000}"/>
    <cellStyle name="원 39 2" xfId="12450" xr:uid="{00000000-0005-0000-0000-0000FB330000}"/>
    <cellStyle name="원 4" xfId="12451" xr:uid="{00000000-0005-0000-0000-0000FC330000}"/>
    <cellStyle name="원 4 2" xfId="12452" xr:uid="{00000000-0005-0000-0000-0000FD330000}"/>
    <cellStyle name="원 40" xfId="12453" xr:uid="{00000000-0005-0000-0000-0000FE330000}"/>
    <cellStyle name="원 40 2" xfId="12454" xr:uid="{00000000-0005-0000-0000-0000FF330000}"/>
    <cellStyle name="원 41" xfId="12455" xr:uid="{00000000-0005-0000-0000-000000340000}"/>
    <cellStyle name="원 41 2" xfId="12456" xr:uid="{00000000-0005-0000-0000-000001340000}"/>
    <cellStyle name="원 42" xfId="12457" xr:uid="{00000000-0005-0000-0000-000002340000}"/>
    <cellStyle name="원 42 2" xfId="12458" xr:uid="{00000000-0005-0000-0000-000003340000}"/>
    <cellStyle name="원 43" xfId="12459" xr:uid="{00000000-0005-0000-0000-000004340000}"/>
    <cellStyle name="원 43 2" xfId="12460" xr:uid="{00000000-0005-0000-0000-000005340000}"/>
    <cellStyle name="원 44" xfId="12461" xr:uid="{00000000-0005-0000-0000-000006340000}"/>
    <cellStyle name="원 45" xfId="16680" xr:uid="{00000000-0005-0000-0000-000007340000}"/>
    <cellStyle name="원 5" xfId="12462" xr:uid="{00000000-0005-0000-0000-000008340000}"/>
    <cellStyle name="원 5 2" xfId="12463" xr:uid="{00000000-0005-0000-0000-000009340000}"/>
    <cellStyle name="원 6" xfId="12464" xr:uid="{00000000-0005-0000-0000-00000A340000}"/>
    <cellStyle name="원 6 2" xfId="12465" xr:uid="{00000000-0005-0000-0000-00000B340000}"/>
    <cellStyle name="원 7" xfId="12466" xr:uid="{00000000-0005-0000-0000-00000C340000}"/>
    <cellStyle name="원 7 2" xfId="12467" xr:uid="{00000000-0005-0000-0000-00000D340000}"/>
    <cellStyle name="원 8" xfId="12468" xr:uid="{00000000-0005-0000-0000-00000E340000}"/>
    <cellStyle name="원 8 2" xfId="12469" xr:uid="{00000000-0005-0000-0000-00000F340000}"/>
    <cellStyle name="원 9" xfId="12470" xr:uid="{00000000-0005-0000-0000-000010340000}"/>
    <cellStyle name="원 9 2" xfId="12471" xr:uid="{00000000-0005-0000-0000-000011340000}"/>
    <cellStyle name="원_465_kangwon2002-5-2-1)최종수정)" xfId="12472" xr:uid="{00000000-0005-0000-0000-000012340000}"/>
    <cellStyle name="원_인흥공사비(수지예산서)" xfId="12473" xr:uid="{00000000-0005-0000-0000-000013340000}"/>
    <cellStyle name="원_점리내역" xfId="12474" xr:uid="{00000000-0005-0000-0000-000014340000}"/>
    <cellStyle name="원_창봉지급자재단가" xfId="12475" xr:uid="{00000000-0005-0000-0000-000015340000}"/>
    <cellStyle name="유1" xfId="12476" xr:uid="{00000000-0005-0000-0000-000016340000}"/>
    <cellStyle name="유1 2" xfId="12477" xr:uid="{00000000-0005-0000-0000-000017340000}"/>
    <cellStyle name="유1 3" xfId="16681" xr:uid="{00000000-0005-0000-0000-000018340000}"/>
    <cellStyle name="유영" xfId="12478" xr:uid="{00000000-0005-0000-0000-000019340000}"/>
    <cellStyle name="유영 2" xfId="16682" xr:uid="{00000000-0005-0000-0000-00001A340000}"/>
    <cellStyle name="一般_NEGS" xfId="12479" xr:uid="{00000000-0005-0000-0000-00001B340000}"/>
    <cellStyle name="일위대가" xfId="16683" xr:uid="{00000000-0005-0000-0000-00001C340000}"/>
    <cellStyle name="입력 2" xfId="12480" xr:uid="{00000000-0005-0000-0000-00001D340000}"/>
    <cellStyle name="입력 2 10" xfId="12481" xr:uid="{00000000-0005-0000-0000-00001E340000}"/>
    <cellStyle name="입력 2 10 2" xfId="12482" xr:uid="{00000000-0005-0000-0000-00001F340000}"/>
    <cellStyle name="입력 2 10 2 2" xfId="12483" xr:uid="{00000000-0005-0000-0000-000020340000}"/>
    <cellStyle name="입력 2 10 2 3" xfId="12484" xr:uid="{00000000-0005-0000-0000-000021340000}"/>
    <cellStyle name="입력 2 10 2 4" xfId="12485" xr:uid="{00000000-0005-0000-0000-000022340000}"/>
    <cellStyle name="입력 2 10 2 5" xfId="12486" xr:uid="{00000000-0005-0000-0000-000023340000}"/>
    <cellStyle name="입력 2 11" xfId="12487" xr:uid="{00000000-0005-0000-0000-000024340000}"/>
    <cellStyle name="입력 2 11 2" xfId="12488" xr:uid="{00000000-0005-0000-0000-000025340000}"/>
    <cellStyle name="입력 2 11 3" xfId="12489" xr:uid="{00000000-0005-0000-0000-000026340000}"/>
    <cellStyle name="입력 2 11 4" xfId="12490" xr:uid="{00000000-0005-0000-0000-000027340000}"/>
    <cellStyle name="입력 2 11 5" xfId="12491" xr:uid="{00000000-0005-0000-0000-000028340000}"/>
    <cellStyle name="입력 2 12" xfId="16684" xr:uid="{00000000-0005-0000-0000-000029340000}"/>
    <cellStyle name="입력 2 13" xfId="16928" xr:uid="{00000000-0005-0000-0000-00002A340000}"/>
    <cellStyle name="입력 2 14" xfId="16998" xr:uid="{00000000-0005-0000-0000-00002B340000}"/>
    <cellStyle name="입력 2 2" xfId="12492" xr:uid="{00000000-0005-0000-0000-00002C340000}"/>
    <cellStyle name="입력 2 2 2" xfId="12493" xr:uid="{00000000-0005-0000-0000-00002D340000}"/>
    <cellStyle name="입력 2 2 2 2" xfId="12494" xr:uid="{00000000-0005-0000-0000-00002E340000}"/>
    <cellStyle name="입력 2 2 2 2 2" xfId="12495" xr:uid="{00000000-0005-0000-0000-00002F340000}"/>
    <cellStyle name="입력 2 2 2 2 3" xfId="12496" xr:uid="{00000000-0005-0000-0000-000030340000}"/>
    <cellStyle name="입력 2 2 2 2 4" xfId="12497" xr:uid="{00000000-0005-0000-0000-000031340000}"/>
    <cellStyle name="입력 2 2 2 2 5" xfId="12498" xr:uid="{00000000-0005-0000-0000-000032340000}"/>
    <cellStyle name="입력 2 2 3" xfId="12499" xr:uid="{00000000-0005-0000-0000-000033340000}"/>
    <cellStyle name="입력 2 2 3 2" xfId="12500" xr:uid="{00000000-0005-0000-0000-000034340000}"/>
    <cellStyle name="입력 2 2 3 3" xfId="12501" xr:uid="{00000000-0005-0000-0000-000035340000}"/>
    <cellStyle name="입력 2 2 3 4" xfId="12502" xr:uid="{00000000-0005-0000-0000-000036340000}"/>
    <cellStyle name="입력 2 2 3 5" xfId="12503" xr:uid="{00000000-0005-0000-0000-000037340000}"/>
    <cellStyle name="입력 2 3" xfId="12504" xr:uid="{00000000-0005-0000-0000-000038340000}"/>
    <cellStyle name="입력 2 3 2" xfId="12505" xr:uid="{00000000-0005-0000-0000-000039340000}"/>
    <cellStyle name="입력 2 3 2 2" xfId="12506" xr:uid="{00000000-0005-0000-0000-00003A340000}"/>
    <cellStyle name="입력 2 3 2 2 2" xfId="12507" xr:uid="{00000000-0005-0000-0000-00003B340000}"/>
    <cellStyle name="입력 2 3 2 2 3" xfId="12508" xr:uid="{00000000-0005-0000-0000-00003C340000}"/>
    <cellStyle name="입력 2 3 2 2 4" xfId="12509" xr:uid="{00000000-0005-0000-0000-00003D340000}"/>
    <cellStyle name="입력 2 3 2 2 5" xfId="12510" xr:uid="{00000000-0005-0000-0000-00003E340000}"/>
    <cellStyle name="입력 2 3 3" xfId="12511" xr:uid="{00000000-0005-0000-0000-00003F340000}"/>
    <cellStyle name="입력 2 3 3 2" xfId="12512" xr:uid="{00000000-0005-0000-0000-000040340000}"/>
    <cellStyle name="입력 2 3 3 3" xfId="12513" xr:uid="{00000000-0005-0000-0000-000041340000}"/>
    <cellStyle name="입력 2 3 3 4" xfId="12514" xr:uid="{00000000-0005-0000-0000-000042340000}"/>
    <cellStyle name="입력 2 3 3 5" xfId="12515" xr:uid="{00000000-0005-0000-0000-000043340000}"/>
    <cellStyle name="입력 2 4" xfId="12516" xr:uid="{00000000-0005-0000-0000-000044340000}"/>
    <cellStyle name="입력 2 4 2" xfId="12517" xr:uid="{00000000-0005-0000-0000-000045340000}"/>
    <cellStyle name="입력 2 4 2 2" xfId="12518" xr:uid="{00000000-0005-0000-0000-000046340000}"/>
    <cellStyle name="입력 2 4 2 2 2" xfId="12519" xr:uid="{00000000-0005-0000-0000-000047340000}"/>
    <cellStyle name="입력 2 4 2 2 3" xfId="12520" xr:uid="{00000000-0005-0000-0000-000048340000}"/>
    <cellStyle name="입력 2 4 2 2 4" xfId="12521" xr:uid="{00000000-0005-0000-0000-000049340000}"/>
    <cellStyle name="입력 2 4 2 2 5" xfId="12522" xr:uid="{00000000-0005-0000-0000-00004A340000}"/>
    <cellStyle name="입력 2 4 3" xfId="12523" xr:uid="{00000000-0005-0000-0000-00004B340000}"/>
    <cellStyle name="입력 2 4 3 2" xfId="12524" xr:uid="{00000000-0005-0000-0000-00004C340000}"/>
    <cellStyle name="입력 2 4 3 3" xfId="12525" xr:uid="{00000000-0005-0000-0000-00004D340000}"/>
    <cellStyle name="입력 2 4 3 4" xfId="12526" xr:uid="{00000000-0005-0000-0000-00004E340000}"/>
    <cellStyle name="입력 2 4 3 5" xfId="12527" xr:uid="{00000000-0005-0000-0000-00004F340000}"/>
    <cellStyle name="입력 2 5" xfId="12528" xr:uid="{00000000-0005-0000-0000-000050340000}"/>
    <cellStyle name="입력 2 5 2" xfId="12529" xr:uid="{00000000-0005-0000-0000-000051340000}"/>
    <cellStyle name="입력 2 5 2 2" xfId="12530" xr:uid="{00000000-0005-0000-0000-000052340000}"/>
    <cellStyle name="입력 2 5 2 2 2" xfId="12531" xr:uid="{00000000-0005-0000-0000-000053340000}"/>
    <cellStyle name="입력 2 5 2 2 3" xfId="12532" xr:uid="{00000000-0005-0000-0000-000054340000}"/>
    <cellStyle name="입력 2 5 2 2 4" xfId="12533" xr:uid="{00000000-0005-0000-0000-000055340000}"/>
    <cellStyle name="입력 2 5 2 2 5" xfId="12534" xr:uid="{00000000-0005-0000-0000-000056340000}"/>
    <cellStyle name="입력 2 5 3" xfId="12535" xr:uid="{00000000-0005-0000-0000-000057340000}"/>
    <cellStyle name="입력 2 5 3 2" xfId="12536" xr:uid="{00000000-0005-0000-0000-000058340000}"/>
    <cellStyle name="입력 2 5 3 3" xfId="12537" xr:uid="{00000000-0005-0000-0000-000059340000}"/>
    <cellStyle name="입력 2 5 3 4" xfId="12538" xr:uid="{00000000-0005-0000-0000-00005A340000}"/>
    <cellStyle name="입력 2 5 3 5" xfId="12539" xr:uid="{00000000-0005-0000-0000-00005B340000}"/>
    <cellStyle name="입력 2 6" xfId="12540" xr:uid="{00000000-0005-0000-0000-00005C340000}"/>
    <cellStyle name="입력 2 6 2" xfId="12541" xr:uid="{00000000-0005-0000-0000-00005D340000}"/>
    <cellStyle name="입력 2 6 2 2" xfId="12542" xr:uid="{00000000-0005-0000-0000-00005E340000}"/>
    <cellStyle name="입력 2 6 2 2 2" xfId="12543" xr:uid="{00000000-0005-0000-0000-00005F340000}"/>
    <cellStyle name="입력 2 6 2 2 3" xfId="12544" xr:uid="{00000000-0005-0000-0000-000060340000}"/>
    <cellStyle name="입력 2 6 2 2 4" xfId="12545" xr:uid="{00000000-0005-0000-0000-000061340000}"/>
    <cellStyle name="입력 2 6 2 2 5" xfId="12546" xr:uid="{00000000-0005-0000-0000-000062340000}"/>
    <cellStyle name="입력 2 6 3" xfId="12547" xr:uid="{00000000-0005-0000-0000-000063340000}"/>
    <cellStyle name="입력 2 6 3 2" xfId="12548" xr:uid="{00000000-0005-0000-0000-000064340000}"/>
    <cellStyle name="입력 2 6 3 3" xfId="12549" xr:uid="{00000000-0005-0000-0000-000065340000}"/>
    <cellStyle name="입력 2 6 3 4" xfId="12550" xr:uid="{00000000-0005-0000-0000-000066340000}"/>
    <cellStyle name="입력 2 6 3 5" xfId="12551" xr:uid="{00000000-0005-0000-0000-000067340000}"/>
    <cellStyle name="입력 2 7" xfId="12552" xr:uid="{00000000-0005-0000-0000-000068340000}"/>
    <cellStyle name="입력 2 7 2" xfId="12553" xr:uid="{00000000-0005-0000-0000-000069340000}"/>
    <cellStyle name="입력 2 7 2 2" xfId="12554" xr:uid="{00000000-0005-0000-0000-00006A340000}"/>
    <cellStyle name="입력 2 7 2 2 2" xfId="12555" xr:uid="{00000000-0005-0000-0000-00006B340000}"/>
    <cellStyle name="입력 2 7 2 2 3" xfId="12556" xr:uid="{00000000-0005-0000-0000-00006C340000}"/>
    <cellStyle name="입력 2 7 2 2 4" xfId="12557" xr:uid="{00000000-0005-0000-0000-00006D340000}"/>
    <cellStyle name="입력 2 7 2 2 5" xfId="12558" xr:uid="{00000000-0005-0000-0000-00006E340000}"/>
    <cellStyle name="입력 2 7 3" xfId="12559" xr:uid="{00000000-0005-0000-0000-00006F340000}"/>
    <cellStyle name="입력 2 7 3 2" xfId="12560" xr:uid="{00000000-0005-0000-0000-000070340000}"/>
    <cellStyle name="입력 2 7 3 3" xfId="12561" xr:uid="{00000000-0005-0000-0000-000071340000}"/>
    <cellStyle name="입력 2 7 3 4" xfId="12562" xr:uid="{00000000-0005-0000-0000-000072340000}"/>
    <cellStyle name="입력 2 7 3 5" xfId="12563" xr:uid="{00000000-0005-0000-0000-000073340000}"/>
    <cellStyle name="입력 2 8" xfId="12564" xr:uid="{00000000-0005-0000-0000-000074340000}"/>
    <cellStyle name="입력 2 8 2" xfId="12565" xr:uid="{00000000-0005-0000-0000-000075340000}"/>
    <cellStyle name="입력 2 8 2 2" xfId="12566" xr:uid="{00000000-0005-0000-0000-000076340000}"/>
    <cellStyle name="입력 2 8 2 2 2" xfId="12567" xr:uid="{00000000-0005-0000-0000-000077340000}"/>
    <cellStyle name="입력 2 8 2 2 3" xfId="12568" xr:uid="{00000000-0005-0000-0000-000078340000}"/>
    <cellStyle name="입력 2 8 2 2 4" xfId="12569" xr:uid="{00000000-0005-0000-0000-000079340000}"/>
    <cellStyle name="입력 2 8 2 2 5" xfId="12570" xr:uid="{00000000-0005-0000-0000-00007A340000}"/>
    <cellStyle name="입력 2 8 3" xfId="12571" xr:uid="{00000000-0005-0000-0000-00007B340000}"/>
    <cellStyle name="입력 2 8 3 2" xfId="12572" xr:uid="{00000000-0005-0000-0000-00007C340000}"/>
    <cellStyle name="입력 2 8 3 3" xfId="12573" xr:uid="{00000000-0005-0000-0000-00007D340000}"/>
    <cellStyle name="입력 2 8 3 4" xfId="12574" xr:uid="{00000000-0005-0000-0000-00007E340000}"/>
    <cellStyle name="입력 2 8 3 5" xfId="12575" xr:uid="{00000000-0005-0000-0000-00007F340000}"/>
    <cellStyle name="입력 2 9" xfId="12576" xr:uid="{00000000-0005-0000-0000-000080340000}"/>
    <cellStyle name="입력 2 9 2" xfId="12577" xr:uid="{00000000-0005-0000-0000-000081340000}"/>
    <cellStyle name="입력 2 9 2 2" xfId="12578" xr:uid="{00000000-0005-0000-0000-000082340000}"/>
    <cellStyle name="입력 2 9 2 2 2" xfId="12579" xr:uid="{00000000-0005-0000-0000-000083340000}"/>
    <cellStyle name="입력 2 9 2 2 3" xfId="12580" xr:uid="{00000000-0005-0000-0000-000084340000}"/>
    <cellStyle name="입력 2 9 2 2 4" xfId="12581" xr:uid="{00000000-0005-0000-0000-000085340000}"/>
    <cellStyle name="입력 2 9 2 2 5" xfId="12582" xr:uid="{00000000-0005-0000-0000-000086340000}"/>
    <cellStyle name="입력 2 9 3" xfId="12583" xr:uid="{00000000-0005-0000-0000-000087340000}"/>
    <cellStyle name="입력 2 9 3 2" xfId="12584" xr:uid="{00000000-0005-0000-0000-000088340000}"/>
    <cellStyle name="입력 2 9 3 3" xfId="12585" xr:uid="{00000000-0005-0000-0000-000089340000}"/>
    <cellStyle name="입력 2 9 3 4" xfId="12586" xr:uid="{00000000-0005-0000-0000-00008A340000}"/>
    <cellStyle name="입력 2 9 3 5" xfId="12587" xr:uid="{00000000-0005-0000-0000-00008B340000}"/>
    <cellStyle name="입력 3" xfId="12588" xr:uid="{00000000-0005-0000-0000-00008C340000}"/>
    <cellStyle name="입력 3 10" xfId="12589" xr:uid="{00000000-0005-0000-0000-00008D340000}"/>
    <cellStyle name="입력 3 10 2" xfId="12590" xr:uid="{00000000-0005-0000-0000-00008E340000}"/>
    <cellStyle name="입력 3 10 2 2" xfId="12591" xr:uid="{00000000-0005-0000-0000-00008F340000}"/>
    <cellStyle name="입력 3 10 2 3" xfId="12592" xr:uid="{00000000-0005-0000-0000-000090340000}"/>
    <cellStyle name="입력 3 10 2 4" xfId="12593" xr:uid="{00000000-0005-0000-0000-000091340000}"/>
    <cellStyle name="입력 3 10 2 5" xfId="12594" xr:uid="{00000000-0005-0000-0000-000092340000}"/>
    <cellStyle name="입력 3 11" xfId="12595" xr:uid="{00000000-0005-0000-0000-000093340000}"/>
    <cellStyle name="입력 3 11 2" xfId="12596" xr:uid="{00000000-0005-0000-0000-000094340000}"/>
    <cellStyle name="입력 3 11 3" xfId="12597" xr:uid="{00000000-0005-0000-0000-000095340000}"/>
    <cellStyle name="입력 3 11 4" xfId="12598" xr:uid="{00000000-0005-0000-0000-000096340000}"/>
    <cellStyle name="입력 3 11 5" xfId="12599" xr:uid="{00000000-0005-0000-0000-000097340000}"/>
    <cellStyle name="입력 3 12" xfId="16943" xr:uid="{00000000-0005-0000-0000-000098340000}"/>
    <cellStyle name="입력 3 2" xfId="12600" xr:uid="{00000000-0005-0000-0000-000099340000}"/>
    <cellStyle name="입력 3 2 2" xfId="12601" xr:uid="{00000000-0005-0000-0000-00009A340000}"/>
    <cellStyle name="입력 3 2 2 2" xfId="12602" xr:uid="{00000000-0005-0000-0000-00009B340000}"/>
    <cellStyle name="입력 3 2 2 2 2" xfId="12603" xr:uid="{00000000-0005-0000-0000-00009C340000}"/>
    <cellStyle name="입력 3 2 2 2 3" xfId="12604" xr:uid="{00000000-0005-0000-0000-00009D340000}"/>
    <cellStyle name="입력 3 2 2 2 4" xfId="12605" xr:uid="{00000000-0005-0000-0000-00009E340000}"/>
    <cellStyle name="입력 3 2 2 2 5" xfId="12606" xr:uid="{00000000-0005-0000-0000-00009F340000}"/>
    <cellStyle name="입력 3 2 3" xfId="12607" xr:uid="{00000000-0005-0000-0000-0000A0340000}"/>
    <cellStyle name="입력 3 2 3 2" xfId="12608" xr:uid="{00000000-0005-0000-0000-0000A1340000}"/>
    <cellStyle name="입력 3 2 3 3" xfId="12609" xr:uid="{00000000-0005-0000-0000-0000A2340000}"/>
    <cellStyle name="입력 3 2 3 4" xfId="12610" xr:uid="{00000000-0005-0000-0000-0000A3340000}"/>
    <cellStyle name="입력 3 2 3 5" xfId="12611" xr:uid="{00000000-0005-0000-0000-0000A4340000}"/>
    <cellStyle name="입력 3 3" xfId="12612" xr:uid="{00000000-0005-0000-0000-0000A5340000}"/>
    <cellStyle name="입력 3 3 2" xfId="12613" xr:uid="{00000000-0005-0000-0000-0000A6340000}"/>
    <cellStyle name="입력 3 3 2 2" xfId="12614" xr:uid="{00000000-0005-0000-0000-0000A7340000}"/>
    <cellStyle name="입력 3 3 2 2 2" xfId="12615" xr:uid="{00000000-0005-0000-0000-0000A8340000}"/>
    <cellStyle name="입력 3 3 2 2 3" xfId="12616" xr:uid="{00000000-0005-0000-0000-0000A9340000}"/>
    <cellStyle name="입력 3 3 2 2 4" xfId="12617" xr:uid="{00000000-0005-0000-0000-0000AA340000}"/>
    <cellStyle name="입력 3 3 2 2 5" xfId="12618" xr:uid="{00000000-0005-0000-0000-0000AB340000}"/>
    <cellStyle name="입력 3 3 3" xfId="12619" xr:uid="{00000000-0005-0000-0000-0000AC340000}"/>
    <cellStyle name="입력 3 3 3 2" xfId="12620" xr:uid="{00000000-0005-0000-0000-0000AD340000}"/>
    <cellStyle name="입력 3 3 3 3" xfId="12621" xr:uid="{00000000-0005-0000-0000-0000AE340000}"/>
    <cellStyle name="입력 3 3 3 4" xfId="12622" xr:uid="{00000000-0005-0000-0000-0000AF340000}"/>
    <cellStyle name="입력 3 3 3 5" xfId="12623" xr:uid="{00000000-0005-0000-0000-0000B0340000}"/>
    <cellStyle name="입력 3 4" xfId="12624" xr:uid="{00000000-0005-0000-0000-0000B1340000}"/>
    <cellStyle name="입력 3 4 2" xfId="12625" xr:uid="{00000000-0005-0000-0000-0000B2340000}"/>
    <cellStyle name="입력 3 4 2 2" xfId="12626" xr:uid="{00000000-0005-0000-0000-0000B3340000}"/>
    <cellStyle name="입력 3 4 2 2 2" xfId="12627" xr:uid="{00000000-0005-0000-0000-0000B4340000}"/>
    <cellStyle name="입력 3 4 2 2 3" xfId="12628" xr:uid="{00000000-0005-0000-0000-0000B5340000}"/>
    <cellStyle name="입력 3 4 2 2 4" xfId="12629" xr:uid="{00000000-0005-0000-0000-0000B6340000}"/>
    <cellStyle name="입력 3 4 2 2 5" xfId="12630" xr:uid="{00000000-0005-0000-0000-0000B7340000}"/>
    <cellStyle name="입력 3 4 3" xfId="12631" xr:uid="{00000000-0005-0000-0000-0000B8340000}"/>
    <cellStyle name="입력 3 4 3 2" xfId="12632" xr:uid="{00000000-0005-0000-0000-0000B9340000}"/>
    <cellStyle name="입력 3 4 3 3" xfId="12633" xr:uid="{00000000-0005-0000-0000-0000BA340000}"/>
    <cellStyle name="입력 3 4 3 4" xfId="12634" xr:uid="{00000000-0005-0000-0000-0000BB340000}"/>
    <cellStyle name="입력 3 4 3 5" xfId="12635" xr:uid="{00000000-0005-0000-0000-0000BC340000}"/>
    <cellStyle name="입력 3 5" xfId="12636" xr:uid="{00000000-0005-0000-0000-0000BD340000}"/>
    <cellStyle name="입력 3 5 2" xfId="12637" xr:uid="{00000000-0005-0000-0000-0000BE340000}"/>
    <cellStyle name="입력 3 5 2 2" xfId="12638" xr:uid="{00000000-0005-0000-0000-0000BF340000}"/>
    <cellStyle name="입력 3 5 2 2 2" xfId="12639" xr:uid="{00000000-0005-0000-0000-0000C0340000}"/>
    <cellStyle name="입력 3 5 2 2 3" xfId="12640" xr:uid="{00000000-0005-0000-0000-0000C1340000}"/>
    <cellStyle name="입력 3 5 2 2 4" xfId="12641" xr:uid="{00000000-0005-0000-0000-0000C2340000}"/>
    <cellStyle name="입력 3 5 2 2 5" xfId="12642" xr:uid="{00000000-0005-0000-0000-0000C3340000}"/>
    <cellStyle name="입력 3 5 3" xfId="12643" xr:uid="{00000000-0005-0000-0000-0000C4340000}"/>
    <cellStyle name="입력 3 5 3 2" xfId="12644" xr:uid="{00000000-0005-0000-0000-0000C5340000}"/>
    <cellStyle name="입력 3 5 3 3" xfId="12645" xr:uid="{00000000-0005-0000-0000-0000C6340000}"/>
    <cellStyle name="입력 3 5 3 4" xfId="12646" xr:uid="{00000000-0005-0000-0000-0000C7340000}"/>
    <cellStyle name="입력 3 5 3 5" xfId="12647" xr:uid="{00000000-0005-0000-0000-0000C8340000}"/>
    <cellStyle name="입력 3 6" xfId="12648" xr:uid="{00000000-0005-0000-0000-0000C9340000}"/>
    <cellStyle name="입력 3 6 2" xfId="12649" xr:uid="{00000000-0005-0000-0000-0000CA340000}"/>
    <cellStyle name="입력 3 6 2 2" xfId="12650" xr:uid="{00000000-0005-0000-0000-0000CB340000}"/>
    <cellStyle name="입력 3 6 2 2 2" xfId="12651" xr:uid="{00000000-0005-0000-0000-0000CC340000}"/>
    <cellStyle name="입력 3 6 2 2 3" xfId="12652" xr:uid="{00000000-0005-0000-0000-0000CD340000}"/>
    <cellStyle name="입력 3 6 2 2 4" xfId="12653" xr:uid="{00000000-0005-0000-0000-0000CE340000}"/>
    <cellStyle name="입력 3 6 2 2 5" xfId="12654" xr:uid="{00000000-0005-0000-0000-0000CF340000}"/>
    <cellStyle name="입력 3 6 3" xfId="12655" xr:uid="{00000000-0005-0000-0000-0000D0340000}"/>
    <cellStyle name="입력 3 6 3 2" xfId="12656" xr:uid="{00000000-0005-0000-0000-0000D1340000}"/>
    <cellStyle name="입력 3 6 3 3" xfId="12657" xr:uid="{00000000-0005-0000-0000-0000D2340000}"/>
    <cellStyle name="입력 3 6 3 4" xfId="12658" xr:uid="{00000000-0005-0000-0000-0000D3340000}"/>
    <cellStyle name="입력 3 6 3 5" xfId="12659" xr:uid="{00000000-0005-0000-0000-0000D4340000}"/>
    <cellStyle name="입력 3 7" xfId="12660" xr:uid="{00000000-0005-0000-0000-0000D5340000}"/>
    <cellStyle name="입력 3 7 2" xfId="12661" xr:uid="{00000000-0005-0000-0000-0000D6340000}"/>
    <cellStyle name="입력 3 7 2 2" xfId="12662" xr:uid="{00000000-0005-0000-0000-0000D7340000}"/>
    <cellStyle name="입력 3 7 2 2 2" xfId="12663" xr:uid="{00000000-0005-0000-0000-0000D8340000}"/>
    <cellStyle name="입력 3 7 2 2 3" xfId="12664" xr:uid="{00000000-0005-0000-0000-0000D9340000}"/>
    <cellStyle name="입력 3 7 2 2 4" xfId="12665" xr:uid="{00000000-0005-0000-0000-0000DA340000}"/>
    <cellStyle name="입력 3 7 2 2 5" xfId="12666" xr:uid="{00000000-0005-0000-0000-0000DB340000}"/>
    <cellStyle name="입력 3 7 3" xfId="12667" xr:uid="{00000000-0005-0000-0000-0000DC340000}"/>
    <cellStyle name="입력 3 7 3 2" xfId="12668" xr:uid="{00000000-0005-0000-0000-0000DD340000}"/>
    <cellStyle name="입력 3 7 3 3" xfId="12669" xr:uid="{00000000-0005-0000-0000-0000DE340000}"/>
    <cellStyle name="입력 3 7 3 4" xfId="12670" xr:uid="{00000000-0005-0000-0000-0000DF340000}"/>
    <cellStyle name="입력 3 7 3 5" xfId="12671" xr:uid="{00000000-0005-0000-0000-0000E0340000}"/>
    <cellStyle name="입력 3 8" xfId="12672" xr:uid="{00000000-0005-0000-0000-0000E1340000}"/>
    <cellStyle name="입력 3 8 2" xfId="12673" xr:uid="{00000000-0005-0000-0000-0000E2340000}"/>
    <cellStyle name="입력 3 8 2 2" xfId="12674" xr:uid="{00000000-0005-0000-0000-0000E3340000}"/>
    <cellStyle name="입력 3 8 2 2 2" xfId="12675" xr:uid="{00000000-0005-0000-0000-0000E4340000}"/>
    <cellStyle name="입력 3 8 2 2 3" xfId="12676" xr:uid="{00000000-0005-0000-0000-0000E5340000}"/>
    <cellStyle name="입력 3 8 2 2 4" xfId="12677" xr:uid="{00000000-0005-0000-0000-0000E6340000}"/>
    <cellStyle name="입력 3 8 2 2 5" xfId="12678" xr:uid="{00000000-0005-0000-0000-0000E7340000}"/>
    <cellStyle name="입력 3 8 3" xfId="12679" xr:uid="{00000000-0005-0000-0000-0000E8340000}"/>
    <cellStyle name="입력 3 8 3 2" xfId="12680" xr:uid="{00000000-0005-0000-0000-0000E9340000}"/>
    <cellStyle name="입력 3 8 3 3" xfId="12681" xr:uid="{00000000-0005-0000-0000-0000EA340000}"/>
    <cellStyle name="입력 3 8 3 4" xfId="12682" xr:uid="{00000000-0005-0000-0000-0000EB340000}"/>
    <cellStyle name="입력 3 8 3 5" xfId="12683" xr:uid="{00000000-0005-0000-0000-0000EC340000}"/>
    <cellStyle name="입력 3 9" xfId="12684" xr:uid="{00000000-0005-0000-0000-0000ED340000}"/>
    <cellStyle name="입력 3 9 2" xfId="12685" xr:uid="{00000000-0005-0000-0000-0000EE340000}"/>
    <cellStyle name="입력 3 9 2 2" xfId="12686" xr:uid="{00000000-0005-0000-0000-0000EF340000}"/>
    <cellStyle name="입력 3 9 2 2 2" xfId="12687" xr:uid="{00000000-0005-0000-0000-0000F0340000}"/>
    <cellStyle name="입력 3 9 2 2 3" xfId="12688" xr:uid="{00000000-0005-0000-0000-0000F1340000}"/>
    <cellStyle name="입력 3 9 2 2 4" xfId="12689" xr:uid="{00000000-0005-0000-0000-0000F2340000}"/>
    <cellStyle name="입력 3 9 2 2 5" xfId="12690" xr:uid="{00000000-0005-0000-0000-0000F3340000}"/>
    <cellStyle name="입력 3 9 3" xfId="12691" xr:uid="{00000000-0005-0000-0000-0000F4340000}"/>
    <cellStyle name="입력 3 9 3 2" xfId="12692" xr:uid="{00000000-0005-0000-0000-0000F5340000}"/>
    <cellStyle name="입력 3 9 3 3" xfId="12693" xr:uid="{00000000-0005-0000-0000-0000F6340000}"/>
    <cellStyle name="입력 3 9 3 4" xfId="12694" xr:uid="{00000000-0005-0000-0000-0000F7340000}"/>
    <cellStyle name="입력 3 9 3 5" xfId="12695" xr:uid="{00000000-0005-0000-0000-0000F8340000}"/>
    <cellStyle name="입력 4" xfId="12696" xr:uid="{00000000-0005-0000-0000-0000F9340000}"/>
    <cellStyle name="입력 4 10" xfId="12697" xr:uid="{00000000-0005-0000-0000-0000FA340000}"/>
    <cellStyle name="입력 4 10 2" xfId="12698" xr:uid="{00000000-0005-0000-0000-0000FB340000}"/>
    <cellStyle name="입력 4 10 2 2" xfId="12699" xr:uid="{00000000-0005-0000-0000-0000FC340000}"/>
    <cellStyle name="입력 4 10 2 3" xfId="12700" xr:uid="{00000000-0005-0000-0000-0000FD340000}"/>
    <cellStyle name="입력 4 10 2 4" xfId="12701" xr:uid="{00000000-0005-0000-0000-0000FE340000}"/>
    <cellStyle name="입력 4 10 2 5" xfId="12702" xr:uid="{00000000-0005-0000-0000-0000FF340000}"/>
    <cellStyle name="입력 4 11" xfId="12703" xr:uid="{00000000-0005-0000-0000-000000350000}"/>
    <cellStyle name="입력 4 11 2" xfId="12704" xr:uid="{00000000-0005-0000-0000-000001350000}"/>
    <cellStyle name="입력 4 11 3" xfId="12705" xr:uid="{00000000-0005-0000-0000-000002350000}"/>
    <cellStyle name="입력 4 11 4" xfId="12706" xr:uid="{00000000-0005-0000-0000-000003350000}"/>
    <cellStyle name="입력 4 11 5" xfId="12707" xr:uid="{00000000-0005-0000-0000-000004350000}"/>
    <cellStyle name="입력 4 2" xfId="12708" xr:uid="{00000000-0005-0000-0000-000005350000}"/>
    <cellStyle name="입력 4 2 2" xfId="12709" xr:uid="{00000000-0005-0000-0000-000006350000}"/>
    <cellStyle name="입력 4 2 2 2" xfId="12710" xr:uid="{00000000-0005-0000-0000-000007350000}"/>
    <cellStyle name="입력 4 2 2 2 2" xfId="12711" xr:uid="{00000000-0005-0000-0000-000008350000}"/>
    <cellStyle name="입력 4 2 2 2 3" xfId="12712" xr:uid="{00000000-0005-0000-0000-000009350000}"/>
    <cellStyle name="입력 4 2 2 2 4" xfId="12713" xr:uid="{00000000-0005-0000-0000-00000A350000}"/>
    <cellStyle name="입력 4 2 2 2 5" xfId="12714" xr:uid="{00000000-0005-0000-0000-00000B350000}"/>
    <cellStyle name="입력 4 2 3" xfId="12715" xr:uid="{00000000-0005-0000-0000-00000C350000}"/>
    <cellStyle name="입력 4 2 3 2" xfId="12716" xr:uid="{00000000-0005-0000-0000-00000D350000}"/>
    <cellStyle name="입력 4 2 3 3" xfId="12717" xr:uid="{00000000-0005-0000-0000-00000E350000}"/>
    <cellStyle name="입력 4 2 3 4" xfId="12718" xr:uid="{00000000-0005-0000-0000-00000F350000}"/>
    <cellStyle name="입력 4 2 3 5" xfId="12719" xr:uid="{00000000-0005-0000-0000-000010350000}"/>
    <cellStyle name="입력 4 3" xfId="12720" xr:uid="{00000000-0005-0000-0000-000011350000}"/>
    <cellStyle name="입력 4 3 2" xfId="12721" xr:uid="{00000000-0005-0000-0000-000012350000}"/>
    <cellStyle name="입력 4 3 2 2" xfId="12722" xr:uid="{00000000-0005-0000-0000-000013350000}"/>
    <cellStyle name="입력 4 3 2 2 2" xfId="12723" xr:uid="{00000000-0005-0000-0000-000014350000}"/>
    <cellStyle name="입력 4 3 2 2 3" xfId="12724" xr:uid="{00000000-0005-0000-0000-000015350000}"/>
    <cellStyle name="입력 4 3 2 2 4" xfId="12725" xr:uid="{00000000-0005-0000-0000-000016350000}"/>
    <cellStyle name="입력 4 3 2 2 5" xfId="12726" xr:uid="{00000000-0005-0000-0000-000017350000}"/>
    <cellStyle name="입력 4 3 3" xfId="12727" xr:uid="{00000000-0005-0000-0000-000018350000}"/>
    <cellStyle name="입력 4 3 3 2" xfId="12728" xr:uid="{00000000-0005-0000-0000-000019350000}"/>
    <cellStyle name="입력 4 3 3 3" xfId="12729" xr:uid="{00000000-0005-0000-0000-00001A350000}"/>
    <cellStyle name="입력 4 3 3 4" xfId="12730" xr:uid="{00000000-0005-0000-0000-00001B350000}"/>
    <cellStyle name="입력 4 3 3 5" xfId="12731" xr:uid="{00000000-0005-0000-0000-00001C350000}"/>
    <cellStyle name="입력 4 4" xfId="12732" xr:uid="{00000000-0005-0000-0000-00001D350000}"/>
    <cellStyle name="입력 4 4 2" xfId="12733" xr:uid="{00000000-0005-0000-0000-00001E350000}"/>
    <cellStyle name="입력 4 4 2 2" xfId="12734" xr:uid="{00000000-0005-0000-0000-00001F350000}"/>
    <cellStyle name="입력 4 4 2 2 2" xfId="12735" xr:uid="{00000000-0005-0000-0000-000020350000}"/>
    <cellStyle name="입력 4 4 2 2 3" xfId="12736" xr:uid="{00000000-0005-0000-0000-000021350000}"/>
    <cellStyle name="입력 4 4 2 2 4" xfId="12737" xr:uid="{00000000-0005-0000-0000-000022350000}"/>
    <cellStyle name="입력 4 4 2 2 5" xfId="12738" xr:uid="{00000000-0005-0000-0000-000023350000}"/>
    <cellStyle name="입력 4 4 3" xfId="12739" xr:uid="{00000000-0005-0000-0000-000024350000}"/>
    <cellStyle name="입력 4 4 3 2" xfId="12740" xr:uid="{00000000-0005-0000-0000-000025350000}"/>
    <cellStyle name="입력 4 4 3 3" xfId="12741" xr:uid="{00000000-0005-0000-0000-000026350000}"/>
    <cellStyle name="입력 4 4 3 4" xfId="12742" xr:uid="{00000000-0005-0000-0000-000027350000}"/>
    <cellStyle name="입력 4 4 3 5" xfId="12743" xr:uid="{00000000-0005-0000-0000-000028350000}"/>
    <cellStyle name="입력 4 5" xfId="12744" xr:uid="{00000000-0005-0000-0000-000029350000}"/>
    <cellStyle name="입력 4 5 2" xfId="12745" xr:uid="{00000000-0005-0000-0000-00002A350000}"/>
    <cellStyle name="입력 4 5 2 2" xfId="12746" xr:uid="{00000000-0005-0000-0000-00002B350000}"/>
    <cellStyle name="입력 4 5 2 2 2" xfId="12747" xr:uid="{00000000-0005-0000-0000-00002C350000}"/>
    <cellStyle name="입력 4 5 2 2 3" xfId="12748" xr:uid="{00000000-0005-0000-0000-00002D350000}"/>
    <cellStyle name="입력 4 5 2 2 4" xfId="12749" xr:uid="{00000000-0005-0000-0000-00002E350000}"/>
    <cellStyle name="입력 4 5 2 2 5" xfId="12750" xr:uid="{00000000-0005-0000-0000-00002F350000}"/>
    <cellStyle name="입력 4 5 3" xfId="12751" xr:uid="{00000000-0005-0000-0000-000030350000}"/>
    <cellStyle name="입력 4 5 3 2" xfId="12752" xr:uid="{00000000-0005-0000-0000-000031350000}"/>
    <cellStyle name="입력 4 5 3 3" xfId="12753" xr:uid="{00000000-0005-0000-0000-000032350000}"/>
    <cellStyle name="입력 4 5 3 4" xfId="12754" xr:uid="{00000000-0005-0000-0000-000033350000}"/>
    <cellStyle name="입력 4 5 3 5" xfId="12755" xr:uid="{00000000-0005-0000-0000-000034350000}"/>
    <cellStyle name="입력 4 6" xfId="12756" xr:uid="{00000000-0005-0000-0000-000035350000}"/>
    <cellStyle name="입력 4 6 2" xfId="12757" xr:uid="{00000000-0005-0000-0000-000036350000}"/>
    <cellStyle name="입력 4 6 2 2" xfId="12758" xr:uid="{00000000-0005-0000-0000-000037350000}"/>
    <cellStyle name="입력 4 6 2 2 2" xfId="12759" xr:uid="{00000000-0005-0000-0000-000038350000}"/>
    <cellStyle name="입력 4 6 2 2 3" xfId="12760" xr:uid="{00000000-0005-0000-0000-000039350000}"/>
    <cellStyle name="입력 4 6 2 2 4" xfId="12761" xr:uid="{00000000-0005-0000-0000-00003A350000}"/>
    <cellStyle name="입력 4 6 2 2 5" xfId="12762" xr:uid="{00000000-0005-0000-0000-00003B350000}"/>
    <cellStyle name="입력 4 6 3" xfId="12763" xr:uid="{00000000-0005-0000-0000-00003C350000}"/>
    <cellStyle name="입력 4 6 3 2" xfId="12764" xr:uid="{00000000-0005-0000-0000-00003D350000}"/>
    <cellStyle name="입력 4 6 3 3" xfId="12765" xr:uid="{00000000-0005-0000-0000-00003E350000}"/>
    <cellStyle name="입력 4 6 3 4" xfId="12766" xr:uid="{00000000-0005-0000-0000-00003F350000}"/>
    <cellStyle name="입력 4 6 3 5" xfId="12767" xr:uid="{00000000-0005-0000-0000-000040350000}"/>
    <cellStyle name="입력 4 7" xfId="12768" xr:uid="{00000000-0005-0000-0000-000041350000}"/>
    <cellStyle name="입력 4 7 2" xfId="12769" xr:uid="{00000000-0005-0000-0000-000042350000}"/>
    <cellStyle name="입력 4 7 2 2" xfId="12770" xr:uid="{00000000-0005-0000-0000-000043350000}"/>
    <cellStyle name="입력 4 7 2 2 2" xfId="12771" xr:uid="{00000000-0005-0000-0000-000044350000}"/>
    <cellStyle name="입력 4 7 2 2 3" xfId="12772" xr:uid="{00000000-0005-0000-0000-000045350000}"/>
    <cellStyle name="입력 4 7 2 2 4" xfId="12773" xr:uid="{00000000-0005-0000-0000-000046350000}"/>
    <cellStyle name="입력 4 7 2 2 5" xfId="12774" xr:uid="{00000000-0005-0000-0000-000047350000}"/>
    <cellStyle name="입력 4 7 3" xfId="12775" xr:uid="{00000000-0005-0000-0000-000048350000}"/>
    <cellStyle name="입력 4 7 3 2" xfId="12776" xr:uid="{00000000-0005-0000-0000-000049350000}"/>
    <cellStyle name="입력 4 7 3 3" xfId="12777" xr:uid="{00000000-0005-0000-0000-00004A350000}"/>
    <cellStyle name="입력 4 7 3 4" xfId="12778" xr:uid="{00000000-0005-0000-0000-00004B350000}"/>
    <cellStyle name="입력 4 7 3 5" xfId="12779" xr:uid="{00000000-0005-0000-0000-00004C350000}"/>
    <cellStyle name="입력 4 8" xfId="12780" xr:uid="{00000000-0005-0000-0000-00004D350000}"/>
    <cellStyle name="입력 4 8 2" xfId="12781" xr:uid="{00000000-0005-0000-0000-00004E350000}"/>
    <cellStyle name="입력 4 8 2 2" xfId="12782" xr:uid="{00000000-0005-0000-0000-00004F350000}"/>
    <cellStyle name="입력 4 8 2 2 2" xfId="12783" xr:uid="{00000000-0005-0000-0000-000050350000}"/>
    <cellStyle name="입력 4 8 2 2 3" xfId="12784" xr:uid="{00000000-0005-0000-0000-000051350000}"/>
    <cellStyle name="입력 4 8 2 2 4" xfId="12785" xr:uid="{00000000-0005-0000-0000-000052350000}"/>
    <cellStyle name="입력 4 8 2 2 5" xfId="12786" xr:uid="{00000000-0005-0000-0000-000053350000}"/>
    <cellStyle name="입력 4 8 3" xfId="12787" xr:uid="{00000000-0005-0000-0000-000054350000}"/>
    <cellStyle name="입력 4 8 3 2" xfId="12788" xr:uid="{00000000-0005-0000-0000-000055350000}"/>
    <cellStyle name="입력 4 8 3 3" xfId="12789" xr:uid="{00000000-0005-0000-0000-000056350000}"/>
    <cellStyle name="입력 4 8 3 4" xfId="12790" xr:uid="{00000000-0005-0000-0000-000057350000}"/>
    <cellStyle name="입력 4 8 3 5" xfId="12791" xr:uid="{00000000-0005-0000-0000-000058350000}"/>
    <cellStyle name="입력 4 9" xfId="12792" xr:uid="{00000000-0005-0000-0000-000059350000}"/>
    <cellStyle name="입력 4 9 2" xfId="12793" xr:uid="{00000000-0005-0000-0000-00005A350000}"/>
    <cellStyle name="입력 4 9 2 2" xfId="12794" xr:uid="{00000000-0005-0000-0000-00005B350000}"/>
    <cellStyle name="입력 4 9 2 2 2" xfId="12795" xr:uid="{00000000-0005-0000-0000-00005C350000}"/>
    <cellStyle name="입력 4 9 2 2 3" xfId="12796" xr:uid="{00000000-0005-0000-0000-00005D350000}"/>
    <cellStyle name="입력 4 9 2 2 4" xfId="12797" xr:uid="{00000000-0005-0000-0000-00005E350000}"/>
    <cellStyle name="입력 4 9 2 2 5" xfId="12798" xr:uid="{00000000-0005-0000-0000-00005F350000}"/>
    <cellStyle name="입력 4 9 3" xfId="12799" xr:uid="{00000000-0005-0000-0000-000060350000}"/>
    <cellStyle name="입력 4 9 3 2" xfId="12800" xr:uid="{00000000-0005-0000-0000-000061350000}"/>
    <cellStyle name="입력 4 9 3 3" xfId="12801" xr:uid="{00000000-0005-0000-0000-000062350000}"/>
    <cellStyle name="입력 4 9 3 4" xfId="12802" xr:uid="{00000000-0005-0000-0000-000063350000}"/>
    <cellStyle name="입력 4 9 3 5" xfId="12803" xr:uid="{00000000-0005-0000-0000-000064350000}"/>
    <cellStyle name="입력 5" xfId="12804" xr:uid="{00000000-0005-0000-0000-000065350000}"/>
    <cellStyle name="입력 5 10" xfId="12805" xr:uid="{00000000-0005-0000-0000-000066350000}"/>
    <cellStyle name="입력 5 10 2" xfId="12806" xr:uid="{00000000-0005-0000-0000-000067350000}"/>
    <cellStyle name="입력 5 10 2 2" xfId="12807" xr:uid="{00000000-0005-0000-0000-000068350000}"/>
    <cellStyle name="입력 5 10 2 3" xfId="12808" xr:uid="{00000000-0005-0000-0000-000069350000}"/>
    <cellStyle name="입력 5 10 2 4" xfId="12809" xr:uid="{00000000-0005-0000-0000-00006A350000}"/>
    <cellStyle name="입력 5 10 2 5" xfId="12810" xr:uid="{00000000-0005-0000-0000-00006B350000}"/>
    <cellStyle name="입력 5 11" xfId="12811" xr:uid="{00000000-0005-0000-0000-00006C350000}"/>
    <cellStyle name="입력 5 11 2" xfId="12812" xr:uid="{00000000-0005-0000-0000-00006D350000}"/>
    <cellStyle name="입력 5 11 3" xfId="12813" xr:uid="{00000000-0005-0000-0000-00006E350000}"/>
    <cellStyle name="입력 5 11 4" xfId="12814" xr:uid="{00000000-0005-0000-0000-00006F350000}"/>
    <cellStyle name="입력 5 11 5" xfId="12815" xr:uid="{00000000-0005-0000-0000-000070350000}"/>
    <cellStyle name="입력 5 2" xfId="12816" xr:uid="{00000000-0005-0000-0000-000071350000}"/>
    <cellStyle name="입력 5 2 2" xfId="12817" xr:uid="{00000000-0005-0000-0000-000072350000}"/>
    <cellStyle name="입력 5 2 2 2" xfId="12818" xr:uid="{00000000-0005-0000-0000-000073350000}"/>
    <cellStyle name="입력 5 2 2 2 2" xfId="12819" xr:uid="{00000000-0005-0000-0000-000074350000}"/>
    <cellStyle name="입력 5 2 2 2 3" xfId="12820" xr:uid="{00000000-0005-0000-0000-000075350000}"/>
    <cellStyle name="입력 5 2 2 2 4" xfId="12821" xr:uid="{00000000-0005-0000-0000-000076350000}"/>
    <cellStyle name="입력 5 2 2 2 5" xfId="12822" xr:uid="{00000000-0005-0000-0000-000077350000}"/>
    <cellStyle name="입력 5 2 3" xfId="12823" xr:uid="{00000000-0005-0000-0000-000078350000}"/>
    <cellStyle name="입력 5 2 3 2" xfId="12824" xr:uid="{00000000-0005-0000-0000-000079350000}"/>
    <cellStyle name="입력 5 2 3 3" xfId="12825" xr:uid="{00000000-0005-0000-0000-00007A350000}"/>
    <cellStyle name="입력 5 2 3 4" xfId="12826" xr:uid="{00000000-0005-0000-0000-00007B350000}"/>
    <cellStyle name="입력 5 2 3 5" xfId="12827" xr:uid="{00000000-0005-0000-0000-00007C350000}"/>
    <cellStyle name="입력 5 3" xfId="12828" xr:uid="{00000000-0005-0000-0000-00007D350000}"/>
    <cellStyle name="입력 5 3 2" xfId="12829" xr:uid="{00000000-0005-0000-0000-00007E350000}"/>
    <cellStyle name="입력 5 3 2 2" xfId="12830" xr:uid="{00000000-0005-0000-0000-00007F350000}"/>
    <cellStyle name="입력 5 3 2 2 2" xfId="12831" xr:uid="{00000000-0005-0000-0000-000080350000}"/>
    <cellStyle name="입력 5 3 2 2 3" xfId="12832" xr:uid="{00000000-0005-0000-0000-000081350000}"/>
    <cellStyle name="입력 5 3 2 2 4" xfId="12833" xr:uid="{00000000-0005-0000-0000-000082350000}"/>
    <cellStyle name="입력 5 3 2 2 5" xfId="12834" xr:uid="{00000000-0005-0000-0000-000083350000}"/>
    <cellStyle name="입력 5 3 3" xfId="12835" xr:uid="{00000000-0005-0000-0000-000084350000}"/>
    <cellStyle name="입력 5 3 3 2" xfId="12836" xr:uid="{00000000-0005-0000-0000-000085350000}"/>
    <cellStyle name="입력 5 3 3 3" xfId="12837" xr:uid="{00000000-0005-0000-0000-000086350000}"/>
    <cellStyle name="입력 5 3 3 4" xfId="12838" xr:uid="{00000000-0005-0000-0000-000087350000}"/>
    <cellStyle name="입력 5 3 3 5" xfId="12839" xr:uid="{00000000-0005-0000-0000-000088350000}"/>
    <cellStyle name="입력 5 4" xfId="12840" xr:uid="{00000000-0005-0000-0000-000089350000}"/>
    <cellStyle name="입력 5 4 2" xfId="12841" xr:uid="{00000000-0005-0000-0000-00008A350000}"/>
    <cellStyle name="입력 5 4 2 2" xfId="12842" xr:uid="{00000000-0005-0000-0000-00008B350000}"/>
    <cellStyle name="입력 5 4 2 2 2" xfId="12843" xr:uid="{00000000-0005-0000-0000-00008C350000}"/>
    <cellStyle name="입력 5 4 2 2 3" xfId="12844" xr:uid="{00000000-0005-0000-0000-00008D350000}"/>
    <cellStyle name="입력 5 4 2 2 4" xfId="12845" xr:uid="{00000000-0005-0000-0000-00008E350000}"/>
    <cellStyle name="입력 5 4 2 2 5" xfId="12846" xr:uid="{00000000-0005-0000-0000-00008F350000}"/>
    <cellStyle name="입력 5 4 3" xfId="12847" xr:uid="{00000000-0005-0000-0000-000090350000}"/>
    <cellStyle name="입력 5 4 3 2" xfId="12848" xr:uid="{00000000-0005-0000-0000-000091350000}"/>
    <cellStyle name="입력 5 4 3 3" xfId="12849" xr:uid="{00000000-0005-0000-0000-000092350000}"/>
    <cellStyle name="입력 5 4 3 4" xfId="12850" xr:uid="{00000000-0005-0000-0000-000093350000}"/>
    <cellStyle name="입력 5 4 3 5" xfId="12851" xr:uid="{00000000-0005-0000-0000-000094350000}"/>
    <cellStyle name="입력 5 5" xfId="12852" xr:uid="{00000000-0005-0000-0000-000095350000}"/>
    <cellStyle name="입력 5 5 2" xfId="12853" xr:uid="{00000000-0005-0000-0000-000096350000}"/>
    <cellStyle name="입력 5 5 2 2" xfId="12854" xr:uid="{00000000-0005-0000-0000-000097350000}"/>
    <cellStyle name="입력 5 5 2 2 2" xfId="12855" xr:uid="{00000000-0005-0000-0000-000098350000}"/>
    <cellStyle name="입력 5 5 2 2 3" xfId="12856" xr:uid="{00000000-0005-0000-0000-000099350000}"/>
    <cellStyle name="입력 5 5 2 2 4" xfId="12857" xr:uid="{00000000-0005-0000-0000-00009A350000}"/>
    <cellStyle name="입력 5 5 2 2 5" xfId="12858" xr:uid="{00000000-0005-0000-0000-00009B350000}"/>
    <cellStyle name="입력 5 5 3" xfId="12859" xr:uid="{00000000-0005-0000-0000-00009C350000}"/>
    <cellStyle name="입력 5 5 3 2" xfId="12860" xr:uid="{00000000-0005-0000-0000-00009D350000}"/>
    <cellStyle name="입력 5 5 3 3" xfId="12861" xr:uid="{00000000-0005-0000-0000-00009E350000}"/>
    <cellStyle name="입력 5 5 3 4" xfId="12862" xr:uid="{00000000-0005-0000-0000-00009F350000}"/>
    <cellStyle name="입력 5 5 3 5" xfId="12863" xr:uid="{00000000-0005-0000-0000-0000A0350000}"/>
    <cellStyle name="입력 5 6" xfId="12864" xr:uid="{00000000-0005-0000-0000-0000A1350000}"/>
    <cellStyle name="입력 5 6 2" xfId="12865" xr:uid="{00000000-0005-0000-0000-0000A2350000}"/>
    <cellStyle name="입력 5 6 2 2" xfId="12866" xr:uid="{00000000-0005-0000-0000-0000A3350000}"/>
    <cellStyle name="입력 5 6 2 2 2" xfId="12867" xr:uid="{00000000-0005-0000-0000-0000A4350000}"/>
    <cellStyle name="입력 5 6 2 2 3" xfId="12868" xr:uid="{00000000-0005-0000-0000-0000A5350000}"/>
    <cellStyle name="입력 5 6 2 2 4" xfId="12869" xr:uid="{00000000-0005-0000-0000-0000A6350000}"/>
    <cellStyle name="입력 5 6 2 2 5" xfId="12870" xr:uid="{00000000-0005-0000-0000-0000A7350000}"/>
    <cellStyle name="입력 5 6 3" xfId="12871" xr:uid="{00000000-0005-0000-0000-0000A8350000}"/>
    <cellStyle name="입력 5 6 3 2" xfId="12872" xr:uid="{00000000-0005-0000-0000-0000A9350000}"/>
    <cellStyle name="입력 5 6 3 3" xfId="12873" xr:uid="{00000000-0005-0000-0000-0000AA350000}"/>
    <cellStyle name="입력 5 6 3 4" xfId="12874" xr:uid="{00000000-0005-0000-0000-0000AB350000}"/>
    <cellStyle name="입력 5 6 3 5" xfId="12875" xr:uid="{00000000-0005-0000-0000-0000AC350000}"/>
    <cellStyle name="입력 5 7" xfId="12876" xr:uid="{00000000-0005-0000-0000-0000AD350000}"/>
    <cellStyle name="입력 5 7 2" xfId="12877" xr:uid="{00000000-0005-0000-0000-0000AE350000}"/>
    <cellStyle name="입력 5 7 2 2" xfId="12878" xr:uid="{00000000-0005-0000-0000-0000AF350000}"/>
    <cellStyle name="입력 5 7 2 2 2" xfId="12879" xr:uid="{00000000-0005-0000-0000-0000B0350000}"/>
    <cellStyle name="입력 5 7 2 2 3" xfId="12880" xr:uid="{00000000-0005-0000-0000-0000B1350000}"/>
    <cellStyle name="입력 5 7 2 2 4" xfId="12881" xr:uid="{00000000-0005-0000-0000-0000B2350000}"/>
    <cellStyle name="입력 5 7 2 2 5" xfId="12882" xr:uid="{00000000-0005-0000-0000-0000B3350000}"/>
    <cellStyle name="입력 5 7 3" xfId="12883" xr:uid="{00000000-0005-0000-0000-0000B4350000}"/>
    <cellStyle name="입력 5 7 3 2" xfId="12884" xr:uid="{00000000-0005-0000-0000-0000B5350000}"/>
    <cellStyle name="입력 5 7 3 3" xfId="12885" xr:uid="{00000000-0005-0000-0000-0000B6350000}"/>
    <cellStyle name="입력 5 7 3 4" xfId="12886" xr:uid="{00000000-0005-0000-0000-0000B7350000}"/>
    <cellStyle name="입력 5 7 3 5" xfId="12887" xr:uid="{00000000-0005-0000-0000-0000B8350000}"/>
    <cellStyle name="입력 5 8" xfId="12888" xr:uid="{00000000-0005-0000-0000-0000B9350000}"/>
    <cellStyle name="입력 5 8 2" xfId="12889" xr:uid="{00000000-0005-0000-0000-0000BA350000}"/>
    <cellStyle name="입력 5 8 2 2" xfId="12890" xr:uid="{00000000-0005-0000-0000-0000BB350000}"/>
    <cellStyle name="입력 5 8 2 2 2" xfId="12891" xr:uid="{00000000-0005-0000-0000-0000BC350000}"/>
    <cellStyle name="입력 5 8 2 2 3" xfId="12892" xr:uid="{00000000-0005-0000-0000-0000BD350000}"/>
    <cellStyle name="입력 5 8 2 2 4" xfId="12893" xr:uid="{00000000-0005-0000-0000-0000BE350000}"/>
    <cellStyle name="입력 5 8 2 2 5" xfId="12894" xr:uid="{00000000-0005-0000-0000-0000BF350000}"/>
    <cellStyle name="입력 5 8 3" xfId="12895" xr:uid="{00000000-0005-0000-0000-0000C0350000}"/>
    <cellStyle name="입력 5 8 3 2" xfId="12896" xr:uid="{00000000-0005-0000-0000-0000C1350000}"/>
    <cellStyle name="입력 5 8 3 3" xfId="12897" xr:uid="{00000000-0005-0000-0000-0000C2350000}"/>
    <cellStyle name="입력 5 8 3 4" xfId="12898" xr:uid="{00000000-0005-0000-0000-0000C3350000}"/>
    <cellStyle name="입력 5 8 3 5" xfId="12899" xr:uid="{00000000-0005-0000-0000-0000C4350000}"/>
    <cellStyle name="입력 5 9" xfId="12900" xr:uid="{00000000-0005-0000-0000-0000C5350000}"/>
    <cellStyle name="입력 5 9 2" xfId="12901" xr:uid="{00000000-0005-0000-0000-0000C6350000}"/>
    <cellStyle name="입력 5 9 2 2" xfId="12902" xr:uid="{00000000-0005-0000-0000-0000C7350000}"/>
    <cellStyle name="입력 5 9 2 2 2" xfId="12903" xr:uid="{00000000-0005-0000-0000-0000C8350000}"/>
    <cellStyle name="입력 5 9 2 2 3" xfId="12904" xr:uid="{00000000-0005-0000-0000-0000C9350000}"/>
    <cellStyle name="입력 5 9 2 2 4" xfId="12905" xr:uid="{00000000-0005-0000-0000-0000CA350000}"/>
    <cellStyle name="입력 5 9 2 2 5" xfId="12906" xr:uid="{00000000-0005-0000-0000-0000CB350000}"/>
    <cellStyle name="입력 5 9 3" xfId="12907" xr:uid="{00000000-0005-0000-0000-0000CC350000}"/>
    <cellStyle name="입력 5 9 3 2" xfId="12908" xr:uid="{00000000-0005-0000-0000-0000CD350000}"/>
    <cellStyle name="입력 5 9 3 3" xfId="12909" xr:uid="{00000000-0005-0000-0000-0000CE350000}"/>
    <cellStyle name="입력 5 9 3 4" xfId="12910" xr:uid="{00000000-0005-0000-0000-0000CF350000}"/>
    <cellStyle name="입력 5 9 3 5" xfId="12911" xr:uid="{00000000-0005-0000-0000-0000D0350000}"/>
    <cellStyle name="입력 6" xfId="12912" xr:uid="{00000000-0005-0000-0000-0000D1350000}"/>
    <cellStyle name="입력 6 10" xfId="12913" xr:uid="{00000000-0005-0000-0000-0000D2350000}"/>
    <cellStyle name="입력 6 10 2" xfId="12914" xr:uid="{00000000-0005-0000-0000-0000D3350000}"/>
    <cellStyle name="입력 6 10 2 2" xfId="12915" xr:uid="{00000000-0005-0000-0000-0000D4350000}"/>
    <cellStyle name="입력 6 10 2 3" xfId="12916" xr:uid="{00000000-0005-0000-0000-0000D5350000}"/>
    <cellStyle name="입력 6 10 2 4" xfId="12917" xr:uid="{00000000-0005-0000-0000-0000D6350000}"/>
    <cellStyle name="입력 6 10 2 5" xfId="12918" xr:uid="{00000000-0005-0000-0000-0000D7350000}"/>
    <cellStyle name="입력 6 11" xfId="12919" xr:uid="{00000000-0005-0000-0000-0000D8350000}"/>
    <cellStyle name="입력 6 11 2" xfId="12920" xr:uid="{00000000-0005-0000-0000-0000D9350000}"/>
    <cellStyle name="입력 6 11 3" xfId="12921" xr:uid="{00000000-0005-0000-0000-0000DA350000}"/>
    <cellStyle name="입력 6 11 4" xfId="12922" xr:uid="{00000000-0005-0000-0000-0000DB350000}"/>
    <cellStyle name="입력 6 11 5" xfId="12923" xr:uid="{00000000-0005-0000-0000-0000DC350000}"/>
    <cellStyle name="입력 6 2" xfId="12924" xr:uid="{00000000-0005-0000-0000-0000DD350000}"/>
    <cellStyle name="입력 6 2 2" xfId="12925" xr:uid="{00000000-0005-0000-0000-0000DE350000}"/>
    <cellStyle name="입력 6 2 2 2" xfId="12926" xr:uid="{00000000-0005-0000-0000-0000DF350000}"/>
    <cellStyle name="입력 6 2 2 2 2" xfId="12927" xr:uid="{00000000-0005-0000-0000-0000E0350000}"/>
    <cellStyle name="입력 6 2 2 2 3" xfId="12928" xr:uid="{00000000-0005-0000-0000-0000E1350000}"/>
    <cellStyle name="입력 6 2 2 2 4" xfId="12929" xr:uid="{00000000-0005-0000-0000-0000E2350000}"/>
    <cellStyle name="입력 6 2 2 2 5" xfId="12930" xr:uid="{00000000-0005-0000-0000-0000E3350000}"/>
    <cellStyle name="입력 6 2 3" xfId="12931" xr:uid="{00000000-0005-0000-0000-0000E4350000}"/>
    <cellStyle name="입력 6 2 3 2" xfId="12932" xr:uid="{00000000-0005-0000-0000-0000E5350000}"/>
    <cellStyle name="입력 6 2 3 3" xfId="12933" xr:uid="{00000000-0005-0000-0000-0000E6350000}"/>
    <cellStyle name="입력 6 2 3 4" xfId="12934" xr:uid="{00000000-0005-0000-0000-0000E7350000}"/>
    <cellStyle name="입력 6 2 3 5" xfId="12935" xr:uid="{00000000-0005-0000-0000-0000E8350000}"/>
    <cellStyle name="입력 6 3" xfId="12936" xr:uid="{00000000-0005-0000-0000-0000E9350000}"/>
    <cellStyle name="입력 6 3 2" xfId="12937" xr:uid="{00000000-0005-0000-0000-0000EA350000}"/>
    <cellStyle name="입력 6 3 2 2" xfId="12938" xr:uid="{00000000-0005-0000-0000-0000EB350000}"/>
    <cellStyle name="입력 6 3 2 2 2" xfId="12939" xr:uid="{00000000-0005-0000-0000-0000EC350000}"/>
    <cellStyle name="입력 6 3 2 2 3" xfId="12940" xr:uid="{00000000-0005-0000-0000-0000ED350000}"/>
    <cellStyle name="입력 6 3 2 2 4" xfId="12941" xr:uid="{00000000-0005-0000-0000-0000EE350000}"/>
    <cellStyle name="입력 6 3 2 2 5" xfId="12942" xr:uid="{00000000-0005-0000-0000-0000EF350000}"/>
    <cellStyle name="입력 6 3 3" xfId="12943" xr:uid="{00000000-0005-0000-0000-0000F0350000}"/>
    <cellStyle name="입력 6 3 3 2" xfId="12944" xr:uid="{00000000-0005-0000-0000-0000F1350000}"/>
    <cellStyle name="입력 6 3 3 3" xfId="12945" xr:uid="{00000000-0005-0000-0000-0000F2350000}"/>
    <cellStyle name="입력 6 3 3 4" xfId="12946" xr:uid="{00000000-0005-0000-0000-0000F3350000}"/>
    <cellStyle name="입력 6 3 3 5" xfId="12947" xr:uid="{00000000-0005-0000-0000-0000F4350000}"/>
    <cellStyle name="입력 6 4" xfId="12948" xr:uid="{00000000-0005-0000-0000-0000F5350000}"/>
    <cellStyle name="입력 6 4 2" xfId="12949" xr:uid="{00000000-0005-0000-0000-0000F6350000}"/>
    <cellStyle name="입력 6 4 2 2" xfId="12950" xr:uid="{00000000-0005-0000-0000-0000F7350000}"/>
    <cellStyle name="입력 6 4 2 2 2" xfId="12951" xr:uid="{00000000-0005-0000-0000-0000F8350000}"/>
    <cellStyle name="입력 6 4 2 2 3" xfId="12952" xr:uid="{00000000-0005-0000-0000-0000F9350000}"/>
    <cellStyle name="입력 6 4 2 2 4" xfId="12953" xr:uid="{00000000-0005-0000-0000-0000FA350000}"/>
    <cellStyle name="입력 6 4 2 2 5" xfId="12954" xr:uid="{00000000-0005-0000-0000-0000FB350000}"/>
    <cellStyle name="입력 6 4 3" xfId="12955" xr:uid="{00000000-0005-0000-0000-0000FC350000}"/>
    <cellStyle name="입력 6 4 3 2" xfId="12956" xr:uid="{00000000-0005-0000-0000-0000FD350000}"/>
    <cellStyle name="입력 6 4 3 3" xfId="12957" xr:uid="{00000000-0005-0000-0000-0000FE350000}"/>
    <cellStyle name="입력 6 4 3 4" xfId="12958" xr:uid="{00000000-0005-0000-0000-0000FF350000}"/>
    <cellStyle name="입력 6 4 3 5" xfId="12959" xr:uid="{00000000-0005-0000-0000-000000360000}"/>
    <cellStyle name="입력 6 5" xfId="12960" xr:uid="{00000000-0005-0000-0000-000001360000}"/>
    <cellStyle name="입력 6 5 2" xfId="12961" xr:uid="{00000000-0005-0000-0000-000002360000}"/>
    <cellStyle name="입력 6 5 2 2" xfId="12962" xr:uid="{00000000-0005-0000-0000-000003360000}"/>
    <cellStyle name="입력 6 5 2 2 2" xfId="12963" xr:uid="{00000000-0005-0000-0000-000004360000}"/>
    <cellStyle name="입력 6 5 2 2 3" xfId="12964" xr:uid="{00000000-0005-0000-0000-000005360000}"/>
    <cellStyle name="입력 6 5 2 2 4" xfId="12965" xr:uid="{00000000-0005-0000-0000-000006360000}"/>
    <cellStyle name="입력 6 5 2 2 5" xfId="12966" xr:uid="{00000000-0005-0000-0000-000007360000}"/>
    <cellStyle name="입력 6 5 3" xfId="12967" xr:uid="{00000000-0005-0000-0000-000008360000}"/>
    <cellStyle name="입력 6 5 3 2" xfId="12968" xr:uid="{00000000-0005-0000-0000-000009360000}"/>
    <cellStyle name="입력 6 5 3 3" xfId="12969" xr:uid="{00000000-0005-0000-0000-00000A360000}"/>
    <cellStyle name="입력 6 5 3 4" xfId="12970" xr:uid="{00000000-0005-0000-0000-00000B360000}"/>
    <cellStyle name="입력 6 5 3 5" xfId="12971" xr:uid="{00000000-0005-0000-0000-00000C360000}"/>
    <cellStyle name="입력 6 6" xfId="12972" xr:uid="{00000000-0005-0000-0000-00000D360000}"/>
    <cellStyle name="입력 6 6 2" xfId="12973" xr:uid="{00000000-0005-0000-0000-00000E360000}"/>
    <cellStyle name="입력 6 6 2 2" xfId="12974" xr:uid="{00000000-0005-0000-0000-00000F360000}"/>
    <cellStyle name="입력 6 6 2 2 2" xfId="12975" xr:uid="{00000000-0005-0000-0000-000010360000}"/>
    <cellStyle name="입력 6 6 2 2 3" xfId="12976" xr:uid="{00000000-0005-0000-0000-000011360000}"/>
    <cellStyle name="입력 6 6 2 2 4" xfId="12977" xr:uid="{00000000-0005-0000-0000-000012360000}"/>
    <cellStyle name="입력 6 6 2 2 5" xfId="12978" xr:uid="{00000000-0005-0000-0000-000013360000}"/>
    <cellStyle name="입력 6 6 3" xfId="12979" xr:uid="{00000000-0005-0000-0000-000014360000}"/>
    <cellStyle name="입력 6 6 3 2" xfId="12980" xr:uid="{00000000-0005-0000-0000-000015360000}"/>
    <cellStyle name="입력 6 6 3 3" xfId="12981" xr:uid="{00000000-0005-0000-0000-000016360000}"/>
    <cellStyle name="입력 6 6 3 4" xfId="12982" xr:uid="{00000000-0005-0000-0000-000017360000}"/>
    <cellStyle name="입력 6 6 3 5" xfId="12983" xr:uid="{00000000-0005-0000-0000-000018360000}"/>
    <cellStyle name="입력 6 7" xfId="12984" xr:uid="{00000000-0005-0000-0000-000019360000}"/>
    <cellStyle name="입력 6 7 2" xfId="12985" xr:uid="{00000000-0005-0000-0000-00001A360000}"/>
    <cellStyle name="입력 6 7 2 2" xfId="12986" xr:uid="{00000000-0005-0000-0000-00001B360000}"/>
    <cellStyle name="입력 6 7 2 2 2" xfId="12987" xr:uid="{00000000-0005-0000-0000-00001C360000}"/>
    <cellStyle name="입력 6 7 2 2 3" xfId="12988" xr:uid="{00000000-0005-0000-0000-00001D360000}"/>
    <cellStyle name="입력 6 7 2 2 4" xfId="12989" xr:uid="{00000000-0005-0000-0000-00001E360000}"/>
    <cellStyle name="입력 6 7 2 2 5" xfId="12990" xr:uid="{00000000-0005-0000-0000-00001F360000}"/>
    <cellStyle name="입력 6 7 3" xfId="12991" xr:uid="{00000000-0005-0000-0000-000020360000}"/>
    <cellStyle name="입력 6 7 3 2" xfId="12992" xr:uid="{00000000-0005-0000-0000-000021360000}"/>
    <cellStyle name="입력 6 7 3 3" xfId="12993" xr:uid="{00000000-0005-0000-0000-000022360000}"/>
    <cellStyle name="입력 6 7 3 4" xfId="12994" xr:uid="{00000000-0005-0000-0000-000023360000}"/>
    <cellStyle name="입력 6 7 3 5" xfId="12995" xr:uid="{00000000-0005-0000-0000-000024360000}"/>
    <cellStyle name="입력 6 8" xfId="12996" xr:uid="{00000000-0005-0000-0000-000025360000}"/>
    <cellStyle name="입력 6 8 2" xfId="12997" xr:uid="{00000000-0005-0000-0000-000026360000}"/>
    <cellStyle name="입력 6 8 2 2" xfId="12998" xr:uid="{00000000-0005-0000-0000-000027360000}"/>
    <cellStyle name="입력 6 8 2 2 2" xfId="12999" xr:uid="{00000000-0005-0000-0000-000028360000}"/>
    <cellStyle name="입력 6 8 2 2 3" xfId="13000" xr:uid="{00000000-0005-0000-0000-000029360000}"/>
    <cellStyle name="입력 6 8 2 2 4" xfId="13001" xr:uid="{00000000-0005-0000-0000-00002A360000}"/>
    <cellStyle name="입력 6 8 2 2 5" xfId="13002" xr:uid="{00000000-0005-0000-0000-00002B360000}"/>
    <cellStyle name="입력 6 8 3" xfId="13003" xr:uid="{00000000-0005-0000-0000-00002C360000}"/>
    <cellStyle name="입력 6 8 3 2" xfId="13004" xr:uid="{00000000-0005-0000-0000-00002D360000}"/>
    <cellStyle name="입력 6 8 3 3" xfId="13005" xr:uid="{00000000-0005-0000-0000-00002E360000}"/>
    <cellStyle name="입력 6 8 3 4" xfId="13006" xr:uid="{00000000-0005-0000-0000-00002F360000}"/>
    <cellStyle name="입력 6 8 3 5" xfId="13007" xr:uid="{00000000-0005-0000-0000-000030360000}"/>
    <cellStyle name="입력 6 9" xfId="13008" xr:uid="{00000000-0005-0000-0000-000031360000}"/>
    <cellStyle name="입력 6 9 2" xfId="13009" xr:uid="{00000000-0005-0000-0000-000032360000}"/>
    <cellStyle name="입력 6 9 2 2" xfId="13010" xr:uid="{00000000-0005-0000-0000-000033360000}"/>
    <cellStyle name="입력 6 9 2 2 2" xfId="13011" xr:uid="{00000000-0005-0000-0000-000034360000}"/>
    <cellStyle name="입력 6 9 2 2 3" xfId="13012" xr:uid="{00000000-0005-0000-0000-000035360000}"/>
    <cellStyle name="입력 6 9 2 2 4" xfId="13013" xr:uid="{00000000-0005-0000-0000-000036360000}"/>
    <cellStyle name="입력 6 9 2 2 5" xfId="13014" xr:uid="{00000000-0005-0000-0000-000037360000}"/>
    <cellStyle name="입력 6 9 3" xfId="13015" xr:uid="{00000000-0005-0000-0000-000038360000}"/>
    <cellStyle name="입력 6 9 3 2" xfId="13016" xr:uid="{00000000-0005-0000-0000-000039360000}"/>
    <cellStyle name="입력 6 9 3 3" xfId="13017" xr:uid="{00000000-0005-0000-0000-00003A360000}"/>
    <cellStyle name="입력 6 9 3 4" xfId="13018" xr:uid="{00000000-0005-0000-0000-00003B360000}"/>
    <cellStyle name="입력 6 9 3 5" xfId="13019" xr:uid="{00000000-0005-0000-0000-00003C360000}"/>
    <cellStyle name="자리수" xfId="13020" xr:uid="{00000000-0005-0000-0000-00003D360000}"/>
    <cellStyle name="자리수 2" xfId="13021" xr:uid="{00000000-0005-0000-0000-00003E360000}"/>
    <cellStyle name="자리수 2 2" xfId="13022" xr:uid="{00000000-0005-0000-0000-00003F360000}"/>
    <cellStyle name="자리수 2 2 2" xfId="13023" xr:uid="{00000000-0005-0000-0000-000040360000}"/>
    <cellStyle name="자리수 2 3" xfId="13024" xr:uid="{00000000-0005-0000-0000-000041360000}"/>
    <cellStyle name="자리수 2 4" xfId="16686" xr:uid="{00000000-0005-0000-0000-000042360000}"/>
    <cellStyle name="자리수 3" xfId="13025" xr:uid="{00000000-0005-0000-0000-000043360000}"/>
    <cellStyle name="자리수 3 2" xfId="13026" xr:uid="{00000000-0005-0000-0000-000044360000}"/>
    <cellStyle name="자리수 3 3" xfId="16687" xr:uid="{00000000-0005-0000-0000-000045360000}"/>
    <cellStyle name="자리수 4" xfId="13027" xr:uid="{00000000-0005-0000-0000-000046360000}"/>
    <cellStyle name="자리수 4 2" xfId="13028" xr:uid="{00000000-0005-0000-0000-000047360000}"/>
    <cellStyle name="자리수 4 3" xfId="16688" xr:uid="{00000000-0005-0000-0000-000048360000}"/>
    <cellStyle name="자리수 5" xfId="13029" xr:uid="{00000000-0005-0000-0000-000049360000}"/>
    <cellStyle name="자리수 6" xfId="13030" xr:uid="{00000000-0005-0000-0000-00004A360000}"/>
    <cellStyle name="자리수 7" xfId="16685" xr:uid="{00000000-0005-0000-0000-00004B360000}"/>
    <cellStyle name="자리수_태양광견적서(부안고)" xfId="16689" xr:uid="{00000000-0005-0000-0000-00004C360000}"/>
    <cellStyle name="자리수0" xfId="13031" xr:uid="{00000000-0005-0000-0000-00004D360000}"/>
    <cellStyle name="자리수0 10" xfId="13032" xr:uid="{00000000-0005-0000-0000-00004E360000}"/>
    <cellStyle name="자리수0 10 2" xfId="13033" xr:uid="{00000000-0005-0000-0000-00004F360000}"/>
    <cellStyle name="자리수0 11" xfId="13034" xr:uid="{00000000-0005-0000-0000-000050360000}"/>
    <cellStyle name="자리수0 11 2" xfId="13035" xr:uid="{00000000-0005-0000-0000-000051360000}"/>
    <cellStyle name="자리수0 12" xfId="13036" xr:uid="{00000000-0005-0000-0000-000052360000}"/>
    <cellStyle name="자리수0 12 2" xfId="13037" xr:uid="{00000000-0005-0000-0000-000053360000}"/>
    <cellStyle name="자리수0 13" xfId="13038" xr:uid="{00000000-0005-0000-0000-000054360000}"/>
    <cellStyle name="자리수0 13 2" xfId="13039" xr:uid="{00000000-0005-0000-0000-000055360000}"/>
    <cellStyle name="자리수0 14" xfId="13040" xr:uid="{00000000-0005-0000-0000-000056360000}"/>
    <cellStyle name="자리수0 15" xfId="13041" xr:uid="{00000000-0005-0000-0000-000057360000}"/>
    <cellStyle name="자리수0 16" xfId="13042" xr:uid="{00000000-0005-0000-0000-000058360000}"/>
    <cellStyle name="자리수0 17" xfId="16690" xr:uid="{00000000-0005-0000-0000-000059360000}"/>
    <cellStyle name="자리수0 2" xfId="13043" xr:uid="{00000000-0005-0000-0000-00005A360000}"/>
    <cellStyle name="자리수0 2 2" xfId="13044" xr:uid="{00000000-0005-0000-0000-00005B360000}"/>
    <cellStyle name="자리수0 2 2 2" xfId="13045" xr:uid="{00000000-0005-0000-0000-00005C360000}"/>
    <cellStyle name="자리수0 2 2 3" xfId="16692" xr:uid="{00000000-0005-0000-0000-00005D360000}"/>
    <cellStyle name="자리수0 2 3" xfId="13046" xr:uid="{00000000-0005-0000-0000-00005E360000}"/>
    <cellStyle name="자리수0 2 4" xfId="16691" xr:uid="{00000000-0005-0000-0000-00005F360000}"/>
    <cellStyle name="자리수0 3" xfId="13047" xr:uid="{00000000-0005-0000-0000-000060360000}"/>
    <cellStyle name="자리수0 3 2" xfId="13048" xr:uid="{00000000-0005-0000-0000-000061360000}"/>
    <cellStyle name="자리수0 3 3" xfId="16693" xr:uid="{00000000-0005-0000-0000-000062360000}"/>
    <cellStyle name="자리수0 4" xfId="13049" xr:uid="{00000000-0005-0000-0000-000063360000}"/>
    <cellStyle name="자리수0 4 2" xfId="13050" xr:uid="{00000000-0005-0000-0000-000064360000}"/>
    <cellStyle name="자리수0 4 3" xfId="16694" xr:uid="{00000000-0005-0000-0000-000065360000}"/>
    <cellStyle name="자리수0 5" xfId="13051" xr:uid="{00000000-0005-0000-0000-000066360000}"/>
    <cellStyle name="자리수0 5 2" xfId="13052" xr:uid="{00000000-0005-0000-0000-000067360000}"/>
    <cellStyle name="자리수0 6" xfId="13053" xr:uid="{00000000-0005-0000-0000-000068360000}"/>
    <cellStyle name="자리수0 6 2" xfId="13054" xr:uid="{00000000-0005-0000-0000-000069360000}"/>
    <cellStyle name="자리수0 7" xfId="13055" xr:uid="{00000000-0005-0000-0000-00006A360000}"/>
    <cellStyle name="자리수0 7 2" xfId="13056" xr:uid="{00000000-0005-0000-0000-00006B360000}"/>
    <cellStyle name="자리수0 8" xfId="13057" xr:uid="{00000000-0005-0000-0000-00006C360000}"/>
    <cellStyle name="자리수0 8 2" xfId="13058" xr:uid="{00000000-0005-0000-0000-00006D360000}"/>
    <cellStyle name="자리수0 9" xfId="13059" xr:uid="{00000000-0005-0000-0000-00006E360000}"/>
    <cellStyle name="자리수0 9 2" xfId="13060" xr:uid="{00000000-0005-0000-0000-00006F360000}"/>
    <cellStyle name="자리수0_1부여부지 콘도미니엄 신축공사 AV설비 견적서_20100121" xfId="13061" xr:uid="{00000000-0005-0000-0000-000070360000}"/>
    <cellStyle name="정렬" xfId="13062" xr:uid="{00000000-0005-0000-0000-000071360000}"/>
    <cellStyle name="정렬 2" xfId="16695" xr:uid="{00000000-0005-0000-0000-000072360000}"/>
    <cellStyle name="정렬범위" xfId="16696" xr:uid="{00000000-0005-0000-0000-000073360000}"/>
    <cellStyle name="제목 1 2" xfId="13063" xr:uid="{00000000-0005-0000-0000-000074360000}"/>
    <cellStyle name="제목 1 2 10" xfId="13064" xr:uid="{00000000-0005-0000-0000-000075360000}"/>
    <cellStyle name="제목 1 2 11" xfId="16697" xr:uid="{00000000-0005-0000-0000-000076360000}"/>
    <cellStyle name="제목 1 2 12" xfId="16942" xr:uid="{00000000-0005-0000-0000-000077360000}"/>
    <cellStyle name="제목 1 2 2" xfId="13065" xr:uid="{00000000-0005-0000-0000-000078360000}"/>
    <cellStyle name="제목 1 2 2 2" xfId="13066" xr:uid="{00000000-0005-0000-0000-000079360000}"/>
    <cellStyle name="제목 1 2 3" xfId="13067" xr:uid="{00000000-0005-0000-0000-00007A360000}"/>
    <cellStyle name="제목 1 2 3 2" xfId="13068" xr:uid="{00000000-0005-0000-0000-00007B360000}"/>
    <cellStyle name="제목 1 2 4" xfId="13069" xr:uid="{00000000-0005-0000-0000-00007C360000}"/>
    <cellStyle name="제목 1 2 4 2" xfId="13070" xr:uid="{00000000-0005-0000-0000-00007D360000}"/>
    <cellStyle name="제목 1 2 5" xfId="13071" xr:uid="{00000000-0005-0000-0000-00007E360000}"/>
    <cellStyle name="제목 1 2 5 2" xfId="13072" xr:uid="{00000000-0005-0000-0000-00007F360000}"/>
    <cellStyle name="제목 1 2 6" xfId="13073" xr:uid="{00000000-0005-0000-0000-000080360000}"/>
    <cellStyle name="제목 1 2 6 2" xfId="13074" xr:uid="{00000000-0005-0000-0000-000081360000}"/>
    <cellStyle name="제목 1 2 7" xfId="13075" xr:uid="{00000000-0005-0000-0000-000082360000}"/>
    <cellStyle name="제목 1 2 7 2" xfId="13076" xr:uid="{00000000-0005-0000-0000-000083360000}"/>
    <cellStyle name="제목 1 2 8" xfId="13077" xr:uid="{00000000-0005-0000-0000-000084360000}"/>
    <cellStyle name="제목 1 2 8 2" xfId="13078" xr:uid="{00000000-0005-0000-0000-000085360000}"/>
    <cellStyle name="제목 1 2 9" xfId="13079" xr:uid="{00000000-0005-0000-0000-000086360000}"/>
    <cellStyle name="제목 1 2 9 2" xfId="13080" xr:uid="{00000000-0005-0000-0000-000087360000}"/>
    <cellStyle name="제목 1 3" xfId="13081" xr:uid="{00000000-0005-0000-0000-000088360000}"/>
    <cellStyle name="제목 1 3 10" xfId="13082" xr:uid="{00000000-0005-0000-0000-000089360000}"/>
    <cellStyle name="제목 1 3 2" xfId="13083" xr:uid="{00000000-0005-0000-0000-00008A360000}"/>
    <cellStyle name="제목 1 3 2 2" xfId="13084" xr:uid="{00000000-0005-0000-0000-00008B360000}"/>
    <cellStyle name="제목 1 3 3" xfId="13085" xr:uid="{00000000-0005-0000-0000-00008C360000}"/>
    <cellStyle name="제목 1 3 3 2" xfId="13086" xr:uid="{00000000-0005-0000-0000-00008D360000}"/>
    <cellStyle name="제목 1 3 4" xfId="13087" xr:uid="{00000000-0005-0000-0000-00008E360000}"/>
    <cellStyle name="제목 1 3 4 2" xfId="13088" xr:uid="{00000000-0005-0000-0000-00008F360000}"/>
    <cellStyle name="제목 1 3 5" xfId="13089" xr:uid="{00000000-0005-0000-0000-000090360000}"/>
    <cellStyle name="제목 1 3 5 2" xfId="13090" xr:uid="{00000000-0005-0000-0000-000091360000}"/>
    <cellStyle name="제목 1 3 6" xfId="13091" xr:uid="{00000000-0005-0000-0000-000092360000}"/>
    <cellStyle name="제목 1 3 6 2" xfId="13092" xr:uid="{00000000-0005-0000-0000-000093360000}"/>
    <cellStyle name="제목 1 3 7" xfId="13093" xr:uid="{00000000-0005-0000-0000-000094360000}"/>
    <cellStyle name="제목 1 3 7 2" xfId="13094" xr:uid="{00000000-0005-0000-0000-000095360000}"/>
    <cellStyle name="제목 1 3 8" xfId="13095" xr:uid="{00000000-0005-0000-0000-000096360000}"/>
    <cellStyle name="제목 1 3 8 2" xfId="13096" xr:uid="{00000000-0005-0000-0000-000097360000}"/>
    <cellStyle name="제목 1 3 9" xfId="13097" xr:uid="{00000000-0005-0000-0000-000098360000}"/>
    <cellStyle name="제목 1 3 9 2" xfId="13098" xr:uid="{00000000-0005-0000-0000-000099360000}"/>
    <cellStyle name="제목 1 4" xfId="13099" xr:uid="{00000000-0005-0000-0000-00009A360000}"/>
    <cellStyle name="제목 1 4 10" xfId="13100" xr:uid="{00000000-0005-0000-0000-00009B360000}"/>
    <cellStyle name="제목 1 4 2" xfId="13101" xr:uid="{00000000-0005-0000-0000-00009C360000}"/>
    <cellStyle name="제목 1 4 2 2" xfId="13102" xr:uid="{00000000-0005-0000-0000-00009D360000}"/>
    <cellStyle name="제목 1 4 3" xfId="13103" xr:uid="{00000000-0005-0000-0000-00009E360000}"/>
    <cellStyle name="제목 1 4 3 2" xfId="13104" xr:uid="{00000000-0005-0000-0000-00009F360000}"/>
    <cellStyle name="제목 1 4 4" xfId="13105" xr:uid="{00000000-0005-0000-0000-0000A0360000}"/>
    <cellStyle name="제목 1 4 4 2" xfId="13106" xr:uid="{00000000-0005-0000-0000-0000A1360000}"/>
    <cellStyle name="제목 1 4 5" xfId="13107" xr:uid="{00000000-0005-0000-0000-0000A2360000}"/>
    <cellStyle name="제목 1 4 5 2" xfId="13108" xr:uid="{00000000-0005-0000-0000-0000A3360000}"/>
    <cellStyle name="제목 1 4 6" xfId="13109" xr:uid="{00000000-0005-0000-0000-0000A4360000}"/>
    <cellStyle name="제목 1 4 6 2" xfId="13110" xr:uid="{00000000-0005-0000-0000-0000A5360000}"/>
    <cellStyle name="제목 1 4 7" xfId="13111" xr:uid="{00000000-0005-0000-0000-0000A6360000}"/>
    <cellStyle name="제목 1 4 7 2" xfId="13112" xr:uid="{00000000-0005-0000-0000-0000A7360000}"/>
    <cellStyle name="제목 1 4 8" xfId="13113" xr:uid="{00000000-0005-0000-0000-0000A8360000}"/>
    <cellStyle name="제목 1 4 8 2" xfId="13114" xr:uid="{00000000-0005-0000-0000-0000A9360000}"/>
    <cellStyle name="제목 1 4 9" xfId="13115" xr:uid="{00000000-0005-0000-0000-0000AA360000}"/>
    <cellStyle name="제목 1 4 9 2" xfId="13116" xr:uid="{00000000-0005-0000-0000-0000AB360000}"/>
    <cellStyle name="제목 1 5" xfId="13117" xr:uid="{00000000-0005-0000-0000-0000AC360000}"/>
    <cellStyle name="제목 1 5 10" xfId="13118" xr:uid="{00000000-0005-0000-0000-0000AD360000}"/>
    <cellStyle name="제목 1 5 2" xfId="13119" xr:uid="{00000000-0005-0000-0000-0000AE360000}"/>
    <cellStyle name="제목 1 5 2 2" xfId="13120" xr:uid="{00000000-0005-0000-0000-0000AF360000}"/>
    <cellStyle name="제목 1 5 3" xfId="13121" xr:uid="{00000000-0005-0000-0000-0000B0360000}"/>
    <cellStyle name="제목 1 5 3 2" xfId="13122" xr:uid="{00000000-0005-0000-0000-0000B1360000}"/>
    <cellStyle name="제목 1 5 4" xfId="13123" xr:uid="{00000000-0005-0000-0000-0000B2360000}"/>
    <cellStyle name="제목 1 5 4 2" xfId="13124" xr:uid="{00000000-0005-0000-0000-0000B3360000}"/>
    <cellStyle name="제목 1 5 5" xfId="13125" xr:uid="{00000000-0005-0000-0000-0000B4360000}"/>
    <cellStyle name="제목 1 5 5 2" xfId="13126" xr:uid="{00000000-0005-0000-0000-0000B5360000}"/>
    <cellStyle name="제목 1 5 6" xfId="13127" xr:uid="{00000000-0005-0000-0000-0000B6360000}"/>
    <cellStyle name="제목 1 5 6 2" xfId="13128" xr:uid="{00000000-0005-0000-0000-0000B7360000}"/>
    <cellStyle name="제목 1 5 7" xfId="13129" xr:uid="{00000000-0005-0000-0000-0000B8360000}"/>
    <cellStyle name="제목 1 5 7 2" xfId="13130" xr:uid="{00000000-0005-0000-0000-0000B9360000}"/>
    <cellStyle name="제목 1 5 8" xfId="13131" xr:uid="{00000000-0005-0000-0000-0000BA360000}"/>
    <cellStyle name="제목 1 5 8 2" xfId="13132" xr:uid="{00000000-0005-0000-0000-0000BB360000}"/>
    <cellStyle name="제목 1 5 9" xfId="13133" xr:uid="{00000000-0005-0000-0000-0000BC360000}"/>
    <cellStyle name="제목 1 5 9 2" xfId="13134" xr:uid="{00000000-0005-0000-0000-0000BD360000}"/>
    <cellStyle name="제목 1 6" xfId="13135" xr:uid="{00000000-0005-0000-0000-0000BE360000}"/>
    <cellStyle name="제목 1 6 10" xfId="13136" xr:uid="{00000000-0005-0000-0000-0000BF360000}"/>
    <cellStyle name="제목 1 6 2" xfId="13137" xr:uid="{00000000-0005-0000-0000-0000C0360000}"/>
    <cellStyle name="제목 1 6 2 2" xfId="13138" xr:uid="{00000000-0005-0000-0000-0000C1360000}"/>
    <cellStyle name="제목 1 6 3" xfId="13139" xr:uid="{00000000-0005-0000-0000-0000C2360000}"/>
    <cellStyle name="제목 1 6 3 2" xfId="13140" xr:uid="{00000000-0005-0000-0000-0000C3360000}"/>
    <cellStyle name="제목 1 6 4" xfId="13141" xr:uid="{00000000-0005-0000-0000-0000C4360000}"/>
    <cellStyle name="제목 1 6 4 2" xfId="13142" xr:uid="{00000000-0005-0000-0000-0000C5360000}"/>
    <cellStyle name="제목 1 6 5" xfId="13143" xr:uid="{00000000-0005-0000-0000-0000C6360000}"/>
    <cellStyle name="제목 1 6 5 2" xfId="13144" xr:uid="{00000000-0005-0000-0000-0000C7360000}"/>
    <cellStyle name="제목 1 6 6" xfId="13145" xr:uid="{00000000-0005-0000-0000-0000C8360000}"/>
    <cellStyle name="제목 1 6 6 2" xfId="13146" xr:uid="{00000000-0005-0000-0000-0000C9360000}"/>
    <cellStyle name="제목 1 6 7" xfId="13147" xr:uid="{00000000-0005-0000-0000-0000CA360000}"/>
    <cellStyle name="제목 1 6 7 2" xfId="13148" xr:uid="{00000000-0005-0000-0000-0000CB360000}"/>
    <cellStyle name="제목 1 6 8" xfId="13149" xr:uid="{00000000-0005-0000-0000-0000CC360000}"/>
    <cellStyle name="제목 1 6 8 2" xfId="13150" xr:uid="{00000000-0005-0000-0000-0000CD360000}"/>
    <cellStyle name="제목 1 6 9" xfId="13151" xr:uid="{00000000-0005-0000-0000-0000CE360000}"/>
    <cellStyle name="제목 1 6 9 2" xfId="13152" xr:uid="{00000000-0005-0000-0000-0000CF360000}"/>
    <cellStyle name="제목 1(左)" xfId="13153" xr:uid="{00000000-0005-0000-0000-0000D0360000}"/>
    <cellStyle name="제목 1(左) 2" xfId="13154" xr:uid="{00000000-0005-0000-0000-0000D1360000}"/>
    <cellStyle name="제목 1(中)" xfId="13155" xr:uid="{00000000-0005-0000-0000-0000D2360000}"/>
    <cellStyle name="제목 1(中) 2" xfId="13156" xr:uid="{00000000-0005-0000-0000-0000D3360000}"/>
    <cellStyle name="제목 10" xfId="13157" xr:uid="{00000000-0005-0000-0000-0000D4360000}"/>
    <cellStyle name="제목 10 2" xfId="13158" xr:uid="{00000000-0005-0000-0000-0000D5360000}"/>
    <cellStyle name="제목 11" xfId="13159" xr:uid="{00000000-0005-0000-0000-0000D6360000}"/>
    <cellStyle name="제목 11 2" xfId="13160" xr:uid="{00000000-0005-0000-0000-0000D7360000}"/>
    <cellStyle name="제목 12" xfId="13161" xr:uid="{00000000-0005-0000-0000-0000D8360000}"/>
    <cellStyle name="제목 12 2" xfId="13162" xr:uid="{00000000-0005-0000-0000-0000D9360000}"/>
    <cellStyle name="제목 13" xfId="13163" xr:uid="{00000000-0005-0000-0000-0000DA360000}"/>
    <cellStyle name="제목 13 2" xfId="13164" xr:uid="{00000000-0005-0000-0000-0000DB360000}"/>
    <cellStyle name="제목 14" xfId="13165" xr:uid="{00000000-0005-0000-0000-0000DC360000}"/>
    <cellStyle name="제목 14 2" xfId="13166" xr:uid="{00000000-0005-0000-0000-0000DD360000}"/>
    <cellStyle name="제목 15" xfId="13167" xr:uid="{00000000-0005-0000-0000-0000DE360000}"/>
    <cellStyle name="제목 15 2" xfId="13168" xr:uid="{00000000-0005-0000-0000-0000DF360000}"/>
    <cellStyle name="제목 16" xfId="13169" xr:uid="{00000000-0005-0000-0000-0000E0360000}"/>
    <cellStyle name="제목 16 2" xfId="13170" xr:uid="{00000000-0005-0000-0000-0000E1360000}"/>
    <cellStyle name="제목 2 2" xfId="13171" xr:uid="{00000000-0005-0000-0000-0000E2360000}"/>
    <cellStyle name="제목 2 2 10" xfId="13172" xr:uid="{00000000-0005-0000-0000-0000E3360000}"/>
    <cellStyle name="제목 2 2 11" xfId="16698" xr:uid="{00000000-0005-0000-0000-0000E4360000}"/>
    <cellStyle name="제목 2 2 12" xfId="16940" xr:uid="{00000000-0005-0000-0000-0000E5360000}"/>
    <cellStyle name="제목 2 2 2" xfId="13173" xr:uid="{00000000-0005-0000-0000-0000E6360000}"/>
    <cellStyle name="제목 2 2 2 2" xfId="13174" xr:uid="{00000000-0005-0000-0000-0000E7360000}"/>
    <cellStyle name="제목 2 2 3" xfId="13175" xr:uid="{00000000-0005-0000-0000-0000E8360000}"/>
    <cellStyle name="제목 2 2 3 2" xfId="13176" xr:uid="{00000000-0005-0000-0000-0000E9360000}"/>
    <cellStyle name="제목 2 2 4" xfId="13177" xr:uid="{00000000-0005-0000-0000-0000EA360000}"/>
    <cellStyle name="제목 2 2 4 2" xfId="13178" xr:uid="{00000000-0005-0000-0000-0000EB360000}"/>
    <cellStyle name="제목 2 2 5" xfId="13179" xr:uid="{00000000-0005-0000-0000-0000EC360000}"/>
    <cellStyle name="제목 2 2 5 2" xfId="13180" xr:uid="{00000000-0005-0000-0000-0000ED360000}"/>
    <cellStyle name="제목 2 2 6" xfId="13181" xr:uid="{00000000-0005-0000-0000-0000EE360000}"/>
    <cellStyle name="제목 2 2 6 2" xfId="13182" xr:uid="{00000000-0005-0000-0000-0000EF360000}"/>
    <cellStyle name="제목 2 2 7" xfId="13183" xr:uid="{00000000-0005-0000-0000-0000F0360000}"/>
    <cellStyle name="제목 2 2 7 2" xfId="13184" xr:uid="{00000000-0005-0000-0000-0000F1360000}"/>
    <cellStyle name="제목 2 2 8" xfId="13185" xr:uid="{00000000-0005-0000-0000-0000F2360000}"/>
    <cellStyle name="제목 2 2 8 2" xfId="13186" xr:uid="{00000000-0005-0000-0000-0000F3360000}"/>
    <cellStyle name="제목 2 2 9" xfId="13187" xr:uid="{00000000-0005-0000-0000-0000F4360000}"/>
    <cellStyle name="제목 2 2 9 2" xfId="13188" xr:uid="{00000000-0005-0000-0000-0000F5360000}"/>
    <cellStyle name="제목 2 3" xfId="13189" xr:uid="{00000000-0005-0000-0000-0000F6360000}"/>
    <cellStyle name="제목 2 3 10" xfId="13190" xr:uid="{00000000-0005-0000-0000-0000F7360000}"/>
    <cellStyle name="제목 2 3 2" xfId="13191" xr:uid="{00000000-0005-0000-0000-0000F8360000}"/>
    <cellStyle name="제목 2 3 2 2" xfId="13192" xr:uid="{00000000-0005-0000-0000-0000F9360000}"/>
    <cellStyle name="제목 2 3 3" xfId="13193" xr:uid="{00000000-0005-0000-0000-0000FA360000}"/>
    <cellStyle name="제목 2 3 3 2" xfId="13194" xr:uid="{00000000-0005-0000-0000-0000FB360000}"/>
    <cellStyle name="제목 2 3 4" xfId="13195" xr:uid="{00000000-0005-0000-0000-0000FC360000}"/>
    <cellStyle name="제목 2 3 4 2" xfId="13196" xr:uid="{00000000-0005-0000-0000-0000FD360000}"/>
    <cellStyle name="제목 2 3 5" xfId="13197" xr:uid="{00000000-0005-0000-0000-0000FE360000}"/>
    <cellStyle name="제목 2 3 5 2" xfId="13198" xr:uid="{00000000-0005-0000-0000-0000FF360000}"/>
    <cellStyle name="제목 2 3 6" xfId="13199" xr:uid="{00000000-0005-0000-0000-000000370000}"/>
    <cellStyle name="제목 2 3 6 2" xfId="13200" xr:uid="{00000000-0005-0000-0000-000001370000}"/>
    <cellStyle name="제목 2 3 7" xfId="13201" xr:uid="{00000000-0005-0000-0000-000002370000}"/>
    <cellStyle name="제목 2 3 7 2" xfId="13202" xr:uid="{00000000-0005-0000-0000-000003370000}"/>
    <cellStyle name="제목 2 3 8" xfId="13203" xr:uid="{00000000-0005-0000-0000-000004370000}"/>
    <cellStyle name="제목 2 3 8 2" xfId="13204" xr:uid="{00000000-0005-0000-0000-000005370000}"/>
    <cellStyle name="제목 2 3 9" xfId="13205" xr:uid="{00000000-0005-0000-0000-000006370000}"/>
    <cellStyle name="제목 2 3 9 2" xfId="13206" xr:uid="{00000000-0005-0000-0000-000007370000}"/>
    <cellStyle name="제목 2 4" xfId="13207" xr:uid="{00000000-0005-0000-0000-000008370000}"/>
    <cellStyle name="제목 2 4 10" xfId="13208" xr:uid="{00000000-0005-0000-0000-000009370000}"/>
    <cellStyle name="제목 2 4 2" xfId="13209" xr:uid="{00000000-0005-0000-0000-00000A370000}"/>
    <cellStyle name="제목 2 4 2 2" xfId="13210" xr:uid="{00000000-0005-0000-0000-00000B370000}"/>
    <cellStyle name="제목 2 4 3" xfId="13211" xr:uid="{00000000-0005-0000-0000-00000C370000}"/>
    <cellStyle name="제목 2 4 3 2" xfId="13212" xr:uid="{00000000-0005-0000-0000-00000D370000}"/>
    <cellStyle name="제목 2 4 4" xfId="13213" xr:uid="{00000000-0005-0000-0000-00000E370000}"/>
    <cellStyle name="제목 2 4 4 2" xfId="13214" xr:uid="{00000000-0005-0000-0000-00000F370000}"/>
    <cellStyle name="제목 2 4 5" xfId="13215" xr:uid="{00000000-0005-0000-0000-000010370000}"/>
    <cellStyle name="제목 2 4 5 2" xfId="13216" xr:uid="{00000000-0005-0000-0000-000011370000}"/>
    <cellStyle name="제목 2 4 6" xfId="13217" xr:uid="{00000000-0005-0000-0000-000012370000}"/>
    <cellStyle name="제목 2 4 6 2" xfId="13218" xr:uid="{00000000-0005-0000-0000-000013370000}"/>
    <cellStyle name="제목 2 4 7" xfId="13219" xr:uid="{00000000-0005-0000-0000-000014370000}"/>
    <cellStyle name="제목 2 4 7 2" xfId="13220" xr:uid="{00000000-0005-0000-0000-000015370000}"/>
    <cellStyle name="제목 2 4 8" xfId="13221" xr:uid="{00000000-0005-0000-0000-000016370000}"/>
    <cellStyle name="제목 2 4 8 2" xfId="13222" xr:uid="{00000000-0005-0000-0000-000017370000}"/>
    <cellStyle name="제목 2 4 9" xfId="13223" xr:uid="{00000000-0005-0000-0000-000018370000}"/>
    <cellStyle name="제목 2 4 9 2" xfId="13224" xr:uid="{00000000-0005-0000-0000-000019370000}"/>
    <cellStyle name="제목 2 5" xfId="13225" xr:uid="{00000000-0005-0000-0000-00001A370000}"/>
    <cellStyle name="제목 2 5 10" xfId="13226" xr:uid="{00000000-0005-0000-0000-00001B370000}"/>
    <cellStyle name="제목 2 5 2" xfId="13227" xr:uid="{00000000-0005-0000-0000-00001C370000}"/>
    <cellStyle name="제목 2 5 2 2" xfId="13228" xr:uid="{00000000-0005-0000-0000-00001D370000}"/>
    <cellStyle name="제목 2 5 3" xfId="13229" xr:uid="{00000000-0005-0000-0000-00001E370000}"/>
    <cellStyle name="제목 2 5 3 2" xfId="13230" xr:uid="{00000000-0005-0000-0000-00001F370000}"/>
    <cellStyle name="제목 2 5 4" xfId="13231" xr:uid="{00000000-0005-0000-0000-000020370000}"/>
    <cellStyle name="제목 2 5 4 2" xfId="13232" xr:uid="{00000000-0005-0000-0000-000021370000}"/>
    <cellStyle name="제목 2 5 5" xfId="13233" xr:uid="{00000000-0005-0000-0000-000022370000}"/>
    <cellStyle name="제목 2 5 5 2" xfId="13234" xr:uid="{00000000-0005-0000-0000-000023370000}"/>
    <cellStyle name="제목 2 5 6" xfId="13235" xr:uid="{00000000-0005-0000-0000-000024370000}"/>
    <cellStyle name="제목 2 5 6 2" xfId="13236" xr:uid="{00000000-0005-0000-0000-000025370000}"/>
    <cellStyle name="제목 2 5 7" xfId="13237" xr:uid="{00000000-0005-0000-0000-000026370000}"/>
    <cellStyle name="제목 2 5 7 2" xfId="13238" xr:uid="{00000000-0005-0000-0000-000027370000}"/>
    <cellStyle name="제목 2 5 8" xfId="13239" xr:uid="{00000000-0005-0000-0000-000028370000}"/>
    <cellStyle name="제목 2 5 8 2" xfId="13240" xr:uid="{00000000-0005-0000-0000-000029370000}"/>
    <cellStyle name="제목 2 5 9" xfId="13241" xr:uid="{00000000-0005-0000-0000-00002A370000}"/>
    <cellStyle name="제목 2 5 9 2" xfId="13242" xr:uid="{00000000-0005-0000-0000-00002B370000}"/>
    <cellStyle name="제목 2 6" xfId="13243" xr:uid="{00000000-0005-0000-0000-00002C370000}"/>
    <cellStyle name="제목 2 6 10" xfId="13244" xr:uid="{00000000-0005-0000-0000-00002D370000}"/>
    <cellStyle name="제목 2 6 2" xfId="13245" xr:uid="{00000000-0005-0000-0000-00002E370000}"/>
    <cellStyle name="제목 2 6 2 2" xfId="13246" xr:uid="{00000000-0005-0000-0000-00002F370000}"/>
    <cellStyle name="제목 2 6 3" xfId="13247" xr:uid="{00000000-0005-0000-0000-000030370000}"/>
    <cellStyle name="제목 2 6 3 2" xfId="13248" xr:uid="{00000000-0005-0000-0000-000031370000}"/>
    <cellStyle name="제목 2 6 4" xfId="13249" xr:uid="{00000000-0005-0000-0000-000032370000}"/>
    <cellStyle name="제목 2 6 4 2" xfId="13250" xr:uid="{00000000-0005-0000-0000-000033370000}"/>
    <cellStyle name="제목 2 6 5" xfId="13251" xr:uid="{00000000-0005-0000-0000-000034370000}"/>
    <cellStyle name="제목 2 6 5 2" xfId="13252" xr:uid="{00000000-0005-0000-0000-000035370000}"/>
    <cellStyle name="제목 2 6 6" xfId="13253" xr:uid="{00000000-0005-0000-0000-000036370000}"/>
    <cellStyle name="제목 2 6 6 2" xfId="13254" xr:uid="{00000000-0005-0000-0000-000037370000}"/>
    <cellStyle name="제목 2 6 7" xfId="13255" xr:uid="{00000000-0005-0000-0000-000038370000}"/>
    <cellStyle name="제목 2 6 7 2" xfId="13256" xr:uid="{00000000-0005-0000-0000-000039370000}"/>
    <cellStyle name="제목 2 6 8" xfId="13257" xr:uid="{00000000-0005-0000-0000-00003A370000}"/>
    <cellStyle name="제목 2 6 8 2" xfId="13258" xr:uid="{00000000-0005-0000-0000-00003B370000}"/>
    <cellStyle name="제목 2 6 9" xfId="13259" xr:uid="{00000000-0005-0000-0000-00003C370000}"/>
    <cellStyle name="제목 2 6 9 2" xfId="13260" xr:uid="{00000000-0005-0000-0000-00003D370000}"/>
    <cellStyle name="제목 3 2" xfId="13261" xr:uid="{00000000-0005-0000-0000-00003E370000}"/>
    <cellStyle name="제목 3 2 10" xfId="13262" xr:uid="{00000000-0005-0000-0000-00003F370000}"/>
    <cellStyle name="제목 3 2 11" xfId="16699" xr:uid="{00000000-0005-0000-0000-000040370000}"/>
    <cellStyle name="제목 3 2 12" xfId="16939" xr:uid="{00000000-0005-0000-0000-000041370000}"/>
    <cellStyle name="제목 3 2 2" xfId="13263" xr:uid="{00000000-0005-0000-0000-000042370000}"/>
    <cellStyle name="제목 3 2 2 2" xfId="13264" xr:uid="{00000000-0005-0000-0000-000043370000}"/>
    <cellStyle name="제목 3 2 3" xfId="13265" xr:uid="{00000000-0005-0000-0000-000044370000}"/>
    <cellStyle name="제목 3 2 3 2" xfId="13266" xr:uid="{00000000-0005-0000-0000-000045370000}"/>
    <cellStyle name="제목 3 2 4" xfId="13267" xr:uid="{00000000-0005-0000-0000-000046370000}"/>
    <cellStyle name="제목 3 2 4 2" xfId="13268" xr:uid="{00000000-0005-0000-0000-000047370000}"/>
    <cellStyle name="제목 3 2 5" xfId="13269" xr:uid="{00000000-0005-0000-0000-000048370000}"/>
    <cellStyle name="제목 3 2 5 2" xfId="13270" xr:uid="{00000000-0005-0000-0000-000049370000}"/>
    <cellStyle name="제목 3 2 6" xfId="13271" xr:uid="{00000000-0005-0000-0000-00004A370000}"/>
    <cellStyle name="제목 3 2 6 2" xfId="13272" xr:uid="{00000000-0005-0000-0000-00004B370000}"/>
    <cellStyle name="제목 3 2 7" xfId="13273" xr:uid="{00000000-0005-0000-0000-00004C370000}"/>
    <cellStyle name="제목 3 2 7 2" xfId="13274" xr:uid="{00000000-0005-0000-0000-00004D370000}"/>
    <cellStyle name="제목 3 2 8" xfId="13275" xr:uid="{00000000-0005-0000-0000-00004E370000}"/>
    <cellStyle name="제목 3 2 8 2" xfId="13276" xr:uid="{00000000-0005-0000-0000-00004F370000}"/>
    <cellStyle name="제목 3 2 9" xfId="13277" xr:uid="{00000000-0005-0000-0000-000050370000}"/>
    <cellStyle name="제목 3 2 9 2" xfId="13278" xr:uid="{00000000-0005-0000-0000-000051370000}"/>
    <cellStyle name="제목 3 3" xfId="13279" xr:uid="{00000000-0005-0000-0000-000052370000}"/>
    <cellStyle name="제목 3 3 10" xfId="13280" xr:uid="{00000000-0005-0000-0000-000053370000}"/>
    <cellStyle name="제목 3 3 2" xfId="13281" xr:uid="{00000000-0005-0000-0000-000054370000}"/>
    <cellStyle name="제목 3 3 2 2" xfId="13282" xr:uid="{00000000-0005-0000-0000-000055370000}"/>
    <cellStyle name="제목 3 3 3" xfId="13283" xr:uid="{00000000-0005-0000-0000-000056370000}"/>
    <cellStyle name="제목 3 3 3 2" xfId="13284" xr:uid="{00000000-0005-0000-0000-000057370000}"/>
    <cellStyle name="제목 3 3 4" xfId="13285" xr:uid="{00000000-0005-0000-0000-000058370000}"/>
    <cellStyle name="제목 3 3 4 2" xfId="13286" xr:uid="{00000000-0005-0000-0000-000059370000}"/>
    <cellStyle name="제목 3 3 5" xfId="13287" xr:uid="{00000000-0005-0000-0000-00005A370000}"/>
    <cellStyle name="제목 3 3 5 2" xfId="13288" xr:uid="{00000000-0005-0000-0000-00005B370000}"/>
    <cellStyle name="제목 3 3 6" xfId="13289" xr:uid="{00000000-0005-0000-0000-00005C370000}"/>
    <cellStyle name="제목 3 3 6 2" xfId="13290" xr:uid="{00000000-0005-0000-0000-00005D370000}"/>
    <cellStyle name="제목 3 3 7" xfId="13291" xr:uid="{00000000-0005-0000-0000-00005E370000}"/>
    <cellStyle name="제목 3 3 7 2" xfId="13292" xr:uid="{00000000-0005-0000-0000-00005F370000}"/>
    <cellStyle name="제목 3 3 8" xfId="13293" xr:uid="{00000000-0005-0000-0000-000060370000}"/>
    <cellStyle name="제목 3 3 8 2" xfId="13294" xr:uid="{00000000-0005-0000-0000-000061370000}"/>
    <cellStyle name="제목 3 3 9" xfId="13295" xr:uid="{00000000-0005-0000-0000-000062370000}"/>
    <cellStyle name="제목 3 3 9 2" xfId="13296" xr:uid="{00000000-0005-0000-0000-000063370000}"/>
    <cellStyle name="제목 3 4" xfId="13297" xr:uid="{00000000-0005-0000-0000-000064370000}"/>
    <cellStyle name="제목 3 4 10" xfId="13298" xr:uid="{00000000-0005-0000-0000-000065370000}"/>
    <cellStyle name="제목 3 4 2" xfId="13299" xr:uid="{00000000-0005-0000-0000-000066370000}"/>
    <cellStyle name="제목 3 4 2 2" xfId="13300" xr:uid="{00000000-0005-0000-0000-000067370000}"/>
    <cellStyle name="제목 3 4 3" xfId="13301" xr:uid="{00000000-0005-0000-0000-000068370000}"/>
    <cellStyle name="제목 3 4 3 2" xfId="13302" xr:uid="{00000000-0005-0000-0000-000069370000}"/>
    <cellStyle name="제목 3 4 4" xfId="13303" xr:uid="{00000000-0005-0000-0000-00006A370000}"/>
    <cellStyle name="제목 3 4 4 2" xfId="13304" xr:uid="{00000000-0005-0000-0000-00006B370000}"/>
    <cellStyle name="제목 3 4 5" xfId="13305" xr:uid="{00000000-0005-0000-0000-00006C370000}"/>
    <cellStyle name="제목 3 4 5 2" xfId="13306" xr:uid="{00000000-0005-0000-0000-00006D370000}"/>
    <cellStyle name="제목 3 4 6" xfId="13307" xr:uid="{00000000-0005-0000-0000-00006E370000}"/>
    <cellStyle name="제목 3 4 6 2" xfId="13308" xr:uid="{00000000-0005-0000-0000-00006F370000}"/>
    <cellStyle name="제목 3 4 7" xfId="13309" xr:uid="{00000000-0005-0000-0000-000070370000}"/>
    <cellStyle name="제목 3 4 7 2" xfId="13310" xr:uid="{00000000-0005-0000-0000-000071370000}"/>
    <cellStyle name="제목 3 4 8" xfId="13311" xr:uid="{00000000-0005-0000-0000-000072370000}"/>
    <cellStyle name="제목 3 4 8 2" xfId="13312" xr:uid="{00000000-0005-0000-0000-000073370000}"/>
    <cellStyle name="제목 3 4 9" xfId="13313" xr:uid="{00000000-0005-0000-0000-000074370000}"/>
    <cellStyle name="제목 3 4 9 2" xfId="13314" xr:uid="{00000000-0005-0000-0000-000075370000}"/>
    <cellStyle name="제목 3 5" xfId="13315" xr:uid="{00000000-0005-0000-0000-000076370000}"/>
    <cellStyle name="제목 3 5 10" xfId="13316" xr:uid="{00000000-0005-0000-0000-000077370000}"/>
    <cellStyle name="제목 3 5 2" xfId="13317" xr:uid="{00000000-0005-0000-0000-000078370000}"/>
    <cellStyle name="제목 3 5 2 2" xfId="13318" xr:uid="{00000000-0005-0000-0000-000079370000}"/>
    <cellStyle name="제목 3 5 3" xfId="13319" xr:uid="{00000000-0005-0000-0000-00007A370000}"/>
    <cellStyle name="제목 3 5 3 2" xfId="13320" xr:uid="{00000000-0005-0000-0000-00007B370000}"/>
    <cellStyle name="제목 3 5 4" xfId="13321" xr:uid="{00000000-0005-0000-0000-00007C370000}"/>
    <cellStyle name="제목 3 5 4 2" xfId="13322" xr:uid="{00000000-0005-0000-0000-00007D370000}"/>
    <cellStyle name="제목 3 5 5" xfId="13323" xr:uid="{00000000-0005-0000-0000-00007E370000}"/>
    <cellStyle name="제목 3 5 5 2" xfId="13324" xr:uid="{00000000-0005-0000-0000-00007F370000}"/>
    <cellStyle name="제목 3 5 6" xfId="13325" xr:uid="{00000000-0005-0000-0000-000080370000}"/>
    <cellStyle name="제목 3 5 6 2" xfId="13326" xr:uid="{00000000-0005-0000-0000-000081370000}"/>
    <cellStyle name="제목 3 5 7" xfId="13327" xr:uid="{00000000-0005-0000-0000-000082370000}"/>
    <cellStyle name="제목 3 5 7 2" xfId="13328" xr:uid="{00000000-0005-0000-0000-000083370000}"/>
    <cellStyle name="제목 3 5 8" xfId="13329" xr:uid="{00000000-0005-0000-0000-000084370000}"/>
    <cellStyle name="제목 3 5 8 2" xfId="13330" xr:uid="{00000000-0005-0000-0000-000085370000}"/>
    <cellStyle name="제목 3 5 9" xfId="13331" xr:uid="{00000000-0005-0000-0000-000086370000}"/>
    <cellStyle name="제목 3 5 9 2" xfId="13332" xr:uid="{00000000-0005-0000-0000-000087370000}"/>
    <cellStyle name="제목 3 6" xfId="13333" xr:uid="{00000000-0005-0000-0000-000088370000}"/>
    <cellStyle name="제목 3 6 10" xfId="13334" xr:uid="{00000000-0005-0000-0000-000089370000}"/>
    <cellStyle name="제목 3 6 2" xfId="13335" xr:uid="{00000000-0005-0000-0000-00008A370000}"/>
    <cellStyle name="제목 3 6 2 2" xfId="13336" xr:uid="{00000000-0005-0000-0000-00008B370000}"/>
    <cellStyle name="제목 3 6 3" xfId="13337" xr:uid="{00000000-0005-0000-0000-00008C370000}"/>
    <cellStyle name="제목 3 6 3 2" xfId="13338" xr:uid="{00000000-0005-0000-0000-00008D370000}"/>
    <cellStyle name="제목 3 6 4" xfId="13339" xr:uid="{00000000-0005-0000-0000-00008E370000}"/>
    <cellStyle name="제목 3 6 4 2" xfId="13340" xr:uid="{00000000-0005-0000-0000-00008F370000}"/>
    <cellStyle name="제목 3 6 5" xfId="13341" xr:uid="{00000000-0005-0000-0000-000090370000}"/>
    <cellStyle name="제목 3 6 5 2" xfId="13342" xr:uid="{00000000-0005-0000-0000-000091370000}"/>
    <cellStyle name="제목 3 6 6" xfId="13343" xr:uid="{00000000-0005-0000-0000-000092370000}"/>
    <cellStyle name="제목 3 6 6 2" xfId="13344" xr:uid="{00000000-0005-0000-0000-000093370000}"/>
    <cellStyle name="제목 3 6 7" xfId="13345" xr:uid="{00000000-0005-0000-0000-000094370000}"/>
    <cellStyle name="제목 3 6 7 2" xfId="13346" xr:uid="{00000000-0005-0000-0000-000095370000}"/>
    <cellStyle name="제목 3 6 8" xfId="13347" xr:uid="{00000000-0005-0000-0000-000096370000}"/>
    <cellStyle name="제목 3 6 8 2" xfId="13348" xr:uid="{00000000-0005-0000-0000-000097370000}"/>
    <cellStyle name="제목 3 6 9" xfId="13349" xr:uid="{00000000-0005-0000-0000-000098370000}"/>
    <cellStyle name="제목 3 6 9 2" xfId="13350" xr:uid="{00000000-0005-0000-0000-000099370000}"/>
    <cellStyle name="제목 4 2" xfId="13351" xr:uid="{00000000-0005-0000-0000-00009A370000}"/>
    <cellStyle name="제목 4 2 10" xfId="13352" xr:uid="{00000000-0005-0000-0000-00009B370000}"/>
    <cellStyle name="제목 4 2 11" xfId="16700" xr:uid="{00000000-0005-0000-0000-00009C370000}"/>
    <cellStyle name="제목 4 2 12" xfId="16938" xr:uid="{00000000-0005-0000-0000-00009D370000}"/>
    <cellStyle name="제목 4 2 2" xfId="13353" xr:uid="{00000000-0005-0000-0000-00009E370000}"/>
    <cellStyle name="제목 4 2 2 2" xfId="13354" xr:uid="{00000000-0005-0000-0000-00009F370000}"/>
    <cellStyle name="제목 4 2 3" xfId="13355" xr:uid="{00000000-0005-0000-0000-0000A0370000}"/>
    <cellStyle name="제목 4 2 3 2" xfId="13356" xr:uid="{00000000-0005-0000-0000-0000A1370000}"/>
    <cellStyle name="제목 4 2 4" xfId="13357" xr:uid="{00000000-0005-0000-0000-0000A2370000}"/>
    <cellStyle name="제목 4 2 4 2" xfId="13358" xr:uid="{00000000-0005-0000-0000-0000A3370000}"/>
    <cellStyle name="제목 4 2 5" xfId="13359" xr:uid="{00000000-0005-0000-0000-0000A4370000}"/>
    <cellStyle name="제목 4 2 5 2" xfId="13360" xr:uid="{00000000-0005-0000-0000-0000A5370000}"/>
    <cellStyle name="제목 4 2 6" xfId="13361" xr:uid="{00000000-0005-0000-0000-0000A6370000}"/>
    <cellStyle name="제목 4 2 6 2" xfId="13362" xr:uid="{00000000-0005-0000-0000-0000A7370000}"/>
    <cellStyle name="제목 4 2 7" xfId="13363" xr:uid="{00000000-0005-0000-0000-0000A8370000}"/>
    <cellStyle name="제목 4 2 7 2" xfId="13364" xr:uid="{00000000-0005-0000-0000-0000A9370000}"/>
    <cellStyle name="제목 4 2 8" xfId="13365" xr:uid="{00000000-0005-0000-0000-0000AA370000}"/>
    <cellStyle name="제목 4 2 8 2" xfId="13366" xr:uid="{00000000-0005-0000-0000-0000AB370000}"/>
    <cellStyle name="제목 4 2 9" xfId="13367" xr:uid="{00000000-0005-0000-0000-0000AC370000}"/>
    <cellStyle name="제목 4 2 9 2" xfId="13368" xr:uid="{00000000-0005-0000-0000-0000AD370000}"/>
    <cellStyle name="제목 4 3" xfId="13369" xr:uid="{00000000-0005-0000-0000-0000AE370000}"/>
    <cellStyle name="제목 4 3 10" xfId="13370" xr:uid="{00000000-0005-0000-0000-0000AF370000}"/>
    <cellStyle name="제목 4 3 2" xfId="13371" xr:uid="{00000000-0005-0000-0000-0000B0370000}"/>
    <cellStyle name="제목 4 3 2 2" xfId="13372" xr:uid="{00000000-0005-0000-0000-0000B1370000}"/>
    <cellStyle name="제목 4 3 3" xfId="13373" xr:uid="{00000000-0005-0000-0000-0000B2370000}"/>
    <cellStyle name="제목 4 3 3 2" xfId="13374" xr:uid="{00000000-0005-0000-0000-0000B3370000}"/>
    <cellStyle name="제목 4 3 4" xfId="13375" xr:uid="{00000000-0005-0000-0000-0000B4370000}"/>
    <cellStyle name="제목 4 3 4 2" xfId="13376" xr:uid="{00000000-0005-0000-0000-0000B5370000}"/>
    <cellStyle name="제목 4 3 5" xfId="13377" xr:uid="{00000000-0005-0000-0000-0000B6370000}"/>
    <cellStyle name="제목 4 3 5 2" xfId="13378" xr:uid="{00000000-0005-0000-0000-0000B7370000}"/>
    <cellStyle name="제목 4 3 6" xfId="13379" xr:uid="{00000000-0005-0000-0000-0000B8370000}"/>
    <cellStyle name="제목 4 3 6 2" xfId="13380" xr:uid="{00000000-0005-0000-0000-0000B9370000}"/>
    <cellStyle name="제목 4 3 7" xfId="13381" xr:uid="{00000000-0005-0000-0000-0000BA370000}"/>
    <cellStyle name="제목 4 3 7 2" xfId="13382" xr:uid="{00000000-0005-0000-0000-0000BB370000}"/>
    <cellStyle name="제목 4 3 8" xfId="13383" xr:uid="{00000000-0005-0000-0000-0000BC370000}"/>
    <cellStyle name="제목 4 3 8 2" xfId="13384" xr:uid="{00000000-0005-0000-0000-0000BD370000}"/>
    <cellStyle name="제목 4 3 9" xfId="13385" xr:uid="{00000000-0005-0000-0000-0000BE370000}"/>
    <cellStyle name="제목 4 3 9 2" xfId="13386" xr:uid="{00000000-0005-0000-0000-0000BF370000}"/>
    <cellStyle name="제목 4 4" xfId="13387" xr:uid="{00000000-0005-0000-0000-0000C0370000}"/>
    <cellStyle name="제목 4 4 10" xfId="13388" xr:uid="{00000000-0005-0000-0000-0000C1370000}"/>
    <cellStyle name="제목 4 4 2" xfId="13389" xr:uid="{00000000-0005-0000-0000-0000C2370000}"/>
    <cellStyle name="제목 4 4 2 2" xfId="13390" xr:uid="{00000000-0005-0000-0000-0000C3370000}"/>
    <cellStyle name="제목 4 4 3" xfId="13391" xr:uid="{00000000-0005-0000-0000-0000C4370000}"/>
    <cellStyle name="제목 4 4 3 2" xfId="13392" xr:uid="{00000000-0005-0000-0000-0000C5370000}"/>
    <cellStyle name="제목 4 4 4" xfId="13393" xr:uid="{00000000-0005-0000-0000-0000C6370000}"/>
    <cellStyle name="제목 4 4 4 2" xfId="13394" xr:uid="{00000000-0005-0000-0000-0000C7370000}"/>
    <cellStyle name="제목 4 4 5" xfId="13395" xr:uid="{00000000-0005-0000-0000-0000C8370000}"/>
    <cellStyle name="제목 4 4 5 2" xfId="13396" xr:uid="{00000000-0005-0000-0000-0000C9370000}"/>
    <cellStyle name="제목 4 4 6" xfId="13397" xr:uid="{00000000-0005-0000-0000-0000CA370000}"/>
    <cellStyle name="제목 4 4 6 2" xfId="13398" xr:uid="{00000000-0005-0000-0000-0000CB370000}"/>
    <cellStyle name="제목 4 4 7" xfId="13399" xr:uid="{00000000-0005-0000-0000-0000CC370000}"/>
    <cellStyle name="제목 4 4 7 2" xfId="13400" xr:uid="{00000000-0005-0000-0000-0000CD370000}"/>
    <cellStyle name="제목 4 4 8" xfId="13401" xr:uid="{00000000-0005-0000-0000-0000CE370000}"/>
    <cellStyle name="제목 4 4 8 2" xfId="13402" xr:uid="{00000000-0005-0000-0000-0000CF370000}"/>
    <cellStyle name="제목 4 4 9" xfId="13403" xr:uid="{00000000-0005-0000-0000-0000D0370000}"/>
    <cellStyle name="제목 4 4 9 2" xfId="13404" xr:uid="{00000000-0005-0000-0000-0000D1370000}"/>
    <cellStyle name="제목 4 5" xfId="13405" xr:uid="{00000000-0005-0000-0000-0000D2370000}"/>
    <cellStyle name="제목 4 5 10" xfId="13406" xr:uid="{00000000-0005-0000-0000-0000D3370000}"/>
    <cellStyle name="제목 4 5 2" xfId="13407" xr:uid="{00000000-0005-0000-0000-0000D4370000}"/>
    <cellStyle name="제목 4 5 2 2" xfId="13408" xr:uid="{00000000-0005-0000-0000-0000D5370000}"/>
    <cellStyle name="제목 4 5 3" xfId="13409" xr:uid="{00000000-0005-0000-0000-0000D6370000}"/>
    <cellStyle name="제목 4 5 3 2" xfId="13410" xr:uid="{00000000-0005-0000-0000-0000D7370000}"/>
    <cellStyle name="제목 4 5 4" xfId="13411" xr:uid="{00000000-0005-0000-0000-0000D8370000}"/>
    <cellStyle name="제목 4 5 4 2" xfId="13412" xr:uid="{00000000-0005-0000-0000-0000D9370000}"/>
    <cellStyle name="제목 4 5 5" xfId="13413" xr:uid="{00000000-0005-0000-0000-0000DA370000}"/>
    <cellStyle name="제목 4 5 5 2" xfId="13414" xr:uid="{00000000-0005-0000-0000-0000DB370000}"/>
    <cellStyle name="제목 4 5 6" xfId="13415" xr:uid="{00000000-0005-0000-0000-0000DC370000}"/>
    <cellStyle name="제목 4 5 6 2" xfId="13416" xr:uid="{00000000-0005-0000-0000-0000DD370000}"/>
    <cellStyle name="제목 4 5 7" xfId="13417" xr:uid="{00000000-0005-0000-0000-0000DE370000}"/>
    <cellStyle name="제목 4 5 7 2" xfId="13418" xr:uid="{00000000-0005-0000-0000-0000DF370000}"/>
    <cellStyle name="제목 4 5 8" xfId="13419" xr:uid="{00000000-0005-0000-0000-0000E0370000}"/>
    <cellStyle name="제목 4 5 8 2" xfId="13420" xr:uid="{00000000-0005-0000-0000-0000E1370000}"/>
    <cellStyle name="제목 4 5 9" xfId="13421" xr:uid="{00000000-0005-0000-0000-0000E2370000}"/>
    <cellStyle name="제목 4 5 9 2" xfId="13422" xr:uid="{00000000-0005-0000-0000-0000E3370000}"/>
    <cellStyle name="제목 4 6" xfId="13423" xr:uid="{00000000-0005-0000-0000-0000E4370000}"/>
    <cellStyle name="제목 4 6 10" xfId="13424" xr:uid="{00000000-0005-0000-0000-0000E5370000}"/>
    <cellStyle name="제목 4 6 2" xfId="13425" xr:uid="{00000000-0005-0000-0000-0000E6370000}"/>
    <cellStyle name="제목 4 6 2 2" xfId="13426" xr:uid="{00000000-0005-0000-0000-0000E7370000}"/>
    <cellStyle name="제목 4 6 3" xfId="13427" xr:uid="{00000000-0005-0000-0000-0000E8370000}"/>
    <cellStyle name="제목 4 6 3 2" xfId="13428" xr:uid="{00000000-0005-0000-0000-0000E9370000}"/>
    <cellStyle name="제목 4 6 4" xfId="13429" xr:uid="{00000000-0005-0000-0000-0000EA370000}"/>
    <cellStyle name="제목 4 6 4 2" xfId="13430" xr:uid="{00000000-0005-0000-0000-0000EB370000}"/>
    <cellStyle name="제목 4 6 5" xfId="13431" xr:uid="{00000000-0005-0000-0000-0000EC370000}"/>
    <cellStyle name="제목 4 6 5 2" xfId="13432" xr:uid="{00000000-0005-0000-0000-0000ED370000}"/>
    <cellStyle name="제목 4 6 6" xfId="13433" xr:uid="{00000000-0005-0000-0000-0000EE370000}"/>
    <cellStyle name="제목 4 6 6 2" xfId="13434" xr:uid="{00000000-0005-0000-0000-0000EF370000}"/>
    <cellStyle name="제목 4 6 7" xfId="13435" xr:uid="{00000000-0005-0000-0000-0000F0370000}"/>
    <cellStyle name="제목 4 6 7 2" xfId="13436" xr:uid="{00000000-0005-0000-0000-0000F1370000}"/>
    <cellStyle name="제목 4 6 8" xfId="13437" xr:uid="{00000000-0005-0000-0000-0000F2370000}"/>
    <cellStyle name="제목 4 6 8 2" xfId="13438" xr:uid="{00000000-0005-0000-0000-0000F3370000}"/>
    <cellStyle name="제목 4 6 9" xfId="13439" xr:uid="{00000000-0005-0000-0000-0000F4370000}"/>
    <cellStyle name="제목 4 6 9 2" xfId="13440" xr:uid="{00000000-0005-0000-0000-0000F5370000}"/>
    <cellStyle name="제목 5" xfId="13441" xr:uid="{00000000-0005-0000-0000-0000F6370000}"/>
    <cellStyle name="제목 5 10" xfId="13442" xr:uid="{00000000-0005-0000-0000-0000F7370000}"/>
    <cellStyle name="제목 5 10 2" xfId="13443" xr:uid="{00000000-0005-0000-0000-0000F8370000}"/>
    <cellStyle name="제목 5 11" xfId="13444" xr:uid="{00000000-0005-0000-0000-0000F9370000}"/>
    <cellStyle name="제목 5 11 2" xfId="13445" xr:uid="{00000000-0005-0000-0000-0000FA370000}"/>
    <cellStyle name="제목 5 12" xfId="13446" xr:uid="{00000000-0005-0000-0000-0000FB370000}"/>
    <cellStyle name="제목 5 12 2" xfId="13447" xr:uid="{00000000-0005-0000-0000-0000FC370000}"/>
    <cellStyle name="제목 5 13" xfId="13448" xr:uid="{00000000-0005-0000-0000-0000FD370000}"/>
    <cellStyle name="제목 5 13 2" xfId="13449" xr:uid="{00000000-0005-0000-0000-0000FE370000}"/>
    <cellStyle name="제목 5 14" xfId="13450" xr:uid="{00000000-0005-0000-0000-0000FF370000}"/>
    <cellStyle name="제목 5 14 2" xfId="13451" xr:uid="{00000000-0005-0000-0000-000000380000}"/>
    <cellStyle name="제목 5 15" xfId="13452" xr:uid="{00000000-0005-0000-0000-000001380000}"/>
    <cellStyle name="제목 5 15 2" xfId="13453" xr:uid="{00000000-0005-0000-0000-000002380000}"/>
    <cellStyle name="제목 5 16" xfId="13454" xr:uid="{00000000-0005-0000-0000-000003380000}"/>
    <cellStyle name="제목 5 16 2" xfId="13455" xr:uid="{00000000-0005-0000-0000-000004380000}"/>
    <cellStyle name="제목 5 17" xfId="13456" xr:uid="{00000000-0005-0000-0000-000005380000}"/>
    <cellStyle name="제목 5 17 2" xfId="13457" xr:uid="{00000000-0005-0000-0000-000006380000}"/>
    <cellStyle name="제목 5 18" xfId="13458" xr:uid="{00000000-0005-0000-0000-000007380000}"/>
    <cellStyle name="제목 5 18 2" xfId="13459" xr:uid="{00000000-0005-0000-0000-000008380000}"/>
    <cellStyle name="제목 5 19" xfId="13460" xr:uid="{00000000-0005-0000-0000-000009380000}"/>
    <cellStyle name="제목 5 19 2" xfId="13461" xr:uid="{00000000-0005-0000-0000-00000A380000}"/>
    <cellStyle name="제목 5 2" xfId="13462" xr:uid="{00000000-0005-0000-0000-00000B380000}"/>
    <cellStyle name="제목 5 2 2" xfId="13463" xr:uid="{00000000-0005-0000-0000-00000C380000}"/>
    <cellStyle name="제목 5 20" xfId="13464" xr:uid="{00000000-0005-0000-0000-00000D380000}"/>
    <cellStyle name="제목 5 20 2" xfId="13465" xr:uid="{00000000-0005-0000-0000-00000E380000}"/>
    <cellStyle name="제목 5 21" xfId="13466" xr:uid="{00000000-0005-0000-0000-00000F380000}"/>
    <cellStyle name="제목 5 21 2" xfId="13467" xr:uid="{00000000-0005-0000-0000-000010380000}"/>
    <cellStyle name="제목 5 22" xfId="13468" xr:uid="{00000000-0005-0000-0000-000011380000}"/>
    <cellStyle name="제목 5 22 2" xfId="13469" xr:uid="{00000000-0005-0000-0000-000012380000}"/>
    <cellStyle name="제목 5 23" xfId="13470" xr:uid="{00000000-0005-0000-0000-000013380000}"/>
    <cellStyle name="제목 5 23 2" xfId="13471" xr:uid="{00000000-0005-0000-0000-000014380000}"/>
    <cellStyle name="제목 5 24" xfId="13472" xr:uid="{00000000-0005-0000-0000-000015380000}"/>
    <cellStyle name="제목 5 24 2" xfId="13473" xr:uid="{00000000-0005-0000-0000-000016380000}"/>
    <cellStyle name="제목 5 25" xfId="13474" xr:uid="{00000000-0005-0000-0000-000017380000}"/>
    <cellStyle name="제목 5 25 2" xfId="13475" xr:uid="{00000000-0005-0000-0000-000018380000}"/>
    <cellStyle name="제목 5 26" xfId="13476" xr:uid="{00000000-0005-0000-0000-000019380000}"/>
    <cellStyle name="제목 5 26 2" xfId="13477" xr:uid="{00000000-0005-0000-0000-00001A380000}"/>
    <cellStyle name="제목 5 27" xfId="13478" xr:uid="{00000000-0005-0000-0000-00001B380000}"/>
    <cellStyle name="제목 5 27 2" xfId="13479" xr:uid="{00000000-0005-0000-0000-00001C380000}"/>
    <cellStyle name="제목 5 28" xfId="13480" xr:uid="{00000000-0005-0000-0000-00001D380000}"/>
    <cellStyle name="제목 5 28 2" xfId="13481" xr:uid="{00000000-0005-0000-0000-00001E380000}"/>
    <cellStyle name="제목 5 29" xfId="13482" xr:uid="{00000000-0005-0000-0000-00001F380000}"/>
    <cellStyle name="제목 5 29 2" xfId="13483" xr:uid="{00000000-0005-0000-0000-000020380000}"/>
    <cellStyle name="제목 5 3" xfId="13484" xr:uid="{00000000-0005-0000-0000-000021380000}"/>
    <cellStyle name="제목 5 3 2" xfId="13485" xr:uid="{00000000-0005-0000-0000-000022380000}"/>
    <cellStyle name="제목 5 30" xfId="13486" xr:uid="{00000000-0005-0000-0000-000023380000}"/>
    <cellStyle name="제목 5 30 2" xfId="13487" xr:uid="{00000000-0005-0000-0000-000024380000}"/>
    <cellStyle name="제목 5 31" xfId="13488" xr:uid="{00000000-0005-0000-0000-000025380000}"/>
    <cellStyle name="제목 5 31 2" xfId="13489" xr:uid="{00000000-0005-0000-0000-000026380000}"/>
    <cellStyle name="제목 5 32" xfId="13490" xr:uid="{00000000-0005-0000-0000-000027380000}"/>
    <cellStyle name="제목 5 32 2" xfId="13491" xr:uid="{00000000-0005-0000-0000-000028380000}"/>
    <cellStyle name="제목 5 33" xfId="13492" xr:uid="{00000000-0005-0000-0000-000029380000}"/>
    <cellStyle name="제목 5 33 2" xfId="13493" xr:uid="{00000000-0005-0000-0000-00002A380000}"/>
    <cellStyle name="제목 5 34" xfId="13494" xr:uid="{00000000-0005-0000-0000-00002B380000}"/>
    <cellStyle name="제목 5 34 2" xfId="13495" xr:uid="{00000000-0005-0000-0000-00002C380000}"/>
    <cellStyle name="제목 5 35" xfId="13496" xr:uid="{00000000-0005-0000-0000-00002D380000}"/>
    <cellStyle name="제목 5 36" xfId="16701" xr:uid="{00000000-0005-0000-0000-00002E380000}"/>
    <cellStyle name="제목 5 37" xfId="16937" xr:uid="{00000000-0005-0000-0000-00002F380000}"/>
    <cellStyle name="제목 5 4" xfId="13497" xr:uid="{00000000-0005-0000-0000-000030380000}"/>
    <cellStyle name="제목 5 4 2" xfId="13498" xr:uid="{00000000-0005-0000-0000-000031380000}"/>
    <cellStyle name="제목 5 5" xfId="13499" xr:uid="{00000000-0005-0000-0000-000032380000}"/>
    <cellStyle name="제목 5 5 2" xfId="13500" xr:uid="{00000000-0005-0000-0000-000033380000}"/>
    <cellStyle name="제목 5 6" xfId="13501" xr:uid="{00000000-0005-0000-0000-000034380000}"/>
    <cellStyle name="제목 5 6 2" xfId="13502" xr:uid="{00000000-0005-0000-0000-000035380000}"/>
    <cellStyle name="제목 5 7" xfId="13503" xr:uid="{00000000-0005-0000-0000-000036380000}"/>
    <cellStyle name="제목 5 7 2" xfId="13504" xr:uid="{00000000-0005-0000-0000-000037380000}"/>
    <cellStyle name="제목 5 8" xfId="13505" xr:uid="{00000000-0005-0000-0000-000038380000}"/>
    <cellStyle name="제목 5 8 2" xfId="13506" xr:uid="{00000000-0005-0000-0000-000039380000}"/>
    <cellStyle name="제목 5 9" xfId="13507" xr:uid="{00000000-0005-0000-0000-00003A380000}"/>
    <cellStyle name="제목 5 9 2" xfId="13508" xr:uid="{00000000-0005-0000-0000-00003B380000}"/>
    <cellStyle name="제목 5_롯데 일산점 무대조명_총괄표_100503_수정" xfId="13509" xr:uid="{00000000-0005-0000-0000-00003C380000}"/>
    <cellStyle name="제목 6" xfId="13510" xr:uid="{00000000-0005-0000-0000-00003D380000}"/>
    <cellStyle name="제목 6 10" xfId="13511" xr:uid="{00000000-0005-0000-0000-00003E380000}"/>
    <cellStyle name="제목 6 10 2" xfId="13512" xr:uid="{00000000-0005-0000-0000-00003F380000}"/>
    <cellStyle name="제목 6 11" xfId="13513" xr:uid="{00000000-0005-0000-0000-000040380000}"/>
    <cellStyle name="제목 6 11 2" xfId="13514" xr:uid="{00000000-0005-0000-0000-000041380000}"/>
    <cellStyle name="제목 6 12" xfId="13515" xr:uid="{00000000-0005-0000-0000-000042380000}"/>
    <cellStyle name="제목 6 12 2" xfId="13516" xr:uid="{00000000-0005-0000-0000-000043380000}"/>
    <cellStyle name="제목 6 13" xfId="13517" xr:uid="{00000000-0005-0000-0000-000044380000}"/>
    <cellStyle name="제목 6 13 2" xfId="13518" xr:uid="{00000000-0005-0000-0000-000045380000}"/>
    <cellStyle name="제목 6 14" xfId="13519" xr:uid="{00000000-0005-0000-0000-000046380000}"/>
    <cellStyle name="제목 6 14 2" xfId="13520" xr:uid="{00000000-0005-0000-0000-000047380000}"/>
    <cellStyle name="제목 6 15" xfId="13521" xr:uid="{00000000-0005-0000-0000-000048380000}"/>
    <cellStyle name="제목 6 15 2" xfId="13522" xr:uid="{00000000-0005-0000-0000-000049380000}"/>
    <cellStyle name="제목 6 16" xfId="13523" xr:uid="{00000000-0005-0000-0000-00004A380000}"/>
    <cellStyle name="제목 6 16 2" xfId="13524" xr:uid="{00000000-0005-0000-0000-00004B380000}"/>
    <cellStyle name="제목 6 17" xfId="13525" xr:uid="{00000000-0005-0000-0000-00004C380000}"/>
    <cellStyle name="제목 6 17 2" xfId="13526" xr:uid="{00000000-0005-0000-0000-00004D380000}"/>
    <cellStyle name="제목 6 18" xfId="13527" xr:uid="{00000000-0005-0000-0000-00004E380000}"/>
    <cellStyle name="제목 6 18 2" xfId="13528" xr:uid="{00000000-0005-0000-0000-00004F380000}"/>
    <cellStyle name="제목 6 19" xfId="13529" xr:uid="{00000000-0005-0000-0000-000050380000}"/>
    <cellStyle name="제목 6 19 2" xfId="13530" xr:uid="{00000000-0005-0000-0000-000051380000}"/>
    <cellStyle name="제목 6 2" xfId="13531" xr:uid="{00000000-0005-0000-0000-000052380000}"/>
    <cellStyle name="제목 6 2 2" xfId="13532" xr:uid="{00000000-0005-0000-0000-000053380000}"/>
    <cellStyle name="제목 6 20" xfId="13533" xr:uid="{00000000-0005-0000-0000-000054380000}"/>
    <cellStyle name="제목 6 20 2" xfId="13534" xr:uid="{00000000-0005-0000-0000-000055380000}"/>
    <cellStyle name="제목 6 21" xfId="13535" xr:uid="{00000000-0005-0000-0000-000056380000}"/>
    <cellStyle name="제목 6 21 2" xfId="13536" xr:uid="{00000000-0005-0000-0000-000057380000}"/>
    <cellStyle name="제목 6 22" xfId="13537" xr:uid="{00000000-0005-0000-0000-000058380000}"/>
    <cellStyle name="제목 6 22 2" xfId="13538" xr:uid="{00000000-0005-0000-0000-000059380000}"/>
    <cellStyle name="제목 6 23" xfId="13539" xr:uid="{00000000-0005-0000-0000-00005A380000}"/>
    <cellStyle name="제목 6 23 2" xfId="13540" xr:uid="{00000000-0005-0000-0000-00005B380000}"/>
    <cellStyle name="제목 6 24" xfId="13541" xr:uid="{00000000-0005-0000-0000-00005C380000}"/>
    <cellStyle name="제목 6 24 2" xfId="13542" xr:uid="{00000000-0005-0000-0000-00005D380000}"/>
    <cellStyle name="제목 6 25" xfId="13543" xr:uid="{00000000-0005-0000-0000-00005E380000}"/>
    <cellStyle name="제목 6 25 2" xfId="13544" xr:uid="{00000000-0005-0000-0000-00005F380000}"/>
    <cellStyle name="제목 6 26" xfId="13545" xr:uid="{00000000-0005-0000-0000-000060380000}"/>
    <cellStyle name="제목 6 26 2" xfId="13546" xr:uid="{00000000-0005-0000-0000-000061380000}"/>
    <cellStyle name="제목 6 27" xfId="13547" xr:uid="{00000000-0005-0000-0000-000062380000}"/>
    <cellStyle name="제목 6 27 2" xfId="13548" xr:uid="{00000000-0005-0000-0000-000063380000}"/>
    <cellStyle name="제목 6 28" xfId="13549" xr:uid="{00000000-0005-0000-0000-000064380000}"/>
    <cellStyle name="제목 6 28 2" xfId="13550" xr:uid="{00000000-0005-0000-0000-000065380000}"/>
    <cellStyle name="제목 6 29" xfId="13551" xr:uid="{00000000-0005-0000-0000-000066380000}"/>
    <cellStyle name="제목 6 29 2" xfId="13552" xr:uid="{00000000-0005-0000-0000-000067380000}"/>
    <cellStyle name="제목 6 3" xfId="13553" xr:uid="{00000000-0005-0000-0000-000068380000}"/>
    <cellStyle name="제목 6 3 2" xfId="13554" xr:uid="{00000000-0005-0000-0000-000069380000}"/>
    <cellStyle name="제목 6 30" xfId="13555" xr:uid="{00000000-0005-0000-0000-00006A380000}"/>
    <cellStyle name="제목 6 30 2" xfId="13556" xr:uid="{00000000-0005-0000-0000-00006B380000}"/>
    <cellStyle name="제목 6 31" xfId="13557" xr:uid="{00000000-0005-0000-0000-00006C380000}"/>
    <cellStyle name="제목 6 31 2" xfId="13558" xr:uid="{00000000-0005-0000-0000-00006D380000}"/>
    <cellStyle name="제목 6 32" xfId="13559" xr:uid="{00000000-0005-0000-0000-00006E380000}"/>
    <cellStyle name="제목 6 32 2" xfId="13560" xr:uid="{00000000-0005-0000-0000-00006F380000}"/>
    <cellStyle name="제목 6 33" xfId="13561" xr:uid="{00000000-0005-0000-0000-000070380000}"/>
    <cellStyle name="제목 6 33 2" xfId="13562" xr:uid="{00000000-0005-0000-0000-000071380000}"/>
    <cellStyle name="제목 6 34" xfId="13563" xr:uid="{00000000-0005-0000-0000-000072380000}"/>
    <cellStyle name="제목 6 34 2" xfId="13564" xr:uid="{00000000-0005-0000-0000-000073380000}"/>
    <cellStyle name="제목 6 35" xfId="13565" xr:uid="{00000000-0005-0000-0000-000074380000}"/>
    <cellStyle name="제목 6 4" xfId="13566" xr:uid="{00000000-0005-0000-0000-000075380000}"/>
    <cellStyle name="제목 6 4 2" xfId="13567" xr:uid="{00000000-0005-0000-0000-000076380000}"/>
    <cellStyle name="제목 6 5" xfId="13568" xr:uid="{00000000-0005-0000-0000-000077380000}"/>
    <cellStyle name="제목 6 5 2" xfId="13569" xr:uid="{00000000-0005-0000-0000-000078380000}"/>
    <cellStyle name="제목 6 6" xfId="13570" xr:uid="{00000000-0005-0000-0000-000079380000}"/>
    <cellStyle name="제목 6 6 2" xfId="13571" xr:uid="{00000000-0005-0000-0000-00007A380000}"/>
    <cellStyle name="제목 6 7" xfId="13572" xr:uid="{00000000-0005-0000-0000-00007B380000}"/>
    <cellStyle name="제목 6 7 2" xfId="13573" xr:uid="{00000000-0005-0000-0000-00007C380000}"/>
    <cellStyle name="제목 6 8" xfId="13574" xr:uid="{00000000-0005-0000-0000-00007D380000}"/>
    <cellStyle name="제목 6 8 2" xfId="13575" xr:uid="{00000000-0005-0000-0000-00007E380000}"/>
    <cellStyle name="제목 6 9" xfId="13576" xr:uid="{00000000-0005-0000-0000-00007F380000}"/>
    <cellStyle name="제목 6 9 2" xfId="13577" xr:uid="{00000000-0005-0000-0000-000080380000}"/>
    <cellStyle name="제목 7" xfId="13578" xr:uid="{00000000-0005-0000-0000-000081380000}"/>
    <cellStyle name="제목 7 10" xfId="13579" xr:uid="{00000000-0005-0000-0000-000082380000}"/>
    <cellStyle name="제목 7 10 2" xfId="13580" xr:uid="{00000000-0005-0000-0000-000083380000}"/>
    <cellStyle name="제목 7 11" xfId="13581" xr:uid="{00000000-0005-0000-0000-000084380000}"/>
    <cellStyle name="제목 7 11 2" xfId="13582" xr:uid="{00000000-0005-0000-0000-000085380000}"/>
    <cellStyle name="제목 7 12" xfId="13583" xr:uid="{00000000-0005-0000-0000-000086380000}"/>
    <cellStyle name="제목 7 12 2" xfId="13584" xr:uid="{00000000-0005-0000-0000-000087380000}"/>
    <cellStyle name="제목 7 13" xfId="13585" xr:uid="{00000000-0005-0000-0000-000088380000}"/>
    <cellStyle name="제목 7 13 2" xfId="13586" xr:uid="{00000000-0005-0000-0000-000089380000}"/>
    <cellStyle name="제목 7 14" xfId="13587" xr:uid="{00000000-0005-0000-0000-00008A380000}"/>
    <cellStyle name="제목 7 14 2" xfId="13588" xr:uid="{00000000-0005-0000-0000-00008B380000}"/>
    <cellStyle name="제목 7 15" xfId="13589" xr:uid="{00000000-0005-0000-0000-00008C380000}"/>
    <cellStyle name="제목 7 15 2" xfId="13590" xr:uid="{00000000-0005-0000-0000-00008D380000}"/>
    <cellStyle name="제목 7 16" xfId="13591" xr:uid="{00000000-0005-0000-0000-00008E380000}"/>
    <cellStyle name="제목 7 16 2" xfId="13592" xr:uid="{00000000-0005-0000-0000-00008F380000}"/>
    <cellStyle name="제목 7 17" xfId="13593" xr:uid="{00000000-0005-0000-0000-000090380000}"/>
    <cellStyle name="제목 7 17 2" xfId="13594" xr:uid="{00000000-0005-0000-0000-000091380000}"/>
    <cellStyle name="제목 7 18" xfId="13595" xr:uid="{00000000-0005-0000-0000-000092380000}"/>
    <cellStyle name="제목 7 18 2" xfId="13596" xr:uid="{00000000-0005-0000-0000-000093380000}"/>
    <cellStyle name="제목 7 19" xfId="13597" xr:uid="{00000000-0005-0000-0000-000094380000}"/>
    <cellStyle name="제목 7 19 2" xfId="13598" xr:uid="{00000000-0005-0000-0000-000095380000}"/>
    <cellStyle name="제목 7 2" xfId="13599" xr:uid="{00000000-0005-0000-0000-000096380000}"/>
    <cellStyle name="제목 7 2 2" xfId="13600" xr:uid="{00000000-0005-0000-0000-000097380000}"/>
    <cellStyle name="제목 7 20" xfId="13601" xr:uid="{00000000-0005-0000-0000-000098380000}"/>
    <cellStyle name="제목 7 20 2" xfId="13602" xr:uid="{00000000-0005-0000-0000-000099380000}"/>
    <cellStyle name="제목 7 21" xfId="13603" xr:uid="{00000000-0005-0000-0000-00009A380000}"/>
    <cellStyle name="제목 7 21 2" xfId="13604" xr:uid="{00000000-0005-0000-0000-00009B380000}"/>
    <cellStyle name="제목 7 22" xfId="13605" xr:uid="{00000000-0005-0000-0000-00009C380000}"/>
    <cellStyle name="제목 7 22 2" xfId="13606" xr:uid="{00000000-0005-0000-0000-00009D380000}"/>
    <cellStyle name="제목 7 23" xfId="13607" xr:uid="{00000000-0005-0000-0000-00009E380000}"/>
    <cellStyle name="제목 7 23 2" xfId="13608" xr:uid="{00000000-0005-0000-0000-00009F380000}"/>
    <cellStyle name="제목 7 24" xfId="13609" xr:uid="{00000000-0005-0000-0000-0000A0380000}"/>
    <cellStyle name="제목 7 24 2" xfId="13610" xr:uid="{00000000-0005-0000-0000-0000A1380000}"/>
    <cellStyle name="제목 7 25" xfId="13611" xr:uid="{00000000-0005-0000-0000-0000A2380000}"/>
    <cellStyle name="제목 7 25 2" xfId="13612" xr:uid="{00000000-0005-0000-0000-0000A3380000}"/>
    <cellStyle name="제목 7 26" xfId="13613" xr:uid="{00000000-0005-0000-0000-0000A4380000}"/>
    <cellStyle name="제목 7 26 2" xfId="13614" xr:uid="{00000000-0005-0000-0000-0000A5380000}"/>
    <cellStyle name="제목 7 27" xfId="13615" xr:uid="{00000000-0005-0000-0000-0000A6380000}"/>
    <cellStyle name="제목 7 27 2" xfId="13616" xr:uid="{00000000-0005-0000-0000-0000A7380000}"/>
    <cellStyle name="제목 7 28" xfId="13617" xr:uid="{00000000-0005-0000-0000-0000A8380000}"/>
    <cellStyle name="제목 7 28 2" xfId="13618" xr:uid="{00000000-0005-0000-0000-0000A9380000}"/>
    <cellStyle name="제목 7 29" xfId="13619" xr:uid="{00000000-0005-0000-0000-0000AA380000}"/>
    <cellStyle name="제목 7 29 2" xfId="13620" xr:uid="{00000000-0005-0000-0000-0000AB380000}"/>
    <cellStyle name="제목 7 3" xfId="13621" xr:uid="{00000000-0005-0000-0000-0000AC380000}"/>
    <cellStyle name="제목 7 3 2" xfId="13622" xr:uid="{00000000-0005-0000-0000-0000AD380000}"/>
    <cellStyle name="제목 7 30" xfId="13623" xr:uid="{00000000-0005-0000-0000-0000AE380000}"/>
    <cellStyle name="제목 7 30 2" xfId="13624" xr:uid="{00000000-0005-0000-0000-0000AF380000}"/>
    <cellStyle name="제목 7 31" xfId="13625" xr:uid="{00000000-0005-0000-0000-0000B0380000}"/>
    <cellStyle name="제목 7 31 2" xfId="13626" xr:uid="{00000000-0005-0000-0000-0000B1380000}"/>
    <cellStyle name="제목 7 32" xfId="13627" xr:uid="{00000000-0005-0000-0000-0000B2380000}"/>
    <cellStyle name="제목 7 32 2" xfId="13628" xr:uid="{00000000-0005-0000-0000-0000B3380000}"/>
    <cellStyle name="제목 7 33" xfId="13629" xr:uid="{00000000-0005-0000-0000-0000B4380000}"/>
    <cellStyle name="제목 7 33 2" xfId="13630" xr:uid="{00000000-0005-0000-0000-0000B5380000}"/>
    <cellStyle name="제목 7 34" xfId="13631" xr:uid="{00000000-0005-0000-0000-0000B6380000}"/>
    <cellStyle name="제목 7 34 2" xfId="13632" xr:uid="{00000000-0005-0000-0000-0000B7380000}"/>
    <cellStyle name="제목 7 35" xfId="13633" xr:uid="{00000000-0005-0000-0000-0000B8380000}"/>
    <cellStyle name="제목 7 35 2" xfId="13634" xr:uid="{00000000-0005-0000-0000-0000B9380000}"/>
    <cellStyle name="제목 7 36" xfId="13635" xr:uid="{00000000-0005-0000-0000-0000BA380000}"/>
    <cellStyle name="제목 7 36 2" xfId="13636" xr:uid="{00000000-0005-0000-0000-0000BB380000}"/>
    <cellStyle name="제목 7 37" xfId="13637" xr:uid="{00000000-0005-0000-0000-0000BC380000}"/>
    <cellStyle name="제목 7 37 2" xfId="13638" xr:uid="{00000000-0005-0000-0000-0000BD380000}"/>
    <cellStyle name="제목 7 38" xfId="13639" xr:uid="{00000000-0005-0000-0000-0000BE380000}"/>
    <cellStyle name="제목 7 38 2" xfId="13640" xr:uid="{00000000-0005-0000-0000-0000BF380000}"/>
    <cellStyle name="제목 7 39" xfId="13641" xr:uid="{00000000-0005-0000-0000-0000C0380000}"/>
    <cellStyle name="제목 7 39 2" xfId="13642" xr:uid="{00000000-0005-0000-0000-0000C1380000}"/>
    <cellStyle name="제목 7 4" xfId="13643" xr:uid="{00000000-0005-0000-0000-0000C2380000}"/>
    <cellStyle name="제목 7 4 2" xfId="13644" xr:uid="{00000000-0005-0000-0000-0000C3380000}"/>
    <cellStyle name="제목 7 40" xfId="13645" xr:uid="{00000000-0005-0000-0000-0000C4380000}"/>
    <cellStyle name="제목 7 40 2" xfId="13646" xr:uid="{00000000-0005-0000-0000-0000C5380000}"/>
    <cellStyle name="제목 7 41" xfId="13647" xr:uid="{00000000-0005-0000-0000-0000C6380000}"/>
    <cellStyle name="제목 7 41 2" xfId="13648" xr:uid="{00000000-0005-0000-0000-0000C7380000}"/>
    <cellStyle name="제목 7 42" xfId="13649" xr:uid="{00000000-0005-0000-0000-0000C8380000}"/>
    <cellStyle name="제목 7 42 2" xfId="13650" xr:uid="{00000000-0005-0000-0000-0000C9380000}"/>
    <cellStyle name="제목 7 43" xfId="13651" xr:uid="{00000000-0005-0000-0000-0000CA380000}"/>
    <cellStyle name="제목 7 43 2" xfId="13652" xr:uid="{00000000-0005-0000-0000-0000CB380000}"/>
    <cellStyle name="제목 7 44" xfId="13653" xr:uid="{00000000-0005-0000-0000-0000CC380000}"/>
    <cellStyle name="제목 7 44 2" xfId="13654" xr:uid="{00000000-0005-0000-0000-0000CD380000}"/>
    <cellStyle name="제목 7 45" xfId="13655" xr:uid="{00000000-0005-0000-0000-0000CE380000}"/>
    <cellStyle name="제목 7 45 2" xfId="13656" xr:uid="{00000000-0005-0000-0000-0000CF380000}"/>
    <cellStyle name="제목 7 46" xfId="13657" xr:uid="{00000000-0005-0000-0000-0000D0380000}"/>
    <cellStyle name="제목 7 46 2" xfId="13658" xr:uid="{00000000-0005-0000-0000-0000D1380000}"/>
    <cellStyle name="제목 7 47" xfId="13659" xr:uid="{00000000-0005-0000-0000-0000D2380000}"/>
    <cellStyle name="제목 7 47 2" xfId="13660" xr:uid="{00000000-0005-0000-0000-0000D3380000}"/>
    <cellStyle name="제목 7 48" xfId="13661" xr:uid="{00000000-0005-0000-0000-0000D4380000}"/>
    <cellStyle name="제목 7 48 2" xfId="13662" xr:uid="{00000000-0005-0000-0000-0000D5380000}"/>
    <cellStyle name="제목 7 49" xfId="13663" xr:uid="{00000000-0005-0000-0000-0000D6380000}"/>
    <cellStyle name="제목 7 49 2" xfId="13664" xr:uid="{00000000-0005-0000-0000-0000D7380000}"/>
    <cellStyle name="제목 7 5" xfId="13665" xr:uid="{00000000-0005-0000-0000-0000D8380000}"/>
    <cellStyle name="제목 7 5 2" xfId="13666" xr:uid="{00000000-0005-0000-0000-0000D9380000}"/>
    <cellStyle name="제목 7 50" xfId="13667" xr:uid="{00000000-0005-0000-0000-0000DA380000}"/>
    <cellStyle name="제목 7 50 2" xfId="13668" xr:uid="{00000000-0005-0000-0000-0000DB380000}"/>
    <cellStyle name="제목 7 51" xfId="13669" xr:uid="{00000000-0005-0000-0000-0000DC380000}"/>
    <cellStyle name="제목 7 51 2" xfId="13670" xr:uid="{00000000-0005-0000-0000-0000DD380000}"/>
    <cellStyle name="제목 7 52" xfId="13671" xr:uid="{00000000-0005-0000-0000-0000DE380000}"/>
    <cellStyle name="제목 7 52 2" xfId="13672" xr:uid="{00000000-0005-0000-0000-0000DF380000}"/>
    <cellStyle name="제목 7 53" xfId="13673" xr:uid="{00000000-0005-0000-0000-0000E0380000}"/>
    <cellStyle name="제목 7 53 2" xfId="13674" xr:uid="{00000000-0005-0000-0000-0000E1380000}"/>
    <cellStyle name="제목 7 54" xfId="13675" xr:uid="{00000000-0005-0000-0000-0000E2380000}"/>
    <cellStyle name="제목 7 54 2" xfId="13676" xr:uid="{00000000-0005-0000-0000-0000E3380000}"/>
    <cellStyle name="제목 7 55" xfId="13677" xr:uid="{00000000-0005-0000-0000-0000E4380000}"/>
    <cellStyle name="제목 7 55 2" xfId="13678" xr:uid="{00000000-0005-0000-0000-0000E5380000}"/>
    <cellStyle name="제목 7 56" xfId="13679" xr:uid="{00000000-0005-0000-0000-0000E6380000}"/>
    <cellStyle name="제목 7 56 2" xfId="13680" xr:uid="{00000000-0005-0000-0000-0000E7380000}"/>
    <cellStyle name="제목 7 57" xfId="13681" xr:uid="{00000000-0005-0000-0000-0000E8380000}"/>
    <cellStyle name="제목 7 57 2" xfId="13682" xr:uid="{00000000-0005-0000-0000-0000E9380000}"/>
    <cellStyle name="제목 7 58" xfId="13683" xr:uid="{00000000-0005-0000-0000-0000EA380000}"/>
    <cellStyle name="제목 7 58 2" xfId="13684" xr:uid="{00000000-0005-0000-0000-0000EB380000}"/>
    <cellStyle name="제목 7 59" xfId="13685" xr:uid="{00000000-0005-0000-0000-0000EC380000}"/>
    <cellStyle name="제목 7 59 2" xfId="13686" xr:uid="{00000000-0005-0000-0000-0000ED380000}"/>
    <cellStyle name="제목 7 6" xfId="13687" xr:uid="{00000000-0005-0000-0000-0000EE380000}"/>
    <cellStyle name="제목 7 6 2" xfId="13688" xr:uid="{00000000-0005-0000-0000-0000EF380000}"/>
    <cellStyle name="제목 7 60" xfId="13689" xr:uid="{00000000-0005-0000-0000-0000F0380000}"/>
    <cellStyle name="제목 7 60 2" xfId="13690" xr:uid="{00000000-0005-0000-0000-0000F1380000}"/>
    <cellStyle name="제목 7 61" xfId="13691" xr:uid="{00000000-0005-0000-0000-0000F2380000}"/>
    <cellStyle name="제목 7 61 2" xfId="13692" xr:uid="{00000000-0005-0000-0000-0000F3380000}"/>
    <cellStyle name="제목 7 62" xfId="13693" xr:uid="{00000000-0005-0000-0000-0000F4380000}"/>
    <cellStyle name="제목 7 62 2" xfId="13694" xr:uid="{00000000-0005-0000-0000-0000F5380000}"/>
    <cellStyle name="제목 7 63" xfId="13695" xr:uid="{00000000-0005-0000-0000-0000F6380000}"/>
    <cellStyle name="제목 7 63 2" xfId="13696" xr:uid="{00000000-0005-0000-0000-0000F7380000}"/>
    <cellStyle name="제목 7 64" xfId="13697" xr:uid="{00000000-0005-0000-0000-0000F8380000}"/>
    <cellStyle name="제목 7 64 2" xfId="13698" xr:uid="{00000000-0005-0000-0000-0000F9380000}"/>
    <cellStyle name="제목 7 65" xfId="13699" xr:uid="{00000000-0005-0000-0000-0000FA380000}"/>
    <cellStyle name="제목 7 65 2" xfId="13700" xr:uid="{00000000-0005-0000-0000-0000FB380000}"/>
    <cellStyle name="제목 7 66" xfId="13701" xr:uid="{00000000-0005-0000-0000-0000FC380000}"/>
    <cellStyle name="제목 7 66 2" xfId="13702" xr:uid="{00000000-0005-0000-0000-0000FD380000}"/>
    <cellStyle name="제목 7 67" xfId="13703" xr:uid="{00000000-0005-0000-0000-0000FE380000}"/>
    <cellStyle name="제목 7 67 2" xfId="13704" xr:uid="{00000000-0005-0000-0000-0000FF380000}"/>
    <cellStyle name="제목 7 68" xfId="13705" xr:uid="{00000000-0005-0000-0000-000000390000}"/>
    <cellStyle name="제목 7 68 2" xfId="13706" xr:uid="{00000000-0005-0000-0000-000001390000}"/>
    <cellStyle name="제목 7 69" xfId="13707" xr:uid="{00000000-0005-0000-0000-000002390000}"/>
    <cellStyle name="제목 7 69 2" xfId="13708" xr:uid="{00000000-0005-0000-0000-000003390000}"/>
    <cellStyle name="제목 7 7" xfId="13709" xr:uid="{00000000-0005-0000-0000-000004390000}"/>
    <cellStyle name="제목 7 7 2" xfId="13710" xr:uid="{00000000-0005-0000-0000-000005390000}"/>
    <cellStyle name="제목 7 70" xfId="13711" xr:uid="{00000000-0005-0000-0000-000006390000}"/>
    <cellStyle name="제목 7 70 2" xfId="13712" xr:uid="{00000000-0005-0000-0000-000007390000}"/>
    <cellStyle name="제목 7 71" xfId="13713" xr:uid="{00000000-0005-0000-0000-000008390000}"/>
    <cellStyle name="제목 7 71 2" xfId="13714" xr:uid="{00000000-0005-0000-0000-000009390000}"/>
    <cellStyle name="제목 7 72" xfId="13715" xr:uid="{00000000-0005-0000-0000-00000A390000}"/>
    <cellStyle name="제목 7 72 2" xfId="13716" xr:uid="{00000000-0005-0000-0000-00000B390000}"/>
    <cellStyle name="제목 7 73" xfId="13717" xr:uid="{00000000-0005-0000-0000-00000C390000}"/>
    <cellStyle name="제목 7 73 2" xfId="13718" xr:uid="{00000000-0005-0000-0000-00000D390000}"/>
    <cellStyle name="제목 7 74" xfId="13719" xr:uid="{00000000-0005-0000-0000-00000E390000}"/>
    <cellStyle name="제목 7 74 2" xfId="13720" xr:uid="{00000000-0005-0000-0000-00000F390000}"/>
    <cellStyle name="제목 7 75" xfId="13721" xr:uid="{00000000-0005-0000-0000-000010390000}"/>
    <cellStyle name="제목 7 8" xfId="13722" xr:uid="{00000000-0005-0000-0000-000011390000}"/>
    <cellStyle name="제목 7 8 2" xfId="13723" xr:uid="{00000000-0005-0000-0000-000012390000}"/>
    <cellStyle name="제목 7 9" xfId="13724" xr:uid="{00000000-0005-0000-0000-000013390000}"/>
    <cellStyle name="제목 7 9 2" xfId="13725" xr:uid="{00000000-0005-0000-0000-000014390000}"/>
    <cellStyle name="제목 7_롯데 일산점 무대조명_총괄표_100503_수정" xfId="13726" xr:uid="{00000000-0005-0000-0000-000015390000}"/>
    <cellStyle name="제목 8" xfId="13727" xr:uid="{00000000-0005-0000-0000-000016390000}"/>
    <cellStyle name="제목 8 10" xfId="13728" xr:uid="{00000000-0005-0000-0000-000017390000}"/>
    <cellStyle name="제목 8 10 2" xfId="13729" xr:uid="{00000000-0005-0000-0000-000018390000}"/>
    <cellStyle name="제목 8 11" xfId="13730" xr:uid="{00000000-0005-0000-0000-000019390000}"/>
    <cellStyle name="제목 8 11 2" xfId="13731" xr:uid="{00000000-0005-0000-0000-00001A390000}"/>
    <cellStyle name="제목 8 12" xfId="13732" xr:uid="{00000000-0005-0000-0000-00001B390000}"/>
    <cellStyle name="제목 8 12 2" xfId="13733" xr:uid="{00000000-0005-0000-0000-00001C390000}"/>
    <cellStyle name="제목 8 13" xfId="13734" xr:uid="{00000000-0005-0000-0000-00001D390000}"/>
    <cellStyle name="제목 8 13 2" xfId="13735" xr:uid="{00000000-0005-0000-0000-00001E390000}"/>
    <cellStyle name="제목 8 14" xfId="13736" xr:uid="{00000000-0005-0000-0000-00001F390000}"/>
    <cellStyle name="제목 8 14 2" xfId="13737" xr:uid="{00000000-0005-0000-0000-000020390000}"/>
    <cellStyle name="제목 8 15" xfId="13738" xr:uid="{00000000-0005-0000-0000-000021390000}"/>
    <cellStyle name="제목 8 15 2" xfId="13739" xr:uid="{00000000-0005-0000-0000-000022390000}"/>
    <cellStyle name="제목 8 16" xfId="13740" xr:uid="{00000000-0005-0000-0000-000023390000}"/>
    <cellStyle name="제목 8 16 2" xfId="13741" xr:uid="{00000000-0005-0000-0000-000024390000}"/>
    <cellStyle name="제목 8 17" xfId="13742" xr:uid="{00000000-0005-0000-0000-000025390000}"/>
    <cellStyle name="제목 8 17 2" xfId="13743" xr:uid="{00000000-0005-0000-0000-000026390000}"/>
    <cellStyle name="제목 8 18" xfId="13744" xr:uid="{00000000-0005-0000-0000-000027390000}"/>
    <cellStyle name="제목 8 18 2" xfId="13745" xr:uid="{00000000-0005-0000-0000-000028390000}"/>
    <cellStyle name="제목 8 19" xfId="13746" xr:uid="{00000000-0005-0000-0000-000029390000}"/>
    <cellStyle name="제목 8 19 2" xfId="13747" xr:uid="{00000000-0005-0000-0000-00002A390000}"/>
    <cellStyle name="제목 8 2" xfId="13748" xr:uid="{00000000-0005-0000-0000-00002B390000}"/>
    <cellStyle name="제목 8 2 2" xfId="13749" xr:uid="{00000000-0005-0000-0000-00002C390000}"/>
    <cellStyle name="제목 8 20" xfId="13750" xr:uid="{00000000-0005-0000-0000-00002D390000}"/>
    <cellStyle name="제목 8 20 2" xfId="13751" xr:uid="{00000000-0005-0000-0000-00002E390000}"/>
    <cellStyle name="제목 8 21" xfId="13752" xr:uid="{00000000-0005-0000-0000-00002F390000}"/>
    <cellStyle name="제목 8 21 2" xfId="13753" xr:uid="{00000000-0005-0000-0000-000030390000}"/>
    <cellStyle name="제목 8 22" xfId="13754" xr:uid="{00000000-0005-0000-0000-000031390000}"/>
    <cellStyle name="제목 8 22 2" xfId="13755" xr:uid="{00000000-0005-0000-0000-000032390000}"/>
    <cellStyle name="제목 8 23" xfId="13756" xr:uid="{00000000-0005-0000-0000-000033390000}"/>
    <cellStyle name="제목 8 23 2" xfId="13757" xr:uid="{00000000-0005-0000-0000-000034390000}"/>
    <cellStyle name="제목 8 24" xfId="13758" xr:uid="{00000000-0005-0000-0000-000035390000}"/>
    <cellStyle name="제목 8 24 2" xfId="13759" xr:uid="{00000000-0005-0000-0000-000036390000}"/>
    <cellStyle name="제목 8 25" xfId="13760" xr:uid="{00000000-0005-0000-0000-000037390000}"/>
    <cellStyle name="제목 8 25 2" xfId="13761" xr:uid="{00000000-0005-0000-0000-000038390000}"/>
    <cellStyle name="제목 8 26" xfId="13762" xr:uid="{00000000-0005-0000-0000-000039390000}"/>
    <cellStyle name="제목 8 26 2" xfId="13763" xr:uid="{00000000-0005-0000-0000-00003A390000}"/>
    <cellStyle name="제목 8 27" xfId="13764" xr:uid="{00000000-0005-0000-0000-00003B390000}"/>
    <cellStyle name="제목 8 27 2" xfId="13765" xr:uid="{00000000-0005-0000-0000-00003C390000}"/>
    <cellStyle name="제목 8 28" xfId="13766" xr:uid="{00000000-0005-0000-0000-00003D390000}"/>
    <cellStyle name="제목 8 28 2" xfId="13767" xr:uid="{00000000-0005-0000-0000-00003E390000}"/>
    <cellStyle name="제목 8 29" xfId="13768" xr:uid="{00000000-0005-0000-0000-00003F390000}"/>
    <cellStyle name="제목 8 29 2" xfId="13769" xr:uid="{00000000-0005-0000-0000-000040390000}"/>
    <cellStyle name="제목 8 3" xfId="13770" xr:uid="{00000000-0005-0000-0000-000041390000}"/>
    <cellStyle name="제목 8 3 2" xfId="13771" xr:uid="{00000000-0005-0000-0000-000042390000}"/>
    <cellStyle name="제목 8 30" xfId="13772" xr:uid="{00000000-0005-0000-0000-000043390000}"/>
    <cellStyle name="제목 8 30 2" xfId="13773" xr:uid="{00000000-0005-0000-0000-000044390000}"/>
    <cellStyle name="제목 8 31" xfId="13774" xr:uid="{00000000-0005-0000-0000-000045390000}"/>
    <cellStyle name="제목 8 31 2" xfId="13775" xr:uid="{00000000-0005-0000-0000-000046390000}"/>
    <cellStyle name="제목 8 32" xfId="13776" xr:uid="{00000000-0005-0000-0000-000047390000}"/>
    <cellStyle name="제목 8 32 2" xfId="13777" xr:uid="{00000000-0005-0000-0000-000048390000}"/>
    <cellStyle name="제목 8 33" xfId="13778" xr:uid="{00000000-0005-0000-0000-000049390000}"/>
    <cellStyle name="제목 8 33 2" xfId="13779" xr:uid="{00000000-0005-0000-0000-00004A390000}"/>
    <cellStyle name="제목 8 34" xfId="13780" xr:uid="{00000000-0005-0000-0000-00004B390000}"/>
    <cellStyle name="제목 8 34 2" xfId="13781" xr:uid="{00000000-0005-0000-0000-00004C390000}"/>
    <cellStyle name="제목 8 35" xfId="13782" xr:uid="{00000000-0005-0000-0000-00004D390000}"/>
    <cellStyle name="제목 8 4" xfId="13783" xr:uid="{00000000-0005-0000-0000-00004E390000}"/>
    <cellStyle name="제목 8 4 2" xfId="13784" xr:uid="{00000000-0005-0000-0000-00004F390000}"/>
    <cellStyle name="제목 8 5" xfId="13785" xr:uid="{00000000-0005-0000-0000-000050390000}"/>
    <cellStyle name="제목 8 5 2" xfId="13786" xr:uid="{00000000-0005-0000-0000-000051390000}"/>
    <cellStyle name="제목 8 6" xfId="13787" xr:uid="{00000000-0005-0000-0000-000052390000}"/>
    <cellStyle name="제목 8 6 2" xfId="13788" xr:uid="{00000000-0005-0000-0000-000053390000}"/>
    <cellStyle name="제목 8 7" xfId="13789" xr:uid="{00000000-0005-0000-0000-000054390000}"/>
    <cellStyle name="제목 8 7 2" xfId="13790" xr:uid="{00000000-0005-0000-0000-000055390000}"/>
    <cellStyle name="제목 8 8" xfId="13791" xr:uid="{00000000-0005-0000-0000-000056390000}"/>
    <cellStyle name="제목 8 8 2" xfId="13792" xr:uid="{00000000-0005-0000-0000-000057390000}"/>
    <cellStyle name="제목 8 9" xfId="13793" xr:uid="{00000000-0005-0000-0000-000058390000}"/>
    <cellStyle name="제목 8 9 2" xfId="13794" xr:uid="{00000000-0005-0000-0000-000059390000}"/>
    <cellStyle name="제목 9" xfId="13795" xr:uid="{00000000-0005-0000-0000-00005A390000}"/>
    <cellStyle name="제목 9 10" xfId="13796" xr:uid="{00000000-0005-0000-0000-00005B390000}"/>
    <cellStyle name="제목 9 10 2" xfId="13797" xr:uid="{00000000-0005-0000-0000-00005C390000}"/>
    <cellStyle name="제목 9 11" xfId="13798" xr:uid="{00000000-0005-0000-0000-00005D390000}"/>
    <cellStyle name="제목 9 11 2" xfId="13799" xr:uid="{00000000-0005-0000-0000-00005E390000}"/>
    <cellStyle name="제목 9 12" xfId="13800" xr:uid="{00000000-0005-0000-0000-00005F390000}"/>
    <cellStyle name="제목 9 12 2" xfId="13801" xr:uid="{00000000-0005-0000-0000-000060390000}"/>
    <cellStyle name="제목 9 13" xfId="13802" xr:uid="{00000000-0005-0000-0000-000061390000}"/>
    <cellStyle name="제목 9 13 2" xfId="13803" xr:uid="{00000000-0005-0000-0000-000062390000}"/>
    <cellStyle name="제목 9 14" xfId="13804" xr:uid="{00000000-0005-0000-0000-000063390000}"/>
    <cellStyle name="제목 9 14 2" xfId="13805" xr:uid="{00000000-0005-0000-0000-000064390000}"/>
    <cellStyle name="제목 9 15" xfId="13806" xr:uid="{00000000-0005-0000-0000-000065390000}"/>
    <cellStyle name="제목 9 15 2" xfId="13807" xr:uid="{00000000-0005-0000-0000-000066390000}"/>
    <cellStyle name="제목 9 16" xfId="13808" xr:uid="{00000000-0005-0000-0000-000067390000}"/>
    <cellStyle name="제목 9 16 2" xfId="13809" xr:uid="{00000000-0005-0000-0000-000068390000}"/>
    <cellStyle name="제목 9 17" xfId="13810" xr:uid="{00000000-0005-0000-0000-000069390000}"/>
    <cellStyle name="제목 9 17 2" xfId="13811" xr:uid="{00000000-0005-0000-0000-00006A390000}"/>
    <cellStyle name="제목 9 18" xfId="13812" xr:uid="{00000000-0005-0000-0000-00006B390000}"/>
    <cellStyle name="제목 9 18 2" xfId="13813" xr:uid="{00000000-0005-0000-0000-00006C390000}"/>
    <cellStyle name="제목 9 19" xfId="13814" xr:uid="{00000000-0005-0000-0000-00006D390000}"/>
    <cellStyle name="제목 9 19 2" xfId="13815" xr:uid="{00000000-0005-0000-0000-00006E390000}"/>
    <cellStyle name="제목 9 2" xfId="13816" xr:uid="{00000000-0005-0000-0000-00006F390000}"/>
    <cellStyle name="제목 9 2 2" xfId="13817" xr:uid="{00000000-0005-0000-0000-000070390000}"/>
    <cellStyle name="제목 9 20" xfId="13818" xr:uid="{00000000-0005-0000-0000-000071390000}"/>
    <cellStyle name="제목 9 20 2" xfId="13819" xr:uid="{00000000-0005-0000-0000-000072390000}"/>
    <cellStyle name="제목 9 21" xfId="13820" xr:uid="{00000000-0005-0000-0000-000073390000}"/>
    <cellStyle name="제목 9 21 2" xfId="13821" xr:uid="{00000000-0005-0000-0000-000074390000}"/>
    <cellStyle name="제목 9 22" xfId="13822" xr:uid="{00000000-0005-0000-0000-000075390000}"/>
    <cellStyle name="제목 9 22 2" xfId="13823" xr:uid="{00000000-0005-0000-0000-000076390000}"/>
    <cellStyle name="제목 9 23" xfId="13824" xr:uid="{00000000-0005-0000-0000-000077390000}"/>
    <cellStyle name="제목 9 23 2" xfId="13825" xr:uid="{00000000-0005-0000-0000-000078390000}"/>
    <cellStyle name="제목 9 24" xfId="13826" xr:uid="{00000000-0005-0000-0000-000079390000}"/>
    <cellStyle name="제목 9 24 2" xfId="13827" xr:uid="{00000000-0005-0000-0000-00007A390000}"/>
    <cellStyle name="제목 9 25" xfId="13828" xr:uid="{00000000-0005-0000-0000-00007B390000}"/>
    <cellStyle name="제목 9 25 2" xfId="13829" xr:uid="{00000000-0005-0000-0000-00007C390000}"/>
    <cellStyle name="제목 9 26" xfId="13830" xr:uid="{00000000-0005-0000-0000-00007D390000}"/>
    <cellStyle name="제목 9 3" xfId="13831" xr:uid="{00000000-0005-0000-0000-00007E390000}"/>
    <cellStyle name="제목 9 3 2" xfId="13832" xr:uid="{00000000-0005-0000-0000-00007F390000}"/>
    <cellStyle name="제목 9 4" xfId="13833" xr:uid="{00000000-0005-0000-0000-000080390000}"/>
    <cellStyle name="제목 9 4 2" xfId="13834" xr:uid="{00000000-0005-0000-0000-000081390000}"/>
    <cellStyle name="제목 9 5" xfId="13835" xr:uid="{00000000-0005-0000-0000-000082390000}"/>
    <cellStyle name="제목 9 5 2" xfId="13836" xr:uid="{00000000-0005-0000-0000-000083390000}"/>
    <cellStyle name="제목 9 6" xfId="13837" xr:uid="{00000000-0005-0000-0000-000084390000}"/>
    <cellStyle name="제목 9 6 2" xfId="13838" xr:uid="{00000000-0005-0000-0000-000085390000}"/>
    <cellStyle name="제목 9 7" xfId="13839" xr:uid="{00000000-0005-0000-0000-000086390000}"/>
    <cellStyle name="제목 9 7 2" xfId="13840" xr:uid="{00000000-0005-0000-0000-000087390000}"/>
    <cellStyle name="제목 9 8" xfId="13841" xr:uid="{00000000-0005-0000-0000-000088390000}"/>
    <cellStyle name="제목 9 8 2" xfId="13842" xr:uid="{00000000-0005-0000-0000-000089390000}"/>
    <cellStyle name="제목 9 9" xfId="13843" xr:uid="{00000000-0005-0000-0000-00008A390000}"/>
    <cellStyle name="제목 9 9 2" xfId="13844" xr:uid="{00000000-0005-0000-0000-00008B390000}"/>
    <cellStyle name="제목[1 줄]" xfId="13845" xr:uid="{00000000-0005-0000-0000-00008C390000}"/>
    <cellStyle name="제목[1 줄] 2" xfId="13846" xr:uid="{00000000-0005-0000-0000-00008D390000}"/>
    <cellStyle name="제목[1 줄] 2 2" xfId="13847" xr:uid="{00000000-0005-0000-0000-00008E390000}"/>
    <cellStyle name="제목[1 줄] 2 2 2" xfId="13848" xr:uid="{00000000-0005-0000-0000-00008F390000}"/>
    <cellStyle name="제목[1 줄] 2 2 3" xfId="13849" xr:uid="{00000000-0005-0000-0000-000090390000}"/>
    <cellStyle name="제목[1 줄] 2 2 4" xfId="13850" xr:uid="{00000000-0005-0000-0000-000091390000}"/>
    <cellStyle name="제목[1 줄] 2 2 5" xfId="13851" xr:uid="{00000000-0005-0000-0000-000092390000}"/>
    <cellStyle name="제목[1 줄] 3" xfId="13852" xr:uid="{00000000-0005-0000-0000-000093390000}"/>
    <cellStyle name="제목[1 줄] 3 2" xfId="13853" xr:uid="{00000000-0005-0000-0000-000094390000}"/>
    <cellStyle name="제목[1 줄] 3 3" xfId="13854" xr:uid="{00000000-0005-0000-0000-000095390000}"/>
    <cellStyle name="제목[1 줄] 3 4" xfId="13855" xr:uid="{00000000-0005-0000-0000-000096390000}"/>
    <cellStyle name="제목[1 줄] 3 5" xfId="13856" xr:uid="{00000000-0005-0000-0000-000097390000}"/>
    <cellStyle name="제목[1 줄] 4" xfId="16702" xr:uid="{00000000-0005-0000-0000-000098390000}"/>
    <cellStyle name="제목[2줄 아래]" xfId="13857" xr:uid="{00000000-0005-0000-0000-000099390000}"/>
    <cellStyle name="제목[2줄 아래] 2" xfId="13858" xr:uid="{00000000-0005-0000-0000-00009A390000}"/>
    <cellStyle name="제목[2줄 아래] 3" xfId="16703" xr:uid="{00000000-0005-0000-0000-00009B390000}"/>
    <cellStyle name="제목[2줄 위]" xfId="13859" xr:uid="{00000000-0005-0000-0000-00009C390000}"/>
    <cellStyle name="제목[2줄 위] 2" xfId="13860" xr:uid="{00000000-0005-0000-0000-00009D390000}"/>
    <cellStyle name="제목[2줄 위] 2 2" xfId="13861" xr:uid="{00000000-0005-0000-0000-00009E390000}"/>
    <cellStyle name="제목[2줄 위] 2 2 2" xfId="13862" xr:uid="{00000000-0005-0000-0000-00009F390000}"/>
    <cellStyle name="제목[2줄 위] 2 2 3" xfId="13863" xr:uid="{00000000-0005-0000-0000-0000A0390000}"/>
    <cellStyle name="제목[2줄 위] 2 2 4" xfId="13864" xr:uid="{00000000-0005-0000-0000-0000A1390000}"/>
    <cellStyle name="제목[2줄 위] 2 2 5" xfId="13865" xr:uid="{00000000-0005-0000-0000-0000A2390000}"/>
    <cellStyle name="제목[2줄 위] 3" xfId="13866" xr:uid="{00000000-0005-0000-0000-0000A3390000}"/>
    <cellStyle name="제목[2줄 위] 3 2" xfId="13867" xr:uid="{00000000-0005-0000-0000-0000A4390000}"/>
    <cellStyle name="제목[2줄 위] 3 3" xfId="13868" xr:uid="{00000000-0005-0000-0000-0000A5390000}"/>
    <cellStyle name="제목[2줄 위] 3 4" xfId="13869" xr:uid="{00000000-0005-0000-0000-0000A6390000}"/>
    <cellStyle name="제목[2줄 위] 3 5" xfId="13870" xr:uid="{00000000-0005-0000-0000-0000A7390000}"/>
    <cellStyle name="제목[2줄 위] 4" xfId="16704" xr:uid="{00000000-0005-0000-0000-0000A8390000}"/>
    <cellStyle name="제목[2줄 위] 5" xfId="16935" xr:uid="{00000000-0005-0000-0000-0000A9390000}"/>
    <cellStyle name="제목[2줄 위] 6" xfId="16906" xr:uid="{00000000-0005-0000-0000-0000AA390000}"/>
    <cellStyle name="제목1" xfId="13871" xr:uid="{00000000-0005-0000-0000-0000AB390000}"/>
    <cellStyle name="제목1 2" xfId="13872" xr:uid="{00000000-0005-0000-0000-0000AC390000}"/>
    <cellStyle name="제목1 3" xfId="16705" xr:uid="{00000000-0005-0000-0000-0000AD390000}"/>
    <cellStyle name="좋음 2" xfId="13873" xr:uid="{00000000-0005-0000-0000-0000AE390000}"/>
    <cellStyle name="좋음 2 10" xfId="13874" xr:uid="{00000000-0005-0000-0000-0000AF390000}"/>
    <cellStyle name="좋음 2 11" xfId="16706" xr:uid="{00000000-0005-0000-0000-0000B0390000}"/>
    <cellStyle name="좋음 2 2" xfId="13875" xr:uid="{00000000-0005-0000-0000-0000B1390000}"/>
    <cellStyle name="좋음 2 2 2" xfId="13876" xr:uid="{00000000-0005-0000-0000-0000B2390000}"/>
    <cellStyle name="좋음 2 2 3" xfId="16814" xr:uid="{00000000-0005-0000-0000-0000B3390000}"/>
    <cellStyle name="좋음 2 3" xfId="13877" xr:uid="{00000000-0005-0000-0000-0000B4390000}"/>
    <cellStyle name="좋음 2 3 2" xfId="13878" xr:uid="{00000000-0005-0000-0000-0000B5390000}"/>
    <cellStyle name="좋음 2 4" xfId="13879" xr:uid="{00000000-0005-0000-0000-0000B6390000}"/>
    <cellStyle name="좋음 2 4 2" xfId="13880" xr:uid="{00000000-0005-0000-0000-0000B7390000}"/>
    <cellStyle name="좋음 2 5" xfId="13881" xr:uid="{00000000-0005-0000-0000-0000B8390000}"/>
    <cellStyle name="좋음 2 5 2" xfId="13882" xr:uid="{00000000-0005-0000-0000-0000B9390000}"/>
    <cellStyle name="좋음 2 6" xfId="13883" xr:uid="{00000000-0005-0000-0000-0000BA390000}"/>
    <cellStyle name="좋음 2 6 2" xfId="13884" xr:uid="{00000000-0005-0000-0000-0000BB390000}"/>
    <cellStyle name="좋음 2 7" xfId="13885" xr:uid="{00000000-0005-0000-0000-0000BC390000}"/>
    <cellStyle name="좋음 2 7 2" xfId="13886" xr:uid="{00000000-0005-0000-0000-0000BD390000}"/>
    <cellStyle name="좋음 2 8" xfId="13887" xr:uid="{00000000-0005-0000-0000-0000BE390000}"/>
    <cellStyle name="좋음 2 8 2" xfId="13888" xr:uid="{00000000-0005-0000-0000-0000BF390000}"/>
    <cellStyle name="좋음 2 9" xfId="13889" xr:uid="{00000000-0005-0000-0000-0000C0390000}"/>
    <cellStyle name="좋음 2 9 2" xfId="13890" xr:uid="{00000000-0005-0000-0000-0000C1390000}"/>
    <cellStyle name="좋음 3" xfId="13891" xr:uid="{00000000-0005-0000-0000-0000C2390000}"/>
    <cellStyle name="좋음 3 10" xfId="13892" xr:uid="{00000000-0005-0000-0000-0000C3390000}"/>
    <cellStyle name="좋음 3 2" xfId="13893" xr:uid="{00000000-0005-0000-0000-0000C4390000}"/>
    <cellStyle name="좋음 3 2 2" xfId="13894" xr:uid="{00000000-0005-0000-0000-0000C5390000}"/>
    <cellStyle name="좋음 3 3" xfId="13895" xr:uid="{00000000-0005-0000-0000-0000C6390000}"/>
    <cellStyle name="좋음 3 3 2" xfId="13896" xr:uid="{00000000-0005-0000-0000-0000C7390000}"/>
    <cellStyle name="좋음 3 4" xfId="13897" xr:uid="{00000000-0005-0000-0000-0000C8390000}"/>
    <cellStyle name="좋음 3 4 2" xfId="13898" xr:uid="{00000000-0005-0000-0000-0000C9390000}"/>
    <cellStyle name="좋음 3 5" xfId="13899" xr:uid="{00000000-0005-0000-0000-0000CA390000}"/>
    <cellStyle name="좋음 3 5 2" xfId="13900" xr:uid="{00000000-0005-0000-0000-0000CB390000}"/>
    <cellStyle name="좋음 3 6" xfId="13901" xr:uid="{00000000-0005-0000-0000-0000CC390000}"/>
    <cellStyle name="좋음 3 6 2" xfId="13902" xr:uid="{00000000-0005-0000-0000-0000CD390000}"/>
    <cellStyle name="좋음 3 7" xfId="13903" xr:uid="{00000000-0005-0000-0000-0000CE390000}"/>
    <cellStyle name="좋음 3 7 2" xfId="13904" xr:uid="{00000000-0005-0000-0000-0000CF390000}"/>
    <cellStyle name="좋음 3 8" xfId="13905" xr:uid="{00000000-0005-0000-0000-0000D0390000}"/>
    <cellStyle name="좋음 3 8 2" xfId="13906" xr:uid="{00000000-0005-0000-0000-0000D1390000}"/>
    <cellStyle name="좋음 3 9" xfId="13907" xr:uid="{00000000-0005-0000-0000-0000D2390000}"/>
    <cellStyle name="좋음 3 9 2" xfId="13908" xr:uid="{00000000-0005-0000-0000-0000D3390000}"/>
    <cellStyle name="좋음 4" xfId="13909" xr:uid="{00000000-0005-0000-0000-0000D4390000}"/>
    <cellStyle name="좋음 4 10" xfId="13910" xr:uid="{00000000-0005-0000-0000-0000D5390000}"/>
    <cellStyle name="좋음 4 2" xfId="13911" xr:uid="{00000000-0005-0000-0000-0000D6390000}"/>
    <cellStyle name="좋음 4 2 2" xfId="13912" xr:uid="{00000000-0005-0000-0000-0000D7390000}"/>
    <cellStyle name="좋음 4 3" xfId="13913" xr:uid="{00000000-0005-0000-0000-0000D8390000}"/>
    <cellStyle name="좋음 4 3 2" xfId="13914" xr:uid="{00000000-0005-0000-0000-0000D9390000}"/>
    <cellStyle name="좋음 4 4" xfId="13915" xr:uid="{00000000-0005-0000-0000-0000DA390000}"/>
    <cellStyle name="좋음 4 4 2" xfId="13916" xr:uid="{00000000-0005-0000-0000-0000DB390000}"/>
    <cellStyle name="좋음 4 5" xfId="13917" xr:uid="{00000000-0005-0000-0000-0000DC390000}"/>
    <cellStyle name="좋음 4 5 2" xfId="13918" xr:uid="{00000000-0005-0000-0000-0000DD390000}"/>
    <cellStyle name="좋음 4 6" xfId="13919" xr:uid="{00000000-0005-0000-0000-0000DE390000}"/>
    <cellStyle name="좋음 4 6 2" xfId="13920" xr:uid="{00000000-0005-0000-0000-0000DF390000}"/>
    <cellStyle name="좋음 4 7" xfId="13921" xr:uid="{00000000-0005-0000-0000-0000E0390000}"/>
    <cellStyle name="좋음 4 7 2" xfId="13922" xr:uid="{00000000-0005-0000-0000-0000E1390000}"/>
    <cellStyle name="좋음 4 8" xfId="13923" xr:uid="{00000000-0005-0000-0000-0000E2390000}"/>
    <cellStyle name="좋음 4 8 2" xfId="13924" xr:uid="{00000000-0005-0000-0000-0000E3390000}"/>
    <cellStyle name="좋음 4 9" xfId="13925" xr:uid="{00000000-0005-0000-0000-0000E4390000}"/>
    <cellStyle name="좋음 4 9 2" xfId="13926" xr:uid="{00000000-0005-0000-0000-0000E5390000}"/>
    <cellStyle name="좋음 5" xfId="13927" xr:uid="{00000000-0005-0000-0000-0000E6390000}"/>
    <cellStyle name="좋음 5 10" xfId="13928" xr:uid="{00000000-0005-0000-0000-0000E7390000}"/>
    <cellStyle name="좋음 5 2" xfId="13929" xr:uid="{00000000-0005-0000-0000-0000E8390000}"/>
    <cellStyle name="좋음 5 2 2" xfId="13930" xr:uid="{00000000-0005-0000-0000-0000E9390000}"/>
    <cellStyle name="좋음 5 3" xfId="13931" xr:uid="{00000000-0005-0000-0000-0000EA390000}"/>
    <cellStyle name="좋음 5 3 2" xfId="13932" xr:uid="{00000000-0005-0000-0000-0000EB390000}"/>
    <cellStyle name="좋음 5 4" xfId="13933" xr:uid="{00000000-0005-0000-0000-0000EC390000}"/>
    <cellStyle name="좋음 5 4 2" xfId="13934" xr:uid="{00000000-0005-0000-0000-0000ED390000}"/>
    <cellStyle name="좋음 5 5" xfId="13935" xr:uid="{00000000-0005-0000-0000-0000EE390000}"/>
    <cellStyle name="좋음 5 5 2" xfId="13936" xr:uid="{00000000-0005-0000-0000-0000EF390000}"/>
    <cellStyle name="좋음 5 6" xfId="13937" xr:uid="{00000000-0005-0000-0000-0000F0390000}"/>
    <cellStyle name="좋음 5 6 2" xfId="13938" xr:uid="{00000000-0005-0000-0000-0000F1390000}"/>
    <cellStyle name="좋음 5 7" xfId="13939" xr:uid="{00000000-0005-0000-0000-0000F2390000}"/>
    <cellStyle name="좋음 5 7 2" xfId="13940" xr:uid="{00000000-0005-0000-0000-0000F3390000}"/>
    <cellStyle name="좋음 5 8" xfId="13941" xr:uid="{00000000-0005-0000-0000-0000F4390000}"/>
    <cellStyle name="좋음 5 8 2" xfId="13942" xr:uid="{00000000-0005-0000-0000-0000F5390000}"/>
    <cellStyle name="좋음 5 9" xfId="13943" xr:uid="{00000000-0005-0000-0000-0000F6390000}"/>
    <cellStyle name="좋음 5 9 2" xfId="13944" xr:uid="{00000000-0005-0000-0000-0000F7390000}"/>
    <cellStyle name="좋음 6" xfId="13945" xr:uid="{00000000-0005-0000-0000-0000F8390000}"/>
    <cellStyle name="좋음 6 10" xfId="13946" xr:uid="{00000000-0005-0000-0000-0000F9390000}"/>
    <cellStyle name="좋음 6 2" xfId="13947" xr:uid="{00000000-0005-0000-0000-0000FA390000}"/>
    <cellStyle name="좋음 6 2 2" xfId="13948" xr:uid="{00000000-0005-0000-0000-0000FB390000}"/>
    <cellStyle name="좋음 6 3" xfId="13949" xr:uid="{00000000-0005-0000-0000-0000FC390000}"/>
    <cellStyle name="좋음 6 3 2" xfId="13950" xr:uid="{00000000-0005-0000-0000-0000FD390000}"/>
    <cellStyle name="좋음 6 4" xfId="13951" xr:uid="{00000000-0005-0000-0000-0000FE390000}"/>
    <cellStyle name="좋음 6 4 2" xfId="13952" xr:uid="{00000000-0005-0000-0000-0000FF390000}"/>
    <cellStyle name="좋음 6 5" xfId="13953" xr:uid="{00000000-0005-0000-0000-0000003A0000}"/>
    <cellStyle name="좋음 6 5 2" xfId="13954" xr:uid="{00000000-0005-0000-0000-0000013A0000}"/>
    <cellStyle name="좋음 6 6" xfId="13955" xr:uid="{00000000-0005-0000-0000-0000023A0000}"/>
    <cellStyle name="좋음 6 6 2" xfId="13956" xr:uid="{00000000-0005-0000-0000-0000033A0000}"/>
    <cellStyle name="좋음 6 7" xfId="13957" xr:uid="{00000000-0005-0000-0000-0000043A0000}"/>
    <cellStyle name="좋음 6 7 2" xfId="13958" xr:uid="{00000000-0005-0000-0000-0000053A0000}"/>
    <cellStyle name="좋음 6 8" xfId="13959" xr:uid="{00000000-0005-0000-0000-0000063A0000}"/>
    <cellStyle name="좋음 6 8 2" xfId="13960" xr:uid="{00000000-0005-0000-0000-0000073A0000}"/>
    <cellStyle name="좋음 6 9" xfId="13961" xr:uid="{00000000-0005-0000-0000-0000083A0000}"/>
    <cellStyle name="좋음 6 9 2" xfId="13962" xr:uid="{00000000-0005-0000-0000-0000093A0000}"/>
    <cellStyle name="좌가는선" xfId="13963" xr:uid="{00000000-0005-0000-0000-00000A3A0000}"/>
    <cellStyle name="좌가는선 2" xfId="16707" xr:uid="{00000000-0005-0000-0000-00000B3A0000}"/>
    <cellStyle name="좌하가는선" xfId="13964" xr:uid="{00000000-0005-0000-0000-00000C3A0000}"/>
    <cellStyle name="좌하가는선 2" xfId="16708" xr:uid="{00000000-0005-0000-0000-00000D3A0000}"/>
    <cellStyle name="지정되지 않음" xfId="13965" xr:uid="{00000000-0005-0000-0000-00000E3A0000}"/>
    <cellStyle name="지정되지 않음 10" xfId="16709" xr:uid="{00000000-0005-0000-0000-00000F3A0000}"/>
    <cellStyle name="지정되지 않음 2" xfId="13966" xr:uid="{00000000-0005-0000-0000-0000103A0000}"/>
    <cellStyle name="지정되지 않음 2 2" xfId="13967" xr:uid="{00000000-0005-0000-0000-0000113A0000}"/>
    <cellStyle name="지정되지 않음 2 2 2" xfId="13968" xr:uid="{00000000-0005-0000-0000-0000123A0000}"/>
    <cellStyle name="지정되지 않음 2 3" xfId="13969" xr:uid="{00000000-0005-0000-0000-0000133A0000}"/>
    <cellStyle name="지정되지 않음 2 3 2" xfId="13970" xr:uid="{00000000-0005-0000-0000-0000143A0000}"/>
    <cellStyle name="지정되지 않음 2 4" xfId="13971" xr:uid="{00000000-0005-0000-0000-0000153A0000}"/>
    <cellStyle name="지정되지 않음 2 4 2" xfId="13972" xr:uid="{00000000-0005-0000-0000-0000163A0000}"/>
    <cellStyle name="지정되지 않음 2 5" xfId="13973" xr:uid="{00000000-0005-0000-0000-0000173A0000}"/>
    <cellStyle name="지정되지 않음 3" xfId="13974" xr:uid="{00000000-0005-0000-0000-0000183A0000}"/>
    <cellStyle name="지정되지 않음 3 2" xfId="13975" xr:uid="{00000000-0005-0000-0000-0000193A0000}"/>
    <cellStyle name="지정되지 않음 3 2 2" xfId="13976" xr:uid="{00000000-0005-0000-0000-00001A3A0000}"/>
    <cellStyle name="지정되지 않음 3 3" xfId="13977" xr:uid="{00000000-0005-0000-0000-00001B3A0000}"/>
    <cellStyle name="지정되지 않음 3 3 2" xfId="13978" xr:uid="{00000000-0005-0000-0000-00001C3A0000}"/>
    <cellStyle name="지정되지 않음 3 4" xfId="13979" xr:uid="{00000000-0005-0000-0000-00001D3A0000}"/>
    <cellStyle name="지정되지 않음 3 4 2" xfId="13980" xr:uid="{00000000-0005-0000-0000-00001E3A0000}"/>
    <cellStyle name="지정되지 않음 3 5" xfId="13981" xr:uid="{00000000-0005-0000-0000-00001F3A0000}"/>
    <cellStyle name="지정되지 않음 4" xfId="13982" xr:uid="{00000000-0005-0000-0000-0000203A0000}"/>
    <cellStyle name="지정되지 않음 4 2" xfId="13983" xr:uid="{00000000-0005-0000-0000-0000213A0000}"/>
    <cellStyle name="지정되지 않음 4 2 2" xfId="13984" xr:uid="{00000000-0005-0000-0000-0000223A0000}"/>
    <cellStyle name="지정되지 않음 4 3" xfId="13985" xr:uid="{00000000-0005-0000-0000-0000233A0000}"/>
    <cellStyle name="지정되지 않음 4 3 2" xfId="13986" xr:uid="{00000000-0005-0000-0000-0000243A0000}"/>
    <cellStyle name="지정되지 않음 4 4" xfId="13987" xr:uid="{00000000-0005-0000-0000-0000253A0000}"/>
    <cellStyle name="지정되지 않음 4 4 2" xfId="13988" xr:uid="{00000000-0005-0000-0000-0000263A0000}"/>
    <cellStyle name="지정되지 않음 4 5" xfId="13989" xr:uid="{00000000-0005-0000-0000-0000273A0000}"/>
    <cellStyle name="지정되지 않음 5" xfId="13990" xr:uid="{00000000-0005-0000-0000-0000283A0000}"/>
    <cellStyle name="지정되지 않음 5 2" xfId="13991" xr:uid="{00000000-0005-0000-0000-0000293A0000}"/>
    <cellStyle name="지정되지 않음 6" xfId="13992" xr:uid="{00000000-0005-0000-0000-00002A3A0000}"/>
    <cellStyle name="지정되지 않음 6 2" xfId="13993" xr:uid="{00000000-0005-0000-0000-00002B3A0000}"/>
    <cellStyle name="지정되지 않음 7" xfId="13994" xr:uid="{00000000-0005-0000-0000-00002C3A0000}"/>
    <cellStyle name="지정되지 않음 7 2" xfId="13995" xr:uid="{00000000-0005-0000-0000-00002D3A0000}"/>
    <cellStyle name="지정되지 않음 8" xfId="13996" xr:uid="{00000000-0005-0000-0000-00002E3A0000}"/>
    <cellStyle name="지정되지 않음 9" xfId="13997" xr:uid="{00000000-0005-0000-0000-00002F3A0000}"/>
    <cellStyle name="지정되지 않음_091118 방송통신대학 영상강의실 견적서e-mail" xfId="13998" xr:uid="{00000000-0005-0000-0000-0000303A0000}"/>
    <cellStyle name="지하철정렬" xfId="13999" xr:uid="{00000000-0005-0000-0000-0000313A0000}"/>
    <cellStyle name="지하철정렬 2" xfId="16710" xr:uid="{00000000-0005-0000-0000-0000323A0000}"/>
    <cellStyle name="千位分隔 2" xfId="14000" xr:uid="{00000000-0005-0000-0000-0000333A0000}"/>
    <cellStyle name="출력 2" xfId="14001" xr:uid="{00000000-0005-0000-0000-0000343A0000}"/>
    <cellStyle name="출력 2 10" xfId="14002" xr:uid="{00000000-0005-0000-0000-0000353A0000}"/>
    <cellStyle name="출력 2 10 2" xfId="14003" xr:uid="{00000000-0005-0000-0000-0000363A0000}"/>
    <cellStyle name="출력 2 10 2 2" xfId="14004" xr:uid="{00000000-0005-0000-0000-0000373A0000}"/>
    <cellStyle name="출력 2 10 2 3" xfId="14005" xr:uid="{00000000-0005-0000-0000-0000383A0000}"/>
    <cellStyle name="출력 2 10 2 4" xfId="14006" xr:uid="{00000000-0005-0000-0000-0000393A0000}"/>
    <cellStyle name="출력 2 10 2 5" xfId="14007" xr:uid="{00000000-0005-0000-0000-00003A3A0000}"/>
    <cellStyle name="출력 2 11" xfId="14008" xr:uid="{00000000-0005-0000-0000-00003B3A0000}"/>
    <cellStyle name="출력 2 11 2" xfId="14009" xr:uid="{00000000-0005-0000-0000-00003C3A0000}"/>
    <cellStyle name="출력 2 11 3" xfId="14010" xr:uid="{00000000-0005-0000-0000-00003D3A0000}"/>
    <cellStyle name="출력 2 11 4" xfId="14011" xr:uid="{00000000-0005-0000-0000-00003E3A0000}"/>
    <cellStyle name="출력 2 11 5" xfId="14012" xr:uid="{00000000-0005-0000-0000-00003F3A0000}"/>
    <cellStyle name="출력 2 12" xfId="16711" xr:uid="{00000000-0005-0000-0000-0000403A0000}"/>
    <cellStyle name="출력 2 13" xfId="16941" xr:uid="{00000000-0005-0000-0000-0000413A0000}"/>
    <cellStyle name="출력 2 14" xfId="16936" xr:uid="{00000000-0005-0000-0000-0000423A0000}"/>
    <cellStyle name="출력 2 15" xfId="16999" xr:uid="{00000000-0005-0000-0000-0000433A0000}"/>
    <cellStyle name="출력 2 2" xfId="14013" xr:uid="{00000000-0005-0000-0000-0000443A0000}"/>
    <cellStyle name="출력 2 2 2" xfId="14014" xr:uid="{00000000-0005-0000-0000-0000453A0000}"/>
    <cellStyle name="출력 2 2 2 2" xfId="14015" xr:uid="{00000000-0005-0000-0000-0000463A0000}"/>
    <cellStyle name="출력 2 2 2 2 2" xfId="14016" xr:uid="{00000000-0005-0000-0000-0000473A0000}"/>
    <cellStyle name="출력 2 2 2 2 3" xfId="14017" xr:uid="{00000000-0005-0000-0000-0000483A0000}"/>
    <cellStyle name="출력 2 2 2 2 4" xfId="14018" xr:uid="{00000000-0005-0000-0000-0000493A0000}"/>
    <cellStyle name="출력 2 2 2 2 5" xfId="14019" xr:uid="{00000000-0005-0000-0000-00004A3A0000}"/>
    <cellStyle name="출력 2 2 3" xfId="14020" xr:uid="{00000000-0005-0000-0000-00004B3A0000}"/>
    <cellStyle name="출력 2 2 3 2" xfId="14021" xr:uid="{00000000-0005-0000-0000-00004C3A0000}"/>
    <cellStyle name="출력 2 2 3 3" xfId="14022" xr:uid="{00000000-0005-0000-0000-00004D3A0000}"/>
    <cellStyle name="출력 2 2 3 4" xfId="14023" xr:uid="{00000000-0005-0000-0000-00004E3A0000}"/>
    <cellStyle name="출력 2 2 3 5" xfId="14024" xr:uid="{00000000-0005-0000-0000-00004F3A0000}"/>
    <cellStyle name="출력 2 3" xfId="14025" xr:uid="{00000000-0005-0000-0000-0000503A0000}"/>
    <cellStyle name="출력 2 3 2" xfId="14026" xr:uid="{00000000-0005-0000-0000-0000513A0000}"/>
    <cellStyle name="출력 2 3 2 2" xfId="14027" xr:uid="{00000000-0005-0000-0000-0000523A0000}"/>
    <cellStyle name="출력 2 3 2 2 2" xfId="14028" xr:uid="{00000000-0005-0000-0000-0000533A0000}"/>
    <cellStyle name="출력 2 3 2 2 3" xfId="14029" xr:uid="{00000000-0005-0000-0000-0000543A0000}"/>
    <cellStyle name="출력 2 3 2 2 4" xfId="14030" xr:uid="{00000000-0005-0000-0000-0000553A0000}"/>
    <cellStyle name="출력 2 3 2 2 5" xfId="14031" xr:uid="{00000000-0005-0000-0000-0000563A0000}"/>
    <cellStyle name="출력 2 3 3" xfId="14032" xr:uid="{00000000-0005-0000-0000-0000573A0000}"/>
    <cellStyle name="출력 2 3 3 2" xfId="14033" xr:uid="{00000000-0005-0000-0000-0000583A0000}"/>
    <cellStyle name="출력 2 3 3 3" xfId="14034" xr:uid="{00000000-0005-0000-0000-0000593A0000}"/>
    <cellStyle name="출력 2 3 3 4" xfId="14035" xr:uid="{00000000-0005-0000-0000-00005A3A0000}"/>
    <cellStyle name="출력 2 3 3 5" xfId="14036" xr:uid="{00000000-0005-0000-0000-00005B3A0000}"/>
    <cellStyle name="출력 2 4" xfId="14037" xr:uid="{00000000-0005-0000-0000-00005C3A0000}"/>
    <cellStyle name="출력 2 4 2" xfId="14038" xr:uid="{00000000-0005-0000-0000-00005D3A0000}"/>
    <cellStyle name="출력 2 4 2 2" xfId="14039" xr:uid="{00000000-0005-0000-0000-00005E3A0000}"/>
    <cellStyle name="출력 2 4 2 2 2" xfId="14040" xr:uid="{00000000-0005-0000-0000-00005F3A0000}"/>
    <cellStyle name="출력 2 4 2 2 3" xfId="14041" xr:uid="{00000000-0005-0000-0000-0000603A0000}"/>
    <cellStyle name="출력 2 4 2 2 4" xfId="14042" xr:uid="{00000000-0005-0000-0000-0000613A0000}"/>
    <cellStyle name="출력 2 4 2 2 5" xfId="14043" xr:uid="{00000000-0005-0000-0000-0000623A0000}"/>
    <cellStyle name="출력 2 4 3" xfId="14044" xr:uid="{00000000-0005-0000-0000-0000633A0000}"/>
    <cellStyle name="출력 2 4 3 2" xfId="14045" xr:uid="{00000000-0005-0000-0000-0000643A0000}"/>
    <cellStyle name="출력 2 4 3 3" xfId="14046" xr:uid="{00000000-0005-0000-0000-0000653A0000}"/>
    <cellStyle name="출력 2 4 3 4" xfId="14047" xr:uid="{00000000-0005-0000-0000-0000663A0000}"/>
    <cellStyle name="출력 2 4 3 5" xfId="14048" xr:uid="{00000000-0005-0000-0000-0000673A0000}"/>
    <cellStyle name="출력 2 5" xfId="14049" xr:uid="{00000000-0005-0000-0000-0000683A0000}"/>
    <cellStyle name="출력 2 5 2" xfId="14050" xr:uid="{00000000-0005-0000-0000-0000693A0000}"/>
    <cellStyle name="출력 2 5 2 2" xfId="14051" xr:uid="{00000000-0005-0000-0000-00006A3A0000}"/>
    <cellStyle name="출력 2 5 2 2 2" xfId="14052" xr:uid="{00000000-0005-0000-0000-00006B3A0000}"/>
    <cellStyle name="출력 2 5 2 2 3" xfId="14053" xr:uid="{00000000-0005-0000-0000-00006C3A0000}"/>
    <cellStyle name="출력 2 5 2 2 4" xfId="14054" xr:uid="{00000000-0005-0000-0000-00006D3A0000}"/>
    <cellStyle name="출력 2 5 2 2 5" xfId="14055" xr:uid="{00000000-0005-0000-0000-00006E3A0000}"/>
    <cellStyle name="출력 2 5 3" xfId="14056" xr:uid="{00000000-0005-0000-0000-00006F3A0000}"/>
    <cellStyle name="출력 2 5 3 2" xfId="14057" xr:uid="{00000000-0005-0000-0000-0000703A0000}"/>
    <cellStyle name="출력 2 5 3 3" xfId="14058" xr:uid="{00000000-0005-0000-0000-0000713A0000}"/>
    <cellStyle name="출력 2 5 3 4" xfId="14059" xr:uid="{00000000-0005-0000-0000-0000723A0000}"/>
    <cellStyle name="출력 2 5 3 5" xfId="14060" xr:uid="{00000000-0005-0000-0000-0000733A0000}"/>
    <cellStyle name="출력 2 6" xfId="14061" xr:uid="{00000000-0005-0000-0000-0000743A0000}"/>
    <cellStyle name="출력 2 6 2" xfId="14062" xr:uid="{00000000-0005-0000-0000-0000753A0000}"/>
    <cellStyle name="출력 2 6 2 2" xfId="14063" xr:uid="{00000000-0005-0000-0000-0000763A0000}"/>
    <cellStyle name="출력 2 6 2 2 2" xfId="14064" xr:uid="{00000000-0005-0000-0000-0000773A0000}"/>
    <cellStyle name="출력 2 6 2 2 3" xfId="14065" xr:uid="{00000000-0005-0000-0000-0000783A0000}"/>
    <cellStyle name="출력 2 6 2 2 4" xfId="14066" xr:uid="{00000000-0005-0000-0000-0000793A0000}"/>
    <cellStyle name="출력 2 6 2 2 5" xfId="14067" xr:uid="{00000000-0005-0000-0000-00007A3A0000}"/>
    <cellStyle name="출력 2 6 3" xfId="14068" xr:uid="{00000000-0005-0000-0000-00007B3A0000}"/>
    <cellStyle name="출력 2 6 3 2" xfId="14069" xr:uid="{00000000-0005-0000-0000-00007C3A0000}"/>
    <cellStyle name="출력 2 6 3 3" xfId="14070" xr:uid="{00000000-0005-0000-0000-00007D3A0000}"/>
    <cellStyle name="출력 2 6 3 4" xfId="14071" xr:uid="{00000000-0005-0000-0000-00007E3A0000}"/>
    <cellStyle name="출력 2 6 3 5" xfId="14072" xr:uid="{00000000-0005-0000-0000-00007F3A0000}"/>
    <cellStyle name="출력 2 7" xfId="14073" xr:uid="{00000000-0005-0000-0000-0000803A0000}"/>
    <cellStyle name="출력 2 7 2" xfId="14074" xr:uid="{00000000-0005-0000-0000-0000813A0000}"/>
    <cellStyle name="출력 2 7 2 2" xfId="14075" xr:uid="{00000000-0005-0000-0000-0000823A0000}"/>
    <cellStyle name="출력 2 7 2 2 2" xfId="14076" xr:uid="{00000000-0005-0000-0000-0000833A0000}"/>
    <cellStyle name="출력 2 7 2 2 3" xfId="14077" xr:uid="{00000000-0005-0000-0000-0000843A0000}"/>
    <cellStyle name="출력 2 7 2 2 4" xfId="14078" xr:uid="{00000000-0005-0000-0000-0000853A0000}"/>
    <cellStyle name="출력 2 7 2 2 5" xfId="14079" xr:uid="{00000000-0005-0000-0000-0000863A0000}"/>
    <cellStyle name="출력 2 7 3" xfId="14080" xr:uid="{00000000-0005-0000-0000-0000873A0000}"/>
    <cellStyle name="출력 2 7 3 2" xfId="14081" xr:uid="{00000000-0005-0000-0000-0000883A0000}"/>
    <cellStyle name="출력 2 7 3 3" xfId="14082" xr:uid="{00000000-0005-0000-0000-0000893A0000}"/>
    <cellStyle name="출력 2 7 3 4" xfId="14083" xr:uid="{00000000-0005-0000-0000-00008A3A0000}"/>
    <cellStyle name="출력 2 7 3 5" xfId="14084" xr:uid="{00000000-0005-0000-0000-00008B3A0000}"/>
    <cellStyle name="출력 2 8" xfId="14085" xr:uid="{00000000-0005-0000-0000-00008C3A0000}"/>
    <cellStyle name="출력 2 8 2" xfId="14086" xr:uid="{00000000-0005-0000-0000-00008D3A0000}"/>
    <cellStyle name="출력 2 8 2 2" xfId="14087" xr:uid="{00000000-0005-0000-0000-00008E3A0000}"/>
    <cellStyle name="출력 2 8 2 2 2" xfId="14088" xr:uid="{00000000-0005-0000-0000-00008F3A0000}"/>
    <cellStyle name="출력 2 8 2 2 3" xfId="14089" xr:uid="{00000000-0005-0000-0000-0000903A0000}"/>
    <cellStyle name="출력 2 8 2 2 4" xfId="14090" xr:uid="{00000000-0005-0000-0000-0000913A0000}"/>
    <cellStyle name="출력 2 8 2 2 5" xfId="14091" xr:uid="{00000000-0005-0000-0000-0000923A0000}"/>
    <cellStyle name="출력 2 8 3" xfId="14092" xr:uid="{00000000-0005-0000-0000-0000933A0000}"/>
    <cellStyle name="출력 2 8 3 2" xfId="14093" xr:uid="{00000000-0005-0000-0000-0000943A0000}"/>
    <cellStyle name="출력 2 8 3 3" xfId="14094" xr:uid="{00000000-0005-0000-0000-0000953A0000}"/>
    <cellStyle name="출력 2 8 3 4" xfId="14095" xr:uid="{00000000-0005-0000-0000-0000963A0000}"/>
    <cellStyle name="출력 2 8 3 5" xfId="14096" xr:uid="{00000000-0005-0000-0000-0000973A0000}"/>
    <cellStyle name="출력 2 9" xfId="14097" xr:uid="{00000000-0005-0000-0000-0000983A0000}"/>
    <cellStyle name="출력 2 9 2" xfId="14098" xr:uid="{00000000-0005-0000-0000-0000993A0000}"/>
    <cellStyle name="출력 2 9 2 2" xfId="14099" xr:uid="{00000000-0005-0000-0000-00009A3A0000}"/>
    <cellStyle name="출력 2 9 2 2 2" xfId="14100" xr:uid="{00000000-0005-0000-0000-00009B3A0000}"/>
    <cellStyle name="출력 2 9 2 2 3" xfId="14101" xr:uid="{00000000-0005-0000-0000-00009C3A0000}"/>
    <cellStyle name="출력 2 9 2 2 4" xfId="14102" xr:uid="{00000000-0005-0000-0000-00009D3A0000}"/>
    <cellStyle name="출력 2 9 2 2 5" xfId="14103" xr:uid="{00000000-0005-0000-0000-00009E3A0000}"/>
    <cellStyle name="출력 2 9 3" xfId="14104" xr:uid="{00000000-0005-0000-0000-00009F3A0000}"/>
    <cellStyle name="출력 2 9 3 2" xfId="14105" xr:uid="{00000000-0005-0000-0000-0000A03A0000}"/>
    <cellStyle name="출력 2 9 3 3" xfId="14106" xr:uid="{00000000-0005-0000-0000-0000A13A0000}"/>
    <cellStyle name="출력 2 9 3 4" xfId="14107" xr:uid="{00000000-0005-0000-0000-0000A23A0000}"/>
    <cellStyle name="출력 2 9 3 5" xfId="14108" xr:uid="{00000000-0005-0000-0000-0000A33A0000}"/>
    <cellStyle name="출력 3" xfId="14109" xr:uid="{00000000-0005-0000-0000-0000A43A0000}"/>
    <cellStyle name="출력 3 10" xfId="14110" xr:uid="{00000000-0005-0000-0000-0000A53A0000}"/>
    <cellStyle name="출력 3 10 2" xfId="14111" xr:uid="{00000000-0005-0000-0000-0000A63A0000}"/>
    <cellStyle name="출력 3 10 2 2" xfId="14112" xr:uid="{00000000-0005-0000-0000-0000A73A0000}"/>
    <cellStyle name="출력 3 10 2 3" xfId="14113" xr:uid="{00000000-0005-0000-0000-0000A83A0000}"/>
    <cellStyle name="출력 3 10 2 4" xfId="14114" xr:uid="{00000000-0005-0000-0000-0000A93A0000}"/>
    <cellStyle name="출력 3 10 2 5" xfId="14115" xr:uid="{00000000-0005-0000-0000-0000AA3A0000}"/>
    <cellStyle name="출력 3 11" xfId="14116" xr:uid="{00000000-0005-0000-0000-0000AB3A0000}"/>
    <cellStyle name="출력 3 11 2" xfId="14117" xr:uid="{00000000-0005-0000-0000-0000AC3A0000}"/>
    <cellStyle name="출력 3 11 3" xfId="14118" xr:uid="{00000000-0005-0000-0000-0000AD3A0000}"/>
    <cellStyle name="출력 3 11 4" xfId="14119" xr:uid="{00000000-0005-0000-0000-0000AE3A0000}"/>
    <cellStyle name="출력 3 11 5" xfId="14120" xr:uid="{00000000-0005-0000-0000-0000AF3A0000}"/>
    <cellStyle name="출력 3 2" xfId="14121" xr:uid="{00000000-0005-0000-0000-0000B03A0000}"/>
    <cellStyle name="출력 3 2 2" xfId="14122" xr:uid="{00000000-0005-0000-0000-0000B13A0000}"/>
    <cellStyle name="출력 3 2 2 2" xfId="14123" xr:uid="{00000000-0005-0000-0000-0000B23A0000}"/>
    <cellStyle name="출력 3 2 2 2 2" xfId="14124" xr:uid="{00000000-0005-0000-0000-0000B33A0000}"/>
    <cellStyle name="출력 3 2 2 2 3" xfId="14125" xr:uid="{00000000-0005-0000-0000-0000B43A0000}"/>
    <cellStyle name="출력 3 2 2 2 4" xfId="14126" xr:uid="{00000000-0005-0000-0000-0000B53A0000}"/>
    <cellStyle name="출력 3 2 2 2 5" xfId="14127" xr:uid="{00000000-0005-0000-0000-0000B63A0000}"/>
    <cellStyle name="출력 3 2 3" xfId="14128" xr:uid="{00000000-0005-0000-0000-0000B73A0000}"/>
    <cellStyle name="출력 3 2 3 2" xfId="14129" xr:uid="{00000000-0005-0000-0000-0000B83A0000}"/>
    <cellStyle name="출력 3 2 3 3" xfId="14130" xr:uid="{00000000-0005-0000-0000-0000B93A0000}"/>
    <cellStyle name="출력 3 2 3 4" xfId="14131" xr:uid="{00000000-0005-0000-0000-0000BA3A0000}"/>
    <cellStyle name="출력 3 2 3 5" xfId="14132" xr:uid="{00000000-0005-0000-0000-0000BB3A0000}"/>
    <cellStyle name="출력 3 3" xfId="14133" xr:uid="{00000000-0005-0000-0000-0000BC3A0000}"/>
    <cellStyle name="출력 3 3 2" xfId="14134" xr:uid="{00000000-0005-0000-0000-0000BD3A0000}"/>
    <cellStyle name="출력 3 3 2 2" xfId="14135" xr:uid="{00000000-0005-0000-0000-0000BE3A0000}"/>
    <cellStyle name="출력 3 3 2 2 2" xfId="14136" xr:uid="{00000000-0005-0000-0000-0000BF3A0000}"/>
    <cellStyle name="출력 3 3 2 2 3" xfId="14137" xr:uid="{00000000-0005-0000-0000-0000C03A0000}"/>
    <cellStyle name="출력 3 3 2 2 4" xfId="14138" xr:uid="{00000000-0005-0000-0000-0000C13A0000}"/>
    <cellStyle name="출력 3 3 2 2 5" xfId="14139" xr:uid="{00000000-0005-0000-0000-0000C23A0000}"/>
    <cellStyle name="출력 3 3 3" xfId="14140" xr:uid="{00000000-0005-0000-0000-0000C33A0000}"/>
    <cellStyle name="출력 3 3 3 2" xfId="14141" xr:uid="{00000000-0005-0000-0000-0000C43A0000}"/>
    <cellStyle name="출력 3 3 3 3" xfId="14142" xr:uid="{00000000-0005-0000-0000-0000C53A0000}"/>
    <cellStyle name="출력 3 3 3 4" xfId="14143" xr:uid="{00000000-0005-0000-0000-0000C63A0000}"/>
    <cellStyle name="출력 3 3 3 5" xfId="14144" xr:uid="{00000000-0005-0000-0000-0000C73A0000}"/>
    <cellStyle name="출력 3 4" xfId="14145" xr:uid="{00000000-0005-0000-0000-0000C83A0000}"/>
    <cellStyle name="출력 3 4 2" xfId="14146" xr:uid="{00000000-0005-0000-0000-0000C93A0000}"/>
    <cellStyle name="출력 3 4 2 2" xfId="14147" xr:uid="{00000000-0005-0000-0000-0000CA3A0000}"/>
    <cellStyle name="출력 3 4 2 2 2" xfId="14148" xr:uid="{00000000-0005-0000-0000-0000CB3A0000}"/>
    <cellStyle name="출력 3 4 2 2 3" xfId="14149" xr:uid="{00000000-0005-0000-0000-0000CC3A0000}"/>
    <cellStyle name="출력 3 4 2 2 4" xfId="14150" xr:uid="{00000000-0005-0000-0000-0000CD3A0000}"/>
    <cellStyle name="출력 3 4 2 2 5" xfId="14151" xr:uid="{00000000-0005-0000-0000-0000CE3A0000}"/>
    <cellStyle name="출력 3 4 3" xfId="14152" xr:uid="{00000000-0005-0000-0000-0000CF3A0000}"/>
    <cellStyle name="출력 3 4 3 2" xfId="14153" xr:uid="{00000000-0005-0000-0000-0000D03A0000}"/>
    <cellStyle name="출력 3 4 3 3" xfId="14154" xr:uid="{00000000-0005-0000-0000-0000D13A0000}"/>
    <cellStyle name="출력 3 4 3 4" xfId="14155" xr:uid="{00000000-0005-0000-0000-0000D23A0000}"/>
    <cellStyle name="출력 3 4 3 5" xfId="14156" xr:uid="{00000000-0005-0000-0000-0000D33A0000}"/>
    <cellStyle name="출력 3 5" xfId="14157" xr:uid="{00000000-0005-0000-0000-0000D43A0000}"/>
    <cellStyle name="출력 3 5 2" xfId="14158" xr:uid="{00000000-0005-0000-0000-0000D53A0000}"/>
    <cellStyle name="출력 3 5 2 2" xfId="14159" xr:uid="{00000000-0005-0000-0000-0000D63A0000}"/>
    <cellStyle name="출력 3 5 2 2 2" xfId="14160" xr:uid="{00000000-0005-0000-0000-0000D73A0000}"/>
    <cellStyle name="출력 3 5 2 2 3" xfId="14161" xr:uid="{00000000-0005-0000-0000-0000D83A0000}"/>
    <cellStyle name="출력 3 5 2 2 4" xfId="14162" xr:uid="{00000000-0005-0000-0000-0000D93A0000}"/>
    <cellStyle name="출력 3 5 2 2 5" xfId="14163" xr:uid="{00000000-0005-0000-0000-0000DA3A0000}"/>
    <cellStyle name="출력 3 5 3" xfId="14164" xr:uid="{00000000-0005-0000-0000-0000DB3A0000}"/>
    <cellStyle name="출력 3 5 3 2" xfId="14165" xr:uid="{00000000-0005-0000-0000-0000DC3A0000}"/>
    <cellStyle name="출력 3 5 3 3" xfId="14166" xr:uid="{00000000-0005-0000-0000-0000DD3A0000}"/>
    <cellStyle name="출력 3 5 3 4" xfId="14167" xr:uid="{00000000-0005-0000-0000-0000DE3A0000}"/>
    <cellStyle name="출력 3 5 3 5" xfId="14168" xr:uid="{00000000-0005-0000-0000-0000DF3A0000}"/>
    <cellStyle name="출력 3 6" xfId="14169" xr:uid="{00000000-0005-0000-0000-0000E03A0000}"/>
    <cellStyle name="출력 3 6 2" xfId="14170" xr:uid="{00000000-0005-0000-0000-0000E13A0000}"/>
    <cellStyle name="출력 3 6 2 2" xfId="14171" xr:uid="{00000000-0005-0000-0000-0000E23A0000}"/>
    <cellStyle name="출력 3 6 2 2 2" xfId="14172" xr:uid="{00000000-0005-0000-0000-0000E33A0000}"/>
    <cellStyle name="출력 3 6 2 2 3" xfId="14173" xr:uid="{00000000-0005-0000-0000-0000E43A0000}"/>
    <cellStyle name="출력 3 6 2 2 4" xfId="14174" xr:uid="{00000000-0005-0000-0000-0000E53A0000}"/>
    <cellStyle name="출력 3 6 2 2 5" xfId="14175" xr:uid="{00000000-0005-0000-0000-0000E63A0000}"/>
    <cellStyle name="출력 3 6 3" xfId="14176" xr:uid="{00000000-0005-0000-0000-0000E73A0000}"/>
    <cellStyle name="출력 3 6 3 2" xfId="14177" xr:uid="{00000000-0005-0000-0000-0000E83A0000}"/>
    <cellStyle name="출력 3 6 3 3" xfId="14178" xr:uid="{00000000-0005-0000-0000-0000E93A0000}"/>
    <cellStyle name="출력 3 6 3 4" xfId="14179" xr:uid="{00000000-0005-0000-0000-0000EA3A0000}"/>
    <cellStyle name="출력 3 6 3 5" xfId="14180" xr:uid="{00000000-0005-0000-0000-0000EB3A0000}"/>
    <cellStyle name="출력 3 7" xfId="14181" xr:uid="{00000000-0005-0000-0000-0000EC3A0000}"/>
    <cellStyle name="출력 3 7 2" xfId="14182" xr:uid="{00000000-0005-0000-0000-0000ED3A0000}"/>
    <cellStyle name="출력 3 7 2 2" xfId="14183" xr:uid="{00000000-0005-0000-0000-0000EE3A0000}"/>
    <cellStyle name="출력 3 7 2 2 2" xfId="14184" xr:uid="{00000000-0005-0000-0000-0000EF3A0000}"/>
    <cellStyle name="출력 3 7 2 2 3" xfId="14185" xr:uid="{00000000-0005-0000-0000-0000F03A0000}"/>
    <cellStyle name="출력 3 7 2 2 4" xfId="14186" xr:uid="{00000000-0005-0000-0000-0000F13A0000}"/>
    <cellStyle name="출력 3 7 2 2 5" xfId="14187" xr:uid="{00000000-0005-0000-0000-0000F23A0000}"/>
    <cellStyle name="출력 3 7 3" xfId="14188" xr:uid="{00000000-0005-0000-0000-0000F33A0000}"/>
    <cellStyle name="출력 3 7 3 2" xfId="14189" xr:uid="{00000000-0005-0000-0000-0000F43A0000}"/>
    <cellStyle name="출력 3 7 3 3" xfId="14190" xr:uid="{00000000-0005-0000-0000-0000F53A0000}"/>
    <cellStyle name="출력 3 7 3 4" xfId="14191" xr:uid="{00000000-0005-0000-0000-0000F63A0000}"/>
    <cellStyle name="출력 3 7 3 5" xfId="14192" xr:uid="{00000000-0005-0000-0000-0000F73A0000}"/>
    <cellStyle name="출력 3 8" xfId="14193" xr:uid="{00000000-0005-0000-0000-0000F83A0000}"/>
    <cellStyle name="출력 3 8 2" xfId="14194" xr:uid="{00000000-0005-0000-0000-0000F93A0000}"/>
    <cellStyle name="출력 3 8 2 2" xfId="14195" xr:uid="{00000000-0005-0000-0000-0000FA3A0000}"/>
    <cellStyle name="출력 3 8 2 2 2" xfId="14196" xr:uid="{00000000-0005-0000-0000-0000FB3A0000}"/>
    <cellStyle name="출력 3 8 2 2 3" xfId="14197" xr:uid="{00000000-0005-0000-0000-0000FC3A0000}"/>
    <cellStyle name="출력 3 8 2 2 4" xfId="14198" xr:uid="{00000000-0005-0000-0000-0000FD3A0000}"/>
    <cellStyle name="출력 3 8 2 2 5" xfId="14199" xr:uid="{00000000-0005-0000-0000-0000FE3A0000}"/>
    <cellStyle name="출력 3 8 3" xfId="14200" xr:uid="{00000000-0005-0000-0000-0000FF3A0000}"/>
    <cellStyle name="출력 3 8 3 2" xfId="14201" xr:uid="{00000000-0005-0000-0000-0000003B0000}"/>
    <cellStyle name="출력 3 8 3 3" xfId="14202" xr:uid="{00000000-0005-0000-0000-0000013B0000}"/>
    <cellStyle name="출력 3 8 3 4" xfId="14203" xr:uid="{00000000-0005-0000-0000-0000023B0000}"/>
    <cellStyle name="출력 3 8 3 5" xfId="14204" xr:uid="{00000000-0005-0000-0000-0000033B0000}"/>
    <cellStyle name="출력 3 9" xfId="14205" xr:uid="{00000000-0005-0000-0000-0000043B0000}"/>
    <cellStyle name="출력 3 9 2" xfId="14206" xr:uid="{00000000-0005-0000-0000-0000053B0000}"/>
    <cellStyle name="출력 3 9 2 2" xfId="14207" xr:uid="{00000000-0005-0000-0000-0000063B0000}"/>
    <cellStyle name="출력 3 9 2 2 2" xfId="14208" xr:uid="{00000000-0005-0000-0000-0000073B0000}"/>
    <cellStyle name="출력 3 9 2 2 3" xfId="14209" xr:uid="{00000000-0005-0000-0000-0000083B0000}"/>
    <cellStyle name="출력 3 9 2 2 4" xfId="14210" xr:uid="{00000000-0005-0000-0000-0000093B0000}"/>
    <cellStyle name="출력 3 9 2 2 5" xfId="14211" xr:uid="{00000000-0005-0000-0000-00000A3B0000}"/>
    <cellStyle name="출력 3 9 3" xfId="14212" xr:uid="{00000000-0005-0000-0000-00000B3B0000}"/>
    <cellStyle name="출력 3 9 3 2" xfId="14213" xr:uid="{00000000-0005-0000-0000-00000C3B0000}"/>
    <cellStyle name="출력 3 9 3 3" xfId="14214" xr:uid="{00000000-0005-0000-0000-00000D3B0000}"/>
    <cellStyle name="출력 3 9 3 4" xfId="14215" xr:uid="{00000000-0005-0000-0000-00000E3B0000}"/>
    <cellStyle name="출력 3 9 3 5" xfId="14216" xr:uid="{00000000-0005-0000-0000-00000F3B0000}"/>
    <cellStyle name="출력 4" xfId="14217" xr:uid="{00000000-0005-0000-0000-0000103B0000}"/>
    <cellStyle name="출력 4 10" xfId="14218" xr:uid="{00000000-0005-0000-0000-0000113B0000}"/>
    <cellStyle name="출력 4 10 2" xfId="14219" xr:uid="{00000000-0005-0000-0000-0000123B0000}"/>
    <cellStyle name="출력 4 10 2 2" xfId="14220" xr:uid="{00000000-0005-0000-0000-0000133B0000}"/>
    <cellStyle name="출력 4 10 2 3" xfId="14221" xr:uid="{00000000-0005-0000-0000-0000143B0000}"/>
    <cellStyle name="출력 4 10 2 4" xfId="14222" xr:uid="{00000000-0005-0000-0000-0000153B0000}"/>
    <cellStyle name="출력 4 10 2 5" xfId="14223" xr:uid="{00000000-0005-0000-0000-0000163B0000}"/>
    <cellStyle name="출력 4 11" xfId="14224" xr:uid="{00000000-0005-0000-0000-0000173B0000}"/>
    <cellStyle name="출력 4 11 2" xfId="14225" xr:uid="{00000000-0005-0000-0000-0000183B0000}"/>
    <cellStyle name="출력 4 11 3" xfId="14226" xr:uid="{00000000-0005-0000-0000-0000193B0000}"/>
    <cellStyle name="출력 4 11 4" xfId="14227" xr:uid="{00000000-0005-0000-0000-00001A3B0000}"/>
    <cellStyle name="출력 4 11 5" xfId="14228" xr:uid="{00000000-0005-0000-0000-00001B3B0000}"/>
    <cellStyle name="출력 4 2" xfId="14229" xr:uid="{00000000-0005-0000-0000-00001C3B0000}"/>
    <cellStyle name="출력 4 2 2" xfId="14230" xr:uid="{00000000-0005-0000-0000-00001D3B0000}"/>
    <cellStyle name="출력 4 2 2 2" xfId="14231" xr:uid="{00000000-0005-0000-0000-00001E3B0000}"/>
    <cellStyle name="출력 4 2 2 2 2" xfId="14232" xr:uid="{00000000-0005-0000-0000-00001F3B0000}"/>
    <cellStyle name="출력 4 2 2 2 3" xfId="14233" xr:uid="{00000000-0005-0000-0000-0000203B0000}"/>
    <cellStyle name="출력 4 2 2 2 4" xfId="14234" xr:uid="{00000000-0005-0000-0000-0000213B0000}"/>
    <cellStyle name="출력 4 2 2 2 5" xfId="14235" xr:uid="{00000000-0005-0000-0000-0000223B0000}"/>
    <cellStyle name="출력 4 2 3" xfId="14236" xr:uid="{00000000-0005-0000-0000-0000233B0000}"/>
    <cellStyle name="출력 4 2 3 2" xfId="14237" xr:uid="{00000000-0005-0000-0000-0000243B0000}"/>
    <cellStyle name="출력 4 2 3 3" xfId="14238" xr:uid="{00000000-0005-0000-0000-0000253B0000}"/>
    <cellStyle name="출력 4 2 3 4" xfId="14239" xr:uid="{00000000-0005-0000-0000-0000263B0000}"/>
    <cellStyle name="출력 4 2 3 5" xfId="14240" xr:uid="{00000000-0005-0000-0000-0000273B0000}"/>
    <cellStyle name="출력 4 3" xfId="14241" xr:uid="{00000000-0005-0000-0000-0000283B0000}"/>
    <cellStyle name="출력 4 3 2" xfId="14242" xr:uid="{00000000-0005-0000-0000-0000293B0000}"/>
    <cellStyle name="출력 4 3 2 2" xfId="14243" xr:uid="{00000000-0005-0000-0000-00002A3B0000}"/>
    <cellStyle name="출력 4 3 2 2 2" xfId="14244" xr:uid="{00000000-0005-0000-0000-00002B3B0000}"/>
    <cellStyle name="출력 4 3 2 2 3" xfId="14245" xr:uid="{00000000-0005-0000-0000-00002C3B0000}"/>
    <cellStyle name="출력 4 3 2 2 4" xfId="14246" xr:uid="{00000000-0005-0000-0000-00002D3B0000}"/>
    <cellStyle name="출력 4 3 2 2 5" xfId="14247" xr:uid="{00000000-0005-0000-0000-00002E3B0000}"/>
    <cellStyle name="출력 4 3 3" xfId="14248" xr:uid="{00000000-0005-0000-0000-00002F3B0000}"/>
    <cellStyle name="출력 4 3 3 2" xfId="14249" xr:uid="{00000000-0005-0000-0000-0000303B0000}"/>
    <cellStyle name="출력 4 3 3 3" xfId="14250" xr:uid="{00000000-0005-0000-0000-0000313B0000}"/>
    <cellStyle name="출력 4 3 3 4" xfId="14251" xr:uid="{00000000-0005-0000-0000-0000323B0000}"/>
    <cellStyle name="출력 4 3 3 5" xfId="14252" xr:uid="{00000000-0005-0000-0000-0000333B0000}"/>
    <cellStyle name="출력 4 4" xfId="14253" xr:uid="{00000000-0005-0000-0000-0000343B0000}"/>
    <cellStyle name="출력 4 4 2" xfId="14254" xr:uid="{00000000-0005-0000-0000-0000353B0000}"/>
    <cellStyle name="출력 4 4 2 2" xfId="14255" xr:uid="{00000000-0005-0000-0000-0000363B0000}"/>
    <cellStyle name="출력 4 4 2 2 2" xfId="14256" xr:uid="{00000000-0005-0000-0000-0000373B0000}"/>
    <cellStyle name="출력 4 4 2 2 3" xfId="14257" xr:uid="{00000000-0005-0000-0000-0000383B0000}"/>
    <cellStyle name="출력 4 4 2 2 4" xfId="14258" xr:uid="{00000000-0005-0000-0000-0000393B0000}"/>
    <cellStyle name="출력 4 4 2 2 5" xfId="14259" xr:uid="{00000000-0005-0000-0000-00003A3B0000}"/>
    <cellStyle name="출력 4 4 3" xfId="14260" xr:uid="{00000000-0005-0000-0000-00003B3B0000}"/>
    <cellStyle name="출력 4 4 3 2" xfId="14261" xr:uid="{00000000-0005-0000-0000-00003C3B0000}"/>
    <cellStyle name="출력 4 4 3 3" xfId="14262" xr:uid="{00000000-0005-0000-0000-00003D3B0000}"/>
    <cellStyle name="출력 4 4 3 4" xfId="14263" xr:uid="{00000000-0005-0000-0000-00003E3B0000}"/>
    <cellStyle name="출력 4 4 3 5" xfId="14264" xr:uid="{00000000-0005-0000-0000-00003F3B0000}"/>
    <cellStyle name="출력 4 5" xfId="14265" xr:uid="{00000000-0005-0000-0000-0000403B0000}"/>
    <cellStyle name="출력 4 5 2" xfId="14266" xr:uid="{00000000-0005-0000-0000-0000413B0000}"/>
    <cellStyle name="출력 4 5 2 2" xfId="14267" xr:uid="{00000000-0005-0000-0000-0000423B0000}"/>
    <cellStyle name="출력 4 5 2 2 2" xfId="14268" xr:uid="{00000000-0005-0000-0000-0000433B0000}"/>
    <cellStyle name="출력 4 5 2 2 3" xfId="14269" xr:uid="{00000000-0005-0000-0000-0000443B0000}"/>
    <cellStyle name="출력 4 5 2 2 4" xfId="14270" xr:uid="{00000000-0005-0000-0000-0000453B0000}"/>
    <cellStyle name="출력 4 5 2 2 5" xfId="14271" xr:uid="{00000000-0005-0000-0000-0000463B0000}"/>
    <cellStyle name="출력 4 5 3" xfId="14272" xr:uid="{00000000-0005-0000-0000-0000473B0000}"/>
    <cellStyle name="출력 4 5 3 2" xfId="14273" xr:uid="{00000000-0005-0000-0000-0000483B0000}"/>
    <cellStyle name="출력 4 5 3 3" xfId="14274" xr:uid="{00000000-0005-0000-0000-0000493B0000}"/>
    <cellStyle name="출력 4 5 3 4" xfId="14275" xr:uid="{00000000-0005-0000-0000-00004A3B0000}"/>
    <cellStyle name="출력 4 5 3 5" xfId="14276" xr:uid="{00000000-0005-0000-0000-00004B3B0000}"/>
    <cellStyle name="출력 4 6" xfId="14277" xr:uid="{00000000-0005-0000-0000-00004C3B0000}"/>
    <cellStyle name="출력 4 6 2" xfId="14278" xr:uid="{00000000-0005-0000-0000-00004D3B0000}"/>
    <cellStyle name="출력 4 6 2 2" xfId="14279" xr:uid="{00000000-0005-0000-0000-00004E3B0000}"/>
    <cellStyle name="출력 4 6 2 2 2" xfId="14280" xr:uid="{00000000-0005-0000-0000-00004F3B0000}"/>
    <cellStyle name="출력 4 6 2 2 3" xfId="14281" xr:uid="{00000000-0005-0000-0000-0000503B0000}"/>
    <cellStyle name="출력 4 6 2 2 4" xfId="14282" xr:uid="{00000000-0005-0000-0000-0000513B0000}"/>
    <cellStyle name="출력 4 6 2 2 5" xfId="14283" xr:uid="{00000000-0005-0000-0000-0000523B0000}"/>
    <cellStyle name="출력 4 6 3" xfId="14284" xr:uid="{00000000-0005-0000-0000-0000533B0000}"/>
    <cellStyle name="출력 4 6 3 2" xfId="14285" xr:uid="{00000000-0005-0000-0000-0000543B0000}"/>
    <cellStyle name="출력 4 6 3 3" xfId="14286" xr:uid="{00000000-0005-0000-0000-0000553B0000}"/>
    <cellStyle name="출력 4 6 3 4" xfId="14287" xr:uid="{00000000-0005-0000-0000-0000563B0000}"/>
    <cellStyle name="출력 4 6 3 5" xfId="14288" xr:uid="{00000000-0005-0000-0000-0000573B0000}"/>
    <cellStyle name="출력 4 7" xfId="14289" xr:uid="{00000000-0005-0000-0000-0000583B0000}"/>
    <cellStyle name="출력 4 7 2" xfId="14290" xr:uid="{00000000-0005-0000-0000-0000593B0000}"/>
    <cellStyle name="출력 4 7 2 2" xfId="14291" xr:uid="{00000000-0005-0000-0000-00005A3B0000}"/>
    <cellStyle name="출력 4 7 2 2 2" xfId="14292" xr:uid="{00000000-0005-0000-0000-00005B3B0000}"/>
    <cellStyle name="출력 4 7 2 2 3" xfId="14293" xr:uid="{00000000-0005-0000-0000-00005C3B0000}"/>
    <cellStyle name="출력 4 7 2 2 4" xfId="14294" xr:uid="{00000000-0005-0000-0000-00005D3B0000}"/>
    <cellStyle name="출력 4 7 2 2 5" xfId="14295" xr:uid="{00000000-0005-0000-0000-00005E3B0000}"/>
    <cellStyle name="출력 4 7 3" xfId="14296" xr:uid="{00000000-0005-0000-0000-00005F3B0000}"/>
    <cellStyle name="출력 4 7 3 2" xfId="14297" xr:uid="{00000000-0005-0000-0000-0000603B0000}"/>
    <cellStyle name="출력 4 7 3 3" xfId="14298" xr:uid="{00000000-0005-0000-0000-0000613B0000}"/>
    <cellStyle name="출력 4 7 3 4" xfId="14299" xr:uid="{00000000-0005-0000-0000-0000623B0000}"/>
    <cellStyle name="출력 4 7 3 5" xfId="14300" xr:uid="{00000000-0005-0000-0000-0000633B0000}"/>
    <cellStyle name="출력 4 8" xfId="14301" xr:uid="{00000000-0005-0000-0000-0000643B0000}"/>
    <cellStyle name="출력 4 8 2" xfId="14302" xr:uid="{00000000-0005-0000-0000-0000653B0000}"/>
    <cellStyle name="출력 4 8 2 2" xfId="14303" xr:uid="{00000000-0005-0000-0000-0000663B0000}"/>
    <cellStyle name="출력 4 8 2 2 2" xfId="14304" xr:uid="{00000000-0005-0000-0000-0000673B0000}"/>
    <cellStyle name="출력 4 8 2 2 3" xfId="14305" xr:uid="{00000000-0005-0000-0000-0000683B0000}"/>
    <cellStyle name="출력 4 8 2 2 4" xfId="14306" xr:uid="{00000000-0005-0000-0000-0000693B0000}"/>
    <cellStyle name="출력 4 8 2 2 5" xfId="14307" xr:uid="{00000000-0005-0000-0000-00006A3B0000}"/>
    <cellStyle name="출력 4 8 3" xfId="14308" xr:uid="{00000000-0005-0000-0000-00006B3B0000}"/>
    <cellStyle name="출력 4 8 3 2" xfId="14309" xr:uid="{00000000-0005-0000-0000-00006C3B0000}"/>
    <cellStyle name="출력 4 8 3 3" xfId="14310" xr:uid="{00000000-0005-0000-0000-00006D3B0000}"/>
    <cellStyle name="출력 4 8 3 4" xfId="14311" xr:uid="{00000000-0005-0000-0000-00006E3B0000}"/>
    <cellStyle name="출력 4 8 3 5" xfId="14312" xr:uid="{00000000-0005-0000-0000-00006F3B0000}"/>
    <cellStyle name="출력 4 9" xfId="14313" xr:uid="{00000000-0005-0000-0000-0000703B0000}"/>
    <cellStyle name="출력 4 9 2" xfId="14314" xr:uid="{00000000-0005-0000-0000-0000713B0000}"/>
    <cellStyle name="출력 4 9 2 2" xfId="14315" xr:uid="{00000000-0005-0000-0000-0000723B0000}"/>
    <cellStyle name="출력 4 9 2 2 2" xfId="14316" xr:uid="{00000000-0005-0000-0000-0000733B0000}"/>
    <cellStyle name="출력 4 9 2 2 3" xfId="14317" xr:uid="{00000000-0005-0000-0000-0000743B0000}"/>
    <cellStyle name="출력 4 9 2 2 4" xfId="14318" xr:uid="{00000000-0005-0000-0000-0000753B0000}"/>
    <cellStyle name="출력 4 9 2 2 5" xfId="14319" xr:uid="{00000000-0005-0000-0000-0000763B0000}"/>
    <cellStyle name="출력 4 9 3" xfId="14320" xr:uid="{00000000-0005-0000-0000-0000773B0000}"/>
    <cellStyle name="출력 4 9 3 2" xfId="14321" xr:uid="{00000000-0005-0000-0000-0000783B0000}"/>
    <cellStyle name="출력 4 9 3 3" xfId="14322" xr:uid="{00000000-0005-0000-0000-0000793B0000}"/>
    <cellStyle name="출력 4 9 3 4" xfId="14323" xr:uid="{00000000-0005-0000-0000-00007A3B0000}"/>
    <cellStyle name="출력 4 9 3 5" xfId="14324" xr:uid="{00000000-0005-0000-0000-00007B3B0000}"/>
    <cellStyle name="출력 5" xfId="14325" xr:uid="{00000000-0005-0000-0000-00007C3B0000}"/>
    <cellStyle name="출력 5 10" xfId="14326" xr:uid="{00000000-0005-0000-0000-00007D3B0000}"/>
    <cellStyle name="출력 5 10 2" xfId="14327" xr:uid="{00000000-0005-0000-0000-00007E3B0000}"/>
    <cellStyle name="출력 5 10 2 2" xfId="14328" xr:uid="{00000000-0005-0000-0000-00007F3B0000}"/>
    <cellStyle name="출력 5 10 2 3" xfId="14329" xr:uid="{00000000-0005-0000-0000-0000803B0000}"/>
    <cellStyle name="출력 5 10 2 4" xfId="14330" xr:uid="{00000000-0005-0000-0000-0000813B0000}"/>
    <cellStyle name="출력 5 10 2 5" xfId="14331" xr:uid="{00000000-0005-0000-0000-0000823B0000}"/>
    <cellStyle name="출력 5 11" xfId="14332" xr:uid="{00000000-0005-0000-0000-0000833B0000}"/>
    <cellStyle name="출력 5 11 2" xfId="14333" xr:uid="{00000000-0005-0000-0000-0000843B0000}"/>
    <cellStyle name="출력 5 11 3" xfId="14334" xr:uid="{00000000-0005-0000-0000-0000853B0000}"/>
    <cellStyle name="출력 5 11 4" xfId="14335" xr:uid="{00000000-0005-0000-0000-0000863B0000}"/>
    <cellStyle name="출력 5 11 5" xfId="14336" xr:uid="{00000000-0005-0000-0000-0000873B0000}"/>
    <cellStyle name="출력 5 2" xfId="14337" xr:uid="{00000000-0005-0000-0000-0000883B0000}"/>
    <cellStyle name="출력 5 2 2" xfId="14338" xr:uid="{00000000-0005-0000-0000-0000893B0000}"/>
    <cellStyle name="출력 5 2 2 2" xfId="14339" xr:uid="{00000000-0005-0000-0000-00008A3B0000}"/>
    <cellStyle name="출력 5 2 2 2 2" xfId="14340" xr:uid="{00000000-0005-0000-0000-00008B3B0000}"/>
    <cellStyle name="출력 5 2 2 2 3" xfId="14341" xr:uid="{00000000-0005-0000-0000-00008C3B0000}"/>
    <cellStyle name="출력 5 2 2 2 4" xfId="14342" xr:uid="{00000000-0005-0000-0000-00008D3B0000}"/>
    <cellStyle name="출력 5 2 2 2 5" xfId="14343" xr:uid="{00000000-0005-0000-0000-00008E3B0000}"/>
    <cellStyle name="출력 5 2 3" xfId="14344" xr:uid="{00000000-0005-0000-0000-00008F3B0000}"/>
    <cellStyle name="출력 5 2 3 2" xfId="14345" xr:uid="{00000000-0005-0000-0000-0000903B0000}"/>
    <cellStyle name="출력 5 2 3 3" xfId="14346" xr:uid="{00000000-0005-0000-0000-0000913B0000}"/>
    <cellStyle name="출력 5 2 3 4" xfId="14347" xr:uid="{00000000-0005-0000-0000-0000923B0000}"/>
    <cellStyle name="출력 5 2 3 5" xfId="14348" xr:uid="{00000000-0005-0000-0000-0000933B0000}"/>
    <cellStyle name="출력 5 3" xfId="14349" xr:uid="{00000000-0005-0000-0000-0000943B0000}"/>
    <cellStyle name="출력 5 3 2" xfId="14350" xr:uid="{00000000-0005-0000-0000-0000953B0000}"/>
    <cellStyle name="출력 5 3 2 2" xfId="14351" xr:uid="{00000000-0005-0000-0000-0000963B0000}"/>
    <cellStyle name="출력 5 3 2 2 2" xfId="14352" xr:uid="{00000000-0005-0000-0000-0000973B0000}"/>
    <cellStyle name="출력 5 3 2 2 3" xfId="14353" xr:uid="{00000000-0005-0000-0000-0000983B0000}"/>
    <cellStyle name="출력 5 3 2 2 4" xfId="14354" xr:uid="{00000000-0005-0000-0000-0000993B0000}"/>
    <cellStyle name="출력 5 3 2 2 5" xfId="14355" xr:uid="{00000000-0005-0000-0000-00009A3B0000}"/>
    <cellStyle name="출력 5 3 3" xfId="14356" xr:uid="{00000000-0005-0000-0000-00009B3B0000}"/>
    <cellStyle name="출력 5 3 3 2" xfId="14357" xr:uid="{00000000-0005-0000-0000-00009C3B0000}"/>
    <cellStyle name="출력 5 3 3 3" xfId="14358" xr:uid="{00000000-0005-0000-0000-00009D3B0000}"/>
    <cellStyle name="출력 5 3 3 4" xfId="14359" xr:uid="{00000000-0005-0000-0000-00009E3B0000}"/>
    <cellStyle name="출력 5 3 3 5" xfId="14360" xr:uid="{00000000-0005-0000-0000-00009F3B0000}"/>
    <cellStyle name="출력 5 4" xfId="14361" xr:uid="{00000000-0005-0000-0000-0000A03B0000}"/>
    <cellStyle name="출력 5 4 2" xfId="14362" xr:uid="{00000000-0005-0000-0000-0000A13B0000}"/>
    <cellStyle name="출력 5 4 2 2" xfId="14363" xr:uid="{00000000-0005-0000-0000-0000A23B0000}"/>
    <cellStyle name="출력 5 4 2 2 2" xfId="14364" xr:uid="{00000000-0005-0000-0000-0000A33B0000}"/>
    <cellStyle name="출력 5 4 2 2 3" xfId="14365" xr:uid="{00000000-0005-0000-0000-0000A43B0000}"/>
    <cellStyle name="출력 5 4 2 2 4" xfId="14366" xr:uid="{00000000-0005-0000-0000-0000A53B0000}"/>
    <cellStyle name="출력 5 4 2 2 5" xfId="14367" xr:uid="{00000000-0005-0000-0000-0000A63B0000}"/>
    <cellStyle name="출력 5 4 3" xfId="14368" xr:uid="{00000000-0005-0000-0000-0000A73B0000}"/>
    <cellStyle name="출력 5 4 3 2" xfId="14369" xr:uid="{00000000-0005-0000-0000-0000A83B0000}"/>
    <cellStyle name="출력 5 4 3 3" xfId="14370" xr:uid="{00000000-0005-0000-0000-0000A93B0000}"/>
    <cellStyle name="출력 5 4 3 4" xfId="14371" xr:uid="{00000000-0005-0000-0000-0000AA3B0000}"/>
    <cellStyle name="출력 5 4 3 5" xfId="14372" xr:uid="{00000000-0005-0000-0000-0000AB3B0000}"/>
    <cellStyle name="출력 5 5" xfId="14373" xr:uid="{00000000-0005-0000-0000-0000AC3B0000}"/>
    <cellStyle name="출력 5 5 2" xfId="14374" xr:uid="{00000000-0005-0000-0000-0000AD3B0000}"/>
    <cellStyle name="출력 5 5 2 2" xfId="14375" xr:uid="{00000000-0005-0000-0000-0000AE3B0000}"/>
    <cellStyle name="출력 5 5 2 2 2" xfId="14376" xr:uid="{00000000-0005-0000-0000-0000AF3B0000}"/>
    <cellStyle name="출력 5 5 2 2 3" xfId="14377" xr:uid="{00000000-0005-0000-0000-0000B03B0000}"/>
    <cellStyle name="출력 5 5 2 2 4" xfId="14378" xr:uid="{00000000-0005-0000-0000-0000B13B0000}"/>
    <cellStyle name="출력 5 5 2 2 5" xfId="14379" xr:uid="{00000000-0005-0000-0000-0000B23B0000}"/>
    <cellStyle name="출력 5 5 3" xfId="14380" xr:uid="{00000000-0005-0000-0000-0000B33B0000}"/>
    <cellStyle name="출력 5 5 3 2" xfId="14381" xr:uid="{00000000-0005-0000-0000-0000B43B0000}"/>
    <cellStyle name="출력 5 5 3 3" xfId="14382" xr:uid="{00000000-0005-0000-0000-0000B53B0000}"/>
    <cellStyle name="출력 5 5 3 4" xfId="14383" xr:uid="{00000000-0005-0000-0000-0000B63B0000}"/>
    <cellStyle name="출력 5 5 3 5" xfId="14384" xr:uid="{00000000-0005-0000-0000-0000B73B0000}"/>
    <cellStyle name="출력 5 6" xfId="14385" xr:uid="{00000000-0005-0000-0000-0000B83B0000}"/>
    <cellStyle name="출력 5 6 2" xfId="14386" xr:uid="{00000000-0005-0000-0000-0000B93B0000}"/>
    <cellStyle name="출력 5 6 2 2" xfId="14387" xr:uid="{00000000-0005-0000-0000-0000BA3B0000}"/>
    <cellStyle name="출력 5 6 2 2 2" xfId="14388" xr:uid="{00000000-0005-0000-0000-0000BB3B0000}"/>
    <cellStyle name="출력 5 6 2 2 3" xfId="14389" xr:uid="{00000000-0005-0000-0000-0000BC3B0000}"/>
    <cellStyle name="출력 5 6 2 2 4" xfId="14390" xr:uid="{00000000-0005-0000-0000-0000BD3B0000}"/>
    <cellStyle name="출력 5 6 2 2 5" xfId="14391" xr:uid="{00000000-0005-0000-0000-0000BE3B0000}"/>
    <cellStyle name="출력 5 6 3" xfId="14392" xr:uid="{00000000-0005-0000-0000-0000BF3B0000}"/>
    <cellStyle name="출력 5 6 3 2" xfId="14393" xr:uid="{00000000-0005-0000-0000-0000C03B0000}"/>
    <cellStyle name="출력 5 6 3 3" xfId="14394" xr:uid="{00000000-0005-0000-0000-0000C13B0000}"/>
    <cellStyle name="출력 5 6 3 4" xfId="14395" xr:uid="{00000000-0005-0000-0000-0000C23B0000}"/>
    <cellStyle name="출력 5 6 3 5" xfId="14396" xr:uid="{00000000-0005-0000-0000-0000C33B0000}"/>
    <cellStyle name="출력 5 7" xfId="14397" xr:uid="{00000000-0005-0000-0000-0000C43B0000}"/>
    <cellStyle name="출력 5 7 2" xfId="14398" xr:uid="{00000000-0005-0000-0000-0000C53B0000}"/>
    <cellStyle name="출력 5 7 2 2" xfId="14399" xr:uid="{00000000-0005-0000-0000-0000C63B0000}"/>
    <cellStyle name="출력 5 7 2 2 2" xfId="14400" xr:uid="{00000000-0005-0000-0000-0000C73B0000}"/>
    <cellStyle name="출력 5 7 2 2 3" xfId="14401" xr:uid="{00000000-0005-0000-0000-0000C83B0000}"/>
    <cellStyle name="출력 5 7 2 2 4" xfId="14402" xr:uid="{00000000-0005-0000-0000-0000C93B0000}"/>
    <cellStyle name="출력 5 7 2 2 5" xfId="14403" xr:uid="{00000000-0005-0000-0000-0000CA3B0000}"/>
    <cellStyle name="출력 5 7 3" xfId="14404" xr:uid="{00000000-0005-0000-0000-0000CB3B0000}"/>
    <cellStyle name="출력 5 7 3 2" xfId="14405" xr:uid="{00000000-0005-0000-0000-0000CC3B0000}"/>
    <cellStyle name="출력 5 7 3 3" xfId="14406" xr:uid="{00000000-0005-0000-0000-0000CD3B0000}"/>
    <cellStyle name="출력 5 7 3 4" xfId="14407" xr:uid="{00000000-0005-0000-0000-0000CE3B0000}"/>
    <cellStyle name="출력 5 7 3 5" xfId="14408" xr:uid="{00000000-0005-0000-0000-0000CF3B0000}"/>
    <cellStyle name="출력 5 8" xfId="14409" xr:uid="{00000000-0005-0000-0000-0000D03B0000}"/>
    <cellStyle name="출력 5 8 2" xfId="14410" xr:uid="{00000000-0005-0000-0000-0000D13B0000}"/>
    <cellStyle name="출력 5 8 2 2" xfId="14411" xr:uid="{00000000-0005-0000-0000-0000D23B0000}"/>
    <cellStyle name="출력 5 8 2 2 2" xfId="14412" xr:uid="{00000000-0005-0000-0000-0000D33B0000}"/>
    <cellStyle name="출력 5 8 2 2 3" xfId="14413" xr:uid="{00000000-0005-0000-0000-0000D43B0000}"/>
    <cellStyle name="출력 5 8 2 2 4" xfId="14414" xr:uid="{00000000-0005-0000-0000-0000D53B0000}"/>
    <cellStyle name="출력 5 8 2 2 5" xfId="14415" xr:uid="{00000000-0005-0000-0000-0000D63B0000}"/>
    <cellStyle name="출력 5 8 3" xfId="14416" xr:uid="{00000000-0005-0000-0000-0000D73B0000}"/>
    <cellStyle name="출력 5 8 3 2" xfId="14417" xr:uid="{00000000-0005-0000-0000-0000D83B0000}"/>
    <cellStyle name="출력 5 8 3 3" xfId="14418" xr:uid="{00000000-0005-0000-0000-0000D93B0000}"/>
    <cellStyle name="출력 5 8 3 4" xfId="14419" xr:uid="{00000000-0005-0000-0000-0000DA3B0000}"/>
    <cellStyle name="출력 5 8 3 5" xfId="14420" xr:uid="{00000000-0005-0000-0000-0000DB3B0000}"/>
    <cellStyle name="출력 5 9" xfId="14421" xr:uid="{00000000-0005-0000-0000-0000DC3B0000}"/>
    <cellStyle name="출력 5 9 2" xfId="14422" xr:uid="{00000000-0005-0000-0000-0000DD3B0000}"/>
    <cellStyle name="출력 5 9 2 2" xfId="14423" xr:uid="{00000000-0005-0000-0000-0000DE3B0000}"/>
    <cellStyle name="출력 5 9 2 2 2" xfId="14424" xr:uid="{00000000-0005-0000-0000-0000DF3B0000}"/>
    <cellStyle name="출력 5 9 2 2 3" xfId="14425" xr:uid="{00000000-0005-0000-0000-0000E03B0000}"/>
    <cellStyle name="출력 5 9 2 2 4" xfId="14426" xr:uid="{00000000-0005-0000-0000-0000E13B0000}"/>
    <cellStyle name="출력 5 9 2 2 5" xfId="14427" xr:uid="{00000000-0005-0000-0000-0000E23B0000}"/>
    <cellStyle name="출력 5 9 3" xfId="14428" xr:uid="{00000000-0005-0000-0000-0000E33B0000}"/>
    <cellStyle name="출력 5 9 3 2" xfId="14429" xr:uid="{00000000-0005-0000-0000-0000E43B0000}"/>
    <cellStyle name="출력 5 9 3 3" xfId="14430" xr:uid="{00000000-0005-0000-0000-0000E53B0000}"/>
    <cellStyle name="출력 5 9 3 4" xfId="14431" xr:uid="{00000000-0005-0000-0000-0000E63B0000}"/>
    <cellStyle name="출력 5 9 3 5" xfId="14432" xr:uid="{00000000-0005-0000-0000-0000E73B0000}"/>
    <cellStyle name="출력 6" xfId="14433" xr:uid="{00000000-0005-0000-0000-0000E83B0000}"/>
    <cellStyle name="출력 6 10" xfId="14434" xr:uid="{00000000-0005-0000-0000-0000E93B0000}"/>
    <cellStyle name="출력 6 10 2" xfId="14435" xr:uid="{00000000-0005-0000-0000-0000EA3B0000}"/>
    <cellStyle name="출력 6 10 2 2" xfId="14436" xr:uid="{00000000-0005-0000-0000-0000EB3B0000}"/>
    <cellStyle name="출력 6 10 2 3" xfId="14437" xr:uid="{00000000-0005-0000-0000-0000EC3B0000}"/>
    <cellStyle name="출력 6 10 2 4" xfId="14438" xr:uid="{00000000-0005-0000-0000-0000ED3B0000}"/>
    <cellStyle name="출력 6 10 2 5" xfId="14439" xr:uid="{00000000-0005-0000-0000-0000EE3B0000}"/>
    <cellStyle name="출력 6 11" xfId="14440" xr:uid="{00000000-0005-0000-0000-0000EF3B0000}"/>
    <cellStyle name="출력 6 11 2" xfId="14441" xr:uid="{00000000-0005-0000-0000-0000F03B0000}"/>
    <cellStyle name="출력 6 11 3" xfId="14442" xr:uid="{00000000-0005-0000-0000-0000F13B0000}"/>
    <cellStyle name="출력 6 11 4" xfId="14443" xr:uid="{00000000-0005-0000-0000-0000F23B0000}"/>
    <cellStyle name="출력 6 11 5" xfId="14444" xr:uid="{00000000-0005-0000-0000-0000F33B0000}"/>
    <cellStyle name="출력 6 2" xfId="14445" xr:uid="{00000000-0005-0000-0000-0000F43B0000}"/>
    <cellStyle name="출력 6 2 2" xfId="14446" xr:uid="{00000000-0005-0000-0000-0000F53B0000}"/>
    <cellStyle name="출력 6 2 2 2" xfId="14447" xr:uid="{00000000-0005-0000-0000-0000F63B0000}"/>
    <cellStyle name="출력 6 2 2 2 2" xfId="14448" xr:uid="{00000000-0005-0000-0000-0000F73B0000}"/>
    <cellStyle name="출력 6 2 2 2 3" xfId="14449" xr:uid="{00000000-0005-0000-0000-0000F83B0000}"/>
    <cellStyle name="출력 6 2 2 2 4" xfId="14450" xr:uid="{00000000-0005-0000-0000-0000F93B0000}"/>
    <cellStyle name="출력 6 2 2 2 5" xfId="14451" xr:uid="{00000000-0005-0000-0000-0000FA3B0000}"/>
    <cellStyle name="출력 6 2 3" xfId="14452" xr:uid="{00000000-0005-0000-0000-0000FB3B0000}"/>
    <cellStyle name="출력 6 2 3 2" xfId="14453" xr:uid="{00000000-0005-0000-0000-0000FC3B0000}"/>
    <cellStyle name="출력 6 2 3 3" xfId="14454" xr:uid="{00000000-0005-0000-0000-0000FD3B0000}"/>
    <cellStyle name="출력 6 2 3 4" xfId="14455" xr:uid="{00000000-0005-0000-0000-0000FE3B0000}"/>
    <cellStyle name="출력 6 2 3 5" xfId="14456" xr:uid="{00000000-0005-0000-0000-0000FF3B0000}"/>
    <cellStyle name="출력 6 3" xfId="14457" xr:uid="{00000000-0005-0000-0000-0000003C0000}"/>
    <cellStyle name="출력 6 3 2" xfId="14458" xr:uid="{00000000-0005-0000-0000-0000013C0000}"/>
    <cellStyle name="출력 6 3 2 2" xfId="14459" xr:uid="{00000000-0005-0000-0000-0000023C0000}"/>
    <cellStyle name="출력 6 3 2 2 2" xfId="14460" xr:uid="{00000000-0005-0000-0000-0000033C0000}"/>
    <cellStyle name="출력 6 3 2 2 3" xfId="14461" xr:uid="{00000000-0005-0000-0000-0000043C0000}"/>
    <cellStyle name="출력 6 3 2 2 4" xfId="14462" xr:uid="{00000000-0005-0000-0000-0000053C0000}"/>
    <cellStyle name="출력 6 3 2 2 5" xfId="14463" xr:uid="{00000000-0005-0000-0000-0000063C0000}"/>
    <cellStyle name="출력 6 3 3" xfId="14464" xr:uid="{00000000-0005-0000-0000-0000073C0000}"/>
    <cellStyle name="출력 6 3 3 2" xfId="14465" xr:uid="{00000000-0005-0000-0000-0000083C0000}"/>
    <cellStyle name="출력 6 3 3 3" xfId="14466" xr:uid="{00000000-0005-0000-0000-0000093C0000}"/>
    <cellStyle name="출력 6 3 3 4" xfId="14467" xr:uid="{00000000-0005-0000-0000-00000A3C0000}"/>
    <cellStyle name="출력 6 3 3 5" xfId="14468" xr:uid="{00000000-0005-0000-0000-00000B3C0000}"/>
    <cellStyle name="출력 6 4" xfId="14469" xr:uid="{00000000-0005-0000-0000-00000C3C0000}"/>
    <cellStyle name="출력 6 4 2" xfId="14470" xr:uid="{00000000-0005-0000-0000-00000D3C0000}"/>
    <cellStyle name="출력 6 4 2 2" xfId="14471" xr:uid="{00000000-0005-0000-0000-00000E3C0000}"/>
    <cellStyle name="출력 6 4 2 2 2" xfId="14472" xr:uid="{00000000-0005-0000-0000-00000F3C0000}"/>
    <cellStyle name="출력 6 4 2 2 3" xfId="14473" xr:uid="{00000000-0005-0000-0000-0000103C0000}"/>
    <cellStyle name="출력 6 4 2 2 4" xfId="14474" xr:uid="{00000000-0005-0000-0000-0000113C0000}"/>
    <cellStyle name="출력 6 4 2 2 5" xfId="14475" xr:uid="{00000000-0005-0000-0000-0000123C0000}"/>
    <cellStyle name="출력 6 4 3" xfId="14476" xr:uid="{00000000-0005-0000-0000-0000133C0000}"/>
    <cellStyle name="출력 6 4 3 2" xfId="14477" xr:uid="{00000000-0005-0000-0000-0000143C0000}"/>
    <cellStyle name="출력 6 4 3 3" xfId="14478" xr:uid="{00000000-0005-0000-0000-0000153C0000}"/>
    <cellStyle name="출력 6 4 3 4" xfId="14479" xr:uid="{00000000-0005-0000-0000-0000163C0000}"/>
    <cellStyle name="출력 6 4 3 5" xfId="14480" xr:uid="{00000000-0005-0000-0000-0000173C0000}"/>
    <cellStyle name="출력 6 5" xfId="14481" xr:uid="{00000000-0005-0000-0000-0000183C0000}"/>
    <cellStyle name="출력 6 5 2" xfId="14482" xr:uid="{00000000-0005-0000-0000-0000193C0000}"/>
    <cellStyle name="출력 6 5 2 2" xfId="14483" xr:uid="{00000000-0005-0000-0000-00001A3C0000}"/>
    <cellStyle name="출력 6 5 2 2 2" xfId="14484" xr:uid="{00000000-0005-0000-0000-00001B3C0000}"/>
    <cellStyle name="출력 6 5 2 2 3" xfId="14485" xr:uid="{00000000-0005-0000-0000-00001C3C0000}"/>
    <cellStyle name="출력 6 5 2 2 4" xfId="14486" xr:uid="{00000000-0005-0000-0000-00001D3C0000}"/>
    <cellStyle name="출력 6 5 2 2 5" xfId="14487" xr:uid="{00000000-0005-0000-0000-00001E3C0000}"/>
    <cellStyle name="출력 6 5 3" xfId="14488" xr:uid="{00000000-0005-0000-0000-00001F3C0000}"/>
    <cellStyle name="출력 6 5 3 2" xfId="14489" xr:uid="{00000000-0005-0000-0000-0000203C0000}"/>
    <cellStyle name="출력 6 5 3 3" xfId="14490" xr:uid="{00000000-0005-0000-0000-0000213C0000}"/>
    <cellStyle name="출력 6 5 3 4" xfId="14491" xr:uid="{00000000-0005-0000-0000-0000223C0000}"/>
    <cellStyle name="출력 6 5 3 5" xfId="14492" xr:uid="{00000000-0005-0000-0000-0000233C0000}"/>
    <cellStyle name="출력 6 6" xfId="14493" xr:uid="{00000000-0005-0000-0000-0000243C0000}"/>
    <cellStyle name="출력 6 6 2" xfId="14494" xr:uid="{00000000-0005-0000-0000-0000253C0000}"/>
    <cellStyle name="출력 6 6 2 2" xfId="14495" xr:uid="{00000000-0005-0000-0000-0000263C0000}"/>
    <cellStyle name="출력 6 6 2 2 2" xfId="14496" xr:uid="{00000000-0005-0000-0000-0000273C0000}"/>
    <cellStyle name="출력 6 6 2 2 3" xfId="14497" xr:uid="{00000000-0005-0000-0000-0000283C0000}"/>
    <cellStyle name="출력 6 6 2 2 4" xfId="14498" xr:uid="{00000000-0005-0000-0000-0000293C0000}"/>
    <cellStyle name="출력 6 6 2 2 5" xfId="14499" xr:uid="{00000000-0005-0000-0000-00002A3C0000}"/>
    <cellStyle name="출력 6 6 3" xfId="14500" xr:uid="{00000000-0005-0000-0000-00002B3C0000}"/>
    <cellStyle name="출력 6 6 3 2" xfId="14501" xr:uid="{00000000-0005-0000-0000-00002C3C0000}"/>
    <cellStyle name="출력 6 6 3 3" xfId="14502" xr:uid="{00000000-0005-0000-0000-00002D3C0000}"/>
    <cellStyle name="출력 6 6 3 4" xfId="14503" xr:uid="{00000000-0005-0000-0000-00002E3C0000}"/>
    <cellStyle name="출력 6 6 3 5" xfId="14504" xr:uid="{00000000-0005-0000-0000-00002F3C0000}"/>
    <cellStyle name="출력 6 7" xfId="14505" xr:uid="{00000000-0005-0000-0000-0000303C0000}"/>
    <cellStyle name="출력 6 7 2" xfId="14506" xr:uid="{00000000-0005-0000-0000-0000313C0000}"/>
    <cellStyle name="출력 6 7 2 2" xfId="14507" xr:uid="{00000000-0005-0000-0000-0000323C0000}"/>
    <cellStyle name="출력 6 7 2 2 2" xfId="14508" xr:uid="{00000000-0005-0000-0000-0000333C0000}"/>
    <cellStyle name="출력 6 7 2 2 3" xfId="14509" xr:uid="{00000000-0005-0000-0000-0000343C0000}"/>
    <cellStyle name="출력 6 7 2 2 4" xfId="14510" xr:uid="{00000000-0005-0000-0000-0000353C0000}"/>
    <cellStyle name="출력 6 7 2 2 5" xfId="14511" xr:uid="{00000000-0005-0000-0000-0000363C0000}"/>
    <cellStyle name="출력 6 7 3" xfId="14512" xr:uid="{00000000-0005-0000-0000-0000373C0000}"/>
    <cellStyle name="출력 6 7 3 2" xfId="14513" xr:uid="{00000000-0005-0000-0000-0000383C0000}"/>
    <cellStyle name="출력 6 7 3 3" xfId="14514" xr:uid="{00000000-0005-0000-0000-0000393C0000}"/>
    <cellStyle name="출력 6 7 3 4" xfId="14515" xr:uid="{00000000-0005-0000-0000-00003A3C0000}"/>
    <cellStyle name="출력 6 7 3 5" xfId="14516" xr:uid="{00000000-0005-0000-0000-00003B3C0000}"/>
    <cellStyle name="출력 6 8" xfId="14517" xr:uid="{00000000-0005-0000-0000-00003C3C0000}"/>
    <cellStyle name="출력 6 8 2" xfId="14518" xr:uid="{00000000-0005-0000-0000-00003D3C0000}"/>
    <cellStyle name="출력 6 8 2 2" xfId="14519" xr:uid="{00000000-0005-0000-0000-00003E3C0000}"/>
    <cellStyle name="출력 6 8 2 2 2" xfId="14520" xr:uid="{00000000-0005-0000-0000-00003F3C0000}"/>
    <cellStyle name="출력 6 8 2 2 3" xfId="14521" xr:uid="{00000000-0005-0000-0000-0000403C0000}"/>
    <cellStyle name="출력 6 8 2 2 4" xfId="14522" xr:uid="{00000000-0005-0000-0000-0000413C0000}"/>
    <cellStyle name="출력 6 8 2 2 5" xfId="14523" xr:uid="{00000000-0005-0000-0000-0000423C0000}"/>
    <cellStyle name="출력 6 8 3" xfId="14524" xr:uid="{00000000-0005-0000-0000-0000433C0000}"/>
    <cellStyle name="출력 6 8 3 2" xfId="14525" xr:uid="{00000000-0005-0000-0000-0000443C0000}"/>
    <cellStyle name="출력 6 8 3 3" xfId="14526" xr:uid="{00000000-0005-0000-0000-0000453C0000}"/>
    <cellStyle name="출력 6 8 3 4" xfId="14527" xr:uid="{00000000-0005-0000-0000-0000463C0000}"/>
    <cellStyle name="출력 6 8 3 5" xfId="14528" xr:uid="{00000000-0005-0000-0000-0000473C0000}"/>
    <cellStyle name="출력 6 9" xfId="14529" xr:uid="{00000000-0005-0000-0000-0000483C0000}"/>
    <cellStyle name="출력 6 9 2" xfId="14530" xr:uid="{00000000-0005-0000-0000-0000493C0000}"/>
    <cellStyle name="출력 6 9 2 2" xfId="14531" xr:uid="{00000000-0005-0000-0000-00004A3C0000}"/>
    <cellStyle name="출력 6 9 2 2 2" xfId="14532" xr:uid="{00000000-0005-0000-0000-00004B3C0000}"/>
    <cellStyle name="출력 6 9 2 2 3" xfId="14533" xr:uid="{00000000-0005-0000-0000-00004C3C0000}"/>
    <cellStyle name="출력 6 9 2 2 4" xfId="14534" xr:uid="{00000000-0005-0000-0000-00004D3C0000}"/>
    <cellStyle name="출력 6 9 2 2 5" xfId="14535" xr:uid="{00000000-0005-0000-0000-00004E3C0000}"/>
    <cellStyle name="출력 6 9 3" xfId="14536" xr:uid="{00000000-0005-0000-0000-00004F3C0000}"/>
    <cellStyle name="출력 6 9 3 2" xfId="14537" xr:uid="{00000000-0005-0000-0000-0000503C0000}"/>
    <cellStyle name="출력 6 9 3 3" xfId="14538" xr:uid="{00000000-0005-0000-0000-0000513C0000}"/>
    <cellStyle name="출력 6 9 3 4" xfId="14539" xr:uid="{00000000-0005-0000-0000-0000523C0000}"/>
    <cellStyle name="출력 6 9 3 5" xfId="14540" xr:uid="{00000000-0005-0000-0000-0000533C0000}"/>
    <cellStyle name="코드" xfId="14541" xr:uid="{00000000-0005-0000-0000-0000543C0000}"/>
    <cellStyle name="코드 2" xfId="14542" xr:uid="{00000000-0005-0000-0000-0000553C0000}"/>
    <cellStyle name="콤" xfId="16712" xr:uid="{00000000-0005-0000-0000-0000563C0000}"/>
    <cellStyle name="콤? [0]" xfId="14543" xr:uid="{00000000-0005-0000-0000-0000573C0000}"/>
    <cellStyle name="콤? [0] 2" xfId="14544" xr:uid="{00000000-0005-0000-0000-0000583C0000}"/>
    <cellStyle name="콤? [0] 2 2" xfId="14545" xr:uid="{00000000-0005-0000-0000-0000593C0000}"/>
    <cellStyle name="콤? [0] 3" xfId="14546" xr:uid="{00000000-0005-0000-0000-00005A3C0000}"/>
    <cellStyle name="콤? [0] 3 2" xfId="14547" xr:uid="{00000000-0005-0000-0000-00005B3C0000}"/>
    <cellStyle name="콤? [0] 4" xfId="14548" xr:uid="{00000000-0005-0000-0000-00005C3C0000}"/>
    <cellStyle name="콤냡?&lt;_x000f_$??: `1_1 " xfId="14549" xr:uid="{00000000-0005-0000-0000-00005D3C0000}"/>
    <cellStyle name="콤냡?&lt;_x000f_$??:_x0009_`1_1 " xfId="14550" xr:uid="{00000000-0005-0000-0000-00005E3C0000}"/>
    <cellStyle name="콤마 [" xfId="16713" xr:uid="{00000000-0005-0000-0000-00005F3C0000}"/>
    <cellStyle name="콤마 [#]" xfId="14551" xr:uid="{00000000-0005-0000-0000-0000603C0000}"/>
    <cellStyle name="콤마 [#] 2" xfId="16714" xr:uid="{00000000-0005-0000-0000-0000613C0000}"/>
    <cellStyle name="콤마 []" xfId="14552" xr:uid="{00000000-0005-0000-0000-0000623C0000}"/>
    <cellStyle name="콤마 [] 2" xfId="16716" xr:uid="{00000000-0005-0000-0000-0000633C0000}"/>
    <cellStyle name="콤마 [] 3" xfId="16715" xr:uid="{00000000-0005-0000-0000-0000643C0000}"/>
    <cellStyle name="콤마 [0]" xfId="14553" xr:uid="{00000000-0005-0000-0000-0000653C0000}"/>
    <cellStyle name="콤마 [0] 10" xfId="14554" xr:uid="{00000000-0005-0000-0000-0000663C0000}"/>
    <cellStyle name="콤마 [0] 10 2" xfId="14555" xr:uid="{00000000-0005-0000-0000-0000673C0000}"/>
    <cellStyle name="콤마 [0] 11" xfId="14556" xr:uid="{00000000-0005-0000-0000-0000683C0000}"/>
    <cellStyle name="콤마 [0] 11 2" xfId="14557" xr:uid="{00000000-0005-0000-0000-0000693C0000}"/>
    <cellStyle name="콤마 [0] 12" xfId="14558" xr:uid="{00000000-0005-0000-0000-00006A3C0000}"/>
    <cellStyle name="콤마 [0] 12 2" xfId="14559" xr:uid="{00000000-0005-0000-0000-00006B3C0000}"/>
    <cellStyle name="콤마 [0] 13" xfId="14560" xr:uid="{00000000-0005-0000-0000-00006C3C0000}"/>
    <cellStyle name="콤마 [0] 13 2" xfId="14561" xr:uid="{00000000-0005-0000-0000-00006D3C0000}"/>
    <cellStyle name="콤마 [0] 14" xfId="14562" xr:uid="{00000000-0005-0000-0000-00006E3C0000}"/>
    <cellStyle name="콤마 [0] 15" xfId="14563" xr:uid="{00000000-0005-0000-0000-00006F3C0000}"/>
    <cellStyle name="콤마 [0] 16" xfId="16717" xr:uid="{00000000-0005-0000-0000-0000703C0000}"/>
    <cellStyle name="콤마 [0] 2" xfId="14564" xr:uid="{00000000-0005-0000-0000-0000713C0000}"/>
    <cellStyle name="콤마 [0] 2 2" xfId="14565" xr:uid="{00000000-0005-0000-0000-0000723C0000}"/>
    <cellStyle name="콤마 [0] 2 2 2" xfId="14566" xr:uid="{00000000-0005-0000-0000-0000733C0000}"/>
    <cellStyle name="콤마 [0] 2 3" xfId="14567" xr:uid="{00000000-0005-0000-0000-0000743C0000}"/>
    <cellStyle name="콤마 [0] 2 4" xfId="16718" xr:uid="{00000000-0005-0000-0000-0000753C0000}"/>
    <cellStyle name="콤마 [0] 3" xfId="14568" xr:uid="{00000000-0005-0000-0000-0000763C0000}"/>
    <cellStyle name="콤마 [0] 3 2" xfId="14569" xr:uid="{00000000-0005-0000-0000-0000773C0000}"/>
    <cellStyle name="콤마 [0] 4" xfId="14570" xr:uid="{00000000-0005-0000-0000-0000783C0000}"/>
    <cellStyle name="콤마 [0] 4 2" xfId="14571" xr:uid="{00000000-0005-0000-0000-0000793C0000}"/>
    <cellStyle name="콤마 [0] 5" xfId="14572" xr:uid="{00000000-0005-0000-0000-00007A3C0000}"/>
    <cellStyle name="콤마 [0] 5 2" xfId="14573" xr:uid="{00000000-0005-0000-0000-00007B3C0000}"/>
    <cellStyle name="콤마 [0] 6" xfId="14574" xr:uid="{00000000-0005-0000-0000-00007C3C0000}"/>
    <cellStyle name="콤마 [0] 6 2" xfId="14575" xr:uid="{00000000-0005-0000-0000-00007D3C0000}"/>
    <cellStyle name="콤마 [0] 7" xfId="14576" xr:uid="{00000000-0005-0000-0000-00007E3C0000}"/>
    <cellStyle name="콤마 [0] 7 2" xfId="14577" xr:uid="{00000000-0005-0000-0000-00007F3C0000}"/>
    <cellStyle name="콤마 [0] 8" xfId="14578" xr:uid="{00000000-0005-0000-0000-0000803C0000}"/>
    <cellStyle name="콤마 [0] 8 2" xfId="14579" xr:uid="{00000000-0005-0000-0000-0000813C0000}"/>
    <cellStyle name="콤마 [0] 9" xfId="14580" xr:uid="{00000000-0005-0000-0000-0000823C0000}"/>
    <cellStyle name="콤마 [0] 9 2" xfId="14581" xr:uid="{00000000-0005-0000-0000-0000833C0000}"/>
    <cellStyle name="콤마 [0]_  종  합  " xfId="14582" xr:uid="{00000000-0005-0000-0000-0000843C0000}"/>
    <cellStyle name="콤마 [0]kich" xfId="14583" xr:uid="{00000000-0005-0000-0000-0000853C0000}"/>
    <cellStyle name="콤마 [0]kich1" xfId="14584" xr:uid="{00000000-0005-0000-0000-0000863C0000}"/>
    <cellStyle name="콤마 [0-1]" xfId="14585" xr:uid="{00000000-0005-0000-0000-0000873C0000}"/>
    <cellStyle name="콤마 [0기성]" xfId="14586" xr:uid="{00000000-0005-0000-0000-0000883C0000}"/>
    <cellStyle name="콤마 [2]" xfId="14587" xr:uid="{00000000-0005-0000-0000-0000893C0000}"/>
    <cellStyle name="콤마 [2] 10" xfId="14588" xr:uid="{00000000-0005-0000-0000-00008A3C0000}"/>
    <cellStyle name="콤마 [2] 10 2" xfId="14589" xr:uid="{00000000-0005-0000-0000-00008B3C0000}"/>
    <cellStyle name="콤마 [2] 11" xfId="14590" xr:uid="{00000000-0005-0000-0000-00008C3C0000}"/>
    <cellStyle name="콤마 [2] 11 2" xfId="14591" xr:uid="{00000000-0005-0000-0000-00008D3C0000}"/>
    <cellStyle name="콤마 [2] 12" xfId="14592" xr:uid="{00000000-0005-0000-0000-00008E3C0000}"/>
    <cellStyle name="콤마 [2] 12 2" xfId="14593" xr:uid="{00000000-0005-0000-0000-00008F3C0000}"/>
    <cellStyle name="콤마 [2] 13" xfId="14594" xr:uid="{00000000-0005-0000-0000-0000903C0000}"/>
    <cellStyle name="콤마 [2] 13 2" xfId="14595" xr:uid="{00000000-0005-0000-0000-0000913C0000}"/>
    <cellStyle name="콤마 [2] 14" xfId="14596" xr:uid="{00000000-0005-0000-0000-0000923C0000}"/>
    <cellStyle name="콤마 [2] 14 2" xfId="14597" xr:uid="{00000000-0005-0000-0000-0000933C0000}"/>
    <cellStyle name="콤마 [2] 15" xfId="14598" xr:uid="{00000000-0005-0000-0000-0000943C0000}"/>
    <cellStyle name="콤마 [2] 15 2" xfId="14599" xr:uid="{00000000-0005-0000-0000-0000953C0000}"/>
    <cellStyle name="콤마 [2] 16" xfId="14600" xr:uid="{00000000-0005-0000-0000-0000963C0000}"/>
    <cellStyle name="콤마 [2] 16 2" xfId="14601" xr:uid="{00000000-0005-0000-0000-0000973C0000}"/>
    <cellStyle name="콤마 [2] 17" xfId="14602" xr:uid="{00000000-0005-0000-0000-0000983C0000}"/>
    <cellStyle name="콤마 [2] 17 2" xfId="14603" xr:uid="{00000000-0005-0000-0000-0000993C0000}"/>
    <cellStyle name="콤마 [2] 18" xfId="14604" xr:uid="{00000000-0005-0000-0000-00009A3C0000}"/>
    <cellStyle name="콤마 [2] 18 2" xfId="14605" xr:uid="{00000000-0005-0000-0000-00009B3C0000}"/>
    <cellStyle name="콤마 [2] 19" xfId="14606" xr:uid="{00000000-0005-0000-0000-00009C3C0000}"/>
    <cellStyle name="콤마 [2] 19 2" xfId="14607" xr:uid="{00000000-0005-0000-0000-00009D3C0000}"/>
    <cellStyle name="콤마 [2] 2" xfId="14608" xr:uid="{00000000-0005-0000-0000-00009E3C0000}"/>
    <cellStyle name="콤마 [2] 2 2" xfId="14609" xr:uid="{00000000-0005-0000-0000-00009F3C0000}"/>
    <cellStyle name="콤마 [2] 2 2 2" xfId="14610" xr:uid="{00000000-0005-0000-0000-0000A03C0000}"/>
    <cellStyle name="콤마 [2] 2 3" xfId="14611" xr:uid="{00000000-0005-0000-0000-0000A13C0000}"/>
    <cellStyle name="콤마 [2] 2 4" xfId="16720" xr:uid="{00000000-0005-0000-0000-0000A23C0000}"/>
    <cellStyle name="콤마 [2] 20" xfId="14612" xr:uid="{00000000-0005-0000-0000-0000A33C0000}"/>
    <cellStyle name="콤마 [2] 20 2" xfId="14613" xr:uid="{00000000-0005-0000-0000-0000A43C0000}"/>
    <cellStyle name="콤마 [2] 21" xfId="14614" xr:uid="{00000000-0005-0000-0000-0000A53C0000}"/>
    <cellStyle name="콤마 [2] 21 2" xfId="14615" xr:uid="{00000000-0005-0000-0000-0000A63C0000}"/>
    <cellStyle name="콤마 [2] 22" xfId="14616" xr:uid="{00000000-0005-0000-0000-0000A73C0000}"/>
    <cellStyle name="콤마 [2] 22 2" xfId="14617" xr:uid="{00000000-0005-0000-0000-0000A83C0000}"/>
    <cellStyle name="콤마 [2] 23" xfId="14618" xr:uid="{00000000-0005-0000-0000-0000A93C0000}"/>
    <cellStyle name="콤마 [2] 23 2" xfId="14619" xr:uid="{00000000-0005-0000-0000-0000AA3C0000}"/>
    <cellStyle name="콤마 [2] 24" xfId="14620" xr:uid="{00000000-0005-0000-0000-0000AB3C0000}"/>
    <cellStyle name="콤마 [2] 24 2" xfId="14621" xr:uid="{00000000-0005-0000-0000-0000AC3C0000}"/>
    <cellStyle name="콤마 [2] 25" xfId="14622" xr:uid="{00000000-0005-0000-0000-0000AD3C0000}"/>
    <cellStyle name="콤마 [2] 25 2" xfId="14623" xr:uid="{00000000-0005-0000-0000-0000AE3C0000}"/>
    <cellStyle name="콤마 [2] 26" xfId="14624" xr:uid="{00000000-0005-0000-0000-0000AF3C0000}"/>
    <cellStyle name="콤마 [2] 26 2" xfId="14625" xr:uid="{00000000-0005-0000-0000-0000B03C0000}"/>
    <cellStyle name="콤마 [2] 27" xfId="14626" xr:uid="{00000000-0005-0000-0000-0000B13C0000}"/>
    <cellStyle name="콤마 [2] 27 2" xfId="14627" xr:uid="{00000000-0005-0000-0000-0000B23C0000}"/>
    <cellStyle name="콤마 [2] 28" xfId="14628" xr:uid="{00000000-0005-0000-0000-0000B33C0000}"/>
    <cellStyle name="콤마 [2] 28 2" xfId="14629" xr:uid="{00000000-0005-0000-0000-0000B43C0000}"/>
    <cellStyle name="콤마 [2] 29" xfId="14630" xr:uid="{00000000-0005-0000-0000-0000B53C0000}"/>
    <cellStyle name="콤마 [2] 29 2" xfId="14631" xr:uid="{00000000-0005-0000-0000-0000B63C0000}"/>
    <cellStyle name="콤마 [2] 3" xfId="14632" xr:uid="{00000000-0005-0000-0000-0000B73C0000}"/>
    <cellStyle name="콤마 [2] 3 2" xfId="14633" xr:uid="{00000000-0005-0000-0000-0000B83C0000}"/>
    <cellStyle name="콤마 [2] 30" xfId="14634" xr:uid="{00000000-0005-0000-0000-0000B93C0000}"/>
    <cellStyle name="콤마 [2] 30 2" xfId="14635" xr:uid="{00000000-0005-0000-0000-0000BA3C0000}"/>
    <cellStyle name="콤마 [2] 31" xfId="14636" xr:uid="{00000000-0005-0000-0000-0000BB3C0000}"/>
    <cellStyle name="콤마 [2] 31 2" xfId="14637" xr:uid="{00000000-0005-0000-0000-0000BC3C0000}"/>
    <cellStyle name="콤마 [2] 32" xfId="14638" xr:uid="{00000000-0005-0000-0000-0000BD3C0000}"/>
    <cellStyle name="콤마 [2] 32 2" xfId="14639" xr:uid="{00000000-0005-0000-0000-0000BE3C0000}"/>
    <cellStyle name="콤마 [2] 33" xfId="14640" xr:uid="{00000000-0005-0000-0000-0000BF3C0000}"/>
    <cellStyle name="콤마 [2] 33 2" xfId="14641" xr:uid="{00000000-0005-0000-0000-0000C03C0000}"/>
    <cellStyle name="콤마 [2] 34" xfId="14642" xr:uid="{00000000-0005-0000-0000-0000C13C0000}"/>
    <cellStyle name="콤마 [2] 34 2" xfId="14643" xr:uid="{00000000-0005-0000-0000-0000C23C0000}"/>
    <cellStyle name="콤마 [2] 35" xfId="14644" xr:uid="{00000000-0005-0000-0000-0000C33C0000}"/>
    <cellStyle name="콤마 [2] 35 2" xfId="14645" xr:uid="{00000000-0005-0000-0000-0000C43C0000}"/>
    <cellStyle name="콤마 [2] 36" xfId="14646" xr:uid="{00000000-0005-0000-0000-0000C53C0000}"/>
    <cellStyle name="콤마 [2] 36 2" xfId="14647" xr:uid="{00000000-0005-0000-0000-0000C63C0000}"/>
    <cellStyle name="콤마 [2] 37" xfId="14648" xr:uid="{00000000-0005-0000-0000-0000C73C0000}"/>
    <cellStyle name="콤마 [2] 37 2" xfId="14649" xr:uid="{00000000-0005-0000-0000-0000C83C0000}"/>
    <cellStyle name="콤마 [2] 38" xfId="14650" xr:uid="{00000000-0005-0000-0000-0000C93C0000}"/>
    <cellStyle name="콤마 [2] 38 2" xfId="14651" xr:uid="{00000000-0005-0000-0000-0000CA3C0000}"/>
    <cellStyle name="콤마 [2] 39" xfId="14652" xr:uid="{00000000-0005-0000-0000-0000CB3C0000}"/>
    <cellStyle name="콤마 [2] 39 2" xfId="14653" xr:uid="{00000000-0005-0000-0000-0000CC3C0000}"/>
    <cellStyle name="콤마 [2] 4" xfId="14654" xr:uid="{00000000-0005-0000-0000-0000CD3C0000}"/>
    <cellStyle name="콤마 [2] 4 2" xfId="14655" xr:uid="{00000000-0005-0000-0000-0000CE3C0000}"/>
    <cellStyle name="콤마 [2] 40" xfId="14656" xr:uid="{00000000-0005-0000-0000-0000CF3C0000}"/>
    <cellStyle name="콤마 [2] 40 2" xfId="14657" xr:uid="{00000000-0005-0000-0000-0000D03C0000}"/>
    <cellStyle name="콤마 [2] 41" xfId="14658" xr:uid="{00000000-0005-0000-0000-0000D13C0000}"/>
    <cellStyle name="콤마 [2] 41 2" xfId="14659" xr:uid="{00000000-0005-0000-0000-0000D23C0000}"/>
    <cellStyle name="콤마 [2] 42" xfId="14660" xr:uid="{00000000-0005-0000-0000-0000D33C0000}"/>
    <cellStyle name="콤마 [2] 42 2" xfId="14661" xr:uid="{00000000-0005-0000-0000-0000D43C0000}"/>
    <cellStyle name="콤마 [2] 43" xfId="14662" xr:uid="{00000000-0005-0000-0000-0000D53C0000}"/>
    <cellStyle name="콤마 [2] 43 2" xfId="14663" xr:uid="{00000000-0005-0000-0000-0000D63C0000}"/>
    <cellStyle name="콤마 [2] 44" xfId="14664" xr:uid="{00000000-0005-0000-0000-0000D73C0000}"/>
    <cellStyle name="콤마 [2] 45" xfId="14665" xr:uid="{00000000-0005-0000-0000-0000D83C0000}"/>
    <cellStyle name="콤마 [2] 46" xfId="16719" xr:uid="{00000000-0005-0000-0000-0000D93C0000}"/>
    <cellStyle name="콤마 [2] 5" xfId="14666" xr:uid="{00000000-0005-0000-0000-0000DA3C0000}"/>
    <cellStyle name="콤마 [2] 5 2" xfId="14667" xr:uid="{00000000-0005-0000-0000-0000DB3C0000}"/>
    <cellStyle name="콤마 [2] 6" xfId="14668" xr:uid="{00000000-0005-0000-0000-0000DC3C0000}"/>
    <cellStyle name="콤마 [2] 6 2" xfId="14669" xr:uid="{00000000-0005-0000-0000-0000DD3C0000}"/>
    <cellStyle name="콤마 [2] 7" xfId="14670" xr:uid="{00000000-0005-0000-0000-0000DE3C0000}"/>
    <cellStyle name="콤마 [2] 7 2" xfId="14671" xr:uid="{00000000-0005-0000-0000-0000DF3C0000}"/>
    <cellStyle name="콤마 [2] 8" xfId="14672" xr:uid="{00000000-0005-0000-0000-0000E03C0000}"/>
    <cellStyle name="콤마 [2] 8 2" xfId="14673" xr:uid="{00000000-0005-0000-0000-0000E13C0000}"/>
    <cellStyle name="콤마 [2] 9" xfId="14674" xr:uid="{00000000-0005-0000-0000-0000E23C0000}"/>
    <cellStyle name="콤마 [2] 9 2" xfId="14675" xr:uid="{00000000-0005-0000-0000-0000E33C0000}"/>
    <cellStyle name="콤마 [2]_1부여부지 콘도미니엄 신축공사 AV설비 견적서_20100121" xfId="14676" xr:uid="{00000000-0005-0000-0000-0000E43C0000}"/>
    <cellStyle name="콤마 [금액]" xfId="14677" xr:uid="{00000000-0005-0000-0000-0000E53C0000}"/>
    <cellStyle name="콤마 [금액] 2" xfId="16721" xr:uid="{00000000-0005-0000-0000-0000E63C0000}"/>
    <cellStyle name="콤마 [소수]" xfId="14678" xr:uid="{00000000-0005-0000-0000-0000E73C0000}"/>
    <cellStyle name="콤마 [소수] 2" xfId="16722" xr:uid="{00000000-0005-0000-0000-0000E83C0000}"/>
    <cellStyle name="콤마 [수량]" xfId="14679" xr:uid="{00000000-0005-0000-0000-0000E93C0000}"/>
    <cellStyle name="콤마 [수량] 2" xfId="16723" xr:uid="{00000000-0005-0000-0000-0000EA3C0000}"/>
    <cellStyle name="콤마(BLANK1)" xfId="14680" xr:uid="{00000000-0005-0000-0000-0000EB3C0000}"/>
    <cellStyle name="콤마(BLANK1) 2" xfId="14681" xr:uid="{00000000-0005-0000-0000-0000EC3C0000}"/>
    <cellStyle name="콤마(BLANK1) 2 2" xfId="14682" xr:uid="{00000000-0005-0000-0000-0000ED3C0000}"/>
    <cellStyle name="콤마(BLANK1) 2 3" xfId="14683" xr:uid="{00000000-0005-0000-0000-0000EE3C0000}"/>
    <cellStyle name="콤마(BLANK1) 2 4" xfId="14684" xr:uid="{00000000-0005-0000-0000-0000EF3C0000}"/>
    <cellStyle name="콤마(BLANK1) 2 5" xfId="14685" xr:uid="{00000000-0005-0000-0000-0000F03C0000}"/>
    <cellStyle name="콤마(BLANK1-0)" xfId="14686" xr:uid="{00000000-0005-0000-0000-0000F13C0000}"/>
    <cellStyle name="콤마(BLANK1-1)" xfId="14687" xr:uid="{00000000-0005-0000-0000-0000F23C0000}"/>
    <cellStyle name="콤마(BLANK1-2)" xfId="14688" xr:uid="{00000000-0005-0000-0000-0000F33C0000}"/>
    <cellStyle name="콤마(zero)" xfId="14689" xr:uid="{00000000-0005-0000-0000-0000F43C0000}"/>
    <cellStyle name="콤마[ ]" xfId="14690" xr:uid="{00000000-0005-0000-0000-0000F53C0000}"/>
    <cellStyle name="콤마[ ] 2" xfId="14691" xr:uid="{00000000-0005-0000-0000-0000F63C0000}"/>
    <cellStyle name="콤마[ ] 3" xfId="16724" xr:uid="{00000000-0005-0000-0000-0000F73C0000}"/>
    <cellStyle name="콤마[*]" xfId="14692" xr:uid="{00000000-0005-0000-0000-0000F83C0000}"/>
    <cellStyle name="콤마[*] 2" xfId="14693" xr:uid="{00000000-0005-0000-0000-0000F93C0000}"/>
    <cellStyle name="콤마[.]" xfId="14694" xr:uid="{00000000-0005-0000-0000-0000FA3C0000}"/>
    <cellStyle name="콤마[.] 2" xfId="14695" xr:uid="{00000000-0005-0000-0000-0000FB3C0000}"/>
    <cellStyle name="콤마[.] 3" xfId="16725" xr:uid="{00000000-0005-0000-0000-0000FC3C0000}"/>
    <cellStyle name="콤마[0]" xfId="14696" xr:uid="{00000000-0005-0000-0000-0000FD3C0000}"/>
    <cellStyle name="콤마[0] 10" xfId="14697" xr:uid="{00000000-0005-0000-0000-0000FE3C0000}"/>
    <cellStyle name="콤마[0] 10 2" xfId="14698" xr:uid="{00000000-0005-0000-0000-0000FF3C0000}"/>
    <cellStyle name="콤마[0] 11" xfId="14699" xr:uid="{00000000-0005-0000-0000-0000003D0000}"/>
    <cellStyle name="콤마[0] 11 2" xfId="14700" xr:uid="{00000000-0005-0000-0000-0000013D0000}"/>
    <cellStyle name="콤마[0] 12" xfId="14701" xr:uid="{00000000-0005-0000-0000-0000023D0000}"/>
    <cellStyle name="콤마[0] 12 2" xfId="14702" xr:uid="{00000000-0005-0000-0000-0000033D0000}"/>
    <cellStyle name="콤마[0] 13" xfId="14703" xr:uid="{00000000-0005-0000-0000-0000043D0000}"/>
    <cellStyle name="콤마[0] 13 2" xfId="14704" xr:uid="{00000000-0005-0000-0000-0000053D0000}"/>
    <cellStyle name="콤마[0] 14" xfId="14705" xr:uid="{00000000-0005-0000-0000-0000063D0000}"/>
    <cellStyle name="콤마[0] 15" xfId="14706" xr:uid="{00000000-0005-0000-0000-0000073D0000}"/>
    <cellStyle name="콤마[0] 16" xfId="16726" xr:uid="{00000000-0005-0000-0000-0000083D0000}"/>
    <cellStyle name="콤마[0] 2" xfId="14707" xr:uid="{00000000-0005-0000-0000-0000093D0000}"/>
    <cellStyle name="콤마[0] 2 2" xfId="14708" xr:uid="{00000000-0005-0000-0000-00000A3D0000}"/>
    <cellStyle name="콤마[0] 2 2 2" xfId="14709" xr:uid="{00000000-0005-0000-0000-00000B3D0000}"/>
    <cellStyle name="콤마[0] 2 3" xfId="14710" xr:uid="{00000000-0005-0000-0000-00000C3D0000}"/>
    <cellStyle name="콤마[0] 2 4" xfId="16727" xr:uid="{00000000-0005-0000-0000-00000D3D0000}"/>
    <cellStyle name="콤마[0] 3" xfId="14711" xr:uid="{00000000-0005-0000-0000-00000E3D0000}"/>
    <cellStyle name="콤마[0] 3 2" xfId="14712" xr:uid="{00000000-0005-0000-0000-00000F3D0000}"/>
    <cellStyle name="콤마[0] 3 3" xfId="16728" xr:uid="{00000000-0005-0000-0000-0000103D0000}"/>
    <cellStyle name="콤마[0] 4" xfId="14713" xr:uid="{00000000-0005-0000-0000-0000113D0000}"/>
    <cellStyle name="콤마[0] 4 2" xfId="14714" xr:uid="{00000000-0005-0000-0000-0000123D0000}"/>
    <cellStyle name="콤마[0] 4 3" xfId="16729" xr:uid="{00000000-0005-0000-0000-0000133D0000}"/>
    <cellStyle name="콤마[0] 5" xfId="14715" xr:uid="{00000000-0005-0000-0000-0000143D0000}"/>
    <cellStyle name="콤마[0] 5 2" xfId="14716" xr:uid="{00000000-0005-0000-0000-0000153D0000}"/>
    <cellStyle name="콤마[0] 6" xfId="14717" xr:uid="{00000000-0005-0000-0000-0000163D0000}"/>
    <cellStyle name="콤마[0] 6 2" xfId="14718" xr:uid="{00000000-0005-0000-0000-0000173D0000}"/>
    <cellStyle name="콤마[0] 7" xfId="14719" xr:uid="{00000000-0005-0000-0000-0000183D0000}"/>
    <cellStyle name="콤마[0] 7 2" xfId="14720" xr:uid="{00000000-0005-0000-0000-0000193D0000}"/>
    <cellStyle name="콤마[0] 8" xfId="14721" xr:uid="{00000000-0005-0000-0000-00001A3D0000}"/>
    <cellStyle name="콤마[0] 8 2" xfId="14722" xr:uid="{00000000-0005-0000-0000-00001B3D0000}"/>
    <cellStyle name="콤마[0] 9" xfId="14723" xr:uid="{00000000-0005-0000-0000-00001C3D0000}"/>
    <cellStyle name="콤마[0] 9 2" xfId="14724" xr:uid="{00000000-0005-0000-0000-00001D3D0000}"/>
    <cellStyle name="콤마_  종  합  " xfId="14725" xr:uid="{00000000-0005-0000-0000-00001E3D0000}"/>
    <cellStyle name="콤마宛 " xfId="16730" xr:uid="{00000000-0005-0000-0000-00001F3D0000}"/>
    <cellStyle name="콤마桓?琉?업종별 " xfId="16731" xr:uid="{00000000-0005-0000-0000-0000203D0000}"/>
    <cellStyle name="콤마쇔[0]_대총괄표 " xfId="16732" xr:uid="{00000000-0005-0000-0000-0000213D0000}"/>
    <cellStyle name="콤막 [0]_수출실적 _양식98" xfId="16733" xr:uid="{00000000-0005-0000-0000-0000223D0000}"/>
    <cellStyle name="통" xfId="16734" xr:uid="{00000000-0005-0000-0000-0000233D0000}"/>
    <cellStyle name="통화 [" xfId="14726" xr:uid="{00000000-0005-0000-0000-0000243D0000}"/>
    <cellStyle name="통화 [ 2" xfId="16735" xr:uid="{00000000-0005-0000-0000-0000253D0000}"/>
    <cellStyle name="通貨 [0.00]_laroux" xfId="14727" xr:uid="{00000000-0005-0000-0000-0000263D0000}"/>
    <cellStyle name="통화 [0]" xfId="17002" builtinId="7"/>
    <cellStyle name="통화 [0] 2" xfId="14728" xr:uid="{00000000-0005-0000-0000-0000283D0000}"/>
    <cellStyle name="통화 [0] 2 2" xfId="14729" xr:uid="{00000000-0005-0000-0000-0000293D0000}"/>
    <cellStyle name="통화 [0] 2 2 2" xfId="14730" xr:uid="{00000000-0005-0000-0000-00002A3D0000}"/>
    <cellStyle name="통화 [0] 2 2 2 2" xfId="16831" xr:uid="{00000000-0005-0000-0000-00002B3D0000}"/>
    <cellStyle name="통화 [0] 2 2 3" xfId="14731" xr:uid="{00000000-0005-0000-0000-00002C3D0000}"/>
    <cellStyle name="통화 [0] 2 2 4" xfId="16737" xr:uid="{00000000-0005-0000-0000-00002D3D0000}"/>
    <cellStyle name="통화 [0] 2 2 5" xfId="16934" xr:uid="{00000000-0005-0000-0000-00002E3D0000}"/>
    <cellStyle name="통화 [0] 2 3" xfId="14732" xr:uid="{00000000-0005-0000-0000-00002F3D0000}"/>
    <cellStyle name="통화 [0] 2 3 2" xfId="14733" xr:uid="{00000000-0005-0000-0000-0000303D0000}"/>
    <cellStyle name="통화 [0] 2 3 2 2" xfId="16739" xr:uid="{00000000-0005-0000-0000-0000313D0000}"/>
    <cellStyle name="통화 [0] 2 3 3" xfId="16738" xr:uid="{00000000-0005-0000-0000-0000323D0000}"/>
    <cellStyle name="통화 [0] 2 4" xfId="14734" xr:uid="{00000000-0005-0000-0000-0000333D0000}"/>
    <cellStyle name="통화 [0] 2 4 2" xfId="16740" xr:uid="{00000000-0005-0000-0000-0000343D0000}"/>
    <cellStyle name="통화 [0] 2 5" xfId="16815" xr:uid="{00000000-0005-0000-0000-0000353D0000}"/>
    <cellStyle name="통화 [0] 2 6" xfId="16736" xr:uid="{00000000-0005-0000-0000-0000363D0000}"/>
    <cellStyle name="통화 [0] 3" xfId="14735" xr:uid="{00000000-0005-0000-0000-0000373D0000}"/>
    <cellStyle name="통화 [0] 3 2" xfId="14736" xr:uid="{00000000-0005-0000-0000-0000383D0000}"/>
    <cellStyle name="통화 [0] 3 2 2" xfId="16836" xr:uid="{00000000-0005-0000-0000-0000393D0000}"/>
    <cellStyle name="통화 [0] 3 3" xfId="14737" xr:uid="{00000000-0005-0000-0000-00003A3D0000}"/>
    <cellStyle name="통화 [0] 3 3 2" xfId="16816" xr:uid="{00000000-0005-0000-0000-00003B3D0000}"/>
    <cellStyle name="통화 [0] 3 4" xfId="16741" xr:uid="{00000000-0005-0000-0000-00003C3D0000}"/>
    <cellStyle name="통화 [0] 4" xfId="16817" xr:uid="{00000000-0005-0000-0000-00003D3D0000}"/>
    <cellStyle name="통화 [0] 4 2" xfId="16832" xr:uid="{00000000-0005-0000-0000-00003E3D0000}"/>
    <cellStyle name="통화 [0] 5" xfId="16818" xr:uid="{00000000-0005-0000-0000-00003F3D0000}"/>
    <cellStyle name="통화 [0] 5 2" xfId="16834" xr:uid="{00000000-0005-0000-0000-0000403D0000}"/>
    <cellStyle name="통화 [0] 5 3" xfId="16833" xr:uid="{00000000-0005-0000-0000-0000413D0000}"/>
    <cellStyle name="통화 [0] 7" xfId="14738" xr:uid="{00000000-0005-0000-0000-0000423D0000}"/>
    <cellStyle name="통화 [0㉝〸" xfId="14739" xr:uid="{00000000-0005-0000-0000-0000433D0000}"/>
    <cellStyle name="通貨_laroux" xfId="14740" xr:uid="{00000000-0005-0000-0000-0000443D0000}"/>
    <cellStyle name="퍼센트" xfId="14741" xr:uid="{00000000-0005-0000-0000-0000453D0000}"/>
    <cellStyle name="퍼센트 2" xfId="14742" xr:uid="{00000000-0005-0000-0000-0000463D0000}"/>
    <cellStyle name="퍼센트 2 2" xfId="14743" xr:uid="{00000000-0005-0000-0000-0000473D0000}"/>
    <cellStyle name="퍼센트 2 2 2" xfId="14744" xr:uid="{00000000-0005-0000-0000-0000483D0000}"/>
    <cellStyle name="퍼센트 2 2 3" xfId="16744" xr:uid="{00000000-0005-0000-0000-0000493D0000}"/>
    <cellStyle name="퍼센트 2 3" xfId="14745" xr:uid="{00000000-0005-0000-0000-00004A3D0000}"/>
    <cellStyle name="퍼센트 2 4" xfId="16743" xr:uid="{00000000-0005-0000-0000-00004B3D0000}"/>
    <cellStyle name="퍼센트 3" xfId="14746" xr:uid="{00000000-0005-0000-0000-00004C3D0000}"/>
    <cellStyle name="퍼센트 3 2" xfId="14747" xr:uid="{00000000-0005-0000-0000-00004D3D0000}"/>
    <cellStyle name="퍼센트 3 3" xfId="16745" xr:uid="{00000000-0005-0000-0000-00004E3D0000}"/>
    <cellStyle name="퍼센트 4" xfId="14748" xr:uid="{00000000-0005-0000-0000-00004F3D0000}"/>
    <cellStyle name="퍼센트 4 2" xfId="14749" xr:uid="{00000000-0005-0000-0000-0000503D0000}"/>
    <cellStyle name="퍼센트 4 3" xfId="16746" xr:uid="{00000000-0005-0000-0000-0000513D0000}"/>
    <cellStyle name="퍼센트 5" xfId="14750" xr:uid="{00000000-0005-0000-0000-0000523D0000}"/>
    <cellStyle name="퍼센트 6" xfId="14751" xr:uid="{00000000-0005-0000-0000-0000533D0000}"/>
    <cellStyle name="퍼센트 7" xfId="14752" xr:uid="{00000000-0005-0000-0000-0000543D0000}"/>
    <cellStyle name="퍼센트 8" xfId="16742" xr:uid="{00000000-0005-0000-0000-0000553D0000}"/>
    <cellStyle name="퍼센트_태양광견적서(부안고)" xfId="16747" xr:uid="{00000000-0005-0000-0000-0000563D0000}"/>
    <cellStyle name="표" xfId="16748" xr:uid="{00000000-0005-0000-0000-0000573D0000}"/>
    <cellStyle name="표(가는선,가운데,중앙)" xfId="14753" xr:uid="{00000000-0005-0000-0000-0000583D0000}"/>
    <cellStyle name="표(가는선,가운데,중앙) 2" xfId="14754" xr:uid="{00000000-0005-0000-0000-0000593D0000}"/>
    <cellStyle name="표(가는선,가운데,중앙) 3" xfId="16749" xr:uid="{00000000-0005-0000-0000-00005A3D0000}"/>
    <cellStyle name="표(가는선,왼쪽,중앙)" xfId="14755" xr:uid="{00000000-0005-0000-0000-00005B3D0000}"/>
    <cellStyle name="표(가는선,왼쪽,중앙) 2" xfId="14756" xr:uid="{00000000-0005-0000-0000-00005C3D0000}"/>
    <cellStyle name="표(가는선,왼쪽,중앙) 3" xfId="16750" xr:uid="{00000000-0005-0000-0000-00005D3D0000}"/>
    <cellStyle name="표(세로쓰기)" xfId="14757" xr:uid="{00000000-0005-0000-0000-00005E3D0000}"/>
    <cellStyle name="표(세로쓰기) 2" xfId="14758" xr:uid="{00000000-0005-0000-0000-00005F3D0000}"/>
    <cellStyle name="표(세로쓰기) 3" xfId="16751" xr:uid="{00000000-0005-0000-0000-0000603D0000}"/>
    <cellStyle name="표머릿글(上)" xfId="14759" xr:uid="{00000000-0005-0000-0000-0000613D0000}"/>
    <cellStyle name="표머릿글(上) 2" xfId="14760" xr:uid="{00000000-0005-0000-0000-0000623D0000}"/>
    <cellStyle name="표머릿글(上) 2 2" xfId="14761" xr:uid="{00000000-0005-0000-0000-0000633D0000}"/>
    <cellStyle name="표머릿글(上) 2 2 2" xfId="14762" xr:uid="{00000000-0005-0000-0000-0000643D0000}"/>
    <cellStyle name="표머릿글(上) 2 2 3" xfId="14763" xr:uid="{00000000-0005-0000-0000-0000653D0000}"/>
    <cellStyle name="표머릿글(上) 2 2 4" xfId="14764" xr:uid="{00000000-0005-0000-0000-0000663D0000}"/>
    <cellStyle name="표머릿글(上) 2 2 5" xfId="14765" xr:uid="{00000000-0005-0000-0000-0000673D0000}"/>
    <cellStyle name="표머릿글(上) 3" xfId="14766" xr:uid="{00000000-0005-0000-0000-0000683D0000}"/>
    <cellStyle name="표머릿글(上) 3 2" xfId="14767" xr:uid="{00000000-0005-0000-0000-0000693D0000}"/>
    <cellStyle name="표머릿글(上) 3 3" xfId="14768" xr:uid="{00000000-0005-0000-0000-00006A3D0000}"/>
    <cellStyle name="표머릿글(上) 3 4" xfId="14769" xr:uid="{00000000-0005-0000-0000-00006B3D0000}"/>
    <cellStyle name="표머릿글(上) 3 5" xfId="14770" xr:uid="{00000000-0005-0000-0000-00006C3D0000}"/>
    <cellStyle name="표머릿글(中)" xfId="14771" xr:uid="{00000000-0005-0000-0000-00006D3D0000}"/>
    <cellStyle name="표머릿글(中) 2" xfId="14772" xr:uid="{00000000-0005-0000-0000-00006E3D0000}"/>
    <cellStyle name="표머릿글(下)" xfId="14773" xr:uid="{00000000-0005-0000-0000-00006F3D0000}"/>
    <cellStyle name="표머릿글(下) 2" xfId="14774" xr:uid="{00000000-0005-0000-0000-0000703D0000}"/>
    <cellStyle name="表示済みのハイパーリンク" xfId="16752" xr:uid="{00000000-0005-0000-0000-0000713D0000}"/>
    <cellStyle name="표준" xfId="0" builtinId="0"/>
    <cellStyle name="표준 - Styl1" xfId="14775" xr:uid="{00000000-0005-0000-0000-0000733D0000}"/>
    <cellStyle name="표준 - Styl1 2" xfId="14776" xr:uid="{00000000-0005-0000-0000-0000743D0000}"/>
    <cellStyle name="표준 - Styl2" xfId="14777" xr:uid="{00000000-0005-0000-0000-0000753D0000}"/>
    <cellStyle name="표준 - Styl2 2" xfId="14778" xr:uid="{00000000-0005-0000-0000-0000763D0000}"/>
    <cellStyle name="표준 - Styl3" xfId="14779" xr:uid="{00000000-0005-0000-0000-0000773D0000}"/>
    <cellStyle name="표준 - Styl3 2" xfId="14780" xr:uid="{00000000-0005-0000-0000-0000783D0000}"/>
    <cellStyle name="표준 - Styl4" xfId="14781" xr:uid="{00000000-0005-0000-0000-0000793D0000}"/>
    <cellStyle name="표준 - Styl4 2" xfId="14782" xr:uid="{00000000-0005-0000-0000-00007A3D0000}"/>
    <cellStyle name="표준 - Styl5" xfId="14783" xr:uid="{00000000-0005-0000-0000-00007B3D0000}"/>
    <cellStyle name="표준 - Styl5 2" xfId="14784" xr:uid="{00000000-0005-0000-0000-00007C3D0000}"/>
    <cellStyle name="표준 - Styl6" xfId="14785" xr:uid="{00000000-0005-0000-0000-00007D3D0000}"/>
    <cellStyle name="표준 - Styl6 2" xfId="14786" xr:uid="{00000000-0005-0000-0000-00007E3D0000}"/>
    <cellStyle name="표준 - Styl7" xfId="14787" xr:uid="{00000000-0005-0000-0000-00007F3D0000}"/>
    <cellStyle name="표준 - Styl7 2" xfId="14788" xr:uid="{00000000-0005-0000-0000-0000803D0000}"/>
    <cellStyle name="표준 - Styl8" xfId="14789" xr:uid="{00000000-0005-0000-0000-0000813D0000}"/>
    <cellStyle name="표준 - Styl8 2" xfId="14790" xr:uid="{00000000-0005-0000-0000-0000823D0000}"/>
    <cellStyle name="표준 10" xfId="14791" xr:uid="{00000000-0005-0000-0000-0000833D0000}"/>
    <cellStyle name="표준 10 2" xfId="14792" xr:uid="{00000000-0005-0000-0000-0000843D0000}"/>
    <cellStyle name="표준 10 2 2" xfId="16803" xr:uid="{00000000-0005-0000-0000-0000853D0000}"/>
    <cellStyle name="표준 10 3" xfId="14793" xr:uid="{00000000-0005-0000-0000-0000863D0000}"/>
    <cellStyle name="표준 10 4" xfId="14794" xr:uid="{00000000-0005-0000-0000-0000873D0000}"/>
    <cellStyle name="표준 10 5" xfId="15951" xr:uid="{00000000-0005-0000-0000-0000883D0000}"/>
    <cellStyle name="표준 11" xfId="14795" xr:uid="{00000000-0005-0000-0000-0000893D0000}"/>
    <cellStyle name="표준 11 2" xfId="14796" xr:uid="{00000000-0005-0000-0000-00008A3D0000}"/>
    <cellStyle name="표준 11 2 2" xfId="16802" xr:uid="{00000000-0005-0000-0000-00008B3D0000}"/>
    <cellStyle name="표준 11 3" xfId="14797" xr:uid="{00000000-0005-0000-0000-00008C3D0000}"/>
    <cellStyle name="표준 11 4" xfId="14798" xr:uid="{00000000-0005-0000-0000-00008D3D0000}"/>
    <cellStyle name="표준 12" xfId="14799" xr:uid="{00000000-0005-0000-0000-00008E3D0000}"/>
    <cellStyle name="표준 12 2" xfId="14800" xr:uid="{00000000-0005-0000-0000-00008F3D0000}"/>
    <cellStyle name="표준 12 3" xfId="14801" xr:uid="{00000000-0005-0000-0000-0000903D0000}"/>
    <cellStyle name="표준 12 4" xfId="14802" xr:uid="{00000000-0005-0000-0000-0000913D0000}"/>
    <cellStyle name="표준 12 5" xfId="16753" xr:uid="{00000000-0005-0000-0000-0000923D0000}"/>
    <cellStyle name="표준 12 6" xfId="16933" xr:uid="{00000000-0005-0000-0000-0000933D0000}"/>
    <cellStyle name="표준 13" xfId="14803" xr:uid="{00000000-0005-0000-0000-0000943D0000}"/>
    <cellStyle name="표준 13 2" xfId="14804" xr:uid="{00000000-0005-0000-0000-0000953D0000}"/>
    <cellStyle name="표준 13 2 2" xfId="16859" xr:uid="{00000000-0005-0000-0000-0000963D0000}"/>
    <cellStyle name="표준 13 2 2 2" xfId="16895" xr:uid="{00000000-0005-0000-0000-0000973D0000}"/>
    <cellStyle name="표준 13 2 3" xfId="16877" xr:uid="{00000000-0005-0000-0000-0000983D0000}"/>
    <cellStyle name="표준 13 2 4" xfId="16841" xr:uid="{00000000-0005-0000-0000-0000993D0000}"/>
    <cellStyle name="표준 13 3" xfId="14805" xr:uid="{00000000-0005-0000-0000-00009A3D0000}"/>
    <cellStyle name="표준 13 3 2" xfId="16865" xr:uid="{00000000-0005-0000-0000-00009B3D0000}"/>
    <cellStyle name="표준 13 3 2 2" xfId="16901" xr:uid="{00000000-0005-0000-0000-00009C3D0000}"/>
    <cellStyle name="표준 13 3 3" xfId="16883" xr:uid="{00000000-0005-0000-0000-00009D3D0000}"/>
    <cellStyle name="표준 13 3 4" xfId="16847" xr:uid="{00000000-0005-0000-0000-00009E3D0000}"/>
    <cellStyle name="표준 13 4" xfId="14806" xr:uid="{00000000-0005-0000-0000-00009F3D0000}"/>
    <cellStyle name="표준 13 4 2" xfId="16889" xr:uid="{00000000-0005-0000-0000-0000A03D0000}"/>
    <cellStyle name="표준 13 4 3" xfId="16853" xr:uid="{00000000-0005-0000-0000-0000A13D0000}"/>
    <cellStyle name="표준 13 5" xfId="16871" xr:uid="{00000000-0005-0000-0000-0000A23D0000}"/>
    <cellStyle name="표준 13 6" xfId="16754" xr:uid="{00000000-0005-0000-0000-0000A33D0000}"/>
    <cellStyle name="표준 13 7" xfId="16932" xr:uid="{00000000-0005-0000-0000-0000A43D0000}"/>
    <cellStyle name="표준 14" xfId="14807" xr:uid="{00000000-0005-0000-0000-0000A53D0000}"/>
    <cellStyle name="표준 14 2" xfId="14808" xr:uid="{00000000-0005-0000-0000-0000A63D0000}"/>
    <cellStyle name="표준 14 2 2" xfId="16804" xr:uid="{00000000-0005-0000-0000-0000A73D0000}"/>
    <cellStyle name="표준 14 3" xfId="14809" xr:uid="{00000000-0005-0000-0000-0000A83D0000}"/>
    <cellStyle name="표준 14 3 2" xfId="16856" xr:uid="{00000000-0005-0000-0000-0000A93D0000}"/>
    <cellStyle name="표준 14 3 2 2" xfId="16892" xr:uid="{00000000-0005-0000-0000-0000AA3D0000}"/>
    <cellStyle name="표준 14 3 3" xfId="16874" xr:uid="{00000000-0005-0000-0000-0000AB3D0000}"/>
    <cellStyle name="표준 14 3 4" xfId="16838" xr:uid="{00000000-0005-0000-0000-0000AC3D0000}"/>
    <cellStyle name="표준 14 4" xfId="14810" xr:uid="{00000000-0005-0000-0000-0000AD3D0000}"/>
    <cellStyle name="표준 14 4 2" xfId="16862" xr:uid="{00000000-0005-0000-0000-0000AE3D0000}"/>
    <cellStyle name="표준 14 4 2 2" xfId="16898" xr:uid="{00000000-0005-0000-0000-0000AF3D0000}"/>
    <cellStyle name="표준 14 4 3" xfId="16880" xr:uid="{00000000-0005-0000-0000-0000B03D0000}"/>
    <cellStyle name="표준 14 4 4" xfId="16844" xr:uid="{00000000-0005-0000-0000-0000B13D0000}"/>
    <cellStyle name="표준 14 5" xfId="16850" xr:uid="{00000000-0005-0000-0000-0000B23D0000}"/>
    <cellStyle name="표준 14 5 2" xfId="16886" xr:uid="{00000000-0005-0000-0000-0000B33D0000}"/>
    <cellStyle name="표준 14 6" xfId="16868" xr:uid="{00000000-0005-0000-0000-0000B43D0000}"/>
    <cellStyle name="표준 14 7" xfId="16001" xr:uid="{00000000-0005-0000-0000-0000B53D0000}"/>
    <cellStyle name="표준 14 8" xfId="16931" xr:uid="{00000000-0005-0000-0000-0000B63D0000}"/>
    <cellStyle name="표준 15" xfId="14811" xr:uid="{00000000-0005-0000-0000-0000B73D0000}"/>
    <cellStyle name="표준 15 2" xfId="14812" xr:uid="{00000000-0005-0000-0000-0000B83D0000}"/>
    <cellStyle name="표준 15 2 2" xfId="16855" xr:uid="{00000000-0005-0000-0000-0000B93D0000}"/>
    <cellStyle name="표준 15 2 2 2" xfId="16891" xr:uid="{00000000-0005-0000-0000-0000BA3D0000}"/>
    <cellStyle name="표준 15 2 3" xfId="16873" xr:uid="{00000000-0005-0000-0000-0000BB3D0000}"/>
    <cellStyle name="표준 15 2 4" xfId="16837" xr:uid="{00000000-0005-0000-0000-0000BC3D0000}"/>
    <cellStyle name="표준 15 3" xfId="14813" xr:uid="{00000000-0005-0000-0000-0000BD3D0000}"/>
    <cellStyle name="표준 15 3 2" xfId="16861" xr:uid="{00000000-0005-0000-0000-0000BE3D0000}"/>
    <cellStyle name="표준 15 3 2 2" xfId="16897" xr:uid="{00000000-0005-0000-0000-0000BF3D0000}"/>
    <cellStyle name="표준 15 3 3" xfId="16879" xr:uid="{00000000-0005-0000-0000-0000C03D0000}"/>
    <cellStyle name="표준 15 3 4" xfId="16843" xr:uid="{00000000-0005-0000-0000-0000C13D0000}"/>
    <cellStyle name="표준 15 4" xfId="14814" xr:uid="{00000000-0005-0000-0000-0000C23D0000}"/>
    <cellStyle name="표준 15 4 2" xfId="16885" xr:uid="{00000000-0005-0000-0000-0000C33D0000}"/>
    <cellStyle name="표준 15 4 3" xfId="16849" xr:uid="{00000000-0005-0000-0000-0000C43D0000}"/>
    <cellStyle name="표준 15 5" xfId="16867" xr:uid="{00000000-0005-0000-0000-0000C53D0000}"/>
    <cellStyle name="표준 15 6" xfId="16000" xr:uid="{00000000-0005-0000-0000-0000C63D0000}"/>
    <cellStyle name="표준 15 7" xfId="16930" xr:uid="{00000000-0005-0000-0000-0000C73D0000}"/>
    <cellStyle name="표준 16" xfId="14815" xr:uid="{00000000-0005-0000-0000-0000C83D0000}"/>
    <cellStyle name="표준 16 2" xfId="14816" xr:uid="{00000000-0005-0000-0000-0000C93D0000}"/>
    <cellStyle name="표준 16 3" xfId="14817" xr:uid="{00000000-0005-0000-0000-0000CA3D0000}"/>
    <cellStyle name="표준 16 4" xfId="14818" xr:uid="{00000000-0005-0000-0000-0000CB3D0000}"/>
    <cellStyle name="표준 17" xfId="14819" xr:uid="{00000000-0005-0000-0000-0000CC3D0000}"/>
    <cellStyle name="표준 17 2" xfId="14820" xr:uid="{00000000-0005-0000-0000-0000CD3D0000}"/>
    <cellStyle name="표준 17 3" xfId="14821" xr:uid="{00000000-0005-0000-0000-0000CE3D0000}"/>
    <cellStyle name="표준 17 4" xfId="14822" xr:uid="{00000000-0005-0000-0000-0000CF3D0000}"/>
    <cellStyle name="표준 173 2" xfId="14823" xr:uid="{00000000-0005-0000-0000-0000D03D0000}"/>
    <cellStyle name="표준 179" xfId="16819" xr:uid="{00000000-0005-0000-0000-0000D13D0000}"/>
    <cellStyle name="표준 18" xfId="14824" xr:uid="{00000000-0005-0000-0000-0000D23D0000}"/>
    <cellStyle name="표준 18 2" xfId="14825" xr:uid="{00000000-0005-0000-0000-0000D33D0000}"/>
    <cellStyle name="표준 18 3" xfId="14826" xr:uid="{00000000-0005-0000-0000-0000D43D0000}"/>
    <cellStyle name="표준 18 4" xfId="14827" xr:uid="{00000000-0005-0000-0000-0000D53D0000}"/>
    <cellStyle name="표준 186" xfId="14828" xr:uid="{00000000-0005-0000-0000-0000D63D0000}"/>
    <cellStyle name="표준 19" xfId="14829" xr:uid="{00000000-0005-0000-0000-0000D73D0000}"/>
    <cellStyle name="표준 19 2" xfId="14830" xr:uid="{00000000-0005-0000-0000-0000D83D0000}"/>
    <cellStyle name="표준 19 3" xfId="14831" xr:uid="{00000000-0005-0000-0000-0000D93D0000}"/>
    <cellStyle name="표준 2" xfId="14832" xr:uid="{00000000-0005-0000-0000-0000DA3D0000}"/>
    <cellStyle name="표준 2 10" xfId="14833" xr:uid="{00000000-0005-0000-0000-0000DB3D0000}"/>
    <cellStyle name="표준 2 10 2" xfId="14834" xr:uid="{00000000-0005-0000-0000-0000DC3D0000}"/>
    <cellStyle name="표준 2 10 3" xfId="16756" xr:uid="{00000000-0005-0000-0000-0000DD3D0000}"/>
    <cellStyle name="표준 2 11" xfId="14835" xr:uid="{00000000-0005-0000-0000-0000DE3D0000}"/>
    <cellStyle name="표준 2 11 2" xfId="14836" xr:uid="{00000000-0005-0000-0000-0000DF3D0000}"/>
    <cellStyle name="표준 2 12" xfId="14837" xr:uid="{00000000-0005-0000-0000-0000E03D0000}"/>
    <cellStyle name="표준 2 12 2" xfId="14838" xr:uid="{00000000-0005-0000-0000-0000E13D0000}"/>
    <cellStyle name="표준 2 13" xfId="14839" xr:uid="{00000000-0005-0000-0000-0000E23D0000}"/>
    <cellStyle name="표준 2 13 2" xfId="14840" xr:uid="{00000000-0005-0000-0000-0000E33D0000}"/>
    <cellStyle name="표준 2 14" xfId="14841" xr:uid="{00000000-0005-0000-0000-0000E43D0000}"/>
    <cellStyle name="표준 2 14 2" xfId="14842" xr:uid="{00000000-0005-0000-0000-0000E53D0000}"/>
    <cellStyle name="표준 2 15" xfId="14843" xr:uid="{00000000-0005-0000-0000-0000E63D0000}"/>
    <cellStyle name="표준 2 15 2" xfId="14844" xr:uid="{00000000-0005-0000-0000-0000E73D0000}"/>
    <cellStyle name="표준 2 16" xfId="14845" xr:uid="{00000000-0005-0000-0000-0000E83D0000}"/>
    <cellStyle name="표준 2 16 2" xfId="14846" xr:uid="{00000000-0005-0000-0000-0000E93D0000}"/>
    <cellStyle name="표준 2 17" xfId="14847" xr:uid="{00000000-0005-0000-0000-0000EA3D0000}"/>
    <cellStyle name="표준 2 17 2" xfId="14848" xr:uid="{00000000-0005-0000-0000-0000EB3D0000}"/>
    <cellStyle name="표준 2 18" xfId="14849" xr:uid="{00000000-0005-0000-0000-0000EC3D0000}"/>
    <cellStyle name="표준 2 18 2" xfId="14850" xr:uid="{00000000-0005-0000-0000-0000ED3D0000}"/>
    <cellStyle name="표준 2 19" xfId="14851" xr:uid="{00000000-0005-0000-0000-0000EE3D0000}"/>
    <cellStyle name="표준 2 19 2" xfId="14852" xr:uid="{00000000-0005-0000-0000-0000EF3D0000}"/>
    <cellStyle name="표준 2 2" xfId="14853" xr:uid="{00000000-0005-0000-0000-0000F03D0000}"/>
    <cellStyle name="표준 2 2 10" xfId="14854" xr:uid="{00000000-0005-0000-0000-0000F13D0000}"/>
    <cellStyle name="표준 2 2 10 2" xfId="14855" xr:uid="{00000000-0005-0000-0000-0000F23D0000}"/>
    <cellStyle name="표준 2 2 11" xfId="14856" xr:uid="{00000000-0005-0000-0000-0000F33D0000}"/>
    <cellStyle name="표준 2 2 11 2" xfId="14857" xr:uid="{00000000-0005-0000-0000-0000F43D0000}"/>
    <cellStyle name="표준 2 2 12" xfId="14858" xr:uid="{00000000-0005-0000-0000-0000F53D0000}"/>
    <cellStyle name="표준 2 2 13" xfId="14859" xr:uid="{00000000-0005-0000-0000-0000F63D0000}"/>
    <cellStyle name="표준 2 2 14" xfId="14860" xr:uid="{00000000-0005-0000-0000-0000F73D0000}"/>
    <cellStyle name="표준 2 2 15" xfId="14861" xr:uid="{00000000-0005-0000-0000-0000F83D0000}"/>
    <cellStyle name="표준 2 2 16" xfId="15950" xr:uid="{00000000-0005-0000-0000-0000F93D0000}"/>
    <cellStyle name="표준 2 2 17" xfId="16757" xr:uid="{00000000-0005-0000-0000-0000FA3D0000}"/>
    <cellStyle name="표준 2 2 2" xfId="14862" xr:uid="{00000000-0005-0000-0000-0000FB3D0000}"/>
    <cellStyle name="표준 2 2 2 2" xfId="14863" xr:uid="{00000000-0005-0000-0000-0000FC3D0000}"/>
    <cellStyle name="표준 2 2 2 2 2" xfId="16758" xr:uid="{00000000-0005-0000-0000-0000FD3D0000}"/>
    <cellStyle name="표준 2 2 2 3" xfId="14864" xr:uid="{00000000-0005-0000-0000-0000FE3D0000}"/>
    <cellStyle name="표준 2 2 2 4" xfId="14865" xr:uid="{00000000-0005-0000-0000-0000FF3D0000}"/>
    <cellStyle name="표준 2 2 2 5" xfId="14866" xr:uid="{00000000-0005-0000-0000-0000003E0000}"/>
    <cellStyle name="표준 2 2 2 6" xfId="15997" xr:uid="{00000000-0005-0000-0000-0000013E0000}"/>
    <cellStyle name="표준 2 2 3" xfId="14867" xr:uid="{00000000-0005-0000-0000-0000023E0000}"/>
    <cellStyle name="표준 2 2 3 2" xfId="14868" xr:uid="{00000000-0005-0000-0000-0000033E0000}"/>
    <cellStyle name="표준 2 2 3 2 2" xfId="16800" xr:uid="{00000000-0005-0000-0000-0000043E0000}"/>
    <cellStyle name="표준 2 2 3 3" xfId="16759" xr:uid="{00000000-0005-0000-0000-0000053E0000}"/>
    <cellStyle name="표준 2 2 4" xfId="14869" xr:uid="{00000000-0005-0000-0000-0000063E0000}"/>
    <cellStyle name="표준 2 2 4 2" xfId="14870" xr:uid="{00000000-0005-0000-0000-0000073E0000}"/>
    <cellStyle name="표준 2 2 4 3" xfId="16760" xr:uid="{00000000-0005-0000-0000-0000083E0000}"/>
    <cellStyle name="표준 2 2 5" xfId="14871" xr:uid="{00000000-0005-0000-0000-0000093E0000}"/>
    <cellStyle name="표준 2 2 5 2" xfId="14872" xr:uid="{00000000-0005-0000-0000-00000A3E0000}"/>
    <cellStyle name="표준 2 2 6" xfId="14873" xr:uid="{00000000-0005-0000-0000-00000B3E0000}"/>
    <cellStyle name="표준 2 2 6 2" xfId="14874" xr:uid="{00000000-0005-0000-0000-00000C3E0000}"/>
    <cellStyle name="표준 2 2 7" xfId="14875" xr:uid="{00000000-0005-0000-0000-00000D3E0000}"/>
    <cellStyle name="표준 2 2 7 2" xfId="14876" xr:uid="{00000000-0005-0000-0000-00000E3E0000}"/>
    <cellStyle name="표준 2 2 8" xfId="14877" xr:uid="{00000000-0005-0000-0000-00000F3E0000}"/>
    <cellStyle name="표준 2 2 8 2" xfId="14878" xr:uid="{00000000-0005-0000-0000-0000103E0000}"/>
    <cellStyle name="표준 2 2 9" xfId="14879" xr:uid="{00000000-0005-0000-0000-0000113E0000}"/>
    <cellStyle name="표준 2 2 9 2" xfId="14880" xr:uid="{00000000-0005-0000-0000-0000123E0000}"/>
    <cellStyle name="표준 2 2_전파진흥원_AV설비_설치공사_(원가포함)_SMT110903" xfId="14881" xr:uid="{00000000-0005-0000-0000-0000133E0000}"/>
    <cellStyle name="표준 2 20" xfId="14882" xr:uid="{00000000-0005-0000-0000-0000143E0000}"/>
    <cellStyle name="표준 2 20 2" xfId="14883" xr:uid="{00000000-0005-0000-0000-0000153E0000}"/>
    <cellStyle name="표준 2 21" xfId="14884" xr:uid="{00000000-0005-0000-0000-0000163E0000}"/>
    <cellStyle name="표준 2 21 2" xfId="14885" xr:uid="{00000000-0005-0000-0000-0000173E0000}"/>
    <cellStyle name="표준 2 22" xfId="14886" xr:uid="{00000000-0005-0000-0000-0000183E0000}"/>
    <cellStyle name="표준 2 22 2" xfId="14887" xr:uid="{00000000-0005-0000-0000-0000193E0000}"/>
    <cellStyle name="표준 2 23" xfId="14888" xr:uid="{00000000-0005-0000-0000-00001A3E0000}"/>
    <cellStyle name="표준 2 23 2" xfId="14889" xr:uid="{00000000-0005-0000-0000-00001B3E0000}"/>
    <cellStyle name="표준 2 24" xfId="14890" xr:uid="{00000000-0005-0000-0000-00001C3E0000}"/>
    <cellStyle name="표준 2 24 2" xfId="14891" xr:uid="{00000000-0005-0000-0000-00001D3E0000}"/>
    <cellStyle name="표준 2 25" xfId="14892" xr:uid="{00000000-0005-0000-0000-00001E3E0000}"/>
    <cellStyle name="표준 2 25 2" xfId="14893" xr:uid="{00000000-0005-0000-0000-00001F3E0000}"/>
    <cellStyle name="표준 2 26" xfId="14894" xr:uid="{00000000-0005-0000-0000-0000203E0000}"/>
    <cellStyle name="표준 2 26 2" xfId="14895" xr:uid="{00000000-0005-0000-0000-0000213E0000}"/>
    <cellStyle name="표준 2 27" xfId="14896" xr:uid="{00000000-0005-0000-0000-0000223E0000}"/>
    <cellStyle name="표준 2 27 2" xfId="14897" xr:uid="{00000000-0005-0000-0000-0000233E0000}"/>
    <cellStyle name="표준 2 28" xfId="14898" xr:uid="{00000000-0005-0000-0000-0000243E0000}"/>
    <cellStyle name="표준 2 28 2" xfId="14899" xr:uid="{00000000-0005-0000-0000-0000253E0000}"/>
    <cellStyle name="표준 2 29" xfId="14900" xr:uid="{00000000-0005-0000-0000-0000263E0000}"/>
    <cellStyle name="표준 2 29 2" xfId="14901" xr:uid="{00000000-0005-0000-0000-0000273E0000}"/>
    <cellStyle name="표준 2 3" xfId="14902" xr:uid="{00000000-0005-0000-0000-0000283E0000}"/>
    <cellStyle name="표준 2 3 2" xfId="14903" xr:uid="{00000000-0005-0000-0000-0000293E0000}"/>
    <cellStyle name="표준 2 3 2 2" xfId="14904" xr:uid="{00000000-0005-0000-0000-00002A3E0000}"/>
    <cellStyle name="표준 2 3 2 3" xfId="14905" xr:uid="{00000000-0005-0000-0000-00002B3E0000}"/>
    <cellStyle name="표준 2 3 2 4" xfId="15949" xr:uid="{00000000-0005-0000-0000-00002C3E0000}"/>
    <cellStyle name="표준 2 3 3" xfId="14906" xr:uid="{00000000-0005-0000-0000-00002D3E0000}"/>
    <cellStyle name="표준 2 3 4" xfId="14907" xr:uid="{00000000-0005-0000-0000-00002E3E0000}"/>
    <cellStyle name="표준 2 3 5" xfId="15952" xr:uid="{00000000-0005-0000-0000-00002F3E0000}"/>
    <cellStyle name="표준 2 3_전파진흥원_AV설비_설치공사_(원가포함)_SMT110903" xfId="14908" xr:uid="{00000000-0005-0000-0000-0000303E0000}"/>
    <cellStyle name="표준 2 30" xfId="14909" xr:uid="{00000000-0005-0000-0000-0000313E0000}"/>
    <cellStyle name="표준 2 30 2" xfId="14910" xr:uid="{00000000-0005-0000-0000-0000323E0000}"/>
    <cellStyle name="표준 2 31" xfId="14911" xr:uid="{00000000-0005-0000-0000-0000333E0000}"/>
    <cellStyle name="표준 2 31 2" xfId="14912" xr:uid="{00000000-0005-0000-0000-0000343E0000}"/>
    <cellStyle name="표준 2 32" xfId="14913" xr:uid="{00000000-0005-0000-0000-0000353E0000}"/>
    <cellStyle name="표준 2 33" xfId="14914" xr:uid="{00000000-0005-0000-0000-0000363E0000}"/>
    <cellStyle name="표준 2 34" xfId="14915" xr:uid="{00000000-0005-0000-0000-0000373E0000}"/>
    <cellStyle name="표준 2 35" xfId="14916" xr:uid="{00000000-0005-0000-0000-0000383E0000}"/>
    <cellStyle name="표준 2 36" xfId="14917" xr:uid="{00000000-0005-0000-0000-0000393E0000}"/>
    <cellStyle name="표준 2 37" xfId="15899" xr:uid="{00000000-0005-0000-0000-00003A3E0000}"/>
    <cellStyle name="표준 2 38" xfId="15902" xr:uid="{00000000-0005-0000-0000-00003B3E0000}"/>
    <cellStyle name="표준 2 39" xfId="15905" xr:uid="{00000000-0005-0000-0000-00003C3E0000}"/>
    <cellStyle name="표준 2 4" xfId="14918" xr:uid="{00000000-0005-0000-0000-00003D3E0000}"/>
    <cellStyle name="표준 2 4 2" xfId="14919" xr:uid="{00000000-0005-0000-0000-00003E3E0000}"/>
    <cellStyle name="표준 2 4 2 2" xfId="14920" xr:uid="{00000000-0005-0000-0000-00003F3E0000}"/>
    <cellStyle name="표준 2 4 3" xfId="14921" xr:uid="{00000000-0005-0000-0000-0000403E0000}"/>
    <cellStyle name="표준 2 4 4" xfId="14922" xr:uid="{00000000-0005-0000-0000-0000413E0000}"/>
    <cellStyle name="표준 2 4 5" xfId="16762" xr:uid="{00000000-0005-0000-0000-0000423E0000}"/>
    <cellStyle name="표준 2 4 6" xfId="16929" xr:uid="{00000000-0005-0000-0000-0000433E0000}"/>
    <cellStyle name="표준 2 4_전파진흥원_AV설비_설치공사_(원가포함)_SMT110903" xfId="14923" xr:uid="{00000000-0005-0000-0000-0000443E0000}"/>
    <cellStyle name="표준 2 40" xfId="15908" xr:uid="{00000000-0005-0000-0000-0000453E0000}"/>
    <cellStyle name="표준 2 41" xfId="15911" xr:uid="{00000000-0005-0000-0000-0000463E0000}"/>
    <cellStyle name="표준 2 42" xfId="15914" xr:uid="{00000000-0005-0000-0000-0000473E0000}"/>
    <cellStyle name="표준 2 43" xfId="15917" xr:uid="{00000000-0005-0000-0000-0000483E0000}"/>
    <cellStyle name="표준 2 44" xfId="15920" xr:uid="{00000000-0005-0000-0000-0000493E0000}"/>
    <cellStyle name="표준 2 45" xfId="15923" xr:uid="{00000000-0005-0000-0000-00004A3E0000}"/>
    <cellStyle name="표준 2 46" xfId="15930" xr:uid="{00000000-0005-0000-0000-00004B3E0000}"/>
    <cellStyle name="표준 2 47" xfId="15934" xr:uid="{00000000-0005-0000-0000-00004C3E0000}"/>
    <cellStyle name="표준 2 48" xfId="15938" xr:uid="{00000000-0005-0000-0000-00004D3E0000}"/>
    <cellStyle name="표준 2 49" xfId="15942" xr:uid="{00000000-0005-0000-0000-00004E3E0000}"/>
    <cellStyle name="표준 2 5" xfId="14924" xr:uid="{00000000-0005-0000-0000-00004F3E0000}"/>
    <cellStyle name="표준 2 5 2" xfId="14925" xr:uid="{00000000-0005-0000-0000-0000503E0000}"/>
    <cellStyle name="표준 2 5 3" xfId="16755" xr:uid="{00000000-0005-0000-0000-0000513E0000}"/>
    <cellStyle name="표준 2 50" xfId="15946" xr:uid="{00000000-0005-0000-0000-0000523E0000}"/>
    <cellStyle name="표준 2 51" xfId="15999" xr:uid="{00000000-0005-0000-0000-0000533E0000}"/>
    <cellStyle name="표준 2 6" xfId="14926" xr:uid="{00000000-0005-0000-0000-0000543E0000}"/>
    <cellStyle name="표준 2 6 2" xfId="14927" xr:uid="{00000000-0005-0000-0000-0000553E0000}"/>
    <cellStyle name="표준 2 6 3" xfId="16820" xr:uid="{00000000-0005-0000-0000-0000563E0000}"/>
    <cellStyle name="표준 2 7" xfId="14928" xr:uid="{00000000-0005-0000-0000-0000573E0000}"/>
    <cellStyle name="표준 2 7 2" xfId="14929" xr:uid="{00000000-0005-0000-0000-0000583E0000}"/>
    <cellStyle name="표준 2 8" xfId="14930" xr:uid="{00000000-0005-0000-0000-0000593E0000}"/>
    <cellStyle name="표준 2 8 2" xfId="14931" xr:uid="{00000000-0005-0000-0000-00005A3E0000}"/>
    <cellStyle name="표준 2 9" xfId="14932" xr:uid="{00000000-0005-0000-0000-00005B3E0000}"/>
    <cellStyle name="표준 2 9 2" xfId="14933" xr:uid="{00000000-0005-0000-0000-00005C3E0000}"/>
    <cellStyle name="표준 2_롯데 일산점 무대조명_총괄표_100503_수정" xfId="14934" xr:uid="{00000000-0005-0000-0000-00005D3E0000}"/>
    <cellStyle name="표준 20" xfId="14935" xr:uid="{00000000-0005-0000-0000-00005E3E0000}"/>
    <cellStyle name="표준 20 2" xfId="14936" xr:uid="{00000000-0005-0000-0000-00005F3E0000}"/>
    <cellStyle name="표준 20 3" xfId="14937" xr:uid="{00000000-0005-0000-0000-0000603E0000}"/>
    <cellStyle name="표준 21" xfId="14938" xr:uid="{00000000-0005-0000-0000-0000613E0000}"/>
    <cellStyle name="표준 21 2" xfId="14939" xr:uid="{00000000-0005-0000-0000-0000623E0000}"/>
    <cellStyle name="표준 22" xfId="14940" xr:uid="{00000000-0005-0000-0000-0000633E0000}"/>
    <cellStyle name="표준 22 2" xfId="14941" xr:uid="{00000000-0005-0000-0000-0000643E0000}"/>
    <cellStyle name="표준 23" xfId="14942" xr:uid="{00000000-0005-0000-0000-0000653E0000}"/>
    <cellStyle name="표준 23 2" xfId="14943" xr:uid="{00000000-0005-0000-0000-0000663E0000}"/>
    <cellStyle name="표준 24" xfId="14944" xr:uid="{00000000-0005-0000-0000-0000673E0000}"/>
    <cellStyle name="표준 24 10" xfId="14945" xr:uid="{00000000-0005-0000-0000-0000683E0000}"/>
    <cellStyle name="표준 24 10 2" xfId="14946" xr:uid="{00000000-0005-0000-0000-0000693E0000}"/>
    <cellStyle name="표준 24 11" xfId="14947" xr:uid="{00000000-0005-0000-0000-00006A3E0000}"/>
    <cellStyle name="표준 24 11 2" xfId="14948" xr:uid="{00000000-0005-0000-0000-00006B3E0000}"/>
    <cellStyle name="표준 24 12" xfId="14949" xr:uid="{00000000-0005-0000-0000-00006C3E0000}"/>
    <cellStyle name="표준 24 12 2" xfId="14950" xr:uid="{00000000-0005-0000-0000-00006D3E0000}"/>
    <cellStyle name="표준 24 13" xfId="14951" xr:uid="{00000000-0005-0000-0000-00006E3E0000}"/>
    <cellStyle name="표준 24 13 2" xfId="14952" xr:uid="{00000000-0005-0000-0000-00006F3E0000}"/>
    <cellStyle name="표준 24 14" xfId="14953" xr:uid="{00000000-0005-0000-0000-0000703E0000}"/>
    <cellStyle name="표준 24 14 2" xfId="14954" xr:uid="{00000000-0005-0000-0000-0000713E0000}"/>
    <cellStyle name="표준 24 15" xfId="14955" xr:uid="{00000000-0005-0000-0000-0000723E0000}"/>
    <cellStyle name="표준 24 15 2" xfId="14956" xr:uid="{00000000-0005-0000-0000-0000733E0000}"/>
    <cellStyle name="표준 24 16" xfId="14957" xr:uid="{00000000-0005-0000-0000-0000743E0000}"/>
    <cellStyle name="표준 24 16 2" xfId="14958" xr:uid="{00000000-0005-0000-0000-0000753E0000}"/>
    <cellStyle name="표준 24 17" xfId="14959" xr:uid="{00000000-0005-0000-0000-0000763E0000}"/>
    <cellStyle name="표준 24 17 2" xfId="14960" xr:uid="{00000000-0005-0000-0000-0000773E0000}"/>
    <cellStyle name="표준 24 18" xfId="14961" xr:uid="{00000000-0005-0000-0000-0000783E0000}"/>
    <cellStyle name="표준 24 18 2" xfId="14962" xr:uid="{00000000-0005-0000-0000-0000793E0000}"/>
    <cellStyle name="표준 24 19" xfId="14963" xr:uid="{00000000-0005-0000-0000-00007A3E0000}"/>
    <cellStyle name="표준 24 19 2" xfId="14964" xr:uid="{00000000-0005-0000-0000-00007B3E0000}"/>
    <cellStyle name="표준 24 2" xfId="14965" xr:uid="{00000000-0005-0000-0000-00007C3E0000}"/>
    <cellStyle name="표준 24 2 2" xfId="14966" xr:uid="{00000000-0005-0000-0000-00007D3E0000}"/>
    <cellStyle name="표준 24 20" xfId="14967" xr:uid="{00000000-0005-0000-0000-00007E3E0000}"/>
    <cellStyle name="표준 24 20 2" xfId="14968" xr:uid="{00000000-0005-0000-0000-00007F3E0000}"/>
    <cellStyle name="표준 24 21" xfId="14969" xr:uid="{00000000-0005-0000-0000-0000803E0000}"/>
    <cellStyle name="표준 24 21 2" xfId="14970" xr:uid="{00000000-0005-0000-0000-0000813E0000}"/>
    <cellStyle name="표준 24 22" xfId="14971" xr:uid="{00000000-0005-0000-0000-0000823E0000}"/>
    <cellStyle name="표준 24 22 2" xfId="14972" xr:uid="{00000000-0005-0000-0000-0000833E0000}"/>
    <cellStyle name="표준 24 23" xfId="14973" xr:uid="{00000000-0005-0000-0000-0000843E0000}"/>
    <cellStyle name="표준 24 23 2" xfId="14974" xr:uid="{00000000-0005-0000-0000-0000853E0000}"/>
    <cellStyle name="표준 24 24" xfId="14975" xr:uid="{00000000-0005-0000-0000-0000863E0000}"/>
    <cellStyle name="표준 24 24 2" xfId="14976" xr:uid="{00000000-0005-0000-0000-0000873E0000}"/>
    <cellStyle name="표준 24 25" xfId="14977" xr:uid="{00000000-0005-0000-0000-0000883E0000}"/>
    <cellStyle name="표준 24 25 2" xfId="14978" xr:uid="{00000000-0005-0000-0000-0000893E0000}"/>
    <cellStyle name="표준 24 26" xfId="14979" xr:uid="{00000000-0005-0000-0000-00008A3E0000}"/>
    <cellStyle name="표준 24 26 2" xfId="14980" xr:uid="{00000000-0005-0000-0000-00008B3E0000}"/>
    <cellStyle name="표준 24 27" xfId="14981" xr:uid="{00000000-0005-0000-0000-00008C3E0000}"/>
    <cellStyle name="표준 24 27 2" xfId="14982" xr:uid="{00000000-0005-0000-0000-00008D3E0000}"/>
    <cellStyle name="표준 24 28" xfId="14983" xr:uid="{00000000-0005-0000-0000-00008E3E0000}"/>
    <cellStyle name="표준 24 28 2" xfId="14984" xr:uid="{00000000-0005-0000-0000-00008F3E0000}"/>
    <cellStyle name="표준 24 29" xfId="14985" xr:uid="{00000000-0005-0000-0000-0000903E0000}"/>
    <cellStyle name="표준 24 29 2" xfId="14986" xr:uid="{00000000-0005-0000-0000-0000913E0000}"/>
    <cellStyle name="표준 24 3" xfId="14987" xr:uid="{00000000-0005-0000-0000-0000923E0000}"/>
    <cellStyle name="표준 24 3 2" xfId="14988" xr:uid="{00000000-0005-0000-0000-0000933E0000}"/>
    <cellStyle name="표준 24 30" xfId="14989" xr:uid="{00000000-0005-0000-0000-0000943E0000}"/>
    <cellStyle name="표준 24 30 2" xfId="14990" xr:uid="{00000000-0005-0000-0000-0000953E0000}"/>
    <cellStyle name="표준 24 31" xfId="14991" xr:uid="{00000000-0005-0000-0000-0000963E0000}"/>
    <cellStyle name="표준 24 31 2" xfId="14992" xr:uid="{00000000-0005-0000-0000-0000973E0000}"/>
    <cellStyle name="표준 24 32" xfId="14993" xr:uid="{00000000-0005-0000-0000-0000983E0000}"/>
    <cellStyle name="표준 24 32 2" xfId="14994" xr:uid="{00000000-0005-0000-0000-0000993E0000}"/>
    <cellStyle name="표준 24 33" xfId="14995" xr:uid="{00000000-0005-0000-0000-00009A3E0000}"/>
    <cellStyle name="표준 24 33 2" xfId="14996" xr:uid="{00000000-0005-0000-0000-00009B3E0000}"/>
    <cellStyle name="표준 24 34" xfId="14997" xr:uid="{00000000-0005-0000-0000-00009C3E0000}"/>
    <cellStyle name="표준 24 34 2" xfId="14998" xr:uid="{00000000-0005-0000-0000-00009D3E0000}"/>
    <cellStyle name="표준 24 35" xfId="14999" xr:uid="{00000000-0005-0000-0000-00009E3E0000}"/>
    <cellStyle name="표준 24 35 2" xfId="15000" xr:uid="{00000000-0005-0000-0000-00009F3E0000}"/>
    <cellStyle name="표준 24 36" xfId="15001" xr:uid="{00000000-0005-0000-0000-0000A03E0000}"/>
    <cellStyle name="표준 24 4" xfId="15002" xr:uid="{00000000-0005-0000-0000-0000A13E0000}"/>
    <cellStyle name="표준 24 4 2" xfId="15003" xr:uid="{00000000-0005-0000-0000-0000A23E0000}"/>
    <cellStyle name="표준 24 5" xfId="15004" xr:uid="{00000000-0005-0000-0000-0000A33E0000}"/>
    <cellStyle name="표준 24 5 2" xfId="15005" xr:uid="{00000000-0005-0000-0000-0000A43E0000}"/>
    <cellStyle name="표준 24 6" xfId="15006" xr:uid="{00000000-0005-0000-0000-0000A53E0000}"/>
    <cellStyle name="표준 24 6 2" xfId="15007" xr:uid="{00000000-0005-0000-0000-0000A63E0000}"/>
    <cellStyle name="표준 24 7" xfId="15008" xr:uid="{00000000-0005-0000-0000-0000A73E0000}"/>
    <cellStyle name="표준 24 7 2" xfId="15009" xr:uid="{00000000-0005-0000-0000-0000A83E0000}"/>
    <cellStyle name="표준 24 8" xfId="15010" xr:uid="{00000000-0005-0000-0000-0000A93E0000}"/>
    <cellStyle name="표준 24 8 2" xfId="15011" xr:uid="{00000000-0005-0000-0000-0000AA3E0000}"/>
    <cellStyle name="표준 24 9" xfId="15012" xr:uid="{00000000-0005-0000-0000-0000AB3E0000}"/>
    <cellStyle name="표준 24 9 2" xfId="15013" xr:uid="{00000000-0005-0000-0000-0000AC3E0000}"/>
    <cellStyle name="표준 25" xfId="15014" xr:uid="{00000000-0005-0000-0000-0000AD3E0000}"/>
    <cellStyle name="표준 25 2" xfId="15015" xr:uid="{00000000-0005-0000-0000-0000AE3E0000}"/>
    <cellStyle name="표준 26" xfId="15016" xr:uid="{00000000-0005-0000-0000-0000AF3E0000}"/>
    <cellStyle name="표준 26 2" xfId="15017" xr:uid="{00000000-0005-0000-0000-0000B03E0000}"/>
    <cellStyle name="표준 27" xfId="15018" xr:uid="{00000000-0005-0000-0000-0000B13E0000}"/>
    <cellStyle name="표준 27 2" xfId="15019" xr:uid="{00000000-0005-0000-0000-0000B23E0000}"/>
    <cellStyle name="표준 28" xfId="15020" xr:uid="{00000000-0005-0000-0000-0000B33E0000}"/>
    <cellStyle name="표준 28 2" xfId="15021" xr:uid="{00000000-0005-0000-0000-0000B43E0000}"/>
    <cellStyle name="표준 29" xfId="15022" xr:uid="{00000000-0005-0000-0000-0000B53E0000}"/>
    <cellStyle name="표준 29 2" xfId="15023" xr:uid="{00000000-0005-0000-0000-0000B63E0000}"/>
    <cellStyle name="표준 3" xfId="15024" xr:uid="{00000000-0005-0000-0000-0000B73E0000}"/>
    <cellStyle name="표준 3 10" xfId="15025" xr:uid="{00000000-0005-0000-0000-0000B83E0000}"/>
    <cellStyle name="표준 3 10 2" xfId="15026" xr:uid="{00000000-0005-0000-0000-0000B93E0000}"/>
    <cellStyle name="표준 3 11" xfId="15027" xr:uid="{00000000-0005-0000-0000-0000BA3E0000}"/>
    <cellStyle name="표준 3 11 2" xfId="15028" xr:uid="{00000000-0005-0000-0000-0000BB3E0000}"/>
    <cellStyle name="표준 3 12" xfId="15029" xr:uid="{00000000-0005-0000-0000-0000BC3E0000}"/>
    <cellStyle name="표준 3 12 2" xfId="15030" xr:uid="{00000000-0005-0000-0000-0000BD3E0000}"/>
    <cellStyle name="표준 3 13" xfId="15031" xr:uid="{00000000-0005-0000-0000-0000BE3E0000}"/>
    <cellStyle name="표준 3 14" xfId="15032" xr:uid="{00000000-0005-0000-0000-0000BF3E0000}"/>
    <cellStyle name="표준 3 15" xfId="15033" xr:uid="{00000000-0005-0000-0000-0000C03E0000}"/>
    <cellStyle name="표준 3 16" xfId="15034" xr:uid="{00000000-0005-0000-0000-0000C13E0000}"/>
    <cellStyle name="표준 3 17" xfId="16763" xr:uid="{00000000-0005-0000-0000-0000C23E0000}"/>
    <cellStyle name="표준 3 2" xfId="15035" xr:uid="{00000000-0005-0000-0000-0000C33E0000}"/>
    <cellStyle name="표준 3 2 2" xfId="15036" xr:uid="{00000000-0005-0000-0000-0000C43E0000}"/>
    <cellStyle name="표준 3 2 2 2" xfId="15037" xr:uid="{00000000-0005-0000-0000-0000C53E0000}"/>
    <cellStyle name="표준 3 2 2 2 2" xfId="16796" xr:uid="{00000000-0005-0000-0000-0000C63E0000}"/>
    <cellStyle name="표준 3 2 3" xfId="15038" xr:uid="{00000000-0005-0000-0000-0000C73E0000}"/>
    <cellStyle name="표준 3 2 4" xfId="15039" xr:uid="{00000000-0005-0000-0000-0000C83E0000}"/>
    <cellStyle name="표준 3 2 5" xfId="15040" xr:uid="{00000000-0005-0000-0000-0000C93E0000}"/>
    <cellStyle name="표준 3 2 6" xfId="16764" xr:uid="{00000000-0005-0000-0000-0000CA3E0000}"/>
    <cellStyle name="표준 3 3" xfId="15041" xr:uid="{00000000-0005-0000-0000-0000CB3E0000}"/>
    <cellStyle name="표준 3 3 2" xfId="15042" xr:uid="{00000000-0005-0000-0000-0000CC3E0000}"/>
    <cellStyle name="표준 3 3 2 2" xfId="15043" xr:uid="{00000000-0005-0000-0000-0000CD3E0000}"/>
    <cellStyle name="표준 3 3 3" xfId="15044" xr:uid="{00000000-0005-0000-0000-0000CE3E0000}"/>
    <cellStyle name="표준 3 3 4" xfId="15045" xr:uid="{00000000-0005-0000-0000-0000CF3E0000}"/>
    <cellStyle name="표준 3 3 5" xfId="16765" xr:uid="{00000000-0005-0000-0000-0000D03E0000}"/>
    <cellStyle name="표준 3 4" xfId="15046" xr:uid="{00000000-0005-0000-0000-0000D13E0000}"/>
    <cellStyle name="표준 3 4 2" xfId="15047" xr:uid="{00000000-0005-0000-0000-0000D23E0000}"/>
    <cellStyle name="표준 3 4 3" xfId="15048" xr:uid="{00000000-0005-0000-0000-0000D33E0000}"/>
    <cellStyle name="표준 3 4 4" xfId="16766" xr:uid="{00000000-0005-0000-0000-0000D43E0000}"/>
    <cellStyle name="표준 3 5" xfId="15049" xr:uid="{00000000-0005-0000-0000-0000D53E0000}"/>
    <cellStyle name="표준 3 5 2" xfId="15050" xr:uid="{00000000-0005-0000-0000-0000D63E0000}"/>
    <cellStyle name="표준 3 5 2 2" xfId="16860" xr:uid="{00000000-0005-0000-0000-0000D73E0000}"/>
    <cellStyle name="표준 3 5 2 2 2" xfId="16896" xr:uid="{00000000-0005-0000-0000-0000D83E0000}"/>
    <cellStyle name="표준 3 5 2 3" xfId="16878" xr:uid="{00000000-0005-0000-0000-0000D93E0000}"/>
    <cellStyle name="표준 3 5 2 4" xfId="16842" xr:uid="{00000000-0005-0000-0000-0000DA3E0000}"/>
    <cellStyle name="표준 3 5 3" xfId="16848" xr:uid="{00000000-0005-0000-0000-0000DB3E0000}"/>
    <cellStyle name="표준 3 5 3 2" xfId="16866" xr:uid="{00000000-0005-0000-0000-0000DC3E0000}"/>
    <cellStyle name="표준 3 5 3 2 2" xfId="16902" xr:uid="{00000000-0005-0000-0000-0000DD3E0000}"/>
    <cellStyle name="표준 3 5 3 3" xfId="16884" xr:uid="{00000000-0005-0000-0000-0000DE3E0000}"/>
    <cellStyle name="표준 3 5 4" xfId="16854" xr:uid="{00000000-0005-0000-0000-0000DF3E0000}"/>
    <cellStyle name="표준 3 5 4 2" xfId="16890" xr:uid="{00000000-0005-0000-0000-0000E03E0000}"/>
    <cellStyle name="표준 3 5 5" xfId="16872" xr:uid="{00000000-0005-0000-0000-0000E13E0000}"/>
    <cellStyle name="표준 3 5 6" xfId="16801" xr:uid="{00000000-0005-0000-0000-0000E23E0000}"/>
    <cellStyle name="표준 3 6" xfId="15051" xr:uid="{00000000-0005-0000-0000-0000E33E0000}"/>
    <cellStyle name="표준 3 6 2" xfId="15052" xr:uid="{00000000-0005-0000-0000-0000E43E0000}"/>
    <cellStyle name="표준 3 7" xfId="15053" xr:uid="{00000000-0005-0000-0000-0000E53E0000}"/>
    <cellStyle name="표준 3 7 2" xfId="15054" xr:uid="{00000000-0005-0000-0000-0000E63E0000}"/>
    <cellStyle name="표준 3 8" xfId="15055" xr:uid="{00000000-0005-0000-0000-0000E73E0000}"/>
    <cellStyle name="표준 3 8 2" xfId="15056" xr:uid="{00000000-0005-0000-0000-0000E83E0000}"/>
    <cellStyle name="표준 3 9" xfId="15057" xr:uid="{00000000-0005-0000-0000-0000E93E0000}"/>
    <cellStyle name="표준 3 9 2" xfId="15058" xr:uid="{00000000-0005-0000-0000-0000EA3E0000}"/>
    <cellStyle name="표준 3_롯데 일산점 무대조명_총괄표_100503_수정" xfId="15059" xr:uid="{00000000-0005-0000-0000-0000EB3E0000}"/>
    <cellStyle name="표준 30" xfId="15060" xr:uid="{00000000-0005-0000-0000-0000EC3E0000}"/>
    <cellStyle name="표준 30 2" xfId="15061" xr:uid="{00000000-0005-0000-0000-0000ED3E0000}"/>
    <cellStyle name="표준 31" xfId="15062" xr:uid="{00000000-0005-0000-0000-0000EE3E0000}"/>
    <cellStyle name="표준 31 2" xfId="15063" xr:uid="{00000000-0005-0000-0000-0000EF3E0000}"/>
    <cellStyle name="표준 32" xfId="15064" xr:uid="{00000000-0005-0000-0000-0000F03E0000}"/>
    <cellStyle name="표준 32 2" xfId="15065" xr:uid="{00000000-0005-0000-0000-0000F13E0000}"/>
    <cellStyle name="표준 33" xfId="15066" xr:uid="{00000000-0005-0000-0000-0000F23E0000}"/>
    <cellStyle name="표준 33 2" xfId="15067" xr:uid="{00000000-0005-0000-0000-0000F33E0000}"/>
    <cellStyle name="표준 34" xfId="15068" xr:uid="{00000000-0005-0000-0000-0000F43E0000}"/>
    <cellStyle name="표준 34 2" xfId="15069" xr:uid="{00000000-0005-0000-0000-0000F53E0000}"/>
    <cellStyle name="표준 35" xfId="15070" xr:uid="{00000000-0005-0000-0000-0000F63E0000}"/>
    <cellStyle name="표준 35 10" xfId="15071" xr:uid="{00000000-0005-0000-0000-0000F73E0000}"/>
    <cellStyle name="표준 35 10 2" xfId="15072" xr:uid="{00000000-0005-0000-0000-0000F83E0000}"/>
    <cellStyle name="표준 35 11" xfId="15073" xr:uid="{00000000-0005-0000-0000-0000F93E0000}"/>
    <cellStyle name="표준 35 11 2" xfId="15074" xr:uid="{00000000-0005-0000-0000-0000FA3E0000}"/>
    <cellStyle name="표준 35 12" xfId="15075" xr:uid="{00000000-0005-0000-0000-0000FB3E0000}"/>
    <cellStyle name="표준 35 12 2" xfId="15076" xr:uid="{00000000-0005-0000-0000-0000FC3E0000}"/>
    <cellStyle name="표준 35 13" xfId="15077" xr:uid="{00000000-0005-0000-0000-0000FD3E0000}"/>
    <cellStyle name="표준 35 13 2" xfId="15078" xr:uid="{00000000-0005-0000-0000-0000FE3E0000}"/>
    <cellStyle name="표준 35 14" xfId="15079" xr:uid="{00000000-0005-0000-0000-0000FF3E0000}"/>
    <cellStyle name="표준 35 14 2" xfId="15080" xr:uid="{00000000-0005-0000-0000-0000003F0000}"/>
    <cellStyle name="표준 35 15" xfId="15081" xr:uid="{00000000-0005-0000-0000-0000013F0000}"/>
    <cellStyle name="표준 35 15 2" xfId="15082" xr:uid="{00000000-0005-0000-0000-0000023F0000}"/>
    <cellStyle name="표준 35 16" xfId="15083" xr:uid="{00000000-0005-0000-0000-0000033F0000}"/>
    <cellStyle name="표준 35 16 2" xfId="15084" xr:uid="{00000000-0005-0000-0000-0000043F0000}"/>
    <cellStyle name="표준 35 17" xfId="15085" xr:uid="{00000000-0005-0000-0000-0000053F0000}"/>
    <cellStyle name="표준 35 17 2" xfId="15086" xr:uid="{00000000-0005-0000-0000-0000063F0000}"/>
    <cellStyle name="표준 35 18" xfId="15087" xr:uid="{00000000-0005-0000-0000-0000073F0000}"/>
    <cellStyle name="표준 35 18 2" xfId="15088" xr:uid="{00000000-0005-0000-0000-0000083F0000}"/>
    <cellStyle name="표준 35 19" xfId="15089" xr:uid="{00000000-0005-0000-0000-0000093F0000}"/>
    <cellStyle name="표준 35 2" xfId="15090" xr:uid="{00000000-0005-0000-0000-00000A3F0000}"/>
    <cellStyle name="표준 35 2 2" xfId="15091" xr:uid="{00000000-0005-0000-0000-00000B3F0000}"/>
    <cellStyle name="표준 35 3" xfId="15092" xr:uid="{00000000-0005-0000-0000-00000C3F0000}"/>
    <cellStyle name="표준 35 3 2" xfId="15093" xr:uid="{00000000-0005-0000-0000-00000D3F0000}"/>
    <cellStyle name="표준 35 4" xfId="15094" xr:uid="{00000000-0005-0000-0000-00000E3F0000}"/>
    <cellStyle name="표준 35 4 2" xfId="15095" xr:uid="{00000000-0005-0000-0000-00000F3F0000}"/>
    <cellStyle name="표준 35 5" xfId="15096" xr:uid="{00000000-0005-0000-0000-0000103F0000}"/>
    <cellStyle name="표준 35 5 2" xfId="15097" xr:uid="{00000000-0005-0000-0000-0000113F0000}"/>
    <cellStyle name="표준 35 6" xfId="15098" xr:uid="{00000000-0005-0000-0000-0000123F0000}"/>
    <cellStyle name="표준 35 6 2" xfId="15099" xr:uid="{00000000-0005-0000-0000-0000133F0000}"/>
    <cellStyle name="표준 35 7" xfId="15100" xr:uid="{00000000-0005-0000-0000-0000143F0000}"/>
    <cellStyle name="표준 35 7 2" xfId="15101" xr:uid="{00000000-0005-0000-0000-0000153F0000}"/>
    <cellStyle name="표준 35 8" xfId="15102" xr:uid="{00000000-0005-0000-0000-0000163F0000}"/>
    <cellStyle name="표준 35 8 2" xfId="15103" xr:uid="{00000000-0005-0000-0000-0000173F0000}"/>
    <cellStyle name="표준 35 9" xfId="15104" xr:uid="{00000000-0005-0000-0000-0000183F0000}"/>
    <cellStyle name="표준 35 9 2" xfId="15105" xr:uid="{00000000-0005-0000-0000-0000193F0000}"/>
    <cellStyle name="표준 36" xfId="15106" xr:uid="{00000000-0005-0000-0000-00001A3F0000}"/>
    <cellStyle name="표준 37" xfId="15107" xr:uid="{00000000-0005-0000-0000-00001B3F0000}"/>
    <cellStyle name="표준 37 2" xfId="15108" xr:uid="{00000000-0005-0000-0000-00001C3F0000}"/>
    <cellStyle name="표준 38" xfId="15109" xr:uid="{00000000-0005-0000-0000-00001D3F0000}"/>
    <cellStyle name="표준 38 2" xfId="15110" xr:uid="{00000000-0005-0000-0000-00001E3F0000}"/>
    <cellStyle name="표준 39" xfId="15111" xr:uid="{00000000-0005-0000-0000-00001F3F0000}"/>
    <cellStyle name="표준 4" xfId="15112" xr:uid="{00000000-0005-0000-0000-0000203F0000}"/>
    <cellStyle name="표준 4 10" xfId="15113" xr:uid="{00000000-0005-0000-0000-0000213F0000}"/>
    <cellStyle name="표준 4 10 2" xfId="15114" xr:uid="{00000000-0005-0000-0000-0000223F0000}"/>
    <cellStyle name="표준 4 11" xfId="15115" xr:uid="{00000000-0005-0000-0000-0000233F0000}"/>
    <cellStyle name="표준 4 11 2" xfId="15116" xr:uid="{00000000-0005-0000-0000-0000243F0000}"/>
    <cellStyle name="표준 4 12" xfId="15117" xr:uid="{00000000-0005-0000-0000-0000253F0000}"/>
    <cellStyle name="표준 4 12 2" xfId="15118" xr:uid="{00000000-0005-0000-0000-0000263F0000}"/>
    <cellStyle name="표준 4 13" xfId="15119" xr:uid="{00000000-0005-0000-0000-0000273F0000}"/>
    <cellStyle name="표준 4 13 2" xfId="15120" xr:uid="{00000000-0005-0000-0000-0000283F0000}"/>
    <cellStyle name="표준 4 14" xfId="15121" xr:uid="{00000000-0005-0000-0000-0000293F0000}"/>
    <cellStyle name="표준 4 14 2" xfId="15122" xr:uid="{00000000-0005-0000-0000-00002A3F0000}"/>
    <cellStyle name="표준 4 15" xfId="15123" xr:uid="{00000000-0005-0000-0000-00002B3F0000}"/>
    <cellStyle name="표준 4 15 2" xfId="15124" xr:uid="{00000000-0005-0000-0000-00002C3F0000}"/>
    <cellStyle name="표준 4 16" xfId="15125" xr:uid="{00000000-0005-0000-0000-00002D3F0000}"/>
    <cellStyle name="표준 4 16 2" xfId="15126" xr:uid="{00000000-0005-0000-0000-00002E3F0000}"/>
    <cellStyle name="표준 4 17" xfId="15127" xr:uid="{00000000-0005-0000-0000-00002F3F0000}"/>
    <cellStyle name="표준 4 17 2" xfId="15128" xr:uid="{00000000-0005-0000-0000-0000303F0000}"/>
    <cellStyle name="표준 4 18" xfId="15129" xr:uid="{00000000-0005-0000-0000-0000313F0000}"/>
    <cellStyle name="표준 4 18 2" xfId="15130" xr:uid="{00000000-0005-0000-0000-0000323F0000}"/>
    <cellStyle name="표준 4 19" xfId="15131" xr:uid="{00000000-0005-0000-0000-0000333F0000}"/>
    <cellStyle name="표준 4 19 2" xfId="15132" xr:uid="{00000000-0005-0000-0000-0000343F0000}"/>
    <cellStyle name="표준 4 2" xfId="15133" xr:uid="{00000000-0005-0000-0000-0000353F0000}"/>
    <cellStyle name="표준 4 2 2" xfId="15134" xr:uid="{00000000-0005-0000-0000-0000363F0000}"/>
    <cellStyle name="표준 4 2 2 2" xfId="15135" xr:uid="{00000000-0005-0000-0000-0000373F0000}"/>
    <cellStyle name="표준 4 2 3" xfId="15136" xr:uid="{00000000-0005-0000-0000-0000383F0000}"/>
    <cellStyle name="표준 4 2 4" xfId="15137" xr:uid="{00000000-0005-0000-0000-0000393F0000}"/>
    <cellStyle name="표준 4 2 5" xfId="15138" xr:uid="{00000000-0005-0000-0000-00003A3F0000}"/>
    <cellStyle name="표준 4 2 6" xfId="16767" xr:uid="{00000000-0005-0000-0000-00003B3F0000}"/>
    <cellStyle name="표준 4 2 7" xfId="16927" xr:uid="{00000000-0005-0000-0000-00003C3F0000}"/>
    <cellStyle name="표준 4 20" xfId="15139" xr:uid="{00000000-0005-0000-0000-00003D3F0000}"/>
    <cellStyle name="표준 4 20 2" xfId="15140" xr:uid="{00000000-0005-0000-0000-00003E3F0000}"/>
    <cellStyle name="표준 4 21" xfId="15141" xr:uid="{00000000-0005-0000-0000-00003F3F0000}"/>
    <cellStyle name="표준 4 21 2" xfId="15142" xr:uid="{00000000-0005-0000-0000-0000403F0000}"/>
    <cellStyle name="표준 4 22" xfId="15143" xr:uid="{00000000-0005-0000-0000-0000413F0000}"/>
    <cellStyle name="표준 4 22 2" xfId="15144" xr:uid="{00000000-0005-0000-0000-0000423F0000}"/>
    <cellStyle name="표준 4 23" xfId="15145" xr:uid="{00000000-0005-0000-0000-0000433F0000}"/>
    <cellStyle name="표준 4 23 2" xfId="15146" xr:uid="{00000000-0005-0000-0000-0000443F0000}"/>
    <cellStyle name="표준 4 24" xfId="15147" xr:uid="{00000000-0005-0000-0000-0000453F0000}"/>
    <cellStyle name="표준 4 24 2" xfId="15148" xr:uid="{00000000-0005-0000-0000-0000463F0000}"/>
    <cellStyle name="표준 4 25" xfId="15149" xr:uid="{00000000-0005-0000-0000-0000473F0000}"/>
    <cellStyle name="표준 4 25 2" xfId="15150" xr:uid="{00000000-0005-0000-0000-0000483F0000}"/>
    <cellStyle name="표준 4 26" xfId="15151" xr:uid="{00000000-0005-0000-0000-0000493F0000}"/>
    <cellStyle name="표준 4 26 2" xfId="15152" xr:uid="{00000000-0005-0000-0000-00004A3F0000}"/>
    <cellStyle name="표준 4 27" xfId="15153" xr:uid="{00000000-0005-0000-0000-00004B3F0000}"/>
    <cellStyle name="표준 4 27 2" xfId="15154" xr:uid="{00000000-0005-0000-0000-00004C3F0000}"/>
    <cellStyle name="표준 4 28" xfId="15155" xr:uid="{00000000-0005-0000-0000-00004D3F0000}"/>
    <cellStyle name="표준 4 28 2" xfId="15156" xr:uid="{00000000-0005-0000-0000-00004E3F0000}"/>
    <cellStyle name="표준 4 29" xfId="15157" xr:uid="{00000000-0005-0000-0000-00004F3F0000}"/>
    <cellStyle name="표준 4 29 2" xfId="15158" xr:uid="{00000000-0005-0000-0000-0000503F0000}"/>
    <cellStyle name="표준 4 3" xfId="15159" xr:uid="{00000000-0005-0000-0000-0000513F0000}"/>
    <cellStyle name="표준 4 3 2" xfId="15160" xr:uid="{00000000-0005-0000-0000-0000523F0000}"/>
    <cellStyle name="표준 4 30" xfId="15161" xr:uid="{00000000-0005-0000-0000-0000533F0000}"/>
    <cellStyle name="표준 4 30 2" xfId="15162" xr:uid="{00000000-0005-0000-0000-0000543F0000}"/>
    <cellStyle name="표준 4 31" xfId="15163" xr:uid="{00000000-0005-0000-0000-0000553F0000}"/>
    <cellStyle name="표준 4 31 2" xfId="15164" xr:uid="{00000000-0005-0000-0000-0000563F0000}"/>
    <cellStyle name="표준 4 32" xfId="15165" xr:uid="{00000000-0005-0000-0000-0000573F0000}"/>
    <cellStyle name="표준 4 32 2" xfId="15166" xr:uid="{00000000-0005-0000-0000-0000583F0000}"/>
    <cellStyle name="표준 4 33" xfId="15167" xr:uid="{00000000-0005-0000-0000-0000593F0000}"/>
    <cellStyle name="표준 4 33 2" xfId="15168" xr:uid="{00000000-0005-0000-0000-00005A3F0000}"/>
    <cellStyle name="표준 4 34" xfId="15169" xr:uid="{00000000-0005-0000-0000-00005B3F0000}"/>
    <cellStyle name="표준 4 34 2" xfId="15170" xr:uid="{00000000-0005-0000-0000-00005C3F0000}"/>
    <cellStyle name="표준 4 35" xfId="15171" xr:uid="{00000000-0005-0000-0000-00005D3F0000}"/>
    <cellStyle name="표준 4 35 2" xfId="15172" xr:uid="{00000000-0005-0000-0000-00005E3F0000}"/>
    <cellStyle name="표준 4 36" xfId="15173" xr:uid="{00000000-0005-0000-0000-00005F3F0000}"/>
    <cellStyle name="표준 4 36 2" xfId="15174" xr:uid="{00000000-0005-0000-0000-0000603F0000}"/>
    <cellStyle name="표준 4 37" xfId="15175" xr:uid="{00000000-0005-0000-0000-0000613F0000}"/>
    <cellStyle name="표준 4 37 2" xfId="15176" xr:uid="{00000000-0005-0000-0000-0000623F0000}"/>
    <cellStyle name="표준 4 38" xfId="15177" xr:uid="{00000000-0005-0000-0000-0000633F0000}"/>
    <cellStyle name="표준 4 38 2" xfId="15178" xr:uid="{00000000-0005-0000-0000-0000643F0000}"/>
    <cellStyle name="표준 4 39" xfId="15179" xr:uid="{00000000-0005-0000-0000-0000653F0000}"/>
    <cellStyle name="표준 4 39 2" xfId="15180" xr:uid="{00000000-0005-0000-0000-0000663F0000}"/>
    <cellStyle name="표준 4 4" xfId="15181" xr:uid="{00000000-0005-0000-0000-0000673F0000}"/>
    <cellStyle name="표준 4 4 2" xfId="15182" xr:uid="{00000000-0005-0000-0000-0000683F0000}"/>
    <cellStyle name="표준 4 40" xfId="15183" xr:uid="{00000000-0005-0000-0000-0000693F0000}"/>
    <cellStyle name="표준 4 40 2" xfId="15184" xr:uid="{00000000-0005-0000-0000-00006A3F0000}"/>
    <cellStyle name="표준 4 41" xfId="15185" xr:uid="{00000000-0005-0000-0000-00006B3F0000}"/>
    <cellStyle name="표준 4 41 2" xfId="15186" xr:uid="{00000000-0005-0000-0000-00006C3F0000}"/>
    <cellStyle name="표준 4 42" xfId="15187" xr:uid="{00000000-0005-0000-0000-00006D3F0000}"/>
    <cellStyle name="표준 4 42 2" xfId="15188" xr:uid="{00000000-0005-0000-0000-00006E3F0000}"/>
    <cellStyle name="표준 4 43" xfId="15189" xr:uid="{00000000-0005-0000-0000-00006F3F0000}"/>
    <cellStyle name="표준 4 43 2" xfId="15190" xr:uid="{00000000-0005-0000-0000-0000703F0000}"/>
    <cellStyle name="표준 4 44" xfId="15191" xr:uid="{00000000-0005-0000-0000-0000713F0000}"/>
    <cellStyle name="표준 4 44 2" xfId="15192" xr:uid="{00000000-0005-0000-0000-0000723F0000}"/>
    <cellStyle name="표준 4 45" xfId="15193" xr:uid="{00000000-0005-0000-0000-0000733F0000}"/>
    <cellStyle name="표준 4 45 2" xfId="15194" xr:uid="{00000000-0005-0000-0000-0000743F0000}"/>
    <cellStyle name="표준 4 46" xfId="15195" xr:uid="{00000000-0005-0000-0000-0000753F0000}"/>
    <cellStyle name="표준 4 46 2" xfId="15196" xr:uid="{00000000-0005-0000-0000-0000763F0000}"/>
    <cellStyle name="표준 4 47" xfId="15197" xr:uid="{00000000-0005-0000-0000-0000773F0000}"/>
    <cellStyle name="표준 4 47 2" xfId="15198" xr:uid="{00000000-0005-0000-0000-0000783F0000}"/>
    <cellStyle name="표준 4 48" xfId="15199" xr:uid="{00000000-0005-0000-0000-0000793F0000}"/>
    <cellStyle name="표준 4 48 2" xfId="15200" xr:uid="{00000000-0005-0000-0000-00007A3F0000}"/>
    <cellStyle name="표준 4 49" xfId="15201" xr:uid="{00000000-0005-0000-0000-00007B3F0000}"/>
    <cellStyle name="표준 4 49 2" xfId="15202" xr:uid="{00000000-0005-0000-0000-00007C3F0000}"/>
    <cellStyle name="표준 4 5" xfId="15203" xr:uid="{00000000-0005-0000-0000-00007D3F0000}"/>
    <cellStyle name="표준 4 5 2" xfId="15204" xr:uid="{00000000-0005-0000-0000-00007E3F0000}"/>
    <cellStyle name="표준 4 50" xfId="15205" xr:uid="{00000000-0005-0000-0000-00007F3F0000}"/>
    <cellStyle name="표준 4 50 2" xfId="15206" xr:uid="{00000000-0005-0000-0000-0000803F0000}"/>
    <cellStyle name="표준 4 51" xfId="15207" xr:uid="{00000000-0005-0000-0000-0000813F0000}"/>
    <cellStyle name="표준 4 51 2" xfId="15208" xr:uid="{00000000-0005-0000-0000-0000823F0000}"/>
    <cellStyle name="표준 4 52" xfId="15209" xr:uid="{00000000-0005-0000-0000-0000833F0000}"/>
    <cellStyle name="표준 4 52 2" xfId="15210" xr:uid="{00000000-0005-0000-0000-0000843F0000}"/>
    <cellStyle name="표준 4 52 2 2" xfId="15211" xr:uid="{00000000-0005-0000-0000-0000853F0000}"/>
    <cellStyle name="표준 4 52 3" xfId="15212" xr:uid="{00000000-0005-0000-0000-0000863F0000}"/>
    <cellStyle name="표준 4 53" xfId="15213" xr:uid="{00000000-0005-0000-0000-0000873F0000}"/>
    <cellStyle name="표준 4 53 2" xfId="15214" xr:uid="{00000000-0005-0000-0000-0000883F0000}"/>
    <cellStyle name="표준 4 53 2 2" xfId="15215" xr:uid="{00000000-0005-0000-0000-0000893F0000}"/>
    <cellStyle name="표준 4 53 3" xfId="15216" xr:uid="{00000000-0005-0000-0000-00008A3F0000}"/>
    <cellStyle name="표준 4 54" xfId="15217" xr:uid="{00000000-0005-0000-0000-00008B3F0000}"/>
    <cellStyle name="표준 4 54 2" xfId="15218" xr:uid="{00000000-0005-0000-0000-00008C3F0000}"/>
    <cellStyle name="표준 4 55" xfId="15219" xr:uid="{00000000-0005-0000-0000-00008D3F0000}"/>
    <cellStyle name="표준 4 55 2" xfId="15220" xr:uid="{00000000-0005-0000-0000-00008E3F0000}"/>
    <cellStyle name="표준 4 56" xfId="15221" xr:uid="{00000000-0005-0000-0000-00008F3F0000}"/>
    <cellStyle name="표준 4 56 2" xfId="15222" xr:uid="{00000000-0005-0000-0000-0000903F0000}"/>
    <cellStyle name="표준 4 57" xfId="15223" xr:uid="{00000000-0005-0000-0000-0000913F0000}"/>
    <cellStyle name="표준 4 57 2" xfId="15224" xr:uid="{00000000-0005-0000-0000-0000923F0000}"/>
    <cellStyle name="표준 4 58" xfId="15225" xr:uid="{00000000-0005-0000-0000-0000933F0000}"/>
    <cellStyle name="표준 4 58 2" xfId="15226" xr:uid="{00000000-0005-0000-0000-0000943F0000}"/>
    <cellStyle name="표준 4 59" xfId="15227" xr:uid="{00000000-0005-0000-0000-0000953F0000}"/>
    <cellStyle name="표준 4 59 2" xfId="15228" xr:uid="{00000000-0005-0000-0000-0000963F0000}"/>
    <cellStyle name="표준 4 6" xfId="15229" xr:uid="{00000000-0005-0000-0000-0000973F0000}"/>
    <cellStyle name="표준 4 6 2" xfId="15230" xr:uid="{00000000-0005-0000-0000-0000983F0000}"/>
    <cellStyle name="표준 4 60" xfId="15231" xr:uid="{00000000-0005-0000-0000-0000993F0000}"/>
    <cellStyle name="표준 4 60 2" xfId="15232" xr:uid="{00000000-0005-0000-0000-00009A3F0000}"/>
    <cellStyle name="표준 4 61" xfId="15233" xr:uid="{00000000-0005-0000-0000-00009B3F0000}"/>
    <cellStyle name="표준 4 61 2" xfId="15234" xr:uid="{00000000-0005-0000-0000-00009C3F0000}"/>
    <cellStyle name="표준 4 62" xfId="15235" xr:uid="{00000000-0005-0000-0000-00009D3F0000}"/>
    <cellStyle name="표준 4 62 2" xfId="15236" xr:uid="{00000000-0005-0000-0000-00009E3F0000}"/>
    <cellStyle name="표준 4 63" xfId="15237" xr:uid="{00000000-0005-0000-0000-00009F3F0000}"/>
    <cellStyle name="표준 4 63 2" xfId="15238" xr:uid="{00000000-0005-0000-0000-0000A03F0000}"/>
    <cellStyle name="표준 4 64" xfId="15239" xr:uid="{00000000-0005-0000-0000-0000A13F0000}"/>
    <cellStyle name="표준 4 64 2" xfId="15240" xr:uid="{00000000-0005-0000-0000-0000A23F0000}"/>
    <cellStyle name="표준 4 65" xfId="15241" xr:uid="{00000000-0005-0000-0000-0000A33F0000}"/>
    <cellStyle name="표준 4 65 2" xfId="15242" xr:uid="{00000000-0005-0000-0000-0000A43F0000}"/>
    <cellStyle name="표준 4 66" xfId="15243" xr:uid="{00000000-0005-0000-0000-0000A53F0000}"/>
    <cellStyle name="표준 4 66 2" xfId="15244" xr:uid="{00000000-0005-0000-0000-0000A63F0000}"/>
    <cellStyle name="표준 4 67" xfId="15245" xr:uid="{00000000-0005-0000-0000-0000A73F0000}"/>
    <cellStyle name="표준 4 67 2" xfId="15246" xr:uid="{00000000-0005-0000-0000-0000A83F0000}"/>
    <cellStyle name="표준 4 68" xfId="15247" xr:uid="{00000000-0005-0000-0000-0000A93F0000}"/>
    <cellStyle name="표준 4 68 2" xfId="15248" xr:uid="{00000000-0005-0000-0000-0000AA3F0000}"/>
    <cellStyle name="표준 4 69" xfId="15249" xr:uid="{00000000-0005-0000-0000-0000AB3F0000}"/>
    <cellStyle name="표준 4 69 2" xfId="15250" xr:uid="{00000000-0005-0000-0000-0000AC3F0000}"/>
    <cellStyle name="표준 4 7" xfId="15251" xr:uid="{00000000-0005-0000-0000-0000AD3F0000}"/>
    <cellStyle name="표준 4 7 2" xfId="15252" xr:uid="{00000000-0005-0000-0000-0000AE3F0000}"/>
    <cellStyle name="표준 4 70" xfId="15253" xr:uid="{00000000-0005-0000-0000-0000AF3F0000}"/>
    <cellStyle name="표준 4 70 2" xfId="15254" xr:uid="{00000000-0005-0000-0000-0000B03F0000}"/>
    <cellStyle name="표준 4 71" xfId="15255" xr:uid="{00000000-0005-0000-0000-0000B13F0000}"/>
    <cellStyle name="표준 4 71 2" xfId="15256" xr:uid="{00000000-0005-0000-0000-0000B23F0000}"/>
    <cellStyle name="표준 4 72" xfId="15257" xr:uid="{00000000-0005-0000-0000-0000B33F0000}"/>
    <cellStyle name="표준 4 72 2" xfId="15258" xr:uid="{00000000-0005-0000-0000-0000B43F0000}"/>
    <cellStyle name="표준 4 73" xfId="15259" xr:uid="{00000000-0005-0000-0000-0000B53F0000}"/>
    <cellStyle name="표준 4 73 2" xfId="15260" xr:uid="{00000000-0005-0000-0000-0000B63F0000}"/>
    <cellStyle name="표준 4 74" xfId="15261" xr:uid="{00000000-0005-0000-0000-0000B73F0000}"/>
    <cellStyle name="표준 4 74 2" xfId="15262" xr:uid="{00000000-0005-0000-0000-0000B83F0000}"/>
    <cellStyle name="표준 4 75" xfId="15263" xr:uid="{00000000-0005-0000-0000-0000B93F0000}"/>
    <cellStyle name="표준 4 75 2" xfId="15264" xr:uid="{00000000-0005-0000-0000-0000BA3F0000}"/>
    <cellStyle name="표준 4 76" xfId="15265" xr:uid="{00000000-0005-0000-0000-0000BB3F0000}"/>
    <cellStyle name="표준 4 76 2" xfId="15266" xr:uid="{00000000-0005-0000-0000-0000BC3F0000}"/>
    <cellStyle name="표준 4 77" xfId="15267" xr:uid="{00000000-0005-0000-0000-0000BD3F0000}"/>
    <cellStyle name="표준 4 77 2" xfId="15268" xr:uid="{00000000-0005-0000-0000-0000BE3F0000}"/>
    <cellStyle name="표준 4 78" xfId="15269" xr:uid="{00000000-0005-0000-0000-0000BF3F0000}"/>
    <cellStyle name="표준 4 78 2" xfId="15270" xr:uid="{00000000-0005-0000-0000-0000C03F0000}"/>
    <cellStyle name="표준 4 79" xfId="15271" xr:uid="{00000000-0005-0000-0000-0000C13F0000}"/>
    <cellStyle name="표준 4 79 2" xfId="15272" xr:uid="{00000000-0005-0000-0000-0000C23F0000}"/>
    <cellStyle name="표준 4 8" xfId="15273" xr:uid="{00000000-0005-0000-0000-0000C33F0000}"/>
    <cellStyle name="표준 4 8 2" xfId="15274" xr:uid="{00000000-0005-0000-0000-0000C43F0000}"/>
    <cellStyle name="표준 4 80" xfId="15275" xr:uid="{00000000-0005-0000-0000-0000C53F0000}"/>
    <cellStyle name="표준 4 80 2" xfId="15276" xr:uid="{00000000-0005-0000-0000-0000C63F0000}"/>
    <cellStyle name="표준 4 81" xfId="15277" xr:uid="{00000000-0005-0000-0000-0000C73F0000}"/>
    <cellStyle name="표준 4 81 2" xfId="15278" xr:uid="{00000000-0005-0000-0000-0000C83F0000}"/>
    <cellStyle name="표준 4 82" xfId="15279" xr:uid="{00000000-0005-0000-0000-0000C93F0000}"/>
    <cellStyle name="표준 4 82 2" xfId="15280" xr:uid="{00000000-0005-0000-0000-0000CA3F0000}"/>
    <cellStyle name="표준 4 83" xfId="15281" xr:uid="{00000000-0005-0000-0000-0000CB3F0000}"/>
    <cellStyle name="표준 4 83 2" xfId="15282" xr:uid="{00000000-0005-0000-0000-0000CC3F0000}"/>
    <cellStyle name="표준 4 84" xfId="15283" xr:uid="{00000000-0005-0000-0000-0000CD3F0000}"/>
    <cellStyle name="표준 4 84 2" xfId="15284" xr:uid="{00000000-0005-0000-0000-0000CE3F0000}"/>
    <cellStyle name="표준 4 85" xfId="15285" xr:uid="{00000000-0005-0000-0000-0000CF3F0000}"/>
    <cellStyle name="표준 4 85 2" xfId="15286" xr:uid="{00000000-0005-0000-0000-0000D03F0000}"/>
    <cellStyle name="표준 4 86" xfId="15287" xr:uid="{00000000-0005-0000-0000-0000D13F0000}"/>
    <cellStyle name="표준 4 86 2" xfId="15288" xr:uid="{00000000-0005-0000-0000-0000D23F0000}"/>
    <cellStyle name="표준 4 87" xfId="15289" xr:uid="{00000000-0005-0000-0000-0000D33F0000}"/>
    <cellStyle name="표준 4 87 2" xfId="15290" xr:uid="{00000000-0005-0000-0000-0000D43F0000}"/>
    <cellStyle name="표준 4 88" xfId="15291" xr:uid="{00000000-0005-0000-0000-0000D53F0000}"/>
    <cellStyle name="표준 4 88 2" xfId="15292" xr:uid="{00000000-0005-0000-0000-0000D63F0000}"/>
    <cellStyle name="표준 4 89" xfId="15293" xr:uid="{00000000-0005-0000-0000-0000D73F0000}"/>
    <cellStyle name="표준 4 89 2" xfId="15294" xr:uid="{00000000-0005-0000-0000-0000D83F0000}"/>
    <cellStyle name="표준 4 9" xfId="15295" xr:uid="{00000000-0005-0000-0000-0000D93F0000}"/>
    <cellStyle name="표준 4 9 2" xfId="15296" xr:uid="{00000000-0005-0000-0000-0000DA3F0000}"/>
    <cellStyle name="표준 4 90" xfId="15297" xr:uid="{00000000-0005-0000-0000-0000DB3F0000}"/>
    <cellStyle name="표준 4 90 2" xfId="15298" xr:uid="{00000000-0005-0000-0000-0000DC3F0000}"/>
    <cellStyle name="표준 4 91" xfId="15299" xr:uid="{00000000-0005-0000-0000-0000DD3F0000}"/>
    <cellStyle name="표준 4 92" xfId="15300" xr:uid="{00000000-0005-0000-0000-0000DE3F0000}"/>
    <cellStyle name="표준 4 93" xfId="15301" xr:uid="{00000000-0005-0000-0000-0000DF3F0000}"/>
    <cellStyle name="표준 4 94" xfId="15302" xr:uid="{00000000-0005-0000-0000-0000E03F0000}"/>
    <cellStyle name="표준 40" xfId="15303" xr:uid="{00000000-0005-0000-0000-0000E13F0000}"/>
    <cellStyle name="표준 41" xfId="15304" xr:uid="{00000000-0005-0000-0000-0000E23F0000}"/>
    <cellStyle name="표준 42" xfId="15305" xr:uid="{00000000-0005-0000-0000-0000E33F0000}"/>
    <cellStyle name="표준 42 2" xfId="15306" xr:uid="{00000000-0005-0000-0000-0000E43F0000}"/>
    <cellStyle name="표준 43" xfId="15307" xr:uid="{00000000-0005-0000-0000-0000E53F0000}"/>
    <cellStyle name="표준 44" xfId="2" xr:uid="{00000000-0005-0000-0000-0000E63F0000}"/>
    <cellStyle name="표준 45" xfId="15895" xr:uid="{00000000-0005-0000-0000-0000E73F0000}"/>
    <cellStyle name="표준 46" xfId="15900" xr:uid="{00000000-0005-0000-0000-0000E83F0000}"/>
    <cellStyle name="표준 47" xfId="15903" xr:uid="{00000000-0005-0000-0000-0000E93F0000}"/>
    <cellStyle name="표준 48" xfId="15906" xr:uid="{00000000-0005-0000-0000-0000EA3F0000}"/>
    <cellStyle name="표준 49" xfId="15909" xr:uid="{00000000-0005-0000-0000-0000EB3F0000}"/>
    <cellStyle name="표준 5" xfId="15308" xr:uid="{00000000-0005-0000-0000-0000EC3F0000}"/>
    <cellStyle name="표준 5 10" xfId="15309" xr:uid="{00000000-0005-0000-0000-0000ED3F0000}"/>
    <cellStyle name="표준 5 10 2" xfId="15310" xr:uid="{00000000-0005-0000-0000-0000EE3F0000}"/>
    <cellStyle name="표준 5 11" xfId="15311" xr:uid="{00000000-0005-0000-0000-0000EF3F0000}"/>
    <cellStyle name="표준 5 11 2" xfId="15312" xr:uid="{00000000-0005-0000-0000-0000F03F0000}"/>
    <cellStyle name="표준 5 12" xfId="15313" xr:uid="{00000000-0005-0000-0000-0000F13F0000}"/>
    <cellStyle name="표준 5 12 2" xfId="15314" xr:uid="{00000000-0005-0000-0000-0000F23F0000}"/>
    <cellStyle name="표준 5 13" xfId="15315" xr:uid="{00000000-0005-0000-0000-0000F33F0000}"/>
    <cellStyle name="표준 5 13 2" xfId="15316" xr:uid="{00000000-0005-0000-0000-0000F43F0000}"/>
    <cellStyle name="표준 5 14" xfId="15317" xr:uid="{00000000-0005-0000-0000-0000F53F0000}"/>
    <cellStyle name="표준 5 14 2" xfId="15318" xr:uid="{00000000-0005-0000-0000-0000F63F0000}"/>
    <cellStyle name="표준 5 15" xfId="15319" xr:uid="{00000000-0005-0000-0000-0000F73F0000}"/>
    <cellStyle name="표준 5 15 2" xfId="15320" xr:uid="{00000000-0005-0000-0000-0000F83F0000}"/>
    <cellStyle name="표준 5 16" xfId="15321" xr:uid="{00000000-0005-0000-0000-0000F93F0000}"/>
    <cellStyle name="표준 5 16 2" xfId="15322" xr:uid="{00000000-0005-0000-0000-0000FA3F0000}"/>
    <cellStyle name="표준 5 17" xfId="15323" xr:uid="{00000000-0005-0000-0000-0000FB3F0000}"/>
    <cellStyle name="표준 5 17 2" xfId="15324" xr:uid="{00000000-0005-0000-0000-0000FC3F0000}"/>
    <cellStyle name="표준 5 18" xfId="15325" xr:uid="{00000000-0005-0000-0000-0000FD3F0000}"/>
    <cellStyle name="표준 5 18 2" xfId="15326" xr:uid="{00000000-0005-0000-0000-0000FE3F0000}"/>
    <cellStyle name="표준 5 19" xfId="15327" xr:uid="{00000000-0005-0000-0000-0000FF3F0000}"/>
    <cellStyle name="표준 5 19 2" xfId="15328" xr:uid="{00000000-0005-0000-0000-000000400000}"/>
    <cellStyle name="표준 5 2" xfId="15329" xr:uid="{00000000-0005-0000-0000-000001400000}"/>
    <cellStyle name="표준 5 2 2" xfId="15330" xr:uid="{00000000-0005-0000-0000-000002400000}"/>
    <cellStyle name="표준 5 2 3" xfId="15331" xr:uid="{00000000-0005-0000-0000-000003400000}"/>
    <cellStyle name="표준 5 2 4" xfId="16769" xr:uid="{00000000-0005-0000-0000-000004400000}"/>
    <cellStyle name="표준 5 20" xfId="15332" xr:uid="{00000000-0005-0000-0000-000005400000}"/>
    <cellStyle name="표준 5 20 2" xfId="15333" xr:uid="{00000000-0005-0000-0000-000006400000}"/>
    <cellStyle name="표준 5 21" xfId="15334" xr:uid="{00000000-0005-0000-0000-000007400000}"/>
    <cellStyle name="표준 5 21 2" xfId="15335" xr:uid="{00000000-0005-0000-0000-000008400000}"/>
    <cellStyle name="표준 5 22" xfId="15336" xr:uid="{00000000-0005-0000-0000-000009400000}"/>
    <cellStyle name="표준 5 22 2" xfId="15337" xr:uid="{00000000-0005-0000-0000-00000A400000}"/>
    <cellStyle name="표준 5 23" xfId="15338" xr:uid="{00000000-0005-0000-0000-00000B400000}"/>
    <cellStyle name="표준 5 23 2" xfId="15339" xr:uid="{00000000-0005-0000-0000-00000C400000}"/>
    <cellStyle name="표준 5 24" xfId="15340" xr:uid="{00000000-0005-0000-0000-00000D400000}"/>
    <cellStyle name="표준 5 24 2" xfId="15341" xr:uid="{00000000-0005-0000-0000-00000E400000}"/>
    <cellStyle name="표준 5 25" xfId="15342" xr:uid="{00000000-0005-0000-0000-00000F400000}"/>
    <cellStyle name="표준 5 25 2" xfId="15343" xr:uid="{00000000-0005-0000-0000-000010400000}"/>
    <cellStyle name="표준 5 26" xfId="15344" xr:uid="{00000000-0005-0000-0000-000011400000}"/>
    <cellStyle name="표준 5 26 2" xfId="15345" xr:uid="{00000000-0005-0000-0000-000012400000}"/>
    <cellStyle name="표준 5 27" xfId="15346" xr:uid="{00000000-0005-0000-0000-000013400000}"/>
    <cellStyle name="표준 5 27 2" xfId="15347" xr:uid="{00000000-0005-0000-0000-000014400000}"/>
    <cellStyle name="표준 5 28" xfId="15348" xr:uid="{00000000-0005-0000-0000-000015400000}"/>
    <cellStyle name="표준 5 28 2" xfId="15349" xr:uid="{00000000-0005-0000-0000-000016400000}"/>
    <cellStyle name="표준 5 29" xfId="15350" xr:uid="{00000000-0005-0000-0000-000017400000}"/>
    <cellStyle name="표준 5 29 2" xfId="15351" xr:uid="{00000000-0005-0000-0000-000018400000}"/>
    <cellStyle name="표준 5 3" xfId="15352" xr:uid="{00000000-0005-0000-0000-000019400000}"/>
    <cellStyle name="표준 5 3 2" xfId="15353" xr:uid="{00000000-0005-0000-0000-00001A400000}"/>
    <cellStyle name="표준 5 3 3" xfId="16821" xr:uid="{00000000-0005-0000-0000-00001B400000}"/>
    <cellStyle name="표준 5 30" xfId="15354" xr:uid="{00000000-0005-0000-0000-00001C400000}"/>
    <cellStyle name="표준 5 30 2" xfId="15355" xr:uid="{00000000-0005-0000-0000-00001D400000}"/>
    <cellStyle name="표준 5 31" xfId="15356" xr:uid="{00000000-0005-0000-0000-00001E400000}"/>
    <cellStyle name="표준 5 31 2" xfId="15357" xr:uid="{00000000-0005-0000-0000-00001F400000}"/>
    <cellStyle name="표준 5 32" xfId="15358" xr:uid="{00000000-0005-0000-0000-000020400000}"/>
    <cellStyle name="표준 5 32 2" xfId="15359" xr:uid="{00000000-0005-0000-0000-000021400000}"/>
    <cellStyle name="표준 5 33" xfId="15360" xr:uid="{00000000-0005-0000-0000-000022400000}"/>
    <cellStyle name="표준 5 33 2" xfId="15361" xr:uid="{00000000-0005-0000-0000-000023400000}"/>
    <cellStyle name="표준 5 34" xfId="15362" xr:uid="{00000000-0005-0000-0000-000024400000}"/>
    <cellStyle name="표준 5 34 2" xfId="15363" xr:uid="{00000000-0005-0000-0000-000025400000}"/>
    <cellStyle name="표준 5 35" xfId="15364" xr:uid="{00000000-0005-0000-0000-000026400000}"/>
    <cellStyle name="표준 5 35 2" xfId="15365" xr:uid="{00000000-0005-0000-0000-000027400000}"/>
    <cellStyle name="표준 5 36" xfId="15366" xr:uid="{00000000-0005-0000-0000-000028400000}"/>
    <cellStyle name="표준 5 36 2" xfId="15367" xr:uid="{00000000-0005-0000-0000-000029400000}"/>
    <cellStyle name="표준 5 37" xfId="15368" xr:uid="{00000000-0005-0000-0000-00002A400000}"/>
    <cellStyle name="표준 5 37 2" xfId="15369" xr:uid="{00000000-0005-0000-0000-00002B400000}"/>
    <cellStyle name="표준 5 38" xfId="15370" xr:uid="{00000000-0005-0000-0000-00002C400000}"/>
    <cellStyle name="표준 5 38 2" xfId="15371" xr:uid="{00000000-0005-0000-0000-00002D400000}"/>
    <cellStyle name="표준 5 39" xfId="15372" xr:uid="{00000000-0005-0000-0000-00002E400000}"/>
    <cellStyle name="표준 5 39 2" xfId="15373" xr:uid="{00000000-0005-0000-0000-00002F400000}"/>
    <cellStyle name="표준 5 4" xfId="15374" xr:uid="{00000000-0005-0000-0000-000030400000}"/>
    <cellStyle name="표준 5 4 2" xfId="15375" xr:uid="{00000000-0005-0000-0000-000031400000}"/>
    <cellStyle name="표준 5 40" xfId="15376" xr:uid="{00000000-0005-0000-0000-000032400000}"/>
    <cellStyle name="표준 5 40 2" xfId="15377" xr:uid="{00000000-0005-0000-0000-000033400000}"/>
    <cellStyle name="표준 5 41" xfId="15378" xr:uid="{00000000-0005-0000-0000-000034400000}"/>
    <cellStyle name="표준 5 41 2" xfId="15379" xr:uid="{00000000-0005-0000-0000-000035400000}"/>
    <cellStyle name="표준 5 42" xfId="15380" xr:uid="{00000000-0005-0000-0000-000036400000}"/>
    <cellStyle name="표준 5 42 2" xfId="15381" xr:uid="{00000000-0005-0000-0000-000037400000}"/>
    <cellStyle name="표준 5 43" xfId="15382" xr:uid="{00000000-0005-0000-0000-000038400000}"/>
    <cellStyle name="표준 5 43 2" xfId="15383" xr:uid="{00000000-0005-0000-0000-000039400000}"/>
    <cellStyle name="표준 5 44" xfId="15384" xr:uid="{00000000-0005-0000-0000-00003A400000}"/>
    <cellStyle name="표준 5 44 2" xfId="15385" xr:uid="{00000000-0005-0000-0000-00003B400000}"/>
    <cellStyle name="표준 5 45" xfId="15386" xr:uid="{00000000-0005-0000-0000-00003C400000}"/>
    <cellStyle name="표준 5 45 2" xfId="15387" xr:uid="{00000000-0005-0000-0000-00003D400000}"/>
    <cellStyle name="표준 5 46" xfId="15388" xr:uid="{00000000-0005-0000-0000-00003E400000}"/>
    <cellStyle name="표준 5 46 2" xfId="15389" xr:uid="{00000000-0005-0000-0000-00003F400000}"/>
    <cellStyle name="표준 5 47" xfId="15390" xr:uid="{00000000-0005-0000-0000-000040400000}"/>
    <cellStyle name="표준 5 47 2" xfId="15391" xr:uid="{00000000-0005-0000-0000-000041400000}"/>
    <cellStyle name="표준 5 48" xfId="15392" xr:uid="{00000000-0005-0000-0000-000042400000}"/>
    <cellStyle name="표준 5 48 2" xfId="15393" xr:uid="{00000000-0005-0000-0000-000043400000}"/>
    <cellStyle name="표준 5 49" xfId="15394" xr:uid="{00000000-0005-0000-0000-000044400000}"/>
    <cellStyle name="표준 5 49 2" xfId="15395" xr:uid="{00000000-0005-0000-0000-000045400000}"/>
    <cellStyle name="표준 5 5" xfId="15396" xr:uid="{00000000-0005-0000-0000-000046400000}"/>
    <cellStyle name="표준 5 5 2" xfId="15397" xr:uid="{00000000-0005-0000-0000-000047400000}"/>
    <cellStyle name="표준 5 50" xfId="15398" xr:uid="{00000000-0005-0000-0000-000048400000}"/>
    <cellStyle name="표준 5 50 2" xfId="15399" xr:uid="{00000000-0005-0000-0000-000049400000}"/>
    <cellStyle name="표준 5 51" xfId="15400" xr:uid="{00000000-0005-0000-0000-00004A400000}"/>
    <cellStyle name="표준 5 51 2" xfId="15401" xr:uid="{00000000-0005-0000-0000-00004B400000}"/>
    <cellStyle name="표준 5 52" xfId="15402" xr:uid="{00000000-0005-0000-0000-00004C400000}"/>
    <cellStyle name="표준 5 52 2" xfId="15403" xr:uid="{00000000-0005-0000-0000-00004D400000}"/>
    <cellStyle name="표준 5 53" xfId="15404" xr:uid="{00000000-0005-0000-0000-00004E400000}"/>
    <cellStyle name="표준 5 53 2" xfId="15405" xr:uid="{00000000-0005-0000-0000-00004F400000}"/>
    <cellStyle name="표준 5 54" xfId="15406" xr:uid="{00000000-0005-0000-0000-000050400000}"/>
    <cellStyle name="표준 5 54 2" xfId="15407" xr:uid="{00000000-0005-0000-0000-000051400000}"/>
    <cellStyle name="표준 5 55" xfId="15408" xr:uid="{00000000-0005-0000-0000-000052400000}"/>
    <cellStyle name="표준 5 55 2" xfId="15409" xr:uid="{00000000-0005-0000-0000-000053400000}"/>
    <cellStyle name="표준 5 56" xfId="15410" xr:uid="{00000000-0005-0000-0000-000054400000}"/>
    <cellStyle name="표준 5 56 2" xfId="15411" xr:uid="{00000000-0005-0000-0000-000055400000}"/>
    <cellStyle name="표준 5 57" xfId="15412" xr:uid="{00000000-0005-0000-0000-000056400000}"/>
    <cellStyle name="표준 5 57 2" xfId="15413" xr:uid="{00000000-0005-0000-0000-000057400000}"/>
    <cellStyle name="표준 5 58" xfId="15414" xr:uid="{00000000-0005-0000-0000-000058400000}"/>
    <cellStyle name="표준 5 58 2" xfId="15415" xr:uid="{00000000-0005-0000-0000-000059400000}"/>
    <cellStyle name="표준 5 59" xfId="15416" xr:uid="{00000000-0005-0000-0000-00005A400000}"/>
    <cellStyle name="표준 5 59 2" xfId="15417" xr:uid="{00000000-0005-0000-0000-00005B400000}"/>
    <cellStyle name="표준 5 6" xfId="15418" xr:uid="{00000000-0005-0000-0000-00005C400000}"/>
    <cellStyle name="표준 5 6 2" xfId="15419" xr:uid="{00000000-0005-0000-0000-00005D400000}"/>
    <cellStyle name="표준 5 60" xfId="15420" xr:uid="{00000000-0005-0000-0000-00005E400000}"/>
    <cellStyle name="표준 5 60 2" xfId="15421" xr:uid="{00000000-0005-0000-0000-00005F400000}"/>
    <cellStyle name="표준 5 61" xfId="15422" xr:uid="{00000000-0005-0000-0000-000060400000}"/>
    <cellStyle name="표준 5 61 2" xfId="15423" xr:uid="{00000000-0005-0000-0000-000061400000}"/>
    <cellStyle name="표준 5 62" xfId="15424" xr:uid="{00000000-0005-0000-0000-000062400000}"/>
    <cellStyle name="표준 5 62 2" xfId="15425" xr:uid="{00000000-0005-0000-0000-000063400000}"/>
    <cellStyle name="표준 5 63" xfId="15426" xr:uid="{00000000-0005-0000-0000-000064400000}"/>
    <cellStyle name="표준 5 63 2" xfId="15427" xr:uid="{00000000-0005-0000-0000-000065400000}"/>
    <cellStyle name="표준 5 64" xfId="15428" xr:uid="{00000000-0005-0000-0000-000066400000}"/>
    <cellStyle name="표준 5 64 2" xfId="15429" xr:uid="{00000000-0005-0000-0000-000067400000}"/>
    <cellStyle name="표준 5 65" xfId="15430" xr:uid="{00000000-0005-0000-0000-000068400000}"/>
    <cellStyle name="표준 5 65 2" xfId="15431" xr:uid="{00000000-0005-0000-0000-000069400000}"/>
    <cellStyle name="표준 5 66" xfId="15432" xr:uid="{00000000-0005-0000-0000-00006A400000}"/>
    <cellStyle name="표준 5 66 2" xfId="15433" xr:uid="{00000000-0005-0000-0000-00006B400000}"/>
    <cellStyle name="표준 5 67" xfId="15434" xr:uid="{00000000-0005-0000-0000-00006C400000}"/>
    <cellStyle name="표준 5 67 2" xfId="15435" xr:uid="{00000000-0005-0000-0000-00006D400000}"/>
    <cellStyle name="표준 5 68" xfId="15436" xr:uid="{00000000-0005-0000-0000-00006E400000}"/>
    <cellStyle name="표준 5 68 2" xfId="15437" xr:uid="{00000000-0005-0000-0000-00006F400000}"/>
    <cellStyle name="표준 5 69" xfId="15438" xr:uid="{00000000-0005-0000-0000-000070400000}"/>
    <cellStyle name="표준 5 69 2" xfId="15439" xr:uid="{00000000-0005-0000-0000-000071400000}"/>
    <cellStyle name="표준 5 7" xfId="15440" xr:uid="{00000000-0005-0000-0000-000072400000}"/>
    <cellStyle name="표준 5 7 2" xfId="15441" xr:uid="{00000000-0005-0000-0000-000073400000}"/>
    <cellStyle name="표준 5 70" xfId="15442" xr:uid="{00000000-0005-0000-0000-000074400000}"/>
    <cellStyle name="표준 5 70 2" xfId="15443" xr:uid="{00000000-0005-0000-0000-000075400000}"/>
    <cellStyle name="표준 5 71" xfId="15444" xr:uid="{00000000-0005-0000-0000-000076400000}"/>
    <cellStyle name="표준 5 71 2" xfId="15445" xr:uid="{00000000-0005-0000-0000-000077400000}"/>
    <cellStyle name="표준 5 72" xfId="15446" xr:uid="{00000000-0005-0000-0000-000078400000}"/>
    <cellStyle name="표준 5 72 2" xfId="15447" xr:uid="{00000000-0005-0000-0000-000079400000}"/>
    <cellStyle name="표준 5 73" xfId="15448" xr:uid="{00000000-0005-0000-0000-00007A400000}"/>
    <cellStyle name="표준 5 73 2" xfId="15449" xr:uid="{00000000-0005-0000-0000-00007B400000}"/>
    <cellStyle name="표준 5 74" xfId="15450" xr:uid="{00000000-0005-0000-0000-00007C400000}"/>
    <cellStyle name="표준 5 74 2" xfId="15451" xr:uid="{00000000-0005-0000-0000-00007D400000}"/>
    <cellStyle name="표준 5 75" xfId="15452" xr:uid="{00000000-0005-0000-0000-00007E400000}"/>
    <cellStyle name="표준 5 75 2" xfId="15453" xr:uid="{00000000-0005-0000-0000-00007F400000}"/>
    <cellStyle name="표준 5 76" xfId="15454" xr:uid="{00000000-0005-0000-0000-000080400000}"/>
    <cellStyle name="표준 5 76 2" xfId="15455" xr:uid="{00000000-0005-0000-0000-000081400000}"/>
    <cellStyle name="표준 5 77" xfId="15456" xr:uid="{00000000-0005-0000-0000-000082400000}"/>
    <cellStyle name="표준 5 77 2" xfId="15457" xr:uid="{00000000-0005-0000-0000-000083400000}"/>
    <cellStyle name="표준 5 78" xfId="15458" xr:uid="{00000000-0005-0000-0000-000084400000}"/>
    <cellStyle name="표준 5 78 2" xfId="15459" xr:uid="{00000000-0005-0000-0000-000085400000}"/>
    <cellStyle name="표준 5 79" xfId="15460" xr:uid="{00000000-0005-0000-0000-000086400000}"/>
    <cellStyle name="표준 5 79 2" xfId="15461" xr:uid="{00000000-0005-0000-0000-000087400000}"/>
    <cellStyle name="표준 5 8" xfId="15462" xr:uid="{00000000-0005-0000-0000-000088400000}"/>
    <cellStyle name="표준 5 8 2" xfId="15463" xr:uid="{00000000-0005-0000-0000-000089400000}"/>
    <cellStyle name="표준 5 80" xfId="15464" xr:uid="{00000000-0005-0000-0000-00008A400000}"/>
    <cellStyle name="표준 5 80 2" xfId="15465" xr:uid="{00000000-0005-0000-0000-00008B400000}"/>
    <cellStyle name="표준 5 81" xfId="15466" xr:uid="{00000000-0005-0000-0000-00008C400000}"/>
    <cellStyle name="표준 5 81 2" xfId="15467" xr:uid="{00000000-0005-0000-0000-00008D400000}"/>
    <cellStyle name="표준 5 82" xfId="15468" xr:uid="{00000000-0005-0000-0000-00008E400000}"/>
    <cellStyle name="표준 5 82 2" xfId="15469" xr:uid="{00000000-0005-0000-0000-00008F400000}"/>
    <cellStyle name="표준 5 83" xfId="15470" xr:uid="{00000000-0005-0000-0000-000090400000}"/>
    <cellStyle name="표준 5 83 2" xfId="15471" xr:uid="{00000000-0005-0000-0000-000091400000}"/>
    <cellStyle name="표준 5 84" xfId="15472" xr:uid="{00000000-0005-0000-0000-000092400000}"/>
    <cellStyle name="표준 5 84 2" xfId="15473" xr:uid="{00000000-0005-0000-0000-000093400000}"/>
    <cellStyle name="표준 5 85" xfId="15474" xr:uid="{00000000-0005-0000-0000-000094400000}"/>
    <cellStyle name="표준 5 85 2" xfId="15475" xr:uid="{00000000-0005-0000-0000-000095400000}"/>
    <cellStyle name="표준 5 86" xfId="15476" xr:uid="{00000000-0005-0000-0000-000096400000}"/>
    <cellStyle name="표준 5 86 2" xfId="15477" xr:uid="{00000000-0005-0000-0000-000097400000}"/>
    <cellStyle name="표준 5 87" xfId="15478" xr:uid="{00000000-0005-0000-0000-000098400000}"/>
    <cellStyle name="표준 5 87 2" xfId="15479" xr:uid="{00000000-0005-0000-0000-000099400000}"/>
    <cellStyle name="표준 5 88" xfId="15480" xr:uid="{00000000-0005-0000-0000-00009A400000}"/>
    <cellStyle name="표준 5 89" xfId="15481" xr:uid="{00000000-0005-0000-0000-00009B400000}"/>
    <cellStyle name="표준 5 9" xfId="15482" xr:uid="{00000000-0005-0000-0000-00009C400000}"/>
    <cellStyle name="표준 5 9 2" xfId="15483" xr:uid="{00000000-0005-0000-0000-00009D400000}"/>
    <cellStyle name="표준 5 90" xfId="16768" xr:uid="{00000000-0005-0000-0000-00009E400000}"/>
    <cellStyle name="표준 5_롯데 일산점 무대조명_총괄표_100503_수정" xfId="15484" xr:uid="{00000000-0005-0000-0000-00009F400000}"/>
    <cellStyle name="표준 50" xfId="15912" xr:uid="{00000000-0005-0000-0000-0000A0400000}"/>
    <cellStyle name="표준 51" xfId="15915" xr:uid="{00000000-0005-0000-0000-0000A1400000}"/>
    <cellStyle name="표준 52" xfId="15918" xr:uid="{00000000-0005-0000-0000-0000A2400000}"/>
    <cellStyle name="표준 53" xfId="15921" xr:uid="{00000000-0005-0000-0000-0000A3400000}"/>
    <cellStyle name="표준 54" xfId="15924" xr:uid="{00000000-0005-0000-0000-0000A4400000}"/>
    <cellStyle name="표준 55" xfId="15925" xr:uid="{00000000-0005-0000-0000-0000A5400000}"/>
    <cellStyle name="표준 56" xfId="15926" xr:uid="{00000000-0005-0000-0000-0000A6400000}"/>
    <cellStyle name="표준 57" xfId="15927" xr:uid="{00000000-0005-0000-0000-0000A7400000}"/>
    <cellStyle name="표준 58" xfId="15931" xr:uid="{00000000-0005-0000-0000-0000A8400000}"/>
    <cellStyle name="표준 59" xfId="15935" xr:uid="{00000000-0005-0000-0000-0000A9400000}"/>
    <cellStyle name="표준 6" xfId="15485" xr:uid="{00000000-0005-0000-0000-0000AA400000}"/>
    <cellStyle name="표준 6 10" xfId="15486" xr:uid="{00000000-0005-0000-0000-0000AB400000}"/>
    <cellStyle name="표준 6 10 2" xfId="15487" xr:uid="{00000000-0005-0000-0000-0000AC400000}"/>
    <cellStyle name="표준 6 11" xfId="15488" xr:uid="{00000000-0005-0000-0000-0000AD400000}"/>
    <cellStyle name="표준 6 11 2" xfId="15489" xr:uid="{00000000-0005-0000-0000-0000AE400000}"/>
    <cellStyle name="표준 6 12" xfId="15490" xr:uid="{00000000-0005-0000-0000-0000AF400000}"/>
    <cellStyle name="표준 6 12 2" xfId="15491" xr:uid="{00000000-0005-0000-0000-0000B0400000}"/>
    <cellStyle name="표준 6 13" xfId="15492" xr:uid="{00000000-0005-0000-0000-0000B1400000}"/>
    <cellStyle name="표준 6 13 2" xfId="15493" xr:uid="{00000000-0005-0000-0000-0000B2400000}"/>
    <cellStyle name="표준 6 14" xfId="15494" xr:uid="{00000000-0005-0000-0000-0000B3400000}"/>
    <cellStyle name="표준 6 14 2" xfId="15495" xr:uid="{00000000-0005-0000-0000-0000B4400000}"/>
    <cellStyle name="표준 6 15" xfId="15496" xr:uid="{00000000-0005-0000-0000-0000B5400000}"/>
    <cellStyle name="표준 6 15 2" xfId="15497" xr:uid="{00000000-0005-0000-0000-0000B6400000}"/>
    <cellStyle name="표준 6 16" xfId="15498" xr:uid="{00000000-0005-0000-0000-0000B7400000}"/>
    <cellStyle name="표준 6 16 2" xfId="15499" xr:uid="{00000000-0005-0000-0000-0000B8400000}"/>
    <cellStyle name="표준 6 17" xfId="15500" xr:uid="{00000000-0005-0000-0000-0000B9400000}"/>
    <cellStyle name="표준 6 17 2" xfId="15501" xr:uid="{00000000-0005-0000-0000-0000BA400000}"/>
    <cellStyle name="표준 6 18" xfId="15502" xr:uid="{00000000-0005-0000-0000-0000BB400000}"/>
    <cellStyle name="표준 6 18 2" xfId="15503" xr:uid="{00000000-0005-0000-0000-0000BC400000}"/>
    <cellStyle name="표준 6 19" xfId="15504" xr:uid="{00000000-0005-0000-0000-0000BD400000}"/>
    <cellStyle name="표준 6 19 2" xfId="15505" xr:uid="{00000000-0005-0000-0000-0000BE400000}"/>
    <cellStyle name="표준 6 2" xfId="15506" xr:uid="{00000000-0005-0000-0000-0000BF400000}"/>
    <cellStyle name="표준 6 2 2" xfId="15507" xr:uid="{00000000-0005-0000-0000-0000C0400000}"/>
    <cellStyle name="표준 6 2 3" xfId="16822" xr:uid="{00000000-0005-0000-0000-0000C1400000}"/>
    <cellStyle name="표준 6 2 4" xfId="16924" xr:uid="{00000000-0005-0000-0000-0000C2400000}"/>
    <cellStyle name="표준 6 20" xfId="15508" xr:uid="{00000000-0005-0000-0000-0000C3400000}"/>
    <cellStyle name="표준 6 20 2" xfId="15509" xr:uid="{00000000-0005-0000-0000-0000C4400000}"/>
    <cellStyle name="표준 6 21" xfId="15510" xr:uid="{00000000-0005-0000-0000-0000C5400000}"/>
    <cellStyle name="표준 6 21 2" xfId="15511" xr:uid="{00000000-0005-0000-0000-0000C6400000}"/>
    <cellStyle name="표준 6 22" xfId="15512" xr:uid="{00000000-0005-0000-0000-0000C7400000}"/>
    <cellStyle name="표준 6 22 2" xfId="15513" xr:uid="{00000000-0005-0000-0000-0000C8400000}"/>
    <cellStyle name="표준 6 23" xfId="15514" xr:uid="{00000000-0005-0000-0000-0000C9400000}"/>
    <cellStyle name="표준 6 23 2" xfId="15515" xr:uid="{00000000-0005-0000-0000-0000CA400000}"/>
    <cellStyle name="표준 6 24" xfId="15516" xr:uid="{00000000-0005-0000-0000-0000CB400000}"/>
    <cellStyle name="표준 6 24 2" xfId="15517" xr:uid="{00000000-0005-0000-0000-0000CC400000}"/>
    <cellStyle name="표준 6 25" xfId="15518" xr:uid="{00000000-0005-0000-0000-0000CD400000}"/>
    <cellStyle name="표준 6 25 2" xfId="15519" xr:uid="{00000000-0005-0000-0000-0000CE400000}"/>
    <cellStyle name="표준 6 26" xfId="15520" xr:uid="{00000000-0005-0000-0000-0000CF400000}"/>
    <cellStyle name="표준 6 26 2" xfId="15521" xr:uid="{00000000-0005-0000-0000-0000D0400000}"/>
    <cellStyle name="표준 6 27" xfId="15522" xr:uid="{00000000-0005-0000-0000-0000D1400000}"/>
    <cellStyle name="표준 6 27 2" xfId="15523" xr:uid="{00000000-0005-0000-0000-0000D2400000}"/>
    <cellStyle name="표준 6 28" xfId="15524" xr:uid="{00000000-0005-0000-0000-0000D3400000}"/>
    <cellStyle name="표준 6 28 2" xfId="15525" xr:uid="{00000000-0005-0000-0000-0000D4400000}"/>
    <cellStyle name="표준 6 29" xfId="15526" xr:uid="{00000000-0005-0000-0000-0000D5400000}"/>
    <cellStyle name="표준 6 29 2" xfId="15527" xr:uid="{00000000-0005-0000-0000-0000D6400000}"/>
    <cellStyle name="표준 6 3" xfId="15528" xr:uid="{00000000-0005-0000-0000-0000D7400000}"/>
    <cellStyle name="표준 6 3 2" xfId="15529" xr:uid="{00000000-0005-0000-0000-0000D8400000}"/>
    <cellStyle name="표준 6 30" xfId="15530" xr:uid="{00000000-0005-0000-0000-0000D9400000}"/>
    <cellStyle name="표준 6 30 2" xfId="15531" xr:uid="{00000000-0005-0000-0000-0000DA400000}"/>
    <cellStyle name="표준 6 31" xfId="15532" xr:uid="{00000000-0005-0000-0000-0000DB400000}"/>
    <cellStyle name="표준 6 31 2" xfId="15533" xr:uid="{00000000-0005-0000-0000-0000DC400000}"/>
    <cellStyle name="표준 6 32" xfId="15534" xr:uid="{00000000-0005-0000-0000-0000DD400000}"/>
    <cellStyle name="표준 6 32 2" xfId="15535" xr:uid="{00000000-0005-0000-0000-0000DE400000}"/>
    <cellStyle name="표준 6 33" xfId="15536" xr:uid="{00000000-0005-0000-0000-0000DF400000}"/>
    <cellStyle name="표준 6 33 2" xfId="15537" xr:uid="{00000000-0005-0000-0000-0000E0400000}"/>
    <cellStyle name="표준 6 34" xfId="15538" xr:uid="{00000000-0005-0000-0000-0000E1400000}"/>
    <cellStyle name="표준 6 34 2" xfId="15539" xr:uid="{00000000-0005-0000-0000-0000E2400000}"/>
    <cellStyle name="표준 6 35" xfId="15540" xr:uid="{00000000-0005-0000-0000-0000E3400000}"/>
    <cellStyle name="표준 6 35 2" xfId="15541" xr:uid="{00000000-0005-0000-0000-0000E4400000}"/>
    <cellStyle name="표준 6 36" xfId="15542" xr:uid="{00000000-0005-0000-0000-0000E5400000}"/>
    <cellStyle name="표준 6 36 2" xfId="15543" xr:uid="{00000000-0005-0000-0000-0000E6400000}"/>
    <cellStyle name="표준 6 37" xfId="15544" xr:uid="{00000000-0005-0000-0000-0000E7400000}"/>
    <cellStyle name="표준 6 37 2" xfId="15545" xr:uid="{00000000-0005-0000-0000-0000E8400000}"/>
    <cellStyle name="표준 6 38" xfId="15546" xr:uid="{00000000-0005-0000-0000-0000E9400000}"/>
    <cellStyle name="표준 6 38 2" xfId="15547" xr:uid="{00000000-0005-0000-0000-0000EA400000}"/>
    <cellStyle name="표준 6 39" xfId="15548" xr:uid="{00000000-0005-0000-0000-0000EB400000}"/>
    <cellStyle name="표준 6 39 2" xfId="15549" xr:uid="{00000000-0005-0000-0000-0000EC400000}"/>
    <cellStyle name="표준 6 4" xfId="15550" xr:uid="{00000000-0005-0000-0000-0000ED400000}"/>
    <cellStyle name="표준 6 4 2" xfId="15551" xr:uid="{00000000-0005-0000-0000-0000EE400000}"/>
    <cellStyle name="표준 6 40" xfId="15552" xr:uid="{00000000-0005-0000-0000-0000EF400000}"/>
    <cellStyle name="표준 6 40 2" xfId="15553" xr:uid="{00000000-0005-0000-0000-0000F0400000}"/>
    <cellStyle name="표준 6 41" xfId="15554" xr:uid="{00000000-0005-0000-0000-0000F1400000}"/>
    <cellStyle name="표준 6 41 2" xfId="15555" xr:uid="{00000000-0005-0000-0000-0000F2400000}"/>
    <cellStyle name="표준 6 42" xfId="15556" xr:uid="{00000000-0005-0000-0000-0000F3400000}"/>
    <cellStyle name="표준 6 42 2" xfId="15557" xr:uid="{00000000-0005-0000-0000-0000F4400000}"/>
    <cellStyle name="표준 6 43" xfId="15558" xr:uid="{00000000-0005-0000-0000-0000F5400000}"/>
    <cellStyle name="표준 6 43 2" xfId="15559" xr:uid="{00000000-0005-0000-0000-0000F6400000}"/>
    <cellStyle name="표준 6 44" xfId="15560" xr:uid="{00000000-0005-0000-0000-0000F7400000}"/>
    <cellStyle name="표준 6 44 2" xfId="15561" xr:uid="{00000000-0005-0000-0000-0000F8400000}"/>
    <cellStyle name="표준 6 45" xfId="15562" xr:uid="{00000000-0005-0000-0000-0000F9400000}"/>
    <cellStyle name="표준 6 45 2" xfId="15563" xr:uid="{00000000-0005-0000-0000-0000FA400000}"/>
    <cellStyle name="표준 6 46" xfId="15564" xr:uid="{00000000-0005-0000-0000-0000FB400000}"/>
    <cellStyle name="표준 6 46 2" xfId="15565" xr:uid="{00000000-0005-0000-0000-0000FC400000}"/>
    <cellStyle name="표준 6 47" xfId="15566" xr:uid="{00000000-0005-0000-0000-0000FD400000}"/>
    <cellStyle name="표준 6 47 2" xfId="15567" xr:uid="{00000000-0005-0000-0000-0000FE400000}"/>
    <cellStyle name="표준 6 48" xfId="15568" xr:uid="{00000000-0005-0000-0000-0000FF400000}"/>
    <cellStyle name="표준 6 48 2" xfId="15569" xr:uid="{00000000-0005-0000-0000-000000410000}"/>
    <cellStyle name="표준 6 49" xfId="15570" xr:uid="{00000000-0005-0000-0000-000001410000}"/>
    <cellStyle name="표준 6 49 2" xfId="15571" xr:uid="{00000000-0005-0000-0000-000002410000}"/>
    <cellStyle name="표준 6 5" xfId="15572" xr:uid="{00000000-0005-0000-0000-000003410000}"/>
    <cellStyle name="표준 6 5 2" xfId="15573" xr:uid="{00000000-0005-0000-0000-000004410000}"/>
    <cellStyle name="표준 6 50" xfId="15574" xr:uid="{00000000-0005-0000-0000-000005410000}"/>
    <cellStyle name="표준 6 50 2" xfId="15575" xr:uid="{00000000-0005-0000-0000-000006410000}"/>
    <cellStyle name="표준 6 51" xfId="15576" xr:uid="{00000000-0005-0000-0000-000007410000}"/>
    <cellStyle name="표준 6 51 2" xfId="15577" xr:uid="{00000000-0005-0000-0000-000008410000}"/>
    <cellStyle name="표준 6 52" xfId="15578" xr:uid="{00000000-0005-0000-0000-000009410000}"/>
    <cellStyle name="표준 6 52 2" xfId="15579" xr:uid="{00000000-0005-0000-0000-00000A410000}"/>
    <cellStyle name="표준 6 53" xfId="15580" xr:uid="{00000000-0005-0000-0000-00000B410000}"/>
    <cellStyle name="표준 6 53 2" xfId="15581" xr:uid="{00000000-0005-0000-0000-00000C410000}"/>
    <cellStyle name="표준 6 54" xfId="15582" xr:uid="{00000000-0005-0000-0000-00000D410000}"/>
    <cellStyle name="표준 6 54 2" xfId="15583" xr:uid="{00000000-0005-0000-0000-00000E410000}"/>
    <cellStyle name="표준 6 55" xfId="15584" xr:uid="{00000000-0005-0000-0000-00000F410000}"/>
    <cellStyle name="표준 6 55 2" xfId="15585" xr:uid="{00000000-0005-0000-0000-000010410000}"/>
    <cellStyle name="표준 6 56" xfId="15586" xr:uid="{00000000-0005-0000-0000-000011410000}"/>
    <cellStyle name="표준 6 56 2" xfId="15587" xr:uid="{00000000-0005-0000-0000-000012410000}"/>
    <cellStyle name="표준 6 57" xfId="15588" xr:uid="{00000000-0005-0000-0000-000013410000}"/>
    <cellStyle name="표준 6 57 2" xfId="15589" xr:uid="{00000000-0005-0000-0000-000014410000}"/>
    <cellStyle name="표준 6 58" xfId="15590" xr:uid="{00000000-0005-0000-0000-000015410000}"/>
    <cellStyle name="표준 6 58 2" xfId="15591" xr:uid="{00000000-0005-0000-0000-000016410000}"/>
    <cellStyle name="표준 6 59" xfId="15592" xr:uid="{00000000-0005-0000-0000-000017410000}"/>
    <cellStyle name="표준 6 59 2" xfId="15593" xr:uid="{00000000-0005-0000-0000-000018410000}"/>
    <cellStyle name="표준 6 6" xfId="15594" xr:uid="{00000000-0005-0000-0000-000019410000}"/>
    <cellStyle name="표준 6 6 2" xfId="15595" xr:uid="{00000000-0005-0000-0000-00001A410000}"/>
    <cellStyle name="표준 6 60" xfId="15596" xr:uid="{00000000-0005-0000-0000-00001B410000}"/>
    <cellStyle name="표준 6 60 2" xfId="15597" xr:uid="{00000000-0005-0000-0000-00001C410000}"/>
    <cellStyle name="표준 6 61" xfId="15598" xr:uid="{00000000-0005-0000-0000-00001D410000}"/>
    <cellStyle name="표준 6 61 2" xfId="15599" xr:uid="{00000000-0005-0000-0000-00001E410000}"/>
    <cellStyle name="표준 6 62" xfId="15600" xr:uid="{00000000-0005-0000-0000-00001F410000}"/>
    <cellStyle name="표준 6 62 2" xfId="15601" xr:uid="{00000000-0005-0000-0000-000020410000}"/>
    <cellStyle name="표준 6 63" xfId="15602" xr:uid="{00000000-0005-0000-0000-000021410000}"/>
    <cellStyle name="표준 6 63 2" xfId="15603" xr:uid="{00000000-0005-0000-0000-000022410000}"/>
    <cellStyle name="표준 6 64" xfId="15604" xr:uid="{00000000-0005-0000-0000-000023410000}"/>
    <cellStyle name="표준 6 64 2" xfId="15605" xr:uid="{00000000-0005-0000-0000-000024410000}"/>
    <cellStyle name="표준 6 65" xfId="15606" xr:uid="{00000000-0005-0000-0000-000025410000}"/>
    <cellStyle name="표준 6 65 2" xfId="15607" xr:uid="{00000000-0005-0000-0000-000026410000}"/>
    <cellStyle name="표준 6 66" xfId="15608" xr:uid="{00000000-0005-0000-0000-000027410000}"/>
    <cellStyle name="표준 6 66 2" xfId="15609" xr:uid="{00000000-0005-0000-0000-000028410000}"/>
    <cellStyle name="표준 6 67" xfId="15610" xr:uid="{00000000-0005-0000-0000-000029410000}"/>
    <cellStyle name="표준 6 67 2" xfId="15611" xr:uid="{00000000-0005-0000-0000-00002A410000}"/>
    <cellStyle name="표준 6 68" xfId="15612" xr:uid="{00000000-0005-0000-0000-00002B410000}"/>
    <cellStyle name="표준 6 68 2" xfId="15613" xr:uid="{00000000-0005-0000-0000-00002C410000}"/>
    <cellStyle name="표준 6 69" xfId="15614" xr:uid="{00000000-0005-0000-0000-00002D410000}"/>
    <cellStyle name="표준 6 69 2" xfId="15615" xr:uid="{00000000-0005-0000-0000-00002E410000}"/>
    <cellStyle name="표준 6 7" xfId="15616" xr:uid="{00000000-0005-0000-0000-00002F410000}"/>
    <cellStyle name="표준 6 7 2" xfId="15617" xr:uid="{00000000-0005-0000-0000-000030410000}"/>
    <cellStyle name="표준 6 70" xfId="15618" xr:uid="{00000000-0005-0000-0000-000031410000}"/>
    <cellStyle name="표준 6 70 2" xfId="15619" xr:uid="{00000000-0005-0000-0000-000032410000}"/>
    <cellStyle name="표준 6 71" xfId="15620" xr:uid="{00000000-0005-0000-0000-000033410000}"/>
    <cellStyle name="표준 6 71 2" xfId="15621" xr:uid="{00000000-0005-0000-0000-000034410000}"/>
    <cellStyle name="표준 6 72" xfId="15622" xr:uid="{00000000-0005-0000-0000-000035410000}"/>
    <cellStyle name="표준 6 72 2" xfId="15623" xr:uid="{00000000-0005-0000-0000-000036410000}"/>
    <cellStyle name="표준 6 73" xfId="15624" xr:uid="{00000000-0005-0000-0000-000037410000}"/>
    <cellStyle name="표준 6 73 2" xfId="15625" xr:uid="{00000000-0005-0000-0000-000038410000}"/>
    <cellStyle name="표준 6 74" xfId="15626" xr:uid="{00000000-0005-0000-0000-000039410000}"/>
    <cellStyle name="표준 6 74 2" xfId="15627" xr:uid="{00000000-0005-0000-0000-00003A410000}"/>
    <cellStyle name="표준 6 75" xfId="15628" xr:uid="{00000000-0005-0000-0000-00003B410000}"/>
    <cellStyle name="표준 6 75 2" xfId="15629" xr:uid="{00000000-0005-0000-0000-00003C410000}"/>
    <cellStyle name="표준 6 76" xfId="15630" xr:uid="{00000000-0005-0000-0000-00003D410000}"/>
    <cellStyle name="표준 6 76 2" xfId="15631" xr:uid="{00000000-0005-0000-0000-00003E410000}"/>
    <cellStyle name="표준 6 77" xfId="15632" xr:uid="{00000000-0005-0000-0000-00003F410000}"/>
    <cellStyle name="표준 6 77 2" xfId="15633" xr:uid="{00000000-0005-0000-0000-000040410000}"/>
    <cellStyle name="표준 6 78" xfId="15634" xr:uid="{00000000-0005-0000-0000-000041410000}"/>
    <cellStyle name="표준 6 78 2" xfId="15635" xr:uid="{00000000-0005-0000-0000-000042410000}"/>
    <cellStyle name="표준 6 79" xfId="15636" xr:uid="{00000000-0005-0000-0000-000043410000}"/>
    <cellStyle name="표준 6 79 2" xfId="15637" xr:uid="{00000000-0005-0000-0000-000044410000}"/>
    <cellStyle name="표준 6 8" xfId="15638" xr:uid="{00000000-0005-0000-0000-000045410000}"/>
    <cellStyle name="표준 6 8 2" xfId="15639" xr:uid="{00000000-0005-0000-0000-000046410000}"/>
    <cellStyle name="표준 6 80" xfId="15640" xr:uid="{00000000-0005-0000-0000-000047410000}"/>
    <cellStyle name="표준 6 80 2" xfId="15641" xr:uid="{00000000-0005-0000-0000-000048410000}"/>
    <cellStyle name="표준 6 81" xfId="15642" xr:uid="{00000000-0005-0000-0000-000049410000}"/>
    <cellStyle name="표준 6 82" xfId="15643" xr:uid="{00000000-0005-0000-0000-00004A410000}"/>
    <cellStyle name="표준 6 83" xfId="15644" xr:uid="{00000000-0005-0000-0000-00004B410000}"/>
    <cellStyle name="표준 6 84" xfId="16926" xr:uid="{00000000-0005-0000-0000-00004C410000}"/>
    <cellStyle name="표준 6 9" xfId="15645" xr:uid="{00000000-0005-0000-0000-00004D410000}"/>
    <cellStyle name="표준 6 9 2" xfId="15646" xr:uid="{00000000-0005-0000-0000-00004E410000}"/>
    <cellStyle name="표준 60" xfId="15939" xr:uid="{00000000-0005-0000-0000-00004F410000}"/>
    <cellStyle name="표준 61" xfId="15943" xr:uid="{00000000-0005-0000-0000-000050410000}"/>
    <cellStyle name="표준 62" xfId="15994" xr:uid="{00000000-0005-0000-0000-000051410000}"/>
    <cellStyle name="표준 63" xfId="15995" xr:uid="{00000000-0005-0000-0000-000052410000}"/>
    <cellStyle name="표준 64" xfId="16761" xr:uid="{00000000-0005-0000-0000-000053410000}"/>
    <cellStyle name="표준 65" xfId="16962" xr:uid="{00000000-0005-0000-0000-000054410000}"/>
    <cellStyle name="표준 66" xfId="16923" xr:uid="{00000000-0005-0000-0000-000055410000}"/>
    <cellStyle name="표준 67" xfId="16908" xr:uid="{00000000-0005-0000-0000-000056410000}"/>
    <cellStyle name="표준 68" xfId="17000" xr:uid="{00000000-0005-0000-0000-000057410000}"/>
    <cellStyle name="표준 69" xfId="17001" xr:uid="{00000000-0005-0000-0000-000058410000}"/>
    <cellStyle name="표준 7" xfId="15647" xr:uid="{00000000-0005-0000-0000-000059410000}"/>
    <cellStyle name="표준 7 2" xfId="15648" xr:uid="{00000000-0005-0000-0000-00005A410000}"/>
    <cellStyle name="표준 7 2 2" xfId="15649" xr:uid="{00000000-0005-0000-0000-00005B410000}"/>
    <cellStyle name="표준 7 2 3" xfId="16823" xr:uid="{00000000-0005-0000-0000-00005C410000}"/>
    <cellStyle name="표준 7 3" xfId="15650" xr:uid="{00000000-0005-0000-0000-00005D410000}"/>
    <cellStyle name="표준 7 4" xfId="15651" xr:uid="{00000000-0005-0000-0000-00005E410000}"/>
    <cellStyle name="표준 7 4 2" xfId="16770" xr:uid="{00000000-0005-0000-0000-00005F410000}"/>
    <cellStyle name="표준 7 5" xfId="15652" xr:uid="{00000000-0005-0000-0000-000060410000}"/>
    <cellStyle name="표준 7_롯데 일산점 무대조명_총괄표_100503_수정" xfId="15653" xr:uid="{00000000-0005-0000-0000-000061410000}"/>
    <cellStyle name="표준 8" xfId="15654" xr:uid="{00000000-0005-0000-0000-000062410000}"/>
    <cellStyle name="표준 8 2" xfId="15655" xr:uid="{00000000-0005-0000-0000-000063410000}"/>
    <cellStyle name="표준 8 2 2" xfId="15656" xr:uid="{00000000-0005-0000-0000-000064410000}"/>
    <cellStyle name="표준 8 3" xfId="15657" xr:uid="{00000000-0005-0000-0000-000065410000}"/>
    <cellStyle name="표준 8 3 2" xfId="16824" xr:uid="{00000000-0005-0000-0000-000066410000}"/>
    <cellStyle name="표준 8 4" xfId="16771" xr:uid="{00000000-0005-0000-0000-000067410000}"/>
    <cellStyle name="표준 9" xfId="15658" xr:uid="{00000000-0005-0000-0000-000068410000}"/>
    <cellStyle name="표준 9 10" xfId="15659" xr:uid="{00000000-0005-0000-0000-000069410000}"/>
    <cellStyle name="표준 9 10 2" xfId="15660" xr:uid="{00000000-0005-0000-0000-00006A410000}"/>
    <cellStyle name="표준 9 11" xfId="15661" xr:uid="{00000000-0005-0000-0000-00006B410000}"/>
    <cellStyle name="표준 9 11 2" xfId="15662" xr:uid="{00000000-0005-0000-0000-00006C410000}"/>
    <cellStyle name="표준 9 12" xfId="15663" xr:uid="{00000000-0005-0000-0000-00006D410000}"/>
    <cellStyle name="표준 9 12 2" xfId="15664" xr:uid="{00000000-0005-0000-0000-00006E410000}"/>
    <cellStyle name="표준 9 13" xfId="15665" xr:uid="{00000000-0005-0000-0000-00006F410000}"/>
    <cellStyle name="표준 9 13 2" xfId="15666" xr:uid="{00000000-0005-0000-0000-000070410000}"/>
    <cellStyle name="표준 9 14" xfId="15667" xr:uid="{00000000-0005-0000-0000-000071410000}"/>
    <cellStyle name="표준 9 14 2" xfId="15668" xr:uid="{00000000-0005-0000-0000-000072410000}"/>
    <cellStyle name="표준 9 15" xfId="15669" xr:uid="{00000000-0005-0000-0000-000073410000}"/>
    <cellStyle name="표준 9 15 2" xfId="15670" xr:uid="{00000000-0005-0000-0000-000074410000}"/>
    <cellStyle name="표준 9 16" xfId="15671" xr:uid="{00000000-0005-0000-0000-000075410000}"/>
    <cellStyle name="표준 9 16 2" xfId="15672" xr:uid="{00000000-0005-0000-0000-000076410000}"/>
    <cellStyle name="표준 9 17" xfId="15673" xr:uid="{00000000-0005-0000-0000-000077410000}"/>
    <cellStyle name="표준 9 17 2" xfId="15674" xr:uid="{00000000-0005-0000-0000-000078410000}"/>
    <cellStyle name="표준 9 18" xfId="15675" xr:uid="{00000000-0005-0000-0000-000079410000}"/>
    <cellStyle name="표준 9 18 2" xfId="15676" xr:uid="{00000000-0005-0000-0000-00007A410000}"/>
    <cellStyle name="표준 9 19" xfId="15677" xr:uid="{00000000-0005-0000-0000-00007B410000}"/>
    <cellStyle name="표준 9 19 2" xfId="15678" xr:uid="{00000000-0005-0000-0000-00007C410000}"/>
    <cellStyle name="표준 9 2" xfId="15679" xr:uid="{00000000-0005-0000-0000-00007D410000}"/>
    <cellStyle name="표준 9 2 2" xfId="15680" xr:uid="{00000000-0005-0000-0000-00007E410000}"/>
    <cellStyle name="표준 9 2 3" xfId="16825" xr:uid="{00000000-0005-0000-0000-00007F410000}"/>
    <cellStyle name="표준 9 20" xfId="15681" xr:uid="{00000000-0005-0000-0000-000080410000}"/>
    <cellStyle name="표준 9 20 2" xfId="15682" xr:uid="{00000000-0005-0000-0000-000081410000}"/>
    <cellStyle name="표준 9 21" xfId="15683" xr:uid="{00000000-0005-0000-0000-000082410000}"/>
    <cellStyle name="표준 9 21 2" xfId="15684" xr:uid="{00000000-0005-0000-0000-000083410000}"/>
    <cellStyle name="표준 9 22" xfId="15685" xr:uid="{00000000-0005-0000-0000-000084410000}"/>
    <cellStyle name="표준 9 22 2" xfId="15686" xr:uid="{00000000-0005-0000-0000-000085410000}"/>
    <cellStyle name="표준 9 23" xfId="15687" xr:uid="{00000000-0005-0000-0000-000086410000}"/>
    <cellStyle name="표준 9 23 2" xfId="15688" xr:uid="{00000000-0005-0000-0000-000087410000}"/>
    <cellStyle name="표준 9 24" xfId="15689" xr:uid="{00000000-0005-0000-0000-000088410000}"/>
    <cellStyle name="표준 9 24 2" xfId="15690" xr:uid="{00000000-0005-0000-0000-000089410000}"/>
    <cellStyle name="표준 9 25" xfId="15691" xr:uid="{00000000-0005-0000-0000-00008A410000}"/>
    <cellStyle name="표준 9 25 2" xfId="15692" xr:uid="{00000000-0005-0000-0000-00008B410000}"/>
    <cellStyle name="표준 9 26" xfId="15693" xr:uid="{00000000-0005-0000-0000-00008C410000}"/>
    <cellStyle name="표준 9 26 2" xfId="15694" xr:uid="{00000000-0005-0000-0000-00008D410000}"/>
    <cellStyle name="표준 9 27" xfId="15695" xr:uid="{00000000-0005-0000-0000-00008E410000}"/>
    <cellStyle name="표준 9 27 2" xfId="15696" xr:uid="{00000000-0005-0000-0000-00008F410000}"/>
    <cellStyle name="표준 9 28" xfId="15697" xr:uid="{00000000-0005-0000-0000-000090410000}"/>
    <cellStyle name="표준 9 28 2" xfId="15698" xr:uid="{00000000-0005-0000-0000-000091410000}"/>
    <cellStyle name="표준 9 29" xfId="15699" xr:uid="{00000000-0005-0000-0000-000092410000}"/>
    <cellStyle name="표준 9 29 2" xfId="15700" xr:uid="{00000000-0005-0000-0000-000093410000}"/>
    <cellStyle name="표준 9 3" xfId="15701" xr:uid="{00000000-0005-0000-0000-000094410000}"/>
    <cellStyle name="표준 9 3 2" xfId="15702" xr:uid="{00000000-0005-0000-0000-000095410000}"/>
    <cellStyle name="표준 9 30" xfId="15703" xr:uid="{00000000-0005-0000-0000-000096410000}"/>
    <cellStyle name="표준 9 30 2" xfId="15704" xr:uid="{00000000-0005-0000-0000-000097410000}"/>
    <cellStyle name="표준 9 31" xfId="15705" xr:uid="{00000000-0005-0000-0000-000098410000}"/>
    <cellStyle name="표준 9 31 2" xfId="15706" xr:uid="{00000000-0005-0000-0000-000099410000}"/>
    <cellStyle name="표준 9 32" xfId="15707" xr:uid="{00000000-0005-0000-0000-00009A410000}"/>
    <cellStyle name="표준 9 32 2" xfId="15708" xr:uid="{00000000-0005-0000-0000-00009B410000}"/>
    <cellStyle name="표준 9 33" xfId="15709" xr:uid="{00000000-0005-0000-0000-00009C410000}"/>
    <cellStyle name="표준 9 33 2" xfId="15710" xr:uid="{00000000-0005-0000-0000-00009D410000}"/>
    <cellStyle name="표준 9 34" xfId="15711" xr:uid="{00000000-0005-0000-0000-00009E410000}"/>
    <cellStyle name="표준 9 34 2" xfId="15712" xr:uid="{00000000-0005-0000-0000-00009F410000}"/>
    <cellStyle name="표준 9 35" xfId="15713" xr:uid="{00000000-0005-0000-0000-0000A0410000}"/>
    <cellStyle name="표준 9 35 2" xfId="15714" xr:uid="{00000000-0005-0000-0000-0000A1410000}"/>
    <cellStyle name="표준 9 36" xfId="15715" xr:uid="{00000000-0005-0000-0000-0000A2410000}"/>
    <cellStyle name="표준 9 36 2" xfId="15716" xr:uid="{00000000-0005-0000-0000-0000A3410000}"/>
    <cellStyle name="표준 9 37" xfId="15717" xr:uid="{00000000-0005-0000-0000-0000A4410000}"/>
    <cellStyle name="표준 9 37 2" xfId="15718" xr:uid="{00000000-0005-0000-0000-0000A5410000}"/>
    <cellStyle name="표준 9 38" xfId="15719" xr:uid="{00000000-0005-0000-0000-0000A6410000}"/>
    <cellStyle name="표준 9 38 2" xfId="15720" xr:uid="{00000000-0005-0000-0000-0000A7410000}"/>
    <cellStyle name="표준 9 39" xfId="15721" xr:uid="{00000000-0005-0000-0000-0000A8410000}"/>
    <cellStyle name="표준 9 39 2" xfId="15722" xr:uid="{00000000-0005-0000-0000-0000A9410000}"/>
    <cellStyle name="표준 9 4" xfId="15723" xr:uid="{00000000-0005-0000-0000-0000AA410000}"/>
    <cellStyle name="표준 9 4 2" xfId="15724" xr:uid="{00000000-0005-0000-0000-0000AB410000}"/>
    <cellStyle name="표준 9 40" xfId="15725" xr:uid="{00000000-0005-0000-0000-0000AC410000}"/>
    <cellStyle name="표준 9 40 2" xfId="15726" xr:uid="{00000000-0005-0000-0000-0000AD410000}"/>
    <cellStyle name="표준 9 41" xfId="15727" xr:uid="{00000000-0005-0000-0000-0000AE410000}"/>
    <cellStyle name="표준 9 41 2" xfId="15728" xr:uid="{00000000-0005-0000-0000-0000AF410000}"/>
    <cellStyle name="표준 9 42" xfId="15729" xr:uid="{00000000-0005-0000-0000-0000B0410000}"/>
    <cellStyle name="표준 9 42 2" xfId="15730" xr:uid="{00000000-0005-0000-0000-0000B1410000}"/>
    <cellStyle name="표준 9 43" xfId="15731" xr:uid="{00000000-0005-0000-0000-0000B2410000}"/>
    <cellStyle name="표준 9 43 2" xfId="15732" xr:uid="{00000000-0005-0000-0000-0000B3410000}"/>
    <cellStyle name="표준 9 44" xfId="15733" xr:uid="{00000000-0005-0000-0000-0000B4410000}"/>
    <cellStyle name="표준 9 44 2" xfId="15734" xr:uid="{00000000-0005-0000-0000-0000B5410000}"/>
    <cellStyle name="표준 9 45" xfId="15735" xr:uid="{00000000-0005-0000-0000-0000B6410000}"/>
    <cellStyle name="표준 9 45 2" xfId="15736" xr:uid="{00000000-0005-0000-0000-0000B7410000}"/>
    <cellStyle name="표준 9 46" xfId="15737" xr:uid="{00000000-0005-0000-0000-0000B8410000}"/>
    <cellStyle name="표준 9 46 2" xfId="15738" xr:uid="{00000000-0005-0000-0000-0000B9410000}"/>
    <cellStyle name="표준 9 47" xfId="15739" xr:uid="{00000000-0005-0000-0000-0000BA410000}"/>
    <cellStyle name="표준 9 47 2" xfId="15740" xr:uid="{00000000-0005-0000-0000-0000BB410000}"/>
    <cellStyle name="표준 9 48" xfId="15741" xr:uid="{00000000-0005-0000-0000-0000BC410000}"/>
    <cellStyle name="표준 9 48 2" xfId="15742" xr:uid="{00000000-0005-0000-0000-0000BD410000}"/>
    <cellStyle name="표준 9 49" xfId="15743" xr:uid="{00000000-0005-0000-0000-0000BE410000}"/>
    <cellStyle name="표준 9 49 2" xfId="15744" xr:uid="{00000000-0005-0000-0000-0000BF410000}"/>
    <cellStyle name="표준 9 5" xfId="15745" xr:uid="{00000000-0005-0000-0000-0000C0410000}"/>
    <cellStyle name="표준 9 5 2" xfId="15746" xr:uid="{00000000-0005-0000-0000-0000C1410000}"/>
    <cellStyle name="표준 9 50" xfId="15747" xr:uid="{00000000-0005-0000-0000-0000C2410000}"/>
    <cellStyle name="표준 9 50 2" xfId="15748" xr:uid="{00000000-0005-0000-0000-0000C3410000}"/>
    <cellStyle name="표준 9 51" xfId="15749" xr:uid="{00000000-0005-0000-0000-0000C4410000}"/>
    <cellStyle name="표준 9 51 2" xfId="15750" xr:uid="{00000000-0005-0000-0000-0000C5410000}"/>
    <cellStyle name="표준 9 52" xfId="15751" xr:uid="{00000000-0005-0000-0000-0000C6410000}"/>
    <cellStyle name="표준 9 52 2" xfId="15752" xr:uid="{00000000-0005-0000-0000-0000C7410000}"/>
    <cellStyle name="표준 9 53" xfId="15753" xr:uid="{00000000-0005-0000-0000-0000C8410000}"/>
    <cellStyle name="표준 9 53 2" xfId="15754" xr:uid="{00000000-0005-0000-0000-0000C9410000}"/>
    <cellStyle name="표준 9 54" xfId="15755" xr:uid="{00000000-0005-0000-0000-0000CA410000}"/>
    <cellStyle name="표준 9 54 2" xfId="15756" xr:uid="{00000000-0005-0000-0000-0000CB410000}"/>
    <cellStyle name="표준 9 55" xfId="15757" xr:uid="{00000000-0005-0000-0000-0000CC410000}"/>
    <cellStyle name="표준 9 55 2" xfId="15758" xr:uid="{00000000-0005-0000-0000-0000CD410000}"/>
    <cellStyle name="표준 9 56" xfId="15759" xr:uid="{00000000-0005-0000-0000-0000CE410000}"/>
    <cellStyle name="표준 9 56 2" xfId="15760" xr:uid="{00000000-0005-0000-0000-0000CF410000}"/>
    <cellStyle name="표준 9 57" xfId="15761" xr:uid="{00000000-0005-0000-0000-0000D0410000}"/>
    <cellStyle name="표준 9 57 2" xfId="15762" xr:uid="{00000000-0005-0000-0000-0000D1410000}"/>
    <cellStyle name="표준 9 58" xfId="15763" xr:uid="{00000000-0005-0000-0000-0000D2410000}"/>
    <cellStyle name="표준 9 58 2" xfId="15764" xr:uid="{00000000-0005-0000-0000-0000D3410000}"/>
    <cellStyle name="표준 9 59" xfId="15765" xr:uid="{00000000-0005-0000-0000-0000D4410000}"/>
    <cellStyle name="표준 9 59 2" xfId="15766" xr:uid="{00000000-0005-0000-0000-0000D5410000}"/>
    <cellStyle name="표준 9 6" xfId="15767" xr:uid="{00000000-0005-0000-0000-0000D6410000}"/>
    <cellStyle name="표준 9 6 2" xfId="15768" xr:uid="{00000000-0005-0000-0000-0000D7410000}"/>
    <cellStyle name="표준 9 60" xfId="15769" xr:uid="{00000000-0005-0000-0000-0000D8410000}"/>
    <cellStyle name="표준 9 60 2" xfId="15770" xr:uid="{00000000-0005-0000-0000-0000D9410000}"/>
    <cellStyle name="표준 9 61" xfId="15771" xr:uid="{00000000-0005-0000-0000-0000DA410000}"/>
    <cellStyle name="표준 9 61 2" xfId="15772" xr:uid="{00000000-0005-0000-0000-0000DB410000}"/>
    <cellStyle name="표준 9 62" xfId="15773" xr:uid="{00000000-0005-0000-0000-0000DC410000}"/>
    <cellStyle name="표준 9 62 2" xfId="15774" xr:uid="{00000000-0005-0000-0000-0000DD410000}"/>
    <cellStyle name="표준 9 63" xfId="15775" xr:uid="{00000000-0005-0000-0000-0000DE410000}"/>
    <cellStyle name="표준 9 63 2" xfId="15776" xr:uid="{00000000-0005-0000-0000-0000DF410000}"/>
    <cellStyle name="표준 9 64" xfId="15777" xr:uid="{00000000-0005-0000-0000-0000E0410000}"/>
    <cellStyle name="표준 9 64 2" xfId="15778" xr:uid="{00000000-0005-0000-0000-0000E1410000}"/>
    <cellStyle name="표준 9 65" xfId="15779" xr:uid="{00000000-0005-0000-0000-0000E2410000}"/>
    <cellStyle name="표준 9 65 2" xfId="15780" xr:uid="{00000000-0005-0000-0000-0000E3410000}"/>
    <cellStyle name="표준 9 66" xfId="15781" xr:uid="{00000000-0005-0000-0000-0000E4410000}"/>
    <cellStyle name="표준 9 66 2" xfId="15782" xr:uid="{00000000-0005-0000-0000-0000E5410000}"/>
    <cellStyle name="표준 9 67" xfId="15783" xr:uid="{00000000-0005-0000-0000-0000E6410000}"/>
    <cellStyle name="표준 9 67 2" xfId="15784" xr:uid="{00000000-0005-0000-0000-0000E7410000}"/>
    <cellStyle name="표준 9 68" xfId="15785" xr:uid="{00000000-0005-0000-0000-0000E8410000}"/>
    <cellStyle name="표준 9 68 2" xfId="15786" xr:uid="{00000000-0005-0000-0000-0000E9410000}"/>
    <cellStyle name="표준 9 69" xfId="15787" xr:uid="{00000000-0005-0000-0000-0000EA410000}"/>
    <cellStyle name="표준 9 69 2" xfId="15788" xr:uid="{00000000-0005-0000-0000-0000EB410000}"/>
    <cellStyle name="표준 9 7" xfId="15789" xr:uid="{00000000-0005-0000-0000-0000EC410000}"/>
    <cellStyle name="표준 9 7 2" xfId="15790" xr:uid="{00000000-0005-0000-0000-0000ED410000}"/>
    <cellStyle name="표준 9 70" xfId="15791" xr:uid="{00000000-0005-0000-0000-0000EE410000}"/>
    <cellStyle name="표준 9 70 2" xfId="15792" xr:uid="{00000000-0005-0000-0000-0000EF410000}"/>
    <cellStyle name="표준 9 71" xfId="15793" xr:uid="{00000000-0005-0000-0000-0000F0410000}"/>
    <cellStyle name="표준 9 71 2" xfId="15794" xr:uid="{00000000-0005-0000-0000-0000F1410000}"/>
    <cellStyle name="표준 9 72" xfId="15795" xr:uid="{00000000-0005-0000-0000-0000F2410000}"/>
    <cellStyle name="표준 9 72 2" xfId="15796" xr:uid="{00000000-0005-0000-0000-0000F3410000}"/>
    <cellStyle name="표준 9 73" xfId="15797" xr:uid="{00000000-0005-0000-0000-0000F4410000}"/>
    <cellStyle name="표준 9 73 2" xfId="15798" xr:uid="{00000000-0005-0000-0000-0000F5410000}"/>
    <cellStyle name="표준 9 74" xfId="15799" xr:uid="{00000000-0005-0000-0000-0000F6410000}"/>
    <cellStyle name="표준 9 74 2" xfId="15800" xr:uid="{00000000-0005-0000-0000-0000F7410000}"/>
    <cellStyle name="표준 9 75" xfId="15801" xr:uid="{00000000-0005-0000-0000-0000F8410000}"/>
    <cellStyle name="표준 9 75 2" xfId="15802" xr:uid="{00000000-0005-0000-0000-0000F9410000}"/>
    <cellStyle name="표준 9 76" xfId="15803" xr:uid="{00000000-0005-0000-0000-0000FA410000}"/>
    <cellStyle name="표준 9 76 2" xfId="15804" xr:uid="{00000000-0005-0000-0000-0000FB410000}"/>
    <cellStyle name="표준 9 77" xfId="15805" xr:uid="{00000000-0005-0000-0000-0000FC410000}"/>
    <cellStyle name="표준 9 77 2" xfId="15806" xr:uid="{00000000-0005-0000-0000-0000FD410000}"/>
    <cellStyle name="표준 9 78" xfId="15807" xr:uid="{00000000-0005-0000-0000-0000FE410000}"/>
    <cellStyle name="표준 9 78 2" xfId="15808" xr:uid="{00000000-0005-0000-0000-0000FF410000}"/>
    <cellStyle name="표준 9 79" xfId="15809" xr:uid="{00000000-0005-0000-0000-000000420000}"/>
    <cellStyle name="표준 9 79 2" xfId="15810" xr:uid="{00000000-0005-0000-0000-000001420000}"/>
    <cellStyle name="표준 9 8" xfId="15811" xr:uid="{00000000-0005-0000-0000-000002420000}"/>
    <cellStyle name="표준 9 8 2" xfId="15812" xr:uid="{00000000-0005-0000-0000-000003420000}"/>
    <cellStyle name="표준 9 80" xfId="15813" xr:uid="{00000000-0005-0000-0000-000004420000}"/>
    <cellStyle name="표준 9 80 2" xfId="15814" xr:uid="{00000000-0005-0000-0000-000005420000}"/>
    <cellStyle name="표준 9 81" xfId="15815" xr:uid="{00000000-0005-0000-0000-000006420000}"/>
    <cellStyle name="표준 9 81 2" xfId="15816" xr:uid="{00000000-0005-0000-0000-000007420000}"/>
    <cellStyle name="표준 9 82" xfId="15817" xr:uid="{00000000-0005-0000-0000-000008420000}"/>
    <cellStyle name="표준 9 83" xfId="15818" xr:uid="{00000000-0005-0000-0000-000009420000}"/>
    <cellStyle name="표준 9 84" xfId="16772" xr:uid="{00000000-0005-0000-0000-00000A420000}"/>
    <cellStyle name="표준 9 9" xfId="15819" xr:uid="{00000000-0005-0000-0000-00000B420000}"/>
    <cellStyle name="표준 9 9 2" xfId="15820" xr:uid="{00000000-0005-0000-0000-00000C420000}"/>
    <cellStyle name="標準_ ｹ-ﾌﾞﾙ物量(B)" xfId="15821" xr:uid="{00000000-0005-0000-0000-00000D420000}"/>
    <cellStyle name="표준1" xfId="15822" xr:uid="{00000000-0005-0000-0000-00000E420000}"/>
    <cellStyle name="표준1 2" xfId="15823" xr:uid="{00000000-0005-0000-0000-00000F420000}"/>
    <cellStyle name="표준1 3" xfId="16773" xr:uid="{00000000-0005-0000-0000-000010420000}"/>
    <cellStyle name="표준10" xfId="15824" xr:uid="{00000000-0005-0000-0000-000011420000}"/>
    <cellStyle name="표준2" xfId="15825" xr:uid="{00000000-0005-0000-0000-000012420000}"/>
    <cellStyle name="표준2 2" xfId="15826" xr:uid="{00000000-0005-0000-0000-000013420000}"/>
    <cellStyle name="표준2 3" xfId="16774" xr:uid="{00000000-0005-0000-0000-000014420000}"/>
    <cellStyle name="표쥰" xfId="15827" xr:uid="{00000000-0005-0000-0000-000015420000}"/>
    <cellStyle name="표쥰 2" xfId="15828" xr:uid="{00000000-0005-0000-0000-000016420000}"/>
    <cellStyle name="표쥰 3" xfId="16775" xr:uid="{00000000-0005-0000-0000-000017420000}"/>
    <cellStyle name="하가는선" xfId="15829" xr:uid="{00000000-0005-0000-0000-000018420000}"/>
    <cellStyle name="하가는선 2" xfId="16776" xr:uid="{00000000-0005-0000-0000-000019420000}"/>
    <cellStyle name="하이퍼링크 2" xfId="15830" xr:uid="{00000000-0005-0000-0000-00001A420000}"/>
    <cellStyle name="하이퍼링크 2 2" xfId="15831" xr:uid="{00000000-0005-0000-0000-00001B420000}"/>
    <cellStyle name="하이퍼링크 3" xfId="15832" xr:uid="{00000000-0005-0000-0000-00001C420000}"/>
    <cellStyle name="합계" xfId="15833" xr:uid="{00000000-0005-0000-0000-00001D420000}"/>
    <cellStyle name="합계 2" xfId="15834" xr:uid="{00000000-0005-0000-0000-00001E420000}"/>
    <cellStyle name="합산" xfId="15835" xr:uid="{00000000-0005-0000-0000-00001F420000}"/>
    <cellStyle name="합산 2" xfId="15836" xr:uid="{00000000-0005-0000-0000-000020420000}"/>
    <cellStyle name="합산 2 2" xfId="15837" xr:uid="{00000000-0005-0000-0000-000021420000}"/>
    <cellStyle name="합산 2 2 2" xfId="15838" xr:uid="{00000000-0005-0000-0000-000022420000}"/>
    <cellStyle name="합산 2 3" xfId="15839" xr:uid="{00000000-0005-0000-0000-000023420000}"/>
    <cellStyle name="합산 2 4" xfId="16778" xr:uid="{00000000-0005-0000-0000-000024420000}"/>
    <cellStyle name="합산 3" xfId="15840" xr:uid="{00000000-0005-0000-0000-000025420000}"/>
    <cellStyle name="합산 3 2" xfId="15841" xr:uid="{00000000-0005-0000-0000-000026420000}"/>
    <cellStyle name="합산 3 3" xfId="16779" xr:uid="{00000000-0005-0000-0000-000027420000}"/>
    <cellStyle name="합산 4" xfId="15842" xr:uid="{00000000-0005-0000-0000-000028420000}"/>
    <cellStyle name="합산 4 2" xfId="15843" xr:uid="{00000000-0005-0000-0000-000029420000}"/>
    <cellStyle name="합산 4 3" xfId="16780" xr:uid="{00000000-0005-0000-0000-00002A420000}"/>
    <cellStyle name="합산 5" xfId="15844" xr:uid="{00000000-0005-0000-0000-00002B420000}"/>
    <cellStyle name="합산 6" xfId="15845" xr:uid="{00000000-0005-0000-0000-00002C420000}"/>
    <cellStyle name="합산 7" xfId="16777" xr:uid="{00000000-0005-0000-0000-00002D420000}"/>
    <cellStyle name="합산_태양광견적서(부안고)" xfId="16781" xr:uid="{00000000-0005-0000-0000-00002E420000}"/>
    <cellStyle name="桁区切り [0.00]_laroux" xfId="15846" xr:uid="{00000000-0005-0000-0000-00002F420000}"/>
    <cellStyle name="桁区切り_laroux" xfId="15847" xr:uid="{00000000-0005-0000-0000-000030420000}"/>
    <cellStyle name="垓" xfId="15848" xr:uid="{00000000-0005-0000-0000-000031420000}"/>
    <cellStyle name="垓 2" xfId="15849" xr:uid="{00000000-0005-0000-0000-000032420000}"/>
    <cellStyle name="화폐기호" xfId="15850" xr:uid="{00000000-0005-0000-0000-000033420000}"/>
    <cellStyle name="화폐기호 2" xfId="15851" xr:uid="{00000000-0005-0000-0000-000034420000}"/>
    <cellStyle name="화폐기호 2 2" xfId="15852" xr:uid="{00000000-0005-0000-0000-000035420000}"/>
    <cellStyle name="화폐기호 2 2 2" xfId="15853" xr:uid="{00000000-0005-0000-0000-000036420000}"/>
    <cellStyle name="화폐기호 2 2 3" xfId="16784" xr:uid="{00000000-0005-0000-0000-000037420000}"/>
    <cellStyle name="화폐기호 2 3" xfId="15854" xr:uid="{00000000-0005-0000-0000-000038420000}"/>
    <cellStyle name="화폐기호 2 4" xfId="16783" xr:uid="{00000000-0005-0000-0000-000039420000}"/>
    <cellStyle name="화폐기호 3" xfId="15855" xr:uid="{00000000-0005-0000-0000-00003A420000}"/>
    <cellStyle name="화폐기호 3 2" xfId="15856" xr:uid="{00000000-0005-0000-0000-00003B420000}"/>
    <cellStyle name="화폐기호 3 3" xfId="16785" xr:uid="{00000000-0005-0000-0000-00003C420000}"/>
    <cellStyle name="화폐기호 4" xfId="15857" xr:uid="{00000000-0005-0000-0000-00003D420000}"/>
    <cellStyle name="화폐기호 4 2" xfId="15858" xr:uid="{00000000-0005-0000-0000-00003E420000}"/>
    <cellStyle name="화폐기호 4 3" xfId="16786" xr:uid="{00000000-0005-0000-0000-00003F420000}"/>
    <cellStyle name="화폐기호 5" xfId="15859" xr:uid="{00000000-0005-0000-0000-000040420000}"/>
    <cellStyle name="화폐기호 6" xfId="15860" xr:uid="{00000000-0005-0000-0000-000041420000}"/>
    <cellStyle name="화폐기호 7" xfId="15861" xr:uid="{00000000-0005-0000-0000-000042420000}"/>
    <cellStyle name="화폐기호 8" xfId="16782" xr:uid="{00000000-0005-0000-0000-000043420000}"/>
    <cellStyle name="화폐기호_태양광견적서(부안고)" xfId="16787" xr:uid="{00000000-0005-0000-0000-000044420000}"/>
    <cellStyle name="화폐기호0" xfId="15862" xr:uid="{00000000-0005-0000-0000-000045420000}"/>
    <cellStyle name="화폐기호0 10" xfId="15863" xr:uid="{00000000-0005-0000-0000-000046420000}"/>
    <cellStyle name="화폐기호0 10 2" xfId="15864" xr:uid="{00000000-0005-0000-0000-000047420000}"/>
    <cellStyle name="화폐기호0 11" xfId="15865" xr:uid="{00000000-0005-0000-0000-000048420000}"/>
    <cellStyle name="화폐기호0 11 2" xfId="15866" xr:uid="{00000000-0005-0000-0000-000049420000}"/>
    <cellStyle name="화폐기호0 12" xfId="15867" xr:uid="{00000000-0005-0000-0000-00004A420000}"/>
    <cellStyle name="화폐기호0 12 2" xfId="15868" xr:uid="{00000000-0005-0000-0000-00004B420000}"/>
    <cellStyle name="화폐기호0 13" xfId="15869" xr:uid="{00000000-0005-0000-0000-00004C420000}"/>
    <cellStyle name="화폐기호0 13 2" xfId="15870" xr:uid="{00000000-0005-0000-0000-00004D420000}"/>
    <cellStyle name="화폐기호0 14" xfId="15871" xr:uid="{00000000-0005-0000-0000-00004E420000}"/>
    <cellStyle name="화폐기호0 15" xfId="15872" xr:uid="{00000000-0005-0000-0000-00004F420000}"/>
    <cellStyle name="화폐기호0 16" xfId="15873" xr:uid="{00000000-0005-0000-0000-000050420000}"/>
    <cellStyle name="화폐기호0 17" xfId="16788" xr:uid="{00000000-0005-0000-0000-000051420000}"/>
    <cellStyle name="화폐기호0 2" xfId="15874" xr:uid="{00000000-0005-0000-0000-000052420000}"/>
    <cellStyle name="화폐기호0 2 2" xfId="15875" xr:uid="{00000000-0005-0000-0000-000053420000}"/>
    <cellStyle name="화폐기호0 2 2 2" xfId="15876" xr:uid="{00000000-0005-0000-0000-000054420000}"/>
    <cellStyle name="화폐기호0 2 2 3" xfId="16790" xr:uid="{00000000-0005-0000-0000-000055420000}"/>
    <cellStyle name="화폐기호0 2 3" xfId="15877" xr:uid="{00000000-0005-0000-0000-000056420000}"/>
    <cellStyle name="화폐기호0 2 4" xfId="16789" xr:uid="{00000000-0005-0000-0000-000057420000}"/>
    <cellStyle name="화폐기호0 3" xfId="15878" xr:uid="{00000000-0005-0000-0000-000058420000}"/>
    <cellStyle name="화폐기호0 3 2" xfId="15879" xr:uid="{00000000-0005-0000-0000-000059420000}"/>
    <cellStyle name="화폐기호0 3 3" xfId="16791" xr:uid="{00000000-0005-0000-0000-00005A420000}"/>
    <cellStyle name="화폐기호0 4" xfId="15880" xr:uid="{00000000-0005-0000-0000-00005B420000}"/>
    <cellStyle name="화폐기호0 4 2" xfId="15881" xr:uid="{00000000-0005-0000-0000-00005C420000}"/>
    <cellStyle name="화폐기호0 4 3" xfId="16792" xr:uid="{00000000-0005-0000-0000-00005D420000}"/>
    <cellStyle name="화폐기호0 5" xfId="15882" xr:uid="{00000000-0005-0000-0000-00005E420000}"/>
    <cellStyle name="화폐기호0 5 2" xfId="15883" xr:uid="{00000000-0005-0000-0000-00005F420000}"/>
    <cellStyle name="화폐기호0 6" xfId="15884" xr:uid="{00000000-0005-0000-0000-000060420000}"/>
    <cellStyle name="화폐기호0 6 2" xfId="15885" xr:uid="{00000000-0005-0000-0000-000061420000}"/>
    <cellStyle name="화폐기호0 7" xfId="15886" xr:uid="{00000000-0005-0000-0000-000062420000}"/>
    <cellStyle name="화폐기호0 7 2" xfId="15887" xr:uid="{00000000-0005-0000-0000-000063420000}"/>
    <cellStyle name="화폐기호0 8" xfId="15888" xr:uid="{00000000-0005-0000-0000-000064420000}"/>
    <cellStyle name="화폐기호0 8 2" xfId="15889" xr:uid="{00000000-0005-0000-0000-000065420000}"/>
    <cellStyle name="화폐기호0 9" xfId="15890" xr:uid="{00000000-0005-0000-0000-000066420000}"/>
    <cellStyle name="화폐기호0 9 2" xfId="15891" xr:uid="{00000000-0005-0000-0000-000067420000}"/>
    <cellStyle name="화폐기호0_1부여부지 콘도미니엄 신축공사 AV설비 견적서_20100121" xfId="15892" xr:uid="{00000000-0005-0000-0000-000068420000}"/>
    <cellStyle name="ㅏㅏㅏ" xfId="15893" xr:uid="{00000000-0005-0000-0000-000069420000}"/>
    <cellStyle name="ㅣㅣ" xfId="15894" xr:uid="{00000000-0005-0000-0000-00006A420000}"/>
    <cellStyle name="ㅣㅣ 2" xfId="16793" xr:uid="{00000000-0005-0000-0000-00006B420000}"/>
  </cellStyles>
  <dxfs count="0"/>
  <tableStyles count="0" defaultTableStyle="TableStyleMedium2" defaultPivotStyle="PivotStyleLight16"/>
  <colors>
    <mruColors>
      <color rgb="FF666633"/>
      <color rgb="FF003300"/>
      <color rgb="FF663300"/>
      <color rgb="FF9933FF"/>
      <color rgb="FF00FF00"/>
      <color rgb="FF008080"/>
      <color rgb="FFFF00FF"/>
      <color rgb="FFFF99FF"/>
      <color rgb="FFFF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7"/>
  <sheetViews>
    <sheetView showGridLines="0" tabSelected="1" zoomScale="40" zoomScaleNormal="40" zoomScaleSheetLayoutView="55" workbookViewId="0">
      <selection activeCell="F2" sqref="F2:H7"/>
    </sheetView>
  </sheetViews>
  <sheetFormatPr defaultColWidth="9" defaultRowHeight="20.25"/>
  <cols>
    <col min="1" max="1" width="3.375" style="2" customWidth="1"/>
    <col min="2" max="2" width="25.125" style="12" customWidth="1"/>
    <col min="3" max="3" width="24.625" style="12" customWidth="1"/>
    <col min="4" max="4" width="18.625" style="12" customWidth="1"/>
    <col min="5" max="5" width="31.625" style="12" customWidth="1"/>
    <col min="6" max="6" width="101.75" style="12" bestFit="1" customWidth="1"/>
    <col min="7" max="7" width="9.625" style="12" customWidth="1"/>
    <col min="8" max="8" width="11.125" style="12" customWidth="1"/>
    <col min="9" max="9" width="40.875" style="13" customWidth="1"/>
    <col min="10" max="10" width="21.125" style="11" customWidth="1"/>
    <col min="11" max="11" width="10.875" style="170" customWidth="1"/>
    <col min="12" max="12" width="11.375" style="109" customWidth="1"/>
    <col min="13" max="13" width="17" style="145" customWidth="1"/>
    <col min="14" max="14" width="28" style="107" customWidth="1"/>
    <col min="15" max="15" width="23.125" style="250" customWidth="1"/>
    <col min="16" max="16" width="10.875" style="170" customWidth="1"/>
    <col min="17" max="17" width="11.375" style="109" customWidth="1"/>
    <col min="18" max="18" width="17" style="145" customWidth="1"/>
    <col min="19" max="19" width="28" style="107" customWidth="1"/>
    <col min="20" max="20" width="23.125" style="250" customWidth="1"/>
    <col min="21" max="21" width="10.875" style="170" customWidth="1"/>
    <col min="22" max="22" width="11.375" style="109" customWidth="1"/>
    <col min="23" max="23" width="17" style="145" customWidth="1"/>
    <col min="24" max="24" width="28" style="107" customWidth="1"/>
    <col min="25" max="25" width="23.125" style="250" customWidth="1"/>
    <col min="26" max="26" width="10.875" style="170" customWidth="1"/>
    <col min="27" max="27" width="11.375" style="109" customWidth="1"/>
    <col min="28" max="28" width="17" style="145" customWidth="1"/>
    <col min="29" max="29" width="28" style="107" customWidth="1"/>
    <col min="30" max="30" width="23.125" style="250" customWidth="1"/>
    <col min="31" max="31" width="10.875" style="170" customWidth="1"/>
    <col min="32" max="32" width="11.375" style="109" customWidth="1"/>
    <col min="33" max="33" width="17" style="145" customWidth="1"/>
    <col min="34" max="34" width="28" style="107" customWidth="1"/>
    <col min="35" max="35" width="23.125" style="250" customWidth="1"/>
    <col min="36" max="36" width="21.125" style="14" customWidth="1"/>
    <col min="37" max="37" width="115.625" style="14" customWidth="1"/>
    <col min="38" max="16384" width="9" style="2"/>
  </cols>
  <sheetData>
    <row r="1" spans="1:39" s="3" customFormat="1" ht="52.5" customHeight="1" thickBot="1">
      <c r="B1" s="831" t="s">
        <v>31</v>
      </c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</row>
    <row r="2" spans="1:39" s="3" customFormat="1" ht="26.25" customHeight="1">
      <c r="B2" s="832" t="s">
        <v>8</v>
      </c>
      <c r="C2" s="833"/>
      <c r="D2" s="833"/>
      <c r="E2" s="834"/>
      <c r="F2" s="842" t="s">
        <v>25</v>
      </c>
      <c r="G2" s="843"/>
      <c r="H2" s="844"/>
      <c r="I2" s="835" t="s">
        <v>17</v>
      </c>
      <c r="J2" s="836"/>
      <c r="K2" s="836"/>
      <c r="L2" s="836"/>
      <c r="M2" s="836"/>
      <c r="N2" s="836"/>
      <c r="O2" s="836"/>
      <c r="P2" s="836"/>
      <c r="Q2" s="836"/>
      <c r="R2" s="836"/>
      <c r="S2" s="836"/>
      <c r="T2" s="836"/>
      <c r="U2" s="836"/>
      <c r="V2" s="836"/>
      <c r="W2" s="836"/>
      <c r="X2" s="836"/>
      <c r="Y2" s="836"/>
      <c r="Z2" s="836"/>
      <c r="AA2" s="836"/>
      <c r="AB2" s="836"/>
      <c r="AC2" s="836"/>
      <c r="AD2" s="836"/>
      <c r="AE2" s="836"/>
      <c r="AF2" s="836"/>
      <c r="AG2" s="836"/>
      <c r="AH2" s="836"/>
      <c r="AI2" s="836"/>
      <c r="AJ2" s="836"/>
      <c r="AK2" s="837"/>
    </row>
    <row r="3" spans="1:39" s="3" customFormat="1" ht="17.25" customHeight="1">
      <c r="B3" s="838" t="s">
        <v>9</v>
      </c>
      <c r="C3" s="839"/>
      <c r="D3" s="840"/>
      <c r="E3" s="841"/>
      <c r="F3" s="845"/>
      <c r="G3" s="846"/>
      <c r="H3" s="847"/>
      <c r="I3" s="853" t="s">
        <v>10</v>
      </c>
      <c r="J3" s="854"/>
      <c r="K3" s="854"/>
      <c r="L3" s="854"/>
      <c r="M3" s="855"/>
      <c r="N3" s="862" t="s">
        <v>553</v>
      </c>
      <c r="O3" s="863"/>
      <c r="P3" s="863"/>
      <c r="Q3" s="863"/>
      <c r="R3" s="863"/>
      <c r="S3" s="863"/>
      <c r="T3" s="863"/>
      <c r="U3" s="863"/>
      <c r="V3" s="863"/>
      <c r="W3" s="863"/>
      <c r="X3" s="863"/>
      <c r="Y3" s="863"/>
      <c r="Z3" s="863"/>
      <c r="AA3" s="863"/>
      <c r="AB3" s="863"/>
      <c r="AC3" s="863"/>
      <c r="AD3" s="863"/>
      <c r="AE3" s="863"/>
      <c r="AF3" s="863"/>
      <c r="AG3" s="863"/>
      <c r="AH3" s="863"/>
      <c r="AI3" s="863"/>
      <c r="AJ3" s="863"/>
      <c r="AK3" s="864"/>
    </row>
    <row r="4" spans="1:39" s="3" customFormat="1" ht="17.25" customHeight="1">
      <c r="B4" s="838" t="s">
        <v>26</v>
      </c>
      <c r="C4" s="839"/>
      <c r="D4" s="840"/>
      <c r="E4" s="841"/>
      <c r="F4" s="845"/>
      <c r="G4" s="846"/>
      <c r="H4" s="847"/>
      <c r="I4" s="856" t="s">
        <v>24</v>
      </c>
      <c r="J4" s="857"/>
      <c r="K4" s="857"/>
      <c r="L4" s="857"/>
      <c r="M4" s="858"/>
      <c r="N4" s="862" t="s">
        <v>554</v>
      </c>
      <c r="O4" s="863"/>
      <c r="P4" s="863"/>
      <c r="Q4" s="863"/>
      <c r="R4" s="863"/>
      <c r="S4" s="863"/>
      <c r="T4" s="863"/>
      <c r="U4" s="863"/>
      <c r="V4" s="863"/>
      <c r="W4" s="863"/>
      <c r="X4" s="863"/>
      <c r="Y4" s="863"/>
      <c r="Z4" s="863"/>
      <c r="AA4" s="863"/>
      <c r="AB4" s="863"/>
      <c r="AC4" s="863"/>
      <c r="AD4" s="863"/>
      <c r="AE4" s="863"/>
      <c r="AF4" s="863"/>
      <c r="AG4" s="863"/>
      <c r="AH4" s="863"/>
      <c r="AI4" s="863"/>
      <c r="AJ4" s="863"/>
      <c r="AK4" s="864"/>
    </row>
    <row r="5" spans="1:39" s="3" customFormat="1" ht="17.25" customHeight="1">
      <c r="B5" s="851" t="s">
        <v>23</v>
      </c>
      <c r="C5" s="852"/>
      <c r="D5" s="840"/>
      <c r="E5" s="841"/>
      <c r="F5" s="845"/>
      <c r="G5" s="846"/>
      <c r="H5" s="847"/>
      <c r="I5" s="853" t="s">
        <v>11</v>
      </c>
      <c r="J5" s="854"/>
      <c r="K5" s="854"/>
      <c r="L5" s="854"/>
      <c r="M5" s="855"/>
      <c r="N5" s="862" t="s">
        <v>555</v>
      </c>
      <c r="O5" s="863"/>
      <c r="P5" s="863"/>
      <c r="Q5" s="863"/>
      <c r="R5" s="863"/>
      <c r="S5" s="863"/>
      <c r="T5" s="863"/>
      <c r="U5" s="863"/>
      <c r="V5" s="863"/>
      <c r="W5" s="863"/>
      <c r="X5" s="863"/>
      <c r="Y5" s="863"/>
      <c r="Z5" s="863"/>
      <c r="AA5" s="863"/>
      <c r="AB5" s="863"/>
      <c r="AC5" s="863"/>
      <c r="AD5" s="863"/>
      <c r="AE5" s="863"/>
      <c r="AF5" s="863"/>
      <c r="AG5" s="863"/>
      <c r="AH5" s="863"/>
      <c r="AI5" s="863"/>
      <c r="AJ5" s="863"/>
      <c r="AK5" s="864"/>
    </row>
    <row r="6" spans="1:39" s="3" customFormat="1" ht="17.25" customHeight="1">
      <c r="B6" s="838" t="s">
        <v>12</v>
      </c>
      <c r="C6" s="839"/>
      <c r="D6" s="329" t="e">
        <f>ROUNDDOWN(#REF!, -5)</f>
        <v>#REF!</v>
      </c>
      <c r="E6" s="7" t="s">
        <v>13</v>
      </c>
      <c r="F6" s="845"/>
      <c r="G6" s="846"/>
      <c r="H6" s="847"/>
      <c r="I6" s="853" t="s">
        <v>27</v>
      </c>
      <c r="J6" s="854"/>
      <c r="K6" s="854"/>
      <c r="L6" s="854"/>
      <c r="M6" s="855"/>
      <c r="N6" s="862" t="s">
        <v>556</v>
      </c>
      <c r="O6" s="863"/>
      <c r="P6" s="863"/>
      <c r="Q6" s="863"/>
      <c r="R6" s="863"/>
      <c r="S6" s="863"/>
      <c r="T6" s="863"/>
      <c r="U6" s="863"/>
      <c r="V6" s="863"/>
      <c r="W6" s="863"/>
      <c r="X6" s="863"/>
      <c r="Y6" s="863"/>
      <c r="Z6" s="863"/>
      <c r="AA6" s="863"/>
      <c r="AB6" s="863"/>
      <c r="AC6" s="863"/>
      <c r="AD6" s="863"/>
      <c r="AE6" s="863"/>
      <c r="AF6" s="863"/>
      <c r="AG6" s="863"/>
      <c r="AH6" s="863"/>
      <c r="AI6" s="863"/>
      <c r="AJ6" s="863"/>
      <c r="AK6" s="864"/>
    </row>
    <row r="7" spans="1:39" s="3" customFormat="1" ht="17.25" customHeight="1" thickBot="1">
      <c r="B7" s="868" t="s">
        <v>14</v>
      </c>
      <c r="C7" s="869"/>
      <c r="D7" s="870"/>
      <c r="E7" s="871"/>
      <c r="F7" s="848"/>
      <c r="G7" s="849"/>
      <c r="H7" s="850"/>
      <c r="I7" s="859" t="s">
        <v>28</v>
      </c>
      <c r="J7" s="860"/>
      <c r="K7" s="860"/>
      <c r="L7" s="860"/>
      <c r="M7" s="861"/>
      <c r="N7" s="865"/>
      <c r="O7" s="860"/>
      <c r="P7" s="860"/>
      <c r="Q7" s="860"/>
      <c r="R7" s="860"/>
      <c r="S7" s="860"/>
      <c r="T7" s="860"/>
      <c r="U7" s="860"/>
      <c r="V7" s="860"/>
      <c r="W7" s="860"/>
      <c r="X7" s="860"/>
      <c r="Y7" s="860"/>
      <c r="Z7" s="860"/>
      <c r="AA7" s="860"/>
      <c r="AB7" s="860"/>
      <c r="AC7" s="860"/>
      <c r="AD7" s="860"/>
      <c r="AE7" s="860"/>
      <c r="AF7" s="860"/>
      <c r="AG7" s="860"/>
      <c r="AH7" s="860"/>
      <c r="AI7" s="860"/>
      <c r="AJ7" s="860"/>
      <c r="AK7" s="866"/>
    </row>
    <row r="8" spans="1:39" s="3" customFormat="1" ht="18" customHeight="1">
      <c r="B8" s="8"/>
      <c r="C8" s="8"/>
      <c r="D8" s="8"/>
      <c r="E8" s="9"/>
      <c r="F8" s="9"/>
      <c r="G8" s="9"/>
      <c r="H8" s="8"/>
      <c r="I8" s="80"/>
      <c r="J8" s="10"/>
      <c r="K8" s="169"/>
      <c r="L8" s="192"/>
      <c r="M8" s="144"/>
      <c r="N8" s="263"/>
      <c r="O8" s="249"/>
      <c r="P8" s="169"/>
      <c r="Q8" s="192"/>
      <c r="R8" s="144"/>
      <c r="S8" s="263"/>
      <c r="T8" s="249"/>
      <c r="U8" s="169"/>
      <c r="V8" s="192"/>
      <c r="W8" s="144"/>
      <c r="X8" s="263"/>
      <c r="Y8" s="249"/>
      <c r="Z8" s="169"/>
      <c r="AA8" s="192"/>
      <c r="AB8" s="144"/>
      <c r="AC8" s="263"/>
      <c r="AD8" s="249"/>
      <c r="AE8" s="169"/>
      <c r="AF8" s="192"/>
      <c r="AG8" s="144"/>
      <c r="AH8" s="263"/>
      <c r="AI8" s="249"/>
      <c r="AJ8" s="9"/>
      <c r="AK8" s="9"/>
    </row>
    <row r="9" spans="1:39" ht="21" thickBot="1">
      <c r="B9" s="11"/>
      <c r="AK9" s="35" t="s">
        <v>20</v>
      </c>
      <c r="AM9" s="6"/>
    </row>
    <row r="10" spans="1:39" ht="46.5" customHeight="1" thickBot="1">
      <c r="B10" s="805" t="s">
        <v>0</v>
      </c>
      <c r="C10" s="805" t="s">
        <v>15</v>
      </c>
      <c r="D10" s="805" t="s">
        <v>16</v>
      </c>
      <c r="E10" s="805" t="s">
        <v>1</v>
      </c>
      <c r="F10" s="805" t="s">
        <v>2</v>
      </c>
      <c r="G10" s="816" t="s">
        <v>436</v>
      </c>
      <c r="H10" s="816"/>
      <c r="I10" s="816"/>
      <c r="J10" s="817"/>
      <c r="K10" s="806" t="s">
        <v>782</v>
      </c>
      <c r="L10" s="807"/>
      <c r="M10" s="807"/>
      <c r="N10" s="807"/>
      <c r="O10" s="808"/>
      <c r="P10" s="806" t="s">
        <v>783</v>
      </c>
      <c r="Q10" s="807"/>
      <c r="R10" s="807"/>
      <c r="S10" s="807"/>
      <c r="T10" s="808"/>
      <c r="U10" s="806" t="s">
        <v>784</v>
      </c>
      <c r="V10" s="807"/>
      <c r="W10" s="807"/>
      <c r="X10" s="807"/>
      <c r="Y10" s="808"/>
      <c r="Z10" s="922" t="s">
        <v>785</v>
      </c>
      <c r="AA10" s="923"/>
      <c r="AB10" s="923"/>
      <c r="AC10" s="923"/>
      <c r="AD10" s="924"/>
      <c r="AE10" s="928" t="s">
        <v>768</v>
      </c>
      <c r="AF10" s="929"/>
      <c r="AG10" s="929"/>
      <c r="AH10" s="929"/>
      <c r="AI10" s="930"/>
      <c r="AJ10" s="804" t="s">
        <v>18</v>
      </c>
      <c r="AK10" s="805" t="s">
        <v>6</v>
      </c>
      <c r="AM10" s="6"/>
    </row>
    <row r="11" spans="1:39" s="5" customFormat="1" ht="45" customHeight="1">
      <c r="A11" s="4"/>
      <c r="B11" s="805"/>
      <c r="C11" s="805"/>
      <c r="D11" s="805"/>
      <c r="E11" s="805"/>
      <c r="F11" s="805"/>
      <c r="G11" s="110" t="s">
        <v>3</v>
      </c>
      <c r="H11" s="110" t="s">
        <v>4</v>
      </c>
      <c r="I11" s="111" t="s">
        <v>5</v>
      </c>
      <c r="J11" s="204" t="s">
        <v>427</v>
      </c>
      <c r="K11" s="210" t="s">
        <v>437</v>
      </c>
      <c r="L11" s="112" t="s">
        <v>438</v>
      </c>
      <c r="M11" s="146" t="s">
        <v>435</v>
      </c>
      <c r="N11" s="264" t="s">
        <v>428</v>
      </c>
      <c r="O11" s="211" t="s">
        <v>429</v>
      </c>
      <c r="P11" s="210" t="s">
        <v>437</v>
      </c>
      <c r="Q11" s="112" t="s">
        <v>438</v>
      </c>
      <c r="R11" s="146" t="s">
        <v>435</v>
      </c>
      <c r="S11" s="264" t="s">
        <v>428</v>
      </c>
      <c r="T11" s="211" t="s">
        <v>690</v>
      </c>
      <c r="U11" s="210" t="s">
        <v>437</v>
      </c>
      <c r="V11" s="112" t="s">
        <v>438</v>
      </c>
      <c r="W11" s="146" t="s">
        <v>435</v>
      </c>
      <c r="X11" s="264" t="s">
        <v>697</v>
      </c>
      <c r="Y11" s="211" t="s">
        <v>698</v>
      </c>
      <c r="Z11" s="567" t="s">
        <v>437</v>
      </c>
      <c r="AA11" s="568" t="s">
        <v>438</v>
      </c>
      <c r="AB11" s="569" t="s">
        <v>435</v>
      </c>
      <c r="AC11" s="568" t="s">
        <v>697</v>
      </c>
      <c r="AD11" s="570" t="s">
        <v>702</v>
      </c>
      <c r="AE11" s="661" t="s">
        <v>437</v>
      </c>
      <c r="AF11" s="662" t="s">
        <v>438</v>
      </c>
      <c r="AG11" s="663" t="s">
        <v>435</v>
      </c>
      <c r="AH11" s="662" t="s">
        <v>428</v>
      </c>
      <c r="AI11" s="664" t="s">
        <v>703</v>
      </c>
      <c r="AJ11" s="804"/>
      <c r="AK11" s="805"/>
    </row>
    <row r="12" spans="1:39" ht="30.2" customHeight="1">
      <c r="B12" s="819" t="s">
        <v>19</v>
      </c>
      <c r="C12" s="790" t="s">
        <v>40</v>
      </c>
      <c r="D12" s="791"/>
      <c r="E12" s="15" t="s">
        <v>42</v>
      </c>
      <c r="F12" s="15" t="s">
        <v>51</v>
      </c>
      <c r="G12" s="113">
        <v>28</v>
      </c>
      <c r="H12" s="114" t="s">
        <v>7</v>
      </c>
      <c r="I12" s="115">
        <v>220927</v>
      </c>
      <c r="J12" s="166">
        <f t="shared" ref="J12:J19" si="0">G12*I12</f>
        <v>6185956</v>
      </c>
      <c r="K12" s="212">
        <v>28</v>
      </c>
      <c r="L12" s="16" t="s">
        <v>7</v>
      </c>
      <c r="M12" s="147">
        <v>220927</v>
      </c>
      <c r="N12" s="265">
        <f>K12*M12</f>
        <v>6185956</v>
      </c>
      <c r="O12" s="251">
        <f>N12-J12</f>
        <v>0</v>
      </c>
      <c r="P12" s="212">
        <v>28</v>
      </c>
      <c r="Q12" s="16" t="s">
        <v>7</v>
      </c>
      <c r="R12" s="147">
        <v>220927</v>
      </c>
      <c r="S12" s="265">
        <f>P12*R12</f>
        <v>6185956</v>
      </c>
      <c r="T12" s="251">
        <f>S12-N12</f>
        <v>0</v>
      </c>
      <c r="U12" s="212">
        <v>28</v>
      </c>
      <c r="V12" s="16" t="s">
        <v>7</v>
      </c>
      <c r="W12" s="147">
        <v>220927</v>
      </c>
      <c r="X12" s="265">
        <f>U12*W12</f>
        <v>6185956</v>
      </c>
      <c r="Y12" s="251">
        <f>X12-S12</f>
        <v>0</v>
      </c>
      <c r="Z12" s="212">
        <v>28</v>
      </c>
      <c r="AA12" s="16" t="s">
        <v>7</v>
      </c>
      <c r="AB12" s="147">
        <v>220927</v>
      </c>
      <c r="AC12" s="265">
        <f>Z12*AB12</f>
        <v>6185956</v>
      </c>
      <c r="AD12" s="251">
        <f>AC12-X12</f>
        <v>0</v>
      </c>
      <c r="AE12" s="212">
        <v>28</v>
      </c>
      <c r="AF12" s="16" t="s">
        <v>7</v>
      </c>
      <c r="AG12" s="147">
        <v>220927</v>
      </c>
      <c r="AH12" s="265">
        <f>AE12*AG12</f>
        <v>6185956</v>
      </c>
      <c r="AI12" s="251">
        <f t="shared" ref="AI12:AI19" si="1">AH12-AC12</f>
        <v>0</v>
      </c>
      <c r="AJ12" s="18"/>
      <c r="AK12" s="49" t="s">
        <v>21</v>
      </c>
    </row>
    <row r="13" spans="1:39" ht="30.2" customHeight="1">
      <c r="B13" s="820"/>
      <c r="C13" s="792"/>
      <c r="D13" s="793"/>
      <c r="E13" s="15" t="s">
        <v>45</v>
      </c>
      <c r="F13" s="15" t="s">
        <v>51</v>
      </c>
      <c r="G13" s="113">
        <v>20</v>
      </c>
      <c r="H13" s="114" t="s">
        <v>7</v>
      </c>
      <c r="I13" s="115">
        <v>220927</v>
      </c>
      <c r="J13" s="166">
        <f t="shared" si="0"/>
        <v>4418540</v>
      </c>
      <c r="K13" s="212">
        <v>20</v>
      </c>
      <c r="L13" s="16" t="s">
        <v>7</v>
      </c>
      <c r="M13" s="147">
        <v>220927</v>
      </c>
      <c r="N13" s="265">
        <f t="shared" ref="N13:N19" si="2">K13*M13</f>
        <v>4418540</v>
      </c>
      <c r="O13" s="251">
        <f t="shared" ref="O13:O19" si="3">N13-J13</f>
        <v>0</v>
      </c>
      <c r="P13" s="212">
        <v>20</v>
      </c>
      <c r="Q13" s="16" t="s">
        <v>7</v>
      </c>
      <c r="R13" s="147">
        <v>220927</v>
      </c>
      <c r="S13" s="265">
        <f t="shared" ref="S13:S19" si="4">P13*R13</f>
        <v>4418540</v>
      </c>
      <c r="T13" s="251">
        <f t="shared" ref="T13:T19" si="5">S13-N13</f>
        <v>0</v>
      </c>
      <c r="U13" s="212">
        <v>20</v>
      </c>
      <c r="V13" s="16" t="s">
        <v>7</v>
      </c>
      <c r="W13" s="147">
        <v>220927</v>
      </c>
      <c r="X13" s="265">
        <f t="shared" ref="X13:X19" si="6">U13*W13</f>
        <v>4418540</v>
      </c>
      <c r="Y13" s="251">
        <f t="shared" ref="Y13:Y19" si="7">X13-S13</f>
        <v>0</v>
      </c>
      <c r="Z13" s="212">
        <v>20</v>
      </c>
      <c r="AA13" s="16" t="s">
        <v>7</v>
      </c>
      <c r="AB13" s="147">
        <v>220927</v>
      </c>
      <c r="AC13" s="265">
        <f t="shared" ref="AC13:AC19" si="8">Z13*AB13</f>
        <v>4418540</v>
      </c>
      <c r="AD13" s="251">
        <f t="shared" ref="AD13:AD19" si="9">AC13-X13</f>
        <v>0</v>
      </c>
      <c r="AE13" s="212">
        <v>20</v>
      </c>
      <c r="AF13" s="16" t="s">
        <v>7</v>
      </c>
      <c r="AG13" s="147">
        <v>220927</v>
      </c>
      <c r="AH13" s="265">
        <f t="shared" ref="AH13:AH19" si="10">AE13*AG13</f>
        <v>4418540</v>
      </c>
      <c r="AI13" s="251">
        <f t="shared" si="1"/>
        <v>0</v>
      </c>
      <c r="AJ13" s="18"/>
      <c r="AK13" s="49" t="s">
        <v>21</v>
      </c>
    </row>
    <row r="14" spans="1:39" ht="30.2" customHeight="1">
      <c r="B14" s="820"/>
      <c r="C14" s="792"/>
      <c r="D14" s="793"/>
      <c r="E14" s="15" t="s">
        <v>46</v>
      </c>
      <c r="F14" s="15" t="s">
        <v>54</v>
      </c>
      <c r="G14" s="113">
        <v>10</v>
      </c>
      <c r="H14" s="114" t="s">
        <v>7</v>
      </c>
      <c r="I14" s="115">
        <v>110765</v>
      </c>
      <c r="J14" s="166">
        <f t="shared" si="0"/>
        <v>1107650</v>
      </c>
      <c r="K14" s="212">
        <v>10</v>
      </c>
      <c r="L14" s="16" t="s">
        <v>7</v>
      </c>
      <c r="M14" s="147">
        <v>110765</v>
      </c>
      <c r="N14" s="265">
        <f t="shared" si="2"/>
        <v>1107650</v>
      </c>
      <c r="O14" s="251">
        <f t="shared" si="3"/>
        <v>0</v>
      </c>
      <c r="P14" s="212">
        <v>10</v>
      </c>
      <c r="Q14" s="16" t="s">
        <v>7</v>
      </c>
      <c r="R14" s="147">
        <v>110765</v>
      </c>
      <c r="S14" s="265">
        <f t="shared" si="4"/>
        <v>1107650</v>
      </c>
      <c r="T14" s="251">
        <f t="shared" si="5"/>
        <v>0</v>
      </c>
      <c r="U14" s="212">
        <v>10</v>
      </c>
      <c r="V14" s="16" t="s">
        <v>7</v>
      </c>
      <c r="W14" s="147">
        <v>110765</v>
      </c>
      <c r="X14" s="265">
        <f t="shared" si="6"/>
        <v>1107650</v>
      </c>
      <c r="Y14" s="251">
        <f t="shared" si="7"/>
        <v>0</v>
      </c>
      <c r="Z14" s="212">
        <v>10</v>
      </c>
      <c r="AA14" s="16" t="s">
        <v>7</v>
      </c>
      <c r="AB14" s="147">
        <v>110765</v>
      </c>
      <c r="AC14" s="265">
        <f t="shared" si="8"/>
        <v>1107650</v>
      </c>
      <c r="AD14" s="251">
        <f t="shared" si="9"/>
        <v>0</v>
      </c>
      <c r="AE14" s="212">
        <v>10</v>
      </c>
      <c r="AF14" s="16" t="s">
        <v>7</v>
      </c>
      <c r="AG14" s="147">
        <v>110765</v>
      </c>
      <c r="AH14" s="265">
        <f t="shared" si="10"/>
        <v>1107650</v>
      </c>
      <c r="AI14" s="251">
        <f t="shared" si="1"/>
        <v>0</v>
      </c>
      <c r="AJ14" s="18"/>
      <c r="AK14" s="49" t="s">
        <v>21</v>
      </c>
    </row>
    <row r="15" spans="1:39" ht="30.2" customHeight="1">
      <c r="B15" s="820"/>
      <c r="C15" s="792"/>
      <c r="D15" s="793"/>
      <c r="E15" s="15" t="s">
        <v>44</v>
      </c>
      <c r="F15" s="15" t="s">
        <v>51</v>
      </c>
      <c r="G15" s="113">
        <v>15</v>
      </c>
      <c r="H15" s="114" t="s">
        <v>7</v>
      </c>
      <c r="I15" s="115">
        <v>220927</v>
      </c>
      <c r="J15" s="166">
        <f t="shared" si="0"/>
        <v>3313905</v>
      </c>
      <c r="K15" s="212">
        <v>15</v>
      </c>
      <c r="L15" s="16" t="s">
        <v>7</v>
      </c>
      <c r="M15" s="147">
        <v>220927</v>
      </c>
      <c r="N15" s="265">
        <f t="shared" si="2"/>
        <v>3313905</v>
      </c>
      <c r="O15" s="251">
        <f t="shared" si="3"/>
        <v>0</v>
      </c>
      <c r="P15" s="212">
        <v>15</v>
      </c>
      <c r="Q15" s="16" t="s">
        <v>7</v>
      </c>
      <c r="R15" s="147">
        <v>220927</v>
      </c>
      <c r="S15" s="265">
        <f t="shared" si="4"/>
        <v>3313905</v>
      </c>
      <c r="T15" s="251">
        <f t="shared" si="5"/>
        <v>0</v>
      </c>
      <c r="U15" s="212">
        <v>15</v>
      </c>
      <c r="V15" s="16" t="s">
        <v>7</v>
      </c>
      <c r="W15" s="147">
        <v>220927</v>
      </c>
      <c r="X15" s="265">
        <f t="shared" si="6"/>
        <v>3313905</v>
      </c>
      <c r="Y15" s="251">
        <f t="shared" si="7"/>
        <v>0</v>
      </c>
      <c r="Z15" s="212">
        <v>15</v>
      </c>
      <c r="AA15" s="16" t="s">
        <v>7</v>
      </c>
      <c r="AB15" s="147">
        <v>220927</v>
      </c>
      <c r="AC15" s="265">
        <f t="shared" si="8"/>
        <v>3313905</v>
      </c>
      <c r="AD15" s="251">
        <f t="shared" si="9"/>
        <v>0</v>
      </c>
      <c r="AE15" s="212">
        <v>15</v>
      </c>
      <c r="AF15" s="16" t="s">
        <v>7</v>
      </c>
      <c r="AG15" s="147">
        <v>220927</v>
      </c>
      <c r="AH15" s="265">
        <f t="shared" si="10"/>
        <v>3313905</v>
      </c>
      <c r="AI15" s="251">
        <f t="shared" si="1"/>
        <v>0</v>
      </c>
      <c r="AJ15" s="18"/>
      <c r="AK15" s="49" t="s">
        <v>21</v>
      </c>
    </row>
    <row r="16" spans="1:39" ht="30.2" customHeight="1">
      <c r="B16" s="820"/>
      <c r="C16" s="792"/>
      <c r="D16" s="793"/>
      <c r="E16" s="15" t="s">
        <v>47</v>
      </c>
      <c r="F16" s="15" t="s">
        <v>51</v>
      </c>
      <c r="G16" s="113">
        <v>10</v>
      </c>
      <c r="H16" s="114" t="s">
        <v>7</v>
      </c>
      <c r="I16" s="115">
        <v>220927</v>
      </c>
      <c r="J16" s="166">
        <f t="shared" si="0"/>
        <v>2209270</v>
      </c>
      <c r="K16" s="212">
        <v>10</v>
      </c>
      <c r="L16" s="16" t="s">
        <v>7</v>
      </c>
      <c r="M16" s="147">
        <v>220927</v>
      </c>
      <c r="N16" s="265">
        <f t="shared" si="2"/>
        <v>2209270</v>
      </c>
      <c r="O16" s="251">
        <f t="shared" si="3"/>
        <v>0</v>
      </c>
      <c r="P16" s="212">
        <v>10</v>
      </c>
      <c r="Q16" s="16" t="s">
        <v>7</v>
      </c>
      <c r="R16" s="147">
        <v>220927</v>
      </c>
      <c r="S16" s="265">
        <f t="shared" si="4"/>
        <v>2209270</v>
      </c>
      <c r="T16" s="251">
        <f t="shared" si="5"/>
        <v>0</v>
      </c>
      <c r="U16" s="212">
        <v>10</v>
      </c>
      <c r="V16" s="16" t="s">
        <v>7</v>
      </c>
      <c r="W16" s="147">
        <v>220927</v>
      </c>
      <c r="X16" s="265">
        <f t="shared" si="6"/>
        <v>2209270</v>
      </c>
      <c r="Y16" s="251">
        <f t="shared" si="7"/>
        <v>0</v>
      </c>
      <c r="Z16" s="212">
        <v>10</v>
      </c>
      <c r="AA16" s="16" t="s">
        <v>7</v>
      </c>
      <c r="AB16" s="147">
        <v>220927</v>
      </c>
      <c r="AC16" s="265">
        <f t="shared" si="8"/>
        <v>2209270</v>
      </c>
      <c r="AD16" s="251">
        <f t="shared" si="9"/>
        <v>0</v>
      </c>
      <c r="AE16" s="212">
        <v>10</v>
      </c>
      <c r="AF16" s="16" t="s">
        <v>7</v>
      </c>
      <c r="AG16" s="147">
        <v>220927</v>
      </c>
      <c r="AH16" s="265">
        <f t="shared" si="10"/>
        <v>2209270</v>
      </c>
      <c r="AI16" s="251">
        <f t="shared" si="1"/>
        <v>0</v>
      </c>
      <c r="AJ16" s="18"/>
      <c r="AK16" s="49" t="s">
        <v>21</v>
      </c>
    </row>
    <row r="17" spans="2:37" ht="30.2" customHeight="1">
      <c r="B17" s="820"/>
      <c r="C17" s="792"/>
      <c r="D17" s="793"/>
      <c r="E17" s="15" t="s">
        <v>48</v>
      </c>
      <c r="F17" s="15" t="s">
        <v>52</v>
      </c>
      <c r="G17" s="113">
        <v>10</v>
      </c>
      <c r="H17" s="114" t="s">
        <v>7</v>
      </c>
      <c r="I17" s="115">
        <v>147682</v>
      </c>
      <c r="J17" s="166">
        <f t="shared" si="0"/>
        <v>1476820</v>
      </c>
      <c r="K17" s="212">
        <v>10</v>
      </c>
      <c r="L17" s="16" t="s">
        <v>7</v>
      </c>
      <c r="M17" s="147">
        <v>147682</v>
      </c>
      <c r="N17" s="265">
        <f t="shared" si="2"/>
        <v>1476820</v>
      </c>
      <c r="O17" s="251">
        <f t="shared" si="3"/>
        <v>0</v>
      </c>
      <c r="P17" s="212">
        <v>10</v>
      </c>
      <c r="Q17" s="16" t="s">
        <v>7</v>
      </c>
      <c r="R17" s="147">
        <v>147682</v>
      </c>
      <c r="S17" s="265">
        <f t="shared" si="4"/>
        <v>1476820</v>
      </c>
      <c r="T17" s="251">
        <f t="shared" si="5"/>
        <v>0</v>
      </c>
      <c r="U17" s="212">
        <v>10</v>
      </c>
      <c r="V17" s="16" t="s">
        <v>7</v>
      </c>
      <c r="W17" s="147">
        <v>147682</v>
      </c>
      <c r="X17" s="265">
        <f t="shared" si="6"/>
        <v>1476820</v>
      </c>
      <c r="Y17" s="251">
        <f t="shared" si="7"/>
        <v>0</v>
      </c>
      <c r="Z17" s="212">
        <v>10</v>
      </c>
      <c r="AA17" s="16" t="s">
        <v>7</v>
      </c>
      <c r="AB17" s="147">
        <v>147682</v>
      </c>
      <c r="AC17" s="265">
        <f t="shared" si="8"/>
        <v>1476820</v>
      </c>
      <c r="AD17" s="251">
        <f t="shared" si="9"/>
        <v>0</v>
      </c>
      <c r="AE17" s="212">
        <v>10</v>
      </c>
      <c r="AF17" s="16" t="s">
        <v>7</v>
      </c>
      <c r="AG17" s="147">
        <v>147682</v>
      </c>
      <c r="AH17" s="265">
        <f t="shared" si="10"/>
        <v>1476820</v>
      </c>
      <c r="AI17" s="251">
        <f t="shared" si="1"/>
        <v>0</v>
      </c>
      <c r="AJ17" s="18"/>
      <c r="AK17" s="49" t="s">
        <v>21</v>
      </c>
    </row>
    <row r="18" spans="2:37" ht="30.2" customHeight="1">
      <c r="B18" s="820"/>
      <c r="C18" s="792"/>
      <c r="D18" s="793"/>
      <c r="E18" s="15" t="s">
        <v>49</v>
      </c>
      <c r="F18" s="15" t="s">
        <v>53</v>
      </c>
      <c r="G18" s="113">
        <v>15</v>
      </c>
      <c r="H18" s="114" t="s">
        <v>7</v>
      </c>
      <c r="I18" s="115">
        <v>288120</v>
      </c>
      <c r="J18" s="166">
        <f t="shared" si="0"/>
        <v>4321800</v>
      </c>
      <c r="K18" s="212">
        <v>15</v>
      </c>
      <c r="L18" s="16" t="s">
        <v>7</v>
      </c>
      <c r="M18" s="147">
        <v>288120</v>
      </c>
      <c r="N18" s="265">
        <f t="shared" si="2"/>
        <v>4321800</v>
      </c>
      <c r="O18" s="251">
        <f t="shared" si="3"/>
        <v>0</v>
      </c>
      <c r="P18" s="212">
        <v>15</v>
      </c>
      <c r="Q18" s="16" t="s">
        <v>7</v>
      </c>
      <c r="R18" s="147">
        <v>288120</v>
      </c>
      <c r="S18" s="265">
        <f t="shared" si="4"/>
        <v>4321800</v>
      </c>
      <c r="T18" s="251">
        <f t="shared" si="5"/>
        <v>0</v>
      </c>
      <c r="U18" s="212">
        <v>15</v>
      </c>
      <c r="V18" s="16" t="s">
        <v>7</v>
      </c>
      <c r="W18" s="147">
        <v>288120</v>
      </c>
      <c r="X18" s="265">
        <f t="shared" si="6"/>
        <v>4321800</v>
      </c>
      <c r="Y18" s="251">
        <f t="shared" si="7"/>
        <v>0</v>
      </c>
      <c r="Z18" s="212">
        <v>15</v>
      </c>
      <c r="AA18" s="16" t="s">
        <v>7</v>
      </c>
      <c r="AB18" s="147">
        <v>288120</v>
      </c>
      <c r="AC18" s="265">
        <f t="shared" si="8"/>
        <v>4321800</v>
      </c>
      <c r="AD18" s="251">
        <f t="shared" si="9"/>
        <v>0</v>
      </c>
      <c r="AE18" s="212">
        <v>15</v>
      </c>
      <c r="AF18" s="16" t="s">
        <v>7</v>
      </c>
      <c r="AG18" s="147">
        <v>288120</v>
      </c>
      <c r="AH18" s="265">
        <f t="shared" si="10"/>
        <v>4321800</v>
      </c>
      <c r="AI18" s="251">
        <f t="shared" si="1"/>
        <v>0</v>
      </c>
      <c r="AJ18" s="18"/>
      <c r="AK18" s="49" t="s">
        <v>21</v>
      </c>
    </row>
    <row r="19" spans="2:37" ht="30.2" customHeight="1">
      <c r="B19" s="821"/>
      <c r="C19" s="794"/>
      <c r="D19" s="795"/>
      <c r="E19" s="15" t="s">
        <v>50</v>
      </c>
      <c r="F19" s="15" t="s">
        <v>51</v>
      </c>
      <c r="G19" s="113">
        <v>5</v>
      </c>
      <c r="H19" s="114" t="s">
        <v>7</v>
      </c>
      <c r="I19" s="115">
        <v>220927</v>
      </c>
      <c r="J19" s="166">
        <f t="shared" si="0"/>
        <v>1104635</v>
      </c>
      <c r="K19" s="212">
        <v>5</v>
      </c>
      <c r="L19" s="16" t="s">
        <v>7</v>
      </c>
      <c r="M19" s="147">
        <v>220927</v>
      </c>
      <c r="N19" s="265">
        <f t="shared" si="2"/>
        <v>1104635</v>
      </c>
      <c r="O19" s="251">
        <f t="shared" si="3"/>
        <v>0</v>
      </c>
      <c r="P19" s="212">
        <v>5</v>
      </c>
      <c r="Q19" s="16" t="s">
        <v>7</v>
      </c>
      <c r="R19" s="147">
        <v>220927</v>
      </c>
      <c r="S19" s="265">
        <f t="shared" si="4"/>
        <v>1104635</v>
      </c>
      <c r="T19" s="251">
        <f t="shared" si="5"/>
        <v>0</v>
      </c>
      <c r="U19" s="212">
        <v>5</v>
      </c>
      <c r="V19" s="16" t="s">
        <v>7</v>
      </c>
      <c r="W19" s="147">
        <v>220927</v>
      </c>
      <c r="X19" s="265">
        <f t="shared" si="6"/>
        <v>1104635</v>
      </c>
      <c r="Y19" s="251">
        <f t="shared" si="7"/>
        <v>0</v>
      </c>
      <c r="Z19" s="212">
        <v>5</v>
      </c>
      <c r="AA19" s="16" t="s">
        <v>7</v>
      </c>
      <c r="AB19" s="147">
        <v>220927</v>
      </c>
      <c r="AC19" s="265">
        <f t="shared" si="8"/>
        <v>1104635</v>
      </c>
      <c r="AD19" s="251">
        <f t="shared" si="9"/>
        <v>0</v>
      </c>
      <c r="AE19" s="212">
        <v>5</v>
      </c>
      <c r="AF19" s="16" t="s">
        <v>7</v>
      </c>
      <c r="AG19" s="147">
        <v>220927</v>
      </c>
      <c r="AH19" s="265">
        <f t="shared" si="10"/>
        <v>1104635</v>
      </c>
      <c r="AI19" s="251">
        <f t="shared" si="1"/>
        <v>0</v>
      </c>
      <c r="AJ19" s="18"/>
      <c r="AK19" s="49" t="s">
        <v>21</v>
      </c>
    </row>
    <row r="20" spans="2:37" ht="30.2" customHeight="1">
      <c r="B20" s="749" t="s">
        <v>57</v>
      </c>
      <c r="C20" s="750"/>
      <c r="D20" s="750"/>
      <c r="E20" s="750"/>
      <c r="F20" s="750"/>
      <c r="G20" s="750"/>
      <c r="H20" s="750"/>
      <c r="I20" s="751"/>
      <c r="J20" s="161">
        <f>SUM(J12:J19)</f>
        <v>24138576</v>
      </c>
      <c r="K20" s="809"/>
      <c r="L20" s="810"/>
      <c r="M20" s="811"/>
      <c r="N20" s="266">
        <f>SUM(N12:N19)</f>
        <v>24138576</v>
      </c>
      <c r="O20" s="244">
        <f>SUM(O12:O19)</f>
        <v>0</v>
      </c>
      <c r="P20" s="809"/>
      <c r="Q20" s="810"/>
      <c r="R20" s="811"/>
      <c r="S20" s="266">
        <f>SUM(S12:S19)</f>
        <v>24138576</v>
      </c>
      <c r="T20" s="244">
        <f>SUM(T12:T19)</f>
        <v>0</v>
      </c>
      <c r="U20" s="809"/>
      <c r="V20" s="810"/>
      <c r="W20" s="811"/>
      <c r="X20" s="266">
        <f>SUM(X12:X19)</f>
        <v>24138576</v>
      </c>
      <c r="Y20" s="244">
        <f>SUM(Y12:Y19)</f>
        <v>0</v>
      </c>
      <c r="Z20" s="809"/>
      <c r="AA20" s="810"/>
      <c r="AB20" s="811"/>
      <c r="AC20" s="266">
        <f>SUM(AC12:AC19)</f>
        <v>24138576</v>
      </c>
      <c r="AD20" s="244">
        <f>SUM(AD12:AD19)</f>
        <v>0</v>
      </c>
      <c r="AE20" s="809"/>
      <c r="AF20" s="810"/>
      <c r="AG20" s="811"/>
      <c r="AH20" s="266">
        <f>SUM(AH12:AH19)</f>
        <v>24138576</v>
      </c>
      <c r="AI20" s="244">
        <f>SUM(AI12:AI19)</f>
        <v>0</v>
      </c>
      <c r="AJ20" s="55"/>
      <c r="AK20" s="56"/>
    </row>
    <row r="21" spans="2:37" ht="34.5" customHeight="1">
      <c r="B21" s="819" t="s">
        <v>214</v>
      </c>
      <c r="C21" s="790" t="s">
        <v>215</v>
      </c>
      <c r="D21" s="791"/>
      <c r="E21" s="889" t="s">
        <v>216</v>
      </c>
      <c r="F21" s="64" t="s">
        <v>217</v>
      </c>
      <c r="G21" s="116">
        <v>1</v>
      </c>
      <c r="H21" s="117" t="s">
        <v>147</v>
      </c>
      <c r="I21" s="118">
        <v>30000000</v>
      </c>
      <c r="J21" s="119">
        <f t="shared" ref="J21:J31" si="11">G21*I21</f>
        <v>30000000</v>
      </c>
      <c r="K21" s="213">
        <v>1</v>
      </c>
      <c r="L21" s="65" t="s">
        <v>147</v>
      </c>
      <c r="M21" s="148">
        <v>30000000</v>
      </c>
      <c r="N21" s="267">
        <f>K21*M21</f>
        <v>30000000</v>
      </c>
      <c r="O21" s="252">
        <f>N21-J21</f>
        <v>0</v>
      </c>
      <c r="P21" s="213">
        <v>1</v>
      </c>
      <c r="Q21" s="65" t="s">
        <v>147</v>
      </c>
      <c r="R21" s="148">
        <v>30000000</v>
      </c>
      <c r="S21" s="267">
        <f>P21*R21</f>
        <v>30000000</v>
      </c>
      <c r="T21" s="251">
        <f>S21-N21</f>
        <v>0</v>
      </c>
      <c r="U21" s="213">
        <v>1</v>
      </c>
      <c r="V21" s="65" t="s">
        <v>147</v>
      </c>
      <c r="W21" s="148">
        <v>30000000</v>
      </c>
      <c r="X21" s="267">
        <f>U21*W21</f>
        <v>30000000</v>
      </c>
      <c r="Y21" s="251">
        <f>X21-S21</f>
        <v>0</v>
      </c>
      <c r="Z21" s="213">
        <v>1</v>
      </c>
      <c r="AA21" s="65" t="s">
        <v>147</v>
      </c>
      <c r="AB21" s="148">
        <v>30000000</v>
      </c>
      <c r="AC21" s="267">
        <f>Z21*AB21</f>
        <v>30000000</v>
      </c>
      <c r="AD21" s="251">
        <f>AC21-X21</f>
        <v>0</v>
      </c>
      <c r="AE21" s="213">
        <v>1</v>
      </c>
      <c r="AF21" s="65" t="s">
        <v>147</v>
      </c>
      <c r="AG21" s="148">
        <v>30000000</v>
      </c>
      <c r="AH21" s="267">
        <f>AE21*AG21</f>
        <v>30000000</v>
      </c>
      <c r="AI21" s="251">
        <f t="shared" ref="AI21:AI52" si="12">AH21-AC21</f>
        <v>0</v>
      </c>
      <c r="AJ21" s="93" t="s">
        <v>218</v>
      </c>
      <c r="AK21" s="31"/>
    </row>
    <row r="22" spans="2:37" ht="31.5" customHeight="1">
      <c r="B22" s="820"/>
      <c r="C22" s="792"/>
      <c r="D22" s="793"/>
      <c r="E22" s="890"/>
      <c r="F22" s="64" t="s">
        <v>219</v>
      </c>
      <c r="G22" s="116">
        <v>2</v>
      </c>
      <c r="H22" s="117" t="s">
        <v>147</v>
      </c>
      <c r="I22" s="118">
        <v>13000000</v>
      </c>
      <c r="J22" s="119">
        <f t="shared" si="11"/>
        <v>26000000</v>
      </c>
      <c r="K22" s="213">
        <v>2</v>
      </c>
      <c r="L22" s="65" t="s">
        <v>147</v>
      </c>
      <c r="M22" s="148">
        <v>13000000</v>
      </c>
      <c r="N22" s="267">
        <f t="shared" ref="N22:N85" si="13">K22*M22</f>
        <v>26000000</v>
      </c>
      <c r="O22" s="252">
        <f t="shared" ref="O22:O85" si="14">N22-J22</f>
        <v>0</v>
      </c>
      <c r="P22" s="213">
        <v>2</v>
      </c>
      <c r="Q22" s="65" t="s">
        <v>147</v>
      </c>
      <c r="R22" s="148">
        <v>13000000</v>
      </c>
      <c r="S22" s="267">
        <f t="shared" ref="S22:S79" si="15">P22*R22</f>
        <v>26000000</v>
      </c>
      <c r="T22" s="251">
        <f t="shared" ref="T22:T88" si="16">S22-N22</f>
        <v>0</v>
      </c>
      <c r="U22" s="213">
        <v>2</v>
      </c>
      <c r="V22" s="65" t="s">
        <v>147</v>
      </c>
      <c r="W22" s="148">
        <v>13000000</v>
      </c>
      <c r="X22" s="267">
        <f t="shared" ref="X22:X79" si="17">U22*W22</f>
        <v>26000000</v>
      </c>
      <c r="Y22" s="251">
        <f t="shared" ref="Y22:Y54" si="18">X22-S22</f>
        <v>0</v>
      </c>
      <c r="Z22" s="213">
        <v>2</v>
      </c>
      <c r="AA22" s="65" t="s">
        <v>147</v>
      </c>
      <c r="AB22" s="148">
        <v>13000000</v>
      </c>
      <c r="AC22" s="267">
        <f t="shared" ref="AC22:AC79" si="19">Z22*AB22</f>
        <v>26000000</v>
      </c>
      <c r="AD22" s="251">
        <f t="shared" ref="AD22:AD54" si="20">AC22-X22</f>
        <v>0</v>
      </c>
      <c r="AE22" s="213">
        <v>2</v>
      </c>
      <c r="AF22" s="65" t="s">
        <v>147</v>
      </c>
      <c r="AG22" s="148">
        <v>13000000</v>
      </c>
      <c r="AH22" s="267">
        <f t="shared" ref="AH22:AH79" si="21">AE22*AG22</f>
        <v>26000000</v>
      </c>
      <c r="AI22" s="251">
        <f t="shared" si="12"/>
        <v>0</v>
      </c>
      <c r="AJ22" s="93"/>
      <c r="AK22" s="85"/>
    </row>
    <row r="23" spans="2:37" ht="46.5" customHeight="1">
      <c r="B23" s="820"/>
      <c r="C23" s="792"/>
      <c r="D23" s="793"/>
      <c r="E23" s="890"/>
      <c r="F23" s="64" t="s">
        <v>332</v>
      </c>
      <c r="G23" s="116">
        <v>1</v>
      </c>
      <c r="H23" s="117" t="s">
        <v>147</v>
      </c>
      <c r="I23" s="118">
        <v>12000000</v>
      </c>
      <c r="J23" s="119">
        <f t="shared" si="11"/>
        <v>12000000</v>
      </c>
      <c r="K23" s="213">
        <v>1</v>
      </c>
      <c r="L23" s="65" t="s">
        <v>147</v>
      </c>
      <c r="M23" s="148">
        <v>12000000</v>
      </c>
      <c r="N23" s="267">
        <f t="shared" si="13"/>
        <v>12000000</v>
      </c>
      <c r="O23" s="252">
        <f t="shared" si="14"/>
        <v>0</v>
      </c>
      <c r="P23" s="213">
        <v>1</v>
      </c>
      <c r="Q23" s="65" t="s">
        <v>147</v>
      </c>
      <c r="R23" s="148">
        <v>12000000</v>
      </c>
      <c r="S23" s="267">
        <f t="shared" si="15"/>
        <v>12000000</v>
      </c>
      <c r="T23" s="251">
        <f t="shared" si="16"/>
        <v>0</v>
      </c>
      <c r="U23" s="213">
        <v>1</v>
      </c>
      <c r="V23" s="65" t="s">
        <v>147</v>
      </c>
      <c r="W23" s="148">
        <v>12000000</v>
      </c>
      <c r="X23" s="267">
        <f t="shared" si="17"/>
        <v>12000000</v>
      </c>
      <c r="Y23" s="251">
        <f t="shared" si="18"/>
        <v>0</v>
      </c>
      <c r="Z23" s="213">
        <v>1</v>
      </c>
      <c r="AA23" s="65" t="s">
        <v>147</v>
      </c>
      <c r="AB23" s="148">
        <v>12000000</v>
      </c>
      <c r="AC23" s="267">
        <f t="shared" si="19"/>
        <v>12000000</v>
      </c>
      <c r="AD23" s="251">
        <f t="shared" si="20"/>
        <v>0</v>
      </c>
      <c r="AE23" s="213">
        <v>1</v>
      </c>
      <c r="AF23" s="65" t="s">
        <v>147</v>
      </c>
      <c r="AG23" s="148">
        <v>12000000</v>
      </c>
      <c r="AH23" s="267">
        <f t="shared" si="21"/>
        <v>12000000</v>
      </c>
      <c r="AI23" s="251">
        <f t="shared" si="12"/>
        <v>0</v>
      </c>
      <c r="AJ23" s="242"/>
      <c r="AK23" s="87"/>
    </row>
    <row r="24" spans="2:37" ht="30.2" customHeight="1">
      <c r="B24" s="820"/>
      <c r="C24" s="792"/>
      <c r="D24" s="793"/>
      <c r="E24" s="890"/>
      <c r="F24" s="64" t="s">
        <v>220</v>
      </c>
      <c r="G24" s="116">
        <v>1</v>
      </c>
      <c r="H24" s="117" t="s">
        <v>35</v>
      </c>
      <c r="I24" s="118">
        <v>1000000</v>
      </c>
      <c r="J24" s="119">
        <f t="shared" si="11"/>
        <v>1000000</v>
      </c>
      <c r="K24" s="213">
        <v>1</v>
      </c>
      <c r="L24" s="65" t="s">
        <v>35</v>
      </c>
      <c r="M24" s="148">
        <v>1000000</v>
      </c>
      <c r="N24" s="267">
        <f t="shared" si="13"/>
        <v>1000000</v>
      </c>
      <c r="O24" s="252">
        <f t="shared" si="14"/>
        <v>0</v>
      </c>
      <c r="P24" s="213">
        <v>1</v>
      </c>
      <c r="Q24" s="65" t="s">
        <v>35</v>
      </c>
      <c r="R24" s="148">
        <v>1000000</v>
      </c>
      <c r="S24" s="267">
        <f t="shared" si="15"/>
        <v>1000000</v>
      </c>
      <c r="T24" s="251">
        <f t="shared" si="16"/>
        <v>0</v>
      </c>
      <c r="U24" s="213">
        <v>1</v>
      </c>
      <c r="V24" s="65" t="s">
        <v>35</v>
      </c>
      <c r="W24" s="148">
        <v>1000000</v>
      </c>
      <c r="X24" s="267">
        <f t="shared" si="17"/>
        <v>1000000</v>
      </c>
      <c r="Y24" s="251">
        <f t="shared" si="18"/>
        <v>0</v>
      </c>
      <c r="Z24" s="213">
        <v>1</v>
      </c>
      <c r="AA24" s="65" t="s">
        <v>35</v>
      </c>
      <c r="AB24" s="148">
        <v>1000000</v>
      </c>
      <c r="AC24" s="267">
        <f t="shared" si="19"/>
        <v>1000000</v>
      </c>
      <c r="AD24" s="251">
        <f t="shared" si="20"/>
        <v>0</v>
      </c>
      <c r="AE24" s="213">
        <v>1</v>
      </c>
      <c r="AF24" s="65" t="s">
        <v>35</v>
      </c>
      <c r="AG24" s="148">
        <v>1000000</v>
      </c>
      <c r="AH24" s="267">
        <f t="shared" si="21"/>
        <v>1000000</v>
      </c>
      <c r="AI24" s="251">
        <f t="shared" si="12"/>
        <v>0</v>
      </c>
      <c r="AJ24" s="93"/>
      <c r="AK24" s="243"/>
    </row>
    <row r="25" spans="2:37" ht="30.2" customHeight="1">
      <c r="B25" s="820"/>
      <c r="C25" s="792"/>
      <c r="D25" s="793"/>
      <c r="E25" s="890"/>
      <c r="F25" s="64" t="s">
        <v>221</v>
      </c>
      <c r="G25" s="120">
        <v>14</v>
      </c>
      <c r="H25" s="117" t="s">
        <v>35</v>
      </c>
      <c r="I25" s="118">
        <v>200000</v>
      </c>
      <c r="J25" s="119">
        <f t="shared" si="11"/>
        <v>2800000</v>
      </c>
      <c r="K25" s="214">
        <v>14</v>
      </c>
      <c r="L25" s="65" t="s">
        <v>35</v>
      </c>
      <c r="M25" s="148">
        <v>200000</v>
      </c>
      <c r="N25" s="267">
        <f t="shared" si="13"/>
        <v>2800000</v>
      </c>
      <c r="O25" s="252">
        <f t="shared" si="14"/>
        <v>0</v>
      </c>
      <c r="P25" s="214">
        <v>14</v>
      </c>
      <c r="Q25" s="65" t="s">
        <v>35</v>
      </c>
      <c r="R25" s="148">
        <v>200000</v>
      </c>
      <c r="S25" s="267">
        <f t="shared" si="15"/>
        <v>2800000</v>
      </c>
      <c r="T25" s="251">
        <f t="shared" si="16"/>
        <v>0</v>
      </c>
      <c r="U25" s="214">
        <v>14</v>
      </c>
      <c r="V25" s="65" t="s">
        <v>35</v>
      </c>
      <c r="W25" s="148">
        <v>200000</v>
      </c>
      <c r="X25" s="267">
        <f t="shared" si="17"/>
        <v>2800000</v>
      </c>
      <c r="Y25" s="251">
        <f t="shared" si="18"/>
        <v>0</v>
      </c>
      <c r="Z25" s="214">
        <v>14</v>
      </c>
      <c r="AA25" s="65" t="s">
        <v>35</v>
      </c>
      <c r="AB25" s="148">
        <v>200000</v>
      </c>
      <c r="AC25" s="267">
        <f t="shared" si="19"/>
        <v>2800000</v>
      </c>
      <c r="AD25" s="251">
        <f t="shared" si="20"/>
        <v>0</v>
      </c>
      <c r="AE25" s="214">
        <v>14</v>
      </c>
      <c r="AF25" s="65" t="s">
        <v>35</v>
      </c>
      <c r="AG25" s="148">
        <v>200000</v>
      </c>
      <c r="AH25" s="267">
        <f t="shared" si="21"/>
        <v>2800000</v>
      </c>
      <c r="AI25" s="251">
        <f t="shared" si="12"/>
        <v>0</v>
      </c>
      <c r="AJ25" s="93" t="s">
        <v>222</v>
      </c>
      <c r="AK25" s="31"/>
    </row>
    <row r="26" spans="2:37" ht="30.2" customHeight="1">
      <c r="B26" s="820"/>
      <c r="C26" s="792"/>
      <c r="D26" s="793"/>
      <c r="E26" s="891"/>
      <c r="F26" s="64" t="s">
        <v>223</v>
      </c>
      <c r="G26" s="120">
        <v>1</v>
      </c>
      <c r="H26" s="117" t="s">
        <v>147</v>
      </c>
      <c r="I26" s="118">
        <v>16000000</v>
      </c>
      <c r="J26" s="119">
        <f>G26*I26</f>
        <v>16000000</v>
      </c>
      <c r="K26" s="214">
        <v>1</v>
      </c>
      <c r="L26" s="65" t="s">
        <v>147</v>
      </c>
      <c r="M26" s="148">
        <v>16000000</v>
      </c>
      <c r="N26" s="267">
        <f t="shared" si="13"/>
        <v>16000000</v>
      </c>
      <c r="O26" s="252">
        <f t="shared" si="14"/>
        <v>0</v>
      </c>
      <c r="P26" s="214">
        <v>1</v>
      </c>
      <c r="Q26" s="65" t="s">
        <v>147</v>
      </c>
      <c r="R26" s="148">
        <v>16000000</v>
      </c>
      <c r="S26" s="267">
        <f t="shared" si="15"/>
        <v>16000000</v>
      </c>
      <c r="T26" s="251">
        <f t="shared" si="16"/>
        <v>0</v>
      </c>
      <c r="U26" s="214">
        <v>1</v>
      </c>
      <c r="V26" s="65" t="s">
        <v>147</v>
      </c>
      <c r="W26" s="148">
        <v>16000000</v>
      </c>
      <c r="X26" s="267">
        <f t="shared" si="17"/>
        <v>16000000</v>
      </c>
      <c r="Y26" s="251">
        <f t="shared" si="18"/>
        <v>0</v>
      </c>
      <c r="Z26" s="214">
        <v>1</v>
      </c>
      <c r="AA26" s="65" t="s">
        <v>147</v>
      </c>
      <c r="AB26" s="148">
        <v>16000000</v>
      </c>
      <c r="AC26" s="267">
        <f t="shared" si="19"/>
        <v>16000000</v>
      </c>
      <c r="AD26" s="251">
        <f t="shared" si="20"/>
        <v>0</v>
      </c>
      <c r="AE26" s="214">
        <v>1</v>
      </c>
      <c r="AF26" s="65" t="s">
        <v>147</v>
      </c>
      <c r="AG26" s="148">
        <v>16000000</v>
      </c>
      <c r="AH26" s="267">
        <f t="shared" si="21"/>
        <v>16000000</v>
      </c>
      <c r="AI26" s="251">
        <f t="shared" si="12"/>
        <v>0</v>
      </c>
      <c r="AJ26" s="93"/>
      <c r="AK26" s="31"/>
    </row>
    <row r="27" spans="2:37" ht="60.6" customHeight="1">
      <c r="B27" s="820"/>
      <c r="C27" s="792"/>
      <c r="D27" s="793"/>
      <c r="E27" s="892" t="s">
        <v>224</v>
      </c>
      <c r="F27" s="64" t="s">
        <v>225</v>
      </c>
      <c r="G27" s="120">
        <v>1</v>
      </c>
      <c r="H27" s="117" t="s">
        <v>147</v>
      </c>
      <c r="I27" s="118">
        <v>18000000</v>
      </c>
      <c r="J27" s="119">
        <f t="shared" si="11"/>
        <v>18000000</v>
      </c>
      <c r="K27" s="214">
        <v>1</v>
      </c>
      <c r="L27" s="65" t="s">
        <v>147</v>
      </c>
      <c r="M27" s="148">
        <v>18000000</v>
      </c>
      <c r="N27" s="267">
        <f t="shared" si="13"/>
        <v>18000000</v>
      </c>
      <c r="O27" s="252">
        <f t="shared" si="14"/>
        <v>0</v>
      </c>
      <c r="P27" s="214">
        <v>1</v>
      </c>
      <c r="Q27" s="65" t="s">
        <v>147</v>
      </c>
      <c r="R27" s="148">
        <v>18000000</v>
      </c>
      <c r="S27" s="267">
        <f t="shared" si="15"/>
        <v>18000000</v>
      </c>
      <c r="T27" s="251">
        <f t="shared" si="16"/>
        <v>0</v>
      </c>
      <c r="U27" s="214">
        <v>1</v>
      </c>
      <c r="V27" s="65" t="s">
        <v>147</v>
      </c>
      <c r="W27" s="148">
        <v>18000000</v>
      </c>
      <c r="X27" s="267">
        <f t="shared" si="17"/>
        <v>18000000</v>
      </c>
      <c r="Y27" s="251">
        <f t="shared" si="18"/>
        <v>0</v>
      </c>
      <c r="Z27" s="214">
        <v>1</v>
      </c>
      <c r="AA27" s="65" t="s">
        <v>147</v>
      </c>
      <c r="AB27" s="148">
        <v>18000000</v>
      </c>
      <c r="AC27" s="267">
        <f t="shared" si="19"/>
        <v>18000000</v>
      </c>
      <c r="AD27" s="251">
        <f t="shared" si="20"/>
        <v>0</v>
      </c>
      <c r="AE27" s="214">
        <v>1</v>
      </c>
      <c r="AF27" s="65" t="s">
        <v>147</v>
      </c>
      <c r="AG27" s="148">
        <v>18000000</v>
      </c>
      <c r="AH27" s="267">
        <f t="shared" si="21"/>
        <v>18000000</v>
      </c>
      <c r="AI27" s="251">
        <f t="shared" si="12"/>
        <v>0</v>
      </c>
      <c r="AJ27" s="93"/>
      <c r="AK27" s="31"/>
    </row>
    <row r="28" spans="2:37" ht="27.75" customHeight="1">
      <c r="B28" s="820"/>
      <c r="C28" s="792"/>
      <c r="D28" s="793"/>
      <c r="E28" s="893"/>
      <c r="F28" s="64" t="s">
        <v>226</v>
      </c>
      <c r="G28" s="120">
        <v>1</v>
      </c>
      <c r="H28" s="117" t="s">
        <v>147</v>
      </c>
      <c r="I28" s="118">
        <v>5000000</v>
      </c>
      <c r="J28" s="119">
        <f t="shared" si="11"/>
        <v>5000000</v>
      </c>
      <c r="K28" s="214">
        <v>1</v>
      </c>
      <c r="L28" s="65" t="s">
        <v>147</v>
      </c>
      <c r="M28" s="148">
        <v>5000000</v>
      </c>
      <c r="N28" s="267">
        <f t="shared" si="13"/>
        <v>5000000</v>
      </c>
      <c r="O28" s="252">
        <f t="shared" si="14"/>
        <v>0</v>
      </c>
      <c r="P28" s="214">
        <v>1</v>
      </c>
      <c r="Q28" s="65" t="s">
        <v>147</v>
      </c>
      <c r="R28" s="148">
        <v>5000000</v>
      </c>
      <c r="S28" s="267">
        <f t="shared" si="15"/>
        <v>5000000</v>
      </c>
      <c r="T28" s="251">
        <f t="shared" si="16"/>
        <v>0</v>
      </c>
      <c r="U28" s="214">
        <v>1</v>
      </c>
      <c r="V28" s="65" t="s">
        <v>147</v>
      </c>
      <c r="W28" s="148">
        <v>5000000</v>
      </c>
      <c r="X28" s="267">
        <f t="shared" si="17"/>
        <v>5000000</v>
      </c>
      <c r="Y28" s="251">
        <f t="shared" si="18"/>
        <v>0</v>
      </c>
      <c r="Z28" s="214">
        <v>1</v>
      </c>
      <c r="AA28" s="65" t="s">
        <v>147</v>
      </c>
      <c r="AB28" s="148">
        <v>5000000</v>
      </c>
      <c r="AC28" s="267">
        <f t="shared" si="19"/>
        <v>5000000</v>
      </c>
      <c r="AD28" s="251">
        <f t="shared" si="20"/>
        <v>0</v>
      </c>
      <c r="AE28" s="214">
        <v>1</v>
      </c>
      <c r="AF28" s="65" t="s">
        <v>147</v>
      </c>
      <c r="AG28" s="148">
        <v>5000000</v>
      </c>
      <c r="AH28" s="267">
        <f t="shared" si="21"/>
        <v>5000000</v>
      </c>
      <c r="AI28" s="251">
        <f t="shared" si="12"/>
        <v>0</v>
      </c>
      <c r="AJ28" s="93"/>
      <c r="AK28" s="31"/>
    </row>
    <row r="29" spans="2:37" ht="30.2" customHeight="1">
      <c r="B29" s="820"/>
      <c r="C29" s="792"/>
      <c r="D29" s="793"/>
      <c r="E29" s="893"/>
      <c r="F29" s="64" t="s">
        <v>227</v>
      </c>
      <c r="G29" s="120">
        <v>1</v>
      </c>
      <c r="H29" s="117" t="s">
        <v>147</v>
      </c>
      <c r="I29" s="118">
        <v>5000000</v>
      </c>
      <c r="J29" s="119">
        <f t="shared" si="11"/>
        <v>5000000</v>
      </c>
      <c r="K29" s="214">
        <v>1</v>
      </c>
      <c r="L29" s="65" t="s">
        <v>147</v>
      </c>
      <c r="M29" s="148">
        <v>5000000</v>
      </c>
      <c r="N29" s="267">
        <f t="shared" si="13"/>
        <v>5000000</v>
      </c>
      <c r="O29" s="252">
        <f t="shared" si="14"/>
        <v>0</v>
      </c>
      <c r="P29" s="214">
        <v>1</v>
      </c>
      <c r="Q29" s="65" t="s">
        <v>147</v>
      </c>
      <c r="R29" s="148">
        <v>5000000</v>
      </c>
      <c r="S29" s="267">
        <f t="shared" si="15"/>
        <v>5000000</v>
      </c>
      <c r="T29" s="251">
        <f t="shared" si="16"/>
        <v>0</v>
      </c>
      <c r="U29" s="214">
        <v>1</v>
      </c>
      <c r="V29" s="65" t="s">
        <v>147</v>
      </c>
      <c r="W29" s="148">
        <v>5000000</v>
      </c>
      <c r="X29" s="267">
        <f t="shared" si="17"/>
        <v>5000000</v>
      </c>
      <c r="Y29" s="251">
        <f t="shared" si="18"/>
        <v>0</v>
      </c>
      <c r="Z29" s="214">
        <v>1</v>
      </c>
      <c r="AA29" s="65" t="s">
        <v>147</v>
      </c>
      <c r="AB29" s="148">
        <v>5000000</v>
      </c>
      <c r="AC29" s="267">
        <f t="shared" si="19"/>
        <v>5000000</v>
      </c>
      <c r="AD29" s="251">
        <f t="shared" si="20"/>
        <v>0</v>
      </c>
      <c r="AE29" s="214">
        <v>1</v>
      </c>
      <c r="AF29" s="65" t="s">
        <v>147</v>
      </c>
      <c r="AG29" s="148">
        <v>5000000</v>
      </c>
      <c r="AH29" s="267">
        <f t="shared" si="21"/>
        <v>5000000</v>
      </c>
      <c r="AI29" s="251">
        <f t="shared" si="12"/>
        <v>0</v>
      </c>
      <c r="AJ29" s="93"/>
      <c r="AK29" s="31"/>
    </row>
    <row r="30" spans="2:37" ht="30.2" customHeight="1">
      <c r="B30" s="820"/>
      <c r="C30" s="792"/>
      <c r="D30" s="793"/>
      <c r="E30" s="893"/>
      <c r="F30" s="64" t="s">
        <v>228</v>
      </c>
      <c r="G30" s="120">
        <v>2</v>
      </c>
      <c r="H30" s="117" t="s">
        <v>147</v>
      </c>
      <c r="I30" s="118">
        <v>2000000</v>
      </c>
      <c r="J30" s="119">
        <f t="shared" si="11"/>
        <v>4000000</v>
      </c>
      <c r="K30" s="214">
        <v>2</v>
      </c>
      <c r="L30" s="65" t="s">
        <v>147</v>
      </c>
      <c r="M30" s="148">
        <v>2000000</v>
      </c>
      <c r="N30" s="267">
        <f t="shared" si="13"/>
        <v>4000000</v>
      </c>
      <c r="O30" s="252">
        <f t="shared" si="14"/>
        <v>0</v>
      </c>
      <c r="P30" s="214">
        <v>2</v>
      </c>
      <c r="Q30" s="65" t="s">
        <v>147</v>
      </c>
      <c r="R30" s="148">
        <v>2000000</v>
      </c>
      <c r="S30" s="267">
        <f t="shared" si="15"/>
        <v>4000000</v>
      </c>
      <c r="T30" s="251">
        <f t="shared" si="16"/>
        <v>0</v>
      </c>
      <c r="U30" s="214">
        <v>2</v>
      </c>
      <c r="V30" s="65" t="s">
        <v>147</v>
      </c>
      <c r="W30" s="148">
        <v>2000000</v>
      </c>
      <c r="X30" s="267">
        <f t="shared" si="17"/>
        <v>4000000</v>
      </c>
      <c r="Y30" s="251">
        <f t="shared" si="18"/>
        <v>0</v>
      </c>
      <c r="Z30" s="214">
        <v>2</v>
      </c>
      <c r="AA30" s="65" t="s">
        <v>147</v>
      </c>
      <c r="AB30" s="148">
        <v>2000000</v>
      </c>
      <c r="AC30" s="267">
        <f t="shared" si="19"/>
        <v>4000000</v>
      </c>
      <c r="AD30" s="251">
        <f t="shared" si="20"/>
        <v>0</v>
      </c>
      <c r="AE30" s="214">
        <v>2</v>
      </c>
      <c r="AF30" s="65" t="s">
        <v>147</v>
      </c>
      <c r="AG30" s="148">
        <v>2000000</v>
      </c>
      <c r="AH30" s="267">
        <f t="shared" si="21"/>
        <v>4000000</v>
      </c>
      <c r="AI30" s="251">
        <f t="shared" si="12"/>
        <v>0</v>
      </c>
      <c r="AJ30" s="93" t="s">
        <v>222</v>
      </c>
      <c r="AK30" s="31"/>
    </row>
    <row r="31" spans="2:37" ht="30.2" customHeight="1">
      <c r="B31" s="820"/>
      <c r="C31" s="792"/>
      <c r="D31" s="793"/>
      <c r="E31" s="893"/>
      <c r="F31" s="64" t="s">
        <v>229</v>
      </c>
      <c r="G31" s="120">
        <v>1</v>
      </c>
      <c r="H31" s="117" t="s">
        <v>147</v>
      </c>
      <c r="I31" s="118">
        <v>9000000</v>
      </c>
      <c r="J31" s="119">
        <f t="shared" si="11"/>
        <v>9000000</v>
      </c>
      <c r="K31" s="214">
        <v>1</v>
      </c>
      <c r="L31" s="65" t="s">
        <v>147</v>
      </c>
      <c r="M31" s="148">
        <v>9000000</v>
      </c>
      <c r="N31" s="267">
        <f t="shared" si="13"/>
        <v>9000000</v>
      </c>
      <c r="O31" s="252">
        <f t="shared" si="14"/>
        <v>0</v>
      </c>
      <c r="P31" s="214">
        <v>1</v>
      </c>
      <c r="Q31" s="65" t="s">
        <v>147</v>
      </c>
      <c r="R31" s="148">
        <v>9000000</v>
      </c>
      <c r="S31" s="267">
        <f t="shared" si="15"/>
        <v>9000000</v>
      </c>
      <c r="T31" s="251">
        <f t="shared" si="16"/>
        <v>0</v>
      </c>
      <c r="U31" s="214">
        <v>1</v>
      </c>
      <c r="V31" s="65" t="s">
        <v>147</v>
      </c>
      <c r="W31" s="148">
        <v>9000000</v>
      </c>
      <c r="X31" s="267">
        <f t="shared" si="17"/>
        <v>9000000</v>
      </c>
      <c r="Y31" s="251">
        <f t="shared" si="18"/>
        <v>0</v>
      </c>
      <c r="Z31" s="214">
        <v>1</v>
      </c>
      <c r="AA31" s="65" t="s">
        <v>147</v>
      </c>
      <c r="AB31" s="148">
        <v>9000000</v>
      </c>
      <c r="AC31" s="267">
        <f t="shared" si="19"/>
        <v>9000000</v>
      </c>
      <c r="AD31" s="251">
        <f t="shared" si="20"/>
        <v>0</v>
      </c>
      <c r="AE31" s="214">
        <v>1</v>
      </c>
      <c r="AF31" s="65" t="s">
        <v>147</v>
      </c>
      <c r="AG31" s="148">
        <v>9000000</v>
      </c>
      <c r="AH31" s="267">
        <f t="shared" si="21"/>
        <v>9000000</v>
      </c>
      <c r="AI31" s="251">
        <f t="shared" si="12"/>
        <v>0</v>
      </c>
      <c r="AJ31" s="93"/>
      <c r="AK31" s="31"/>
    </row>
    <row r="32" spans="2:37" ht="30.2" customHeight="1">
      <c r="B32" s="820"/>
      <c r="C32" s="792"/>
      <c r="D32" s="793"/>
      <c r="E32" s="894"/>
      <c r="F32" s="64" t="s">
        <v>223</v>
      </c>
      <c r="G32" s="120">
        <v>1</v>
      </c>
      <c r="H32" s="117" t="s">
        <v>147</v>
      </c>
      <c r="I32" s="118">
        <v>5000000</v>
      </c>
      <c r="J32" s="119">
        <f>G32*I32</f>
        <v>5000000</v>
      </c>
      <c r="K32" s="214">
        <v>1</v>
      </c>
      <c r="L32" s="65" t="s">
        <v>147</v>
      </c>
      <c r="M32" s="148">
        <v>5000000</v>
      </c>
      <c r="N32" s="267">
        <f t="shared" si="13"/>
        <v>5000000</v>
      </c>
      <c r="O32" s="252">
        <f t="shared" si="14"/>
        <v>0</v>
      </c>
      <c r="P32" s="214">
        <v>1</v>
      </c>
      <c r="Q32" s="65" t="s">
        <v>147</v>
      </c>
      <c r="R32" s="148">
        <v>5000000</v>
      </c>
      <c r="S32" s="267">
        <f t="shared" si="15"/>
        <v>5000000</v>
      </c>
      <c r="T32" s="251">
        <f t="shared" si="16"/>
        <v>0</v>
      </c>
      <c r="U32" s="214">
        <v>1</v>
      </c>
      <c r="V32" s="65" t="s">
        <v>147</v>
      </c>
      <c r="W32" s="148">
        <v>5000000</v>
      </c>
      <c r="X32" s="267">
        <f t="shared" si="17"/>
        <v>5000000</v>
      </c>
      <c r="Y32" s="251">
        <f t="shared" si="18"/>
        <v>0</v>
      </c>
      <c r="Z32" s="214">
        <v>1</v>
      </c>
      <c r="AA32" s="65" t="s">
        <v>147</v>
      </c>
      <c r="AB32" s="148">
        <v>5000000</v>
      </c>
      <c r="AC32" s="267">
        <f t="shared" si="19"/>
        <v>5000000</v>
      </c>
      <c r="AD32" s="251">
        <f t="shared" si="20"/>
        <v>0</v>
      </c>
      <c r="AE32" s="214">
        <v>1</v>
      </c>
      <c r="AF32" s="65" t="s">
        <v>147</v>
      </c>
      <c r="AG32" s="148">
        <v>5000000</v>
      </c>
      <c r="AH32" s="267">
        <f t="shared" si="21"/>
        <v>5000000</v>
      </c>
      <c r="AI32" s="251">
        <f t="shared" si="12"/>
        <v>0</v>
      </c>
      <c r="AJ32" s="93"/>
      <c r="AK32" s="31"/>
    </row>
    <row r="33" spans="2:37" ht="30.2" customHeight="1">
      <c r="B33" s="820"/>
      <c r="C33" s="792"/>
      <c r="D33" s="793"/>
      <c r="E33" s="892" t="s">
        <v>230</v>
      </c>
      <c r="F33" s="66" t="s">
        <v>231</v>
      </c>
      <c r="G33" s="121">
        <v>32</v>
      </c>
      <c r="H33" s="117" t="s">
        <v>232</v>
      </c>
      <c r="I33" s="122">
        <v>120000</v>
      </c>
      <c r="J33" s="119">
        <f t="shared" ref="J33:J85" si="22">G33*I33</f>
        <v>3840000</v>
      </c>
      <c r="K33" s="215">
        <v>32</v>
      </c>
      <c r="L33" s="65" t="s">
        <v>232</v>
      </c>
      <c r="M33" s="149">
        <v>120000</v>
      </c>
      <c r="N33" s="267">
        <f t="shared" si="13"/>
        <v>3840000</v>
      </c>
      <c r="O33" s="252">
        <f t="shared" si="14"/>
        <v>0</v>
      </c>
      <c r="P33" s="215">
        <v>32</v>
      </c>
      <c r="Q33" s="65" t="s">
        <v>232</v>
      </c>
      <c r="R33" s="149">
        <v>120000</v>
      </c>
      <c r="S33" s="267">
        <f t="shared" si="15"/>
        <v>3840000</v>
      </c>
      <c r="T33" s="251">
        <f t="shared" si="16"/>
        <v>0</v>
      </c>
      <c r="U33" s="215">
        <v>32</v>
      </c>
      <c r="V33" s="65" t="s">
        <v>232</v>
      </c>
      <c r="W33" s="149">
        <v>120000</v>
      </c>
      <c r="X33" s="267">
        <f t="shared" si="17"/>
        <v>3840000</v>
      </c>
      <c r="Y33" s="251">
        <f t="shared" si="18"/>
        <v>0</v>
      </c>
      <c r="Z33" s="215">
        <v>32</v>
      </c>
      <c r="AA33" s="65" t="s">
        <v>232</v>
      </c>
      <c r="AB33" s="149">
        <v>120000</v>
      </c>
      <c r="AC33" s="267">
        <f t="shared" si="19"/>
        <v>3840000</v>
      </c>
      <c r="AD33" s="251">
        <f t="shared" si="20"/>
        <v>0</v>
      </c>
      <c r="AE33" s="215">
        <v>32</v>
      </c>
      <c r="AF33" s="65" t="s">
        <v>232</v>
      </c>
      <c r="AG33" s="149">
        <v>120000</v>
      </c>
      <c r="AH33" s="267">
        <f t="shared" si="21"/>
        <v>3840000</v>
      </c>
      <c r="AI33" s="251">
        <f t="shared" si="12"/>
        <v>0</v>
      </c>
      <c r="AJ33" s="93"/>
      <c r="AK33" s="31"/>
    </row>
    <row r="34" spans="2:37" ht="30.2" customHeight="1">
      <c r="B34" s="820"/>
      <c r="C34" s="792"/>
      <c r="D34" s="793"/>
      <c r="E34" s="893"/>
      <c r="F34" s="66" t="s">
        <v>233</v>
      </c>
      <c r="G34" s="121">
        <v>24</v>
      </c>
      <c r="H34" s="117" t="s">
        <v>234</v>
      </c>
      <c r="I34" s="122">
        <v>120000</v>
      </c>
      <c r="J34" s="119">
        <f t="shared" si="22"/>
        <v>2880000</v>
      </c>
      <c r="K34" s="215">
        <v>24</v>
      </c>
      <c r="L34" s="65" t="s">
        <v>232</v>
      </c>
      <c r="M34" s="149">
        <v>120000</v>
      </c>
      <c r="N34" s="267">
        <f t="shared" si="13"/>
        <v>2880000</v>
      </c>
      <c r="O34" s="252">
        <f t="shared" si="14"/>
        <v>0</v>
      </c>
      <c r="P34" s="215">
        <v>24</v>
      </c>
      <c r="Q34" s="65" t="s">
        <v>232</v>
      </c>
      <c r="R34" s="149">
        <v>120000</v>
      </c>
      <c r="S34" s="267">
        <f t="shared" si="15"/>
        <v>2880000</v>
      </c>
      <c r="T34" s="251">
        <f t="shared" si="16"/>
        <v>0</v>
      </c>
      <c r="U34" s="215">
        <v>24</v>
      </c>
      <c r="V34" s="65" t="s">
        <v>232</v>
      </c>
      <c r="W34" s="149">
        <v>120000</v>
      </c>
      <c r="X34" s="267">
        <f t="shared" si="17"/>
        <v>2880000</v>
      </c>
      <c r="Y34" s="251">
        <f t="shared" si="18"/>
        <v>0</v>
      </c>
      <c r="Z34" s="215">
        <v>24</v>
      </c>
      <c r="AA34" s="65" t="s">
        <v>232</v>
      </c>
      <c r="AB34" s="149">
        <v>120000</v>
      </c>
      <c r="AC34" s="267">
        <f t="shared" si="19"/>
        <v>2880000</v>
      </c>
      <c r="AD34" s="251">
        <f t="shared" si="20"/>
        <v>0</v>
      </c>
      <c r="AE34" s="215">
        <v>24</v>
      </c>
      <c r="AF34" s="65" t="s">
        <v>232</v>
      </c>
      <c r="AG34" s="149">
        <v>120000</v>
      </c>
      <c r="AH34" s="267">
        <f t="shared" si="21"/>
        <v>2880000</v>
      </c>
      <c r="AI34" s="251">
        <f t="shared" si="12"/>
        <v>0</v>
      </c>
      <c r="AJ34" s="93"/>
      <c r="AK34" s="31"/>
    </row>
    <row r="35" spans="2:37" ht="30.2" customHeight="1">
      <c r="B35" s="820"/>
      <c r="C35" s="792"/>
      <c r="D35" s="793"/>
      <c r="E35" s="893"/>
      <c r="F35" s="66" t="s">
        <v>235</v>
      </c>
      <c r="G35" s="121">
        <v>24</v>
      </c>
      <c r="H35" s="117" t="s">
        <v>232</v>
      </c>
      <c r="I35" s="122">
        <v>80000</v>
      </c>
      <c r="J35" s="119">
        <f t="shared" si="22"/>
        <v>1920000</v>
      </c>
      <c r="K35" s="215">
        <v>24</v>
      </c>
      <c r="L35" s="65" t="s">
        <v>232</v>
      </c>
      <c r="M35" s="149">
        <v>80000</v>
      </c>
      <c r="N35" s="267">
        <f t="shared" si="13"/>
        <v>1920000</v>
      </c>
      <c r="O35" s="252">
        <f t="shared" si="14"/>
        <v>0</v>
      </c>
      <c r="P35" s="215">
        <v>24</v>
      </c>
      <c r="Q35" s="65" t="s">
        <v>232</v>
      </c>
      <c r="R35" s="149">
        <v>80000</v>
      </c>
      <c r="S35" s="267">
        <f t="shared" si="15"/>
        <v>1920000</v>
      </c>
      <c r="T35" s="251">
        <f t="shared" si="16"/>
        <v>0</v>
      </c>
      <c r="U35" s="215">
        <v>24</v>
      </c>
      <c r="V35" s="65" t="s">
        <v>232</v>
      </c>
      <c r="W35" s="149">
        <v>80000</v>
      </c>
      <c r="X35" s="267">
        <f t="shared" si="17"/>
        <v>1920000</v>
      </c>
      <c r="Y35" s="251">
        <f t="shared" si="18"/>
        <v>0</v>
      </c>
      <c r="Z35" s="215">
        <v>24</v>
      </c>
      <c r="AA35" s="65" t="s">
        <v>232</v>
      </c>
      <c r="AB35" s="149">
        <v>80000</v>
      </c>
      <c r="AC35" s="267">
        <f t="shared" si="19"/>
        <v>1920000</v>
      </c>
      <c r="AD35" s="251">
        <f t="shared" si="20"/>
        <v>0</v>
      </c>
      <c r="AE35" s="215">
        <v>24</v>
      </c>
      <c r="AF35" s="65" t="s">
        <v>232</v>
      </c>
      <c r="AG35" s="149">
        <v>80000</v>
      </c>
      <c r="AH35" s="267">
        <f t="shared" si="21"/>
        <v>1920000</v>
      </c>
      <c r="AI35" s="251">
        <f t="shared" si="12"/>
        <v>0</v>
      </c>
      <c r="AJ35" s="93"/>
      <c r="AK35" s="31"/>
    </row>
    <row r="36" spans="2:37" ht="30.2" customHeight="1">
      <c r="B36" s="820"/>
      <c r="C36" s="792"/>
      <c r="D36" s="793"/>
      <c r="E36" s="893"/>
      <c r="F36" s="66" t="s">
        <v>236</v>
      </c>
      <c r="G36" s="121">
        <v>12</v>
      </c>
      <c r="H36" s="117" t="s">
        <v>232</v>
      </c>
      <c r="I36" s="122">
        <v>120000</v>
      </c>
      <c r="J36" s="119">
        <f t="shared" si="22"/>
        <v>1440000</v>
      </c>
      <c r="K36" s="215">
        <v>12</v>
      </c>
      <c r="L36" s="65" t="s">
        <v>232</v>
      </c>
      <c r="M36" s="149">
        <v>120000</v>
      </c>
      <c r="N36" s="267">
        <f t="shared" si="13"/>
        <v>1440000</v>
      </c>
      <c r="O36" s="252">
        <f t="shared" si="14"/>
        <v>0</v>
      </c>
      <c r="P36" s="215">
        <v>12</v>
      </c>
      <c r="Q36" s="65" t="s">
        <v>232</v>
      </c>
      <c r="R36" s="149">
        <v>120000</v>
      </c>
      <c r="S36" s="267">
        <f t="shared" si="15"/>
        <v>1440000</v>
      </c>
      <c r="T36" s="251">
        <f t="shared" si="16"/>
        <v>0</v>
      </c>
      <c r="U36" s="215">
        <v>12</v>
      </c>
      <c r="V36" s="65" t="s">
        <v>232</v>
      </c>
      <c r="W36" s="149">
        <v>120000</v>
      </c>
      <c r="X36" s="267">
        <f t="shared" si="17"/>
        <v>1440000</v>
      </c>
      <c r="Y36" s="251">
        <f t="shared" si="18"/>
        <v>0</v>
      </c>
      <c r="Z36" s="215">
        <v>12</v>
      </c>
      <c r="AA36" s="65" t="s">
        <v>232</v>
      </c>
      <c r="AB36" s="149">
        <v>120000</v>
      </c>
      <c r="AC36" s="267">
        <f t="shared" si="19"/>
        <v>1440000</v>
      </c>
      <c r="AD36" s="251">
        <f t="shared" si="20"/>
        <v>0</v>
      </c>
      <c r="AE36" s="215">
        <v>12</v>
      </c>
      <c r="AF36" s="65" t="s">
        <v>232</v>
      </c>
      <c r="AG36" s="149">
        <v>120000</v>
      </c>
      <c r="AH36" s="267">
        <f t="shared" si="21"/>
        <v>1440000</v>
      </c>
      <c r="AI36" s="251">
        <f t="shared" si="12"/>
        <v>0</v>
      </c>
      <c r="AJ36" s="93" t="s">
        <v>237</v>
      </c>
      <c r="AK36" s="31"/>
    </row>
    <row r="37" spans="2:37" ht="30.2" customHeight="1">
      <c r="B37" s="820"/>
      <c r="C37" s="792"/>
      <c r="D37" s="793"/>
      <c r="E37" s="893"/>
      <c r="F37" s="66" t="s">
        <v>238</v>
      </c>
      <c r="G37" s="121">
        <v>16</v>
      </c>
      <c r="H37" s="117" t="s">
        <v>232</v>
      </c>
      <c r="I37" s="122">
        <v>200000</v>
      </c>
      <c r="J37" s="119">
        <f t="shared" si="22"/>
        <v>3200000</v>
      </c>
      <c r="K37" s="215">
        <v>16</v>
      </c>
      <c r="L37" s="65" t="s">
        <v>232</v>
      </c>
      <c r="M37" s="149">
        <v>200000</v>
      </c>
      <c r="N37" s="267">
        <f t="shared" si="13"/>
        <v>3200000</v>
      </c>
      <c r="O37" s="252">
        <f t="shared" si="14"/>
        <v>0</v>
      </c>
      <c r="P37" s="215">
        <v>16</v>
      </c>
      <c r="Q37" s="65" t="s">
        <v>232</v>
      </c>
      <c r="R37" s="149">
        <v>200000</v>
      </c>
      <c r="S37" s="267">
        <f t="shared" si="15"/>
        <v>3200000</v>
      </c>
      <c r="T37" s="251">
        <f t="shared" si="16"/>
        <v>0</v>
      </c>
      <c r="U37" s="215">
        <v>16</v>
      </c>
      <c r="V37" s="65" t="s">
        <v>232</v>
      </c>
      <c r="W37" s="149">
        <v>200000</v>
      </c>
      <c r="X37" s="267">
        <f t="shared" si="17"/>
        <v>3200000</v>
      </c>
      <c r="Y37" s="251">
        <f t="shared" si="18"/>
        <v>0</v>
      </c>
      <c r="Z37" s="215">
        <v>16</v>
      </c>
      <c r="AA37" s="65" t="s">
        <v>232</v>
      </c>
      <c r="AB37" s="149">
        <v>200000</v>
      </c>
      <c r="AC37" s="267">
        <f t="shared" si="19"/>
        <v>3200000</v>
      </c>
      <c r="AD37" s="251">
        <f t="shared" si="20"/>
        <v>0</v>
      </c>
      <c r="AE37" s="215">
        <v>16</v>
      </c>
      <c r="AF37" s="65" t="s">
        <v>232</v>
      </c>
      <c r="AG37" s="149">
        <v>200000</v>
      </c>
      <c r="AH37" s="267">
        <f t="shared" si="21"/>
        <v>3200000</v>
      </c>
      <c r="AI37" s="251">
        <f t="shared" si="12"/>
        <v>0</v>
      </c>
      <c r="AJ37" s="93" t="s">
        <v>237</v>
      </c>
      <c r="AK37" s="31"/>
    </row>
    <row r="38" spans="2:37" ht="30.2" customHeight="1">
      <c r="B38" s="820"/>
      <c r="C38" s="792"/>
      <c r="D38" s="793"/>
      <c r="E38" s="893"/>
      <c r="F38" s="66" t="s">
        <v>239</v>
      </c>
      <c r="G38" s="121">
        <v>1</v>
      </c>
      <c r="H38" s="117" t="s">
        <v>240</v>
      </c>
      <c r="I38" s="122">
        <v>2000000</v>
      </c>
      <c r="J38" s="119">
        <f t="shared" si="22"/>
        <v>2000000</v>
      </c>
      <c r="K38" s="215">
        <v>1</v>
      </c>
      <c r="L38" s="65" t="s">
        <v>240</v>
      </c>
      <c r="M38" s="149">
        <v>2000000</v>
      </c>
      <c r="N38" s="267">
        <f t="shared" si="13"/>
        <v>2000000</v>
      </c>
      <c r="O38" s="252">
        <f t="shared" si="14"/>
        <v>0</v>
      </c>
      <c r="P38" s="215">
        <v>1</v>
      </c>
      <c r="Q38" s="65" t="s">
        <v>240</v>
      </c>
      <c r="R38" s="149">
        <v>2000000</v>
      </c>
      <c r="S38" s="267">
        <f t="shared" si="15"/>
        <v>2000000</v>
      </c>
      <c r="T38" s="251">
        <f t="shared" si="16"/>
        <v>0</v>
      </c>
      <c r="U38" s="215">
        <v>1</v>
      </c>
      <c r="V38" s="65" t="s">
        <v>240</v>
      </c>
      <c r="W38" s="149">
        <v>2000000</v>
      </c>
      <c r="X38" s="267">
        <f t="shared" si="17"/>
        <v>2000000</v>
      </c>
      <c r="Y38" s="251">
        <f t="shared" si="18"/>
        <v>0</v>
      </c>
      <c r="Z38" s="215">
        <v>1</v>
      </c>
      <c r="AA38" s="65" t="s">
        <v>240</v>
      </c>
      <c r="AB38" s="149">
        <v>2000000</v>
      </c>
      <c r="AC38" s="267">
        <f t="shared" si="19"/>
        <v>2000000</v>
      </c>
      <c r="AD38" s="251">
        <f t="shared" si="20"/>
        <v>0</v>
      </c>
      <c r="AE38" s="215">
        <v>1</v>
      </c>
      <c r="AF38" s="65" t="s">
        <v>240</v>
      </c>
      <c r="AG38" s="149">
        <v>2000000</v>
      </c>
      <c r="AH38" s="267">
        <f t="shared" si="21"/>
        <v>2000000</v>
      </c>
      <c r="AI38" s="251">
        <f t="shared" si="12"/>
        <v>0</v>
      </c>
      <c r="AJ38" s="93" t="s">
        <v>241</v>
      </c>
      <c r="AK38" s="31"/>
    </row>
    <row r="39" spans="2:37" ht="30.2" customHeight="1">
      <c r="B39" s="820"/>
      <c r="C39" s="792"/>
      <c r="D39" s="793"/>
      <c r="E39" s="893"/>
      <c r="F39" s="66" t="s">
        <v>242</v>
      </c>
      <c r="G39" s="121">
        <v>1</v>
      </c>
      <c r="H39" s="117" t="s">
        <v>240</v>
      </c>
      <c r="I39" s="122">
        <v>400000</v>
      </c>
      <c r="J39" s="119">
        <f t="shared" si="22"/>
        <v>400000</v>
      </c>
      <c r="K39" s="215">
        <v>1</v>
      </c>
      <c r="L39" s="65" t="s">
        <v>240</v>
      </c>
      <c r="M39" s="149">
        <v>400000</v>
      </c>
      <c r="N39" s="267">
        <f t="shared" si="13"/>
        <v>400000</v>
      </c>
      <c r="O39" s="252">
        <f t="shared" si="14"/>
        <v>0</v>
      </c>
      <c r="P39" s="215">
        <v>1</v>
      </c>
      <c r="Q39" s="65" t="s">
        <v>240</v>
      </c>
      <c r="R39" s="149">
        <v>400000</v>
      </c>
      <c r="S39" s="267">
        <f t="shared" si="15"/>
        <v>400000</v>
      </c>
      <c r="T39" s="251">
        <f t="shared" si="16"/>
        <v>0</v>
      </c>
      <c r="U39" s="215">
        <v>1</v>
      </c>
      <c r="V39" s="65" t="s">
        <v>240</v>
      </c>
      <c r="W39" s="149">
        <v>400000</v>
      </c>
      <c r="X39" s="267">
        <f t="shared" si="17"/>
        <v>400000</v>
      </c>
      <c r="Y39" s="251">
        <f t="shared" si="18"/>
        <v>0</v>
      </c>
      <c r="Z39" s="215">
        <v>1</v>
      </c>
      <c r="AA39" s="65" t="s">
        <v>240</v>
      </c>
      <c r="AB39" s="149">
        <v>400000</v>
      </c>
      <c r="AC39" s="267">
        <f t="shared" si="19"/>
        <v>400000</v>
      </c>
      <c r="AD39" s="251">
        <f t="shared" si="20"/>
        <v>0</v>
      </c>
      <c r="AE39" s="215">
        <v>1</v>
      </c>
      <c r="AF39" s="65" t="s">
        <v>240</v>
      </c>
      <c r="AG39" s="149">
        <v>400000</v>
      </c>
      <c r="AH39" s="267">
        <f t="shared" si="21"/>
        <v>400000</v>
      </c>
      <c r="AI39" s="251">
        <f t="shared" si="12"/>
        <v>0</v>
      </c>
      <c r="AJ39" s="93"/>
      <c r="AK39" s="31"/>
    </row>
    <row r="40" spans="2:37" ht="30.2" customHeight="1">
      <c r="B40" s="820"/>
      <c r="C40" s="792"/>
      <c r="D40" s="793"/>
      <c r="E40" s="893"/>
      <c r="F40" s="66" t="s">
        <v>243</v>
      </c>
      <c r="G40" s="121">
        <v>8</v>
      </c>
      <c r="H40" s="117" t="s">
        <v>35</v>
      </c>
      <c r="I40" s="122">
        <v>40000</v>
      </c>
      <c r="J40" s="119">
        <f t="shared" si="22"/>
        <v>320000</v>
      </c>
      <c r="K40" s="215">
        <v>8</v>
      </c>
      <c r="L40" s="65" t="s">
        <v>35</v>
      </c>
      <c r="M40" s="149">
        <v>40000</v>
      </c>
      <c r="N40" s="267">
        <f t="shared" si="13"/>
        <v>320000</v>
      </c>
      <c r="O40" s="252">
        <f t="shared" si="14"/>
        <v>0</v>
      </c>
      <c r="P40" s="215">
        <v>8</v>
      </c>
      <c r="Q40" s="65" t="s">
        <v>35</v>
      </c>
      <c r="R40" s="149">
        <v>40000</v>
      </c>
      <c r="S40" s="267">
        <f t="shared" si="15"/>
        <v>320000</v>
      </c>
      <c r="T40" s="251">
        <f t="shared" si="16"/>
        <v>0</v>
      </c>
      <c r="U40" s="215">
        <v>8</v>
      </c>
      <c r="V40" s="65" t="s">
        <v>35</v>
      </c>
      <c r="W40" s="149">
        <v>40000</v>
      </c>
      <c r="X40" s="267">
        <f t="shared" si="17"/>
        <v>320000</v>
      </c>
      <c r="Y40" s="251">
        <f t="shared" si="18"/>
        <v>0</v>
      </c>
      <c r="Z40" s="215">
        <v>8</v>
      </c>
      <c r="AA40" s="65" t="s">
        <v>35</v>
      </c>
      <c r="AB40" s="149">
        <v>40000</v>
      </c>
      <c r="AC40" s="267">
        <f t="shared" si="19"/>
        <v>320000</v>
      </c>
      <c r="AD40" s="251">
        <f t="shared" si="20"/>
        <v>0</v>
      </c>
      <c r="AE40" s="215">
        <v>8</v>
      </c>
      <c r="AF40" s="65" t="s">
        <v>35</v>
      </c>
      <c r="AG40" s="149">
        <v>40000</v>
      </c>
      <c r="AH40" s="267">
        <f t="shared" si="21"/>
        <v>320000</v>
      </c>
      <c r="AI40" s="251">
        <f t="shared" si="12"/>
        <v>0</v>
      </c>
      <c r="AJ40" s="93"/>
      <c r="AK40" s="32"/>
    </row>
    <row r="41" spans="2:37" ht="30.2" customHeight="1">
      <c r="B41" s="820"/>
      <c r="C41" s="792"/>
      <c r="D41" s="793"/>
      <c r="E41" s="893"/>
      <c r="F41" s="66" t="s">
        <v>244</v>
      </c>
      <c r="G41" s="121">
        <v>4</v>
      </c>
      <c r="H41" s="117" t="s">
        <v>35</v>
      </c>
      <c r="I41" s="122">
        <v>80000</v>
      </c>
      <c r="J41" s="119">
        <f t="shared" si="22"/>
        <v>320000</v>
      </c>
      <c r="K41" s="215">
        <v>4</v>
      </c>
      <c r="L41" s="65" t="s">
        <v>35</v>
      </c>
      <c r="M41" s="149">
        <v>80000</v>
      </c>
      <c r="N41" s="267">
        <f t="shared" si="13"/>
        <v>320000</v>
      </c>
      <c r="O41" s="252">
        <f t="shared" si="14"/>
        <v>0</v>
      </c>
      <c r="P41" s="215">
        <v>4</v>
      </c>
      <c r="Q41" s="65" t="s">
        <v>35</v>
      </c>
      <c r="R41" s="149">
        <v>80000</v>
      </c>
      <c r="S41" s="267">
        <f t="shared" si="15"/>
        <v>320000</v>
      </c>
      <c r="T41" s="251">
        <f t="shared" si="16"/>
        <v>0</v>
      </c>
      <c r="U41" s="215">
        <v>4</v>
      </c>
      <c r="V41" s="65" t="s">
        <v>35</v>
      </c>
      <c r="W41" s="149">
        <v>80000</v>
      </c>
      <c r="X41" s="267">
        <f t="shared" si="17"/>
        <v>320000</v>
      </c>
      <c r="Y41" s="251">
        <f t="shared" si="18"/>
        <v>0</v>
      </c>
      <c r="Z41" s="215">
        <v>4</v>
      </c>
      <c r="AA41" s="65" t="s">
        <v>35</v>
      </c>
      <c r="AB41" s="149">
        <v>80000</v>
      </c>
      <c r="AC41" s="267">
        <f t="shared" si="19"/>
        <v>320000</v>
      </c>
      <c r="AD41" s="251">
        <f t="shared" si="20"/>
        <v>0</v>
      </c>
      <c r="AE41" s="215">
        <v>4</v>
      </c>
      <c r="AF41" s="65" t="s">
        <v>35</v>
      </c>
      <c r="AG41" s="149">
        <v>80000</v>
      </c>
      <c r="AH41" s="267">
        <f t="shared" si="21"/>
        <v>320000</v>
      </c>
      <c r="AI41" s="251">
        <f t="shared" si="12"/>
        <v>0</v>
      </c>
      <c r="AJ41" s="93"/>
      <c r="AK41" s="31"/>
    </row>
    <row r="42" spans="2:37" ht="30.2" customHeight="1">
      <c r="B42" s="820"/>
      <c r="C42" s="792"/>
      <c r="D42" s="793"/>
      <c r="E42" s="893"/>
      <c r="F42" s="66" t="s">
        <v>245</v>
      </c>
      <c r="G42" s="121">
        <v>1</v>
      </c>
      <c r="H42" s="117" t="s">
        <v>246</v>
      </c>
      <c r="I42" s="122">
        <v>600000</v>
      </c>
      <c r="J42" s="119">
        <f t="shared" si="22"/>
        <v>600000</v>
      </c>
      <c r="K42" s="215">
        <v>1</v>
      </c>
      <c r="L42" s="65" t="s">
        <v>246</v>
      </c>
      <c r="M42" s="149">
        <v>600000</v>
      </c>
      <c r="N42" s="267">
        <f t="shared" si="13"/>
        <v>600000</v>
      </c>
      <c r="O42" s="252">
        <f t="shared" si="14"/>
        <v>0</v>
      </c>
      <c r="P42" s="215">
        <v>1</v>
      </c>
      <c r="Q42" s="65" t="s">
        <v>246</v>
      </c>
      <c r="R42" s="149">
        <v>600000</v>
      </c>
      <c r="S42" s="267">
        <f t="shared" si="15"/>
        <v>600000</v>
      </c>
      <c r="T42" s="251">
        <f t="shared" si="16"/>
        <v>0</v>
      </c>
      <c r="U42" s="215">
        <v>1</v>
      </c>
      <c r="V42" s="65" t="s">
        <v>246</v>
      </c>
      <c r="W42" s="149">
        <v>600000</v>
      </c>
      <c r="X42" s="267">
        <f t="shared" si="17"/>
        <v>600000</v>
      </c>
      <c r="Y42" s="251">
        <f t="shared" si="18"/>
        <v>0</v>
      </c>
      <c r="Z42" s="215">
        <v>1</v>
      </c>
      <c r="AA42" s="65" t="s">
        <v>246</v>
      </c>
      <c r="AB42" s="149">
        <v>600000</v>
      </c>
      <c r="AC42" s="267">
        <f t="shared" si="19"/>
        <v>600000</v>
      </c>
      <c r="AD42" s="251">
        <f t="shared" si="20"/>
        <v>0</v>
      </c>
      <c r="AE42" s="215">
        <v>1</v>
      </c>
      <c r="AF42" s="65" t="s">
        <v>246</v>
      </c>
      <c r="AG42" s="149">
        <v>600000</v>
      </c>
      <c r="AH42" s="267">
        <f t="shared" si="21"/>
        <v>600000</v>
      </c>
      <c r="AI42" s="251">
        <f t="shared" si="12"/>
        <v>0</v>
      </c>
      <c r="AJ42" s="93"/>
      <c r="AK42" s="31"/>
    </row>
    <row r="43" spans="2:37" ht="30.2" customHeight="1">
      <c r="B43" s="820"/>
      <c r="C43" s="792"/>
      <c r="D43" s="793"/>
      <c r="E43" s="893"/>
      <c r="F43" s="66" t="s">
        <v>247</v>
      </c>
      <c r="G43" s="121">
        <v>1</v>
      </c>
      <c r="H43" s="117" t="s">
        <v>240</v>
      </c>
      <c r="I43" s="122">
        <v>400000</v>
      </c>
      <c r="J43" s="119">
        <f t="shared" si="22"/>
        <v>400000</v>
      </c>
      <c r="K43" s="215">
        <v>1</v>
      </c>
      <c r="L43" s="65" t="s">
        <v>240</v>
      </c>
      <c r="M43" s="149">
        <v>400000</v>
      </c>
      <c r="N43" s="267">
        <f t="shared" si="13"/>
        <v>400000</v>
      </c>
      <c r="O43" s="252">
        <f t="shared" si="14"/>
        <v>0</v>
      </c>
      <c r="P43" s="215">
        <v>1</v>
      </c>
      <c r="Q43" s="65" t="s">
        <v>240</v>
      </c>
      <c r="R43" s="149">
        <v>400000</v>
      </c>
      <c r="S43" s="267">
        <f t="shared" si="15"/>
        <v>400000</v>
      </c>
      <c r="T43" s="251">
        <f t="shared" si="16"/>
        <v>0</v>
      </c>
      <c r="U43" s="215">
        <v>1</v>
      </c>
      <c r="V43" s="65" t="s">
        <v>240</v>
      </c>
      <c r="W43" s="149">
        <v>400000</v>
      </c>
      <c r="X43" s="267">
        <f t="shared" si="17"/>
        <v>400000</v>
      </c>
      <c r="Y43" s="251">
        <f t="shared" si="18"/>
        <v>0</v>
      </c>
      <c r="Z43" s="215">
        <v>1</v>
      </c>
      <c r="AA43" s="65" t="s">
        <v>240</v>
      </c>
      <c r="AB43" s="149">
        <v>400000</v>
      </c>
      <c r="AC43" s="267">
        <f t="shared" si="19"/>
        <v>400000</v>
      </c>
      <c r="AD43" s="251">
        <f t="shared" si="20"/>
        <v>0</v>
      </c>
      <c r="AE43" s="215">
        <v>1</v>
      </c>
      <c r="AF43" s="65" t="s">
        <v>240</v>
      </c>
      <c r="AG43" s="149">
        <v>400000</v>
      </c>
      <c r="AH43" s="267">
        <f t="shared" si="21"/>
        <v>400000</v>
      </c>
      <c r="AI43" s="251">
        <f t="shared" si="12"/>
        <v>0</v>
      </c>
      <c r="AJ43" s="93"/>
      <c r="AK43" s="31"/>
    </row>
    <row r="44" spans="2:37" ht="30.2" customHeight="1">
      <c r="B44" s="820"/>
      <c r="C44" s="792"/>
      <c r="D44" s="793"/>
      <c r="E44" s="894"/>
      <c r="F44" s="66" t="s">
        <v>248</v>
      </c>
      <c r="G44" s="121">
        <v>1</v>
      </c>
      <c r="H44" s="123" t="s">
        <v>249</v>
      </c>
      <c r="I44" s="122">
        <v>5000000</v>
      </c>
      <c r="J44" s="119">
        <f t="shared" si="22"/>
        <v>5000000</v>
      </c>
      <c r="K44" s="215">
        <v>1</v>
      </c>
      <c r="L44" s="67" t="s">
        <v>249</v>
      </c>
      <c r="M44" s="149">
        <v>5000000</v>
      </c>
      <c r="N44" s="267">
        <f t="shared" si="13"/>
        <v>5000000</v>
      </c>
      <c r="O44" s="252">
        <f t="shared" si="14"/>
        <v>0</v>
      </c>
      <c r="P44" s="215">
        <v>1</v>
      </c>
      <c r="Q44" s="67" t="s">
        <v>249</v>
      </c>
      <c r="R44" s="149">
        <v>5000000</v>
      </c>
      <c r="S44" s="267">
        <f t="shared" si="15"/>
        <v>5000000</v>
      </c>
      <c r="T44" s="251">
        <f t="shared" si="16"/>
        <v>0</v>
      </c>
      <c r="U44" s="215">
        <v>1</v>
      </c>
      <c r="V44" s="67" t="s">
        <v>249</v>
      </c>
      <c r="W44" s="149">
        <v>5000000</v>
      </c>
      <c r="X44" s="267">
        <f t="shared" si="17"/>
        <v>5000000</v>
      </c>
      <c r="Y44" s="251">
        <f t="shared" si="18"/>
        <v>0</v>
      </c>
      <c r="Z44" s="215">
        <v>1</v>
      </c>
      <c r="AA44" s="67" t="s">
        <v>249</v>
      </c>
      <c r="AB44" s="149">
        <v>5000000</v>
      </c>
      <c r="AC44" s="267">
        <f t="shared" si="19"/>
        <v>5000000</v>
      </c>
      <c r="AD44" s="251">
        <f t="shared" si="20"/>
        <v>0</v>
      </c>
      <c r="AE44" s="215">
        <v>1</v>
      </c>
      <c r="AF44" s="67" t="s">
        <v>249</v>
      </c>
      <c r="AG44" s="149">
        <v>5000000</v>
      </c>
      <c r="AH44" s="267">
        <f t="shared" si="21"/>
        <v>5000000</v>
      </c>
      <c r="AI44" s="251">
        <f t="shared" si="12"/>
        <v>0</v>
      </c>
      <c r="AJ44" s="93"/>
      <c r="AK44" s="31"/>
    </row>
    <row r="45" spans="2:37" ht="30.2" customHeight="1">
      <c r="B45" s="820"/>
      <c r="C45" s="792"/>
      <c r="D45" s="793"/>
      <c r="E45" s="892" t="s">
        <v>250</v>
      </c>
      <c r="F45" s="66" t="s">
        <v>251</v>
      </c>
      <c r="G45" s="124">
        <v>40</v>
      </c>
      <c r="H45" s="125" t="s">
        <v>252</v>
      </c>
      <c r="I45" s="122">
        <v>200000</v>
      </c>
      <c r="J45" s="119">
        <f t="shared" si="22"/>
        <v>8000000</v>
      </c>
      <c r="K45" s="216">
        <v>40</v>
      </c>
      <c r="L45" s="63" t="s">
        <v>232</v>
      </c>
      <c r="M45" s="149">
        <v>200000</v>
      </c>
      <c r="N45" s="267">
        <f t="shared" si="13"/>
        <v>8000000</v>
      </c>
      <c r="O45" s="252">
        <f t="shared" si="14"/>
        <v>0</v>
      </c>
      <c r="P45" s="216">
        <v>40</v>
      </c>
      <c r="Q45" s="63" t="s">
        <v>232</v>
      </c>
      <c r="R45" s="149">
        <v>200000</v>
      </c>
      <c r="S45" s="267">
        <f t="shared" si="15"/>
        <v>8000000</v>
      </c>
      <c r="T45" s="251">
        <f t="shared" si="16"/>
        <v>0</v>
      </c>
      <c r="U45" s="216">
        <v>40</v>
      </c>
      <c r="V45" s="63" t="s">
        <v>232</v>
      </c>
      <c r="W45" s="149">
        <v>200000</v>
      </c>
      <c r="X45" s="267">
        <f t="shared" si="17"/>
        <v>8000000</v>
      </c>
      <c r="Y45" s="251">
        <f t="shared" si="18"/>
        <v>0</v>
      </c>
      <c r="Z45" s="216">
        <v>40</v>
      </c>
      <c r="AA45" s="63" t="s">
        <v>232</v>
      </c>
      <c r="AB45" s="149">
        <v>200000</v>
      </c>
      <c r="AC45" s="267">
        <f t="shared" si="19"/>
        <v>8000000</v>
      </c>
      <c r="AD45" s="251">
        <f t="shared" si="20"/>
        <v>0</v>
      </c>
      <c r="AE45" s="216">
        <v>40</v>
      </c>
      <c r="AF45" s="63" t="s">
        <v>232</v>
      </c>
      <c r="AG45" s="149">
        <v>200000</v>
      </c>
      <c r="AH45" s="267">
        <f t="shared" si="21"/>
        <v>8000000</v>
      </c>
      <c r="AI45" s="251">
        <f t="shared" si="12"/>
        <v>0</v>
      </c>
      <c r="AJ45" s="93"/>
      <c r="AK45" s="31"/>
    </row>
    <row r="46" spans="2:37" ht="30.2" customHeight="1">
      <c r="B46" s="820"/>
      <c r="C46" s="792"/>
      <c r="D46" s="793"/>
      <c r="E46" s="893"/>
      <c r="F46" s="66" t="s">
        <v>253</v>
      </c>
      <c r="G46" s="124">
        <v>20</v>
      </c>
      <c r="H46" s="125" t="s">
        <v>35</v>
      </c>
      <c r="I46" s="122">
        <v>200000</v>
      </c>
      <c r="J46" s="119">
        <f t="shared" si="22"/>
        <v>4000000</v>
      </c>
      <c r="K46" s="216">
        <v>20</v>
      </c>
      <c r="L46" s="63" t="s">
        <v>35</v>
      </c>
      <c r="M46" s="149">
        <v>200000</v>
      </c>
      <c r="N46" s="267">
        <f t="shared" si="13"/>
        <v>4000000</v>
      </c>
      <c r="O46" s="252">
        <f t="shared" si="14"/>
        <v>0</v>
      </c>
      <c r="P46" s="216">
        <v>20</v>
      </c>
      <c r="Q46" s="63" t="s">
        <v>35</v>
      </c>
      <c r="R46" s="149">
        <v>200000</v>
      </c>
      <c r="S46" s="267">
        <f t="shared" si="15"/>
        <v>4000000</v>
      </c>
      <c r="T46" s="251">
        <f t="shared" si="16"/>
        <v>0</v>
      </c>
      <c r="U46" s="216">
        <v>20</v>
      </c>
      <c r="V46" s="63" t="s">
        <v>35</v>
      </c>
      <c r="W46" s="149">
        <v>200000</v>
      </c>
      <c r="X46" s="267">
        <f t="shared" si="17"/>
        <v>4000000</v>
      </c>
      <c r="Y46" s="251">
        <f t="shared" si="18"/>
        <v>0</v>
      </c>
      <c r="Z46" s="216">
        <v>20</v>
      </c>
      <c r="AA46" s="63" t="s">
        <v>35</v>
      </c>
      <c r="AB46" s="149">
        <v>200000</v>
      </c>
      <c r="AC46" s="267">
        <f t="shared" si="19"/>
        <v>4000000</v>
      </c>
      <c r="AD46" s="251">
        <f t="shared" si="20"/>
        <v>0</v>
      </c>
      <c r="AE46" s="216">
        <v>20</v>
      </c>
      <c r="AF46" s="63" t="s">
        <v>35</v>
      </c>
      <c r="AG46" s="149">
        <v>200000</v>
      </c>
      <c r="AH46" s="267">
        <f t="shared" si="21"/>
        <v>4000000</v>
      </c>
      <c r="AI46" s="251">
        <f t="shared" si="12"/>
        <v>0</v>
      </c>
      <c r="AJ46" s="93" t="s">
        <v>237</v>
      </c>
      <c r="AK46" s="31"/>
    </row>
    <row r="47" spans="2:37" ht="30.2" customHeight="1">
      <c r="B47" s="820"/>
      <c r="C47" s="792"/>
      <c r="D47" s="793"/>
      <c r="E47" s="893"/>
      <c r="F47" s="68" t="s">
        <v>254</v>
      </c>
      <c r="G47" s="126">
        <v>20</v>
      </c>
      <c r="H47" s="123" t="s">
        <v>252</v>
      </c>
      <c r="I47" s="118">
        <v>120000</v>
      </c>
      <c r="J47" s="119">
        <f t="shared" si="22"/>
        <v>2400000</v>
      </c>
      <c r="K47" s="217">
        <v>20</v>
      </c>
      <c r="L47" s="69" t="s">
        <v>232</v>
      </c>
      <c r="M47" s="150">
        <v>120000</v>
      </c>
      <c r="N47" s="267">
        <f t="shared" si="13"/>
        <v>2400000</v>
      </c>
      <c r="O47" s="252">
        <f t="shared" si="14"/>
        <v>0</v>
      </c>
      <c r="P47" s="217">
        <v>20</v>
      </c>
      <c r="Q47" s="69" t="s">
        <v>232</v>
      </c>
      <c r="R47" s="150">
        <v>120000</v>
      </c>
      <c r="S47" s="267">
        <f t="shared" si="15"/>
        <v>2400000</v>
      </c>
      <c r="T47" s="251">
        <f t="shared" si="16"/>
        <v>0</v>
      </c>
      <c r="U47" s="217">
        <v>20</v>
      </c>
      <c r="V47" s="69" t="s">
        <v>232</v>
      </c>
      <c r="W47" s="150">
        <v>120000</v>
      </c>
      <c r="X47" s="267">
        <f t="shared" si="17"/>
        <v>2400000</v>
      </c>
      <c r="Y47" s="251">
        <f t="shared" si="18"/>
        <v>0</v>
      </c>
      <c r="Z47" s="217">
        <v>20</v>
      </c>
      <c r="AA47" s="69" t="s">
        <v>232</v>
      </c>
      <c r="AB47" s="150">
        <v>120000</v>
      </c>
      <c r="AC47" s="267">
        <f t="shared" si="19"/>
        <v>2400000</v>
      </c>
      <c r="AD47" s="251">
        <f t="shared" si="20"/>
        <v>0</v>
      </c>
      <c r="AE47" s="217">
        <v>20</v>
      </c>
      <c r="AF47" s="69" t="s">
        <v>232</v>
      </c>
      <c r="AG47" s="150">
        <v>120000</v>
      </c>
      <c r="AH47" s="267">
        <f t="shared" si="21"/>
        <v>2400000</v>
      </c>
      <c r="AI47" s="251">
        <f t="shared" si="12"/>
        <v>0</v>
      </c>
      <c r="AJ47" s="93"/>
      <c r="AK47" s="31"/>
    </row>
    <row r="48" spans="2:37" ht="30.2" customHeight="1">
      <c r="B48" s="820"/>
      <c r="C48" s="792"/>
      <c r="D48" s="793"/>
      <c r="E48" s="893"/>
      <c r="F48" s="66" t="s">
        <v>255</v>
      </c>
      <c r="G48" s="124">
        <v>8</v>
      </c>
      <c r="H48" s="125" t="s">
        <v>234</v>
      </c>
      <c r="I48" s="122">
        <v>120000</v>
      </c>
      <c r="J48" s="119">
        <f t="shared" si="22"/>
        <v>960000</v>
      </c>
      <c r="K48" s="216">
        <v>8</v>
      </c>
      <c r="L48" s="63" t="s">
        <v>232</v>
      </c>
      <c r="M48" s="149">
        <v>120000</v>
      </c>
      <c r="N48" s="267">
        <f t="shared" si="13"/>
        <v>960000</v>
      </c>
      <c r="O48" s="252">
        <f t="shared" si="14"/>
        <v>0</v>
      </c>
      <c r="P48" s="216">
        <v>8</v>
      </c>
      <c r="Q48" s="63" t="s">
        <v>232</v>
      </c>
      <c r="R48" s="149">
        <v>120000</v>
      </c>
      <c r="S48" s="267">
        <f t="shared" si="15"/>
        <v>960000</v>
      </c>
      <c r="T48" s="251">
        <f t="shared" si="16"/>
        <v>0</v>
      </c>
      <c r="U48" s="216">
        <v>8</v>
      </c>
      <c r="V48" s="63" t="s">
        <v>232</v>
      </c>
      <c r="W48" s="149">
        <v>120000</v>
      </c>
      <c r="X48" s="267">
        <f t="shared" si="17"/>
        <v>960000</v>
      </c>
      <c r="Y48" s="251">
        <f t="shared" si="18"/>
        <v>0</v>
      </c>
      <c r="Z48" s="216">
        <v>8</v>
      </c>
      <c r="AA48" s="63" t="s">
        <v>232</v>
      </c>
      <c r="AB48" s="149">
        <v>120000</v>
      </c>
      <c r="AC48" s="267">
        <f t="shared" si="19"/>
        <v>960000</v>
      </c>
      <c r="AD48" s="251">
        <f t="shared" si="20"/>
        <v>0</v>
      </c>
      <c r="AE48" s="216">
        <v>8</v>
      </c>
      <c r="AF48" s="63" t="s">
        <v>232</v>
      </c>
      <c r="AG48" s="149">
        <v>120000</v>
      </c>
      <c r="AH48" s="267">
        <f t="shared" si="21"/>
        <v>960000</v>
      </c>
      <c r="AI48" s="251">
        <f t="shared" si="12"/>
        <v>0</v>
      </c>
      <c r="AJ48" s="93"/>
      <c r="AK48" s="31"/>
    </row>
    <row r="49" spans="2:37" ht="30.2" customHeight="1">
      <c r="B49" s="820"/>
      <c r="C49" s="792"/>
      <c r="D49" s="793"/>
      <c r="E49" s="893"/>
      <c r="F49" s="66" t="s">
        <v>256</v>
      </c>
      <c r="G49" s="124">
        <v>102</v>
      </c>
      <c r="H49" s="127" t="s">
        <v>252</v>
      </c>
      <c r="I49" s="122">
        <v>80000</v>
      </c>
      <c r="J49" s="119">
        <f t="shared" si="22"/>
        <v>8160000</v>
      </c>
      <c r="K49" s="216">
        <v>102</v>
      </c>
      <c r="L49" s="70" t="s">
        <v>232</v>
      </c>
      <c r="M49" s="149">
        <v>80000</v>
      </c>
      <c r="N49" s="267">
        <f t="shared" si="13"/>
        <v>8160000</v>
      </c>
      <c r="O49" s="252">
        <f t="shared" si="14"/>
        <v>0</v>
      </c>
      <c r="P49" s="216">
        <v>102</v>
      </c>
      <c r="Q49" s="70" t="s">
        <v>232</v>
      </c>
      <c r="R49" s="149">
        <v>80000</v>
      </c>
      <c r="S49" s="267">
        <f t="shared" si="15"/>
        <v>8160000</v>
      </c>
      <c r="T49" s="251">
        <f t="shared" si="16"/>
        <v>0</v>
      </c>
      <c r="U49" s="216">
        <v>102</v>
      </c>
      <c r="V49" s="70" t="s">
        <v>232</v>
      </c>
      <c r="W49" s="149">
        <v>80000</v>
      </c>
      <c r="X49" s="267">
        <f t="shared" si="17"/>
        <v>8160000</v>
      </c>
      <c r="Y49" s="251">
        <f t="shared" si="18"/>
        <v>0</v>
      </c>
      <c r="Z49" s="216">
        <v>102</v>
      </c>
      <c r="AA49" s="70" t="s">
        <v>232</v>
      </c>
      <c r="AB49" s="149">
        <v>80000</v>
      </c>
      <c r="AC49" s="267">
        <f t="shared" si="19"/>
        <v>8160000</v>
      </c>
      <c r="AD49" s="251">
        <f t="shared" si="20"/>
        <v>0</v>
      </c>
      <c r="AE49" s="216">
        <v>102</v>
      </c>
      <c r="AF49" s="70" t="s">
        <v>232</v>
      </c>
      <c r="AG49" s="149">
        <v>80000</v>
      </c>
      <c r="AH49" s="267">
        <f t="shared" si="21"/>
        <v>8160000</v>
      </c>
      <c r="AI49" s="251">
        <f t="shared" si="12"/>
        <v>0</v>
      </c>
      <c r="AJ49" s="93" t="s">
        <v>241</v>
      </c>
      <c r="AK49" s="31"/>
    </row>
    <row r="50" spans="2:37" ht="30.2" customHeight="1">
      <c r="B50" s="820"/>
      <c r="C50" s="792"/>
      <c r="D50" s="793"/>
      <c r="E50" s="893"/>
      <c r="F50" s="66" t="s">
        <v>257</v>
      </c>
      <c r="G50" s="124">
        <v>50</v>
      </c>
      <c r="H50" s="125" t="s">
        <v>252</v>
      </c>
      <c r="I50" s="122">
        <v>60000</v>
      </c>
      <c r="J50" s="119">
        <f t="shared" si="22"/>
        <v>3000000</v>
      </c>
      <c r="K50" s="216">
        <v>50</v>
      </c>
      <c r="L50" s="63" t="s">
        <v>232</v>
      </c>
      <c r="M50" s="149">
        <v>60000</v>
      </c>
      <c r="N50" s="267">
        <f t="shared" si="13"/>
        <v>3000000</v>
      </c>
      <c r="O50" s="252">
        <f t="shared" si="14"/>
        <v>0</v>
      </c>
      <c r="P50" s="216">
        <v>50</v>
      </c>
      <c r="Q50" s="63" t="s">
        <v>232</v>
      </c>
      <c r="R50" s="149">
        <v>60000</v>
      </c>
      <c r="S50" s="267">
        <f t="shared" si="15"/>
        <v>3000000</v>
      </c>
      <c r="T50" s="251">
        <f t="shared" si="16"/>
        <v>0</v>
      </c>
      <c r="U50" s="216">
        <v>50</v>
      </c>
      <c r="V50" s="63" t="s">
        <v>232</v>
      </c>
      <c r="W50" s="149">
        <v>60000</v>
      </c>
      <c r="X50" s="267">
        <f t="shared" si="17"/>
        <v>3000000</v>
      </c>
      <c r="Y50" s="251">
        <f t="shared" si="18"/>
        <v>0</v>
      </c>
      <c r="Z50" s="216">
        <v>50</v>
      </c>
      <c r="AA50" s="63" t="s">
        <v>232</v>
      </c>
      <c r="AB50" s="149">
        <v>60000</v>
      </c>
      <c r="AC50" s="267">
        <f t="shared" si="19"/>
        <v>3000000</v>
      </c>
      <c r="AD50" s="251">
        <f t="shared" si="20"/>
        <v>0</v>
      </c>
      <c r="AE50" s="216">
        <v>50</v>
      </c>
      <c r="AF50" s="63" t="s">
        <v>232</v>
      </c>
      <c r="AG50" s="149">
        <v>60000</v>
      </c>
      <c r="AH50" s="267">
        <f t="shared" si="21"/>
        <v>3000000</v>
      </c>
      <c r="AI50" s="251">
        <f t="shared" si="12"/>
        <v>0</v>
      </c>
      <c r="AJ50" s="93" t="s">
        <v>241</v>
      </c>
      <c r="AK50" s="31"/>
    </row>
    <row r="51" spans="2:37" ht="30.2" customHeight="1">
      <c r="B51" s="820"/>
      <c r="C51" s="792"/>
      <c r="D51" s="793"/>
      <c r="E51" s="893"/>
      <c r="F51" s="66" t="s">
        <v>258</v>
      </c>
      <c r="G51" s="124">
        <v>124</v>
      </c>
      <c r="H51" s="125" t="s">
        <v>35</v>
      </c>
      <c r="I51" s="122">
        <v>40000</v>
      </c>
      <c r="J51" s="119">
        <f t="shared" si="22"/>
        <v>4960000</v>
      </c>
      <c r="K51" s="216">
        <v>124</v>
      </c>
      <c r="L51" s="63" t="s">
        <v>35</v>
      </c>
      <c r="M51" s="149">
        <v>40000</v>
      </c>
      <c r="N51" s="267">
        <f t="shared" si="13"/>
        <v>4960000</v>
      </c>
      <c r="O51" s="252">
        <f t="shared" si="14"/>
        <v>0</v>
      </c>
      <c r="P51" s="216">
        <v>124</v>
      </c>
      <c r="Q51" s="63" t="s">
        <v>35</v>
      </c>
      <c r="R51" s="149">
        <v>40000</v>
      </c>
      <c r="S51" s="267">
        <f t="shared" si="15"/>
        <v>4960000</v>
      </c>
      <c r="T51" s="251">
        <f t="shared" si="16"/>
        <v>0</v>
      </c>
      <c r="U51" s="216">
        <v>124</v>
      </c>
      <c r="V51" s="63" t="s">
        <v>35</v>
      </c>
      <c r="W51" s="149">
        <v>40000</v>
      </c>
      <c r="X51" s="267">
        <f t="shared" si="17"/>
        <v>4960000</v>
      </c>
      <c r="Y51" s="251">
        <f t="shared" si="18"/>
        <v>0</v>
      </c>
      <c r="Z51" s="216">
        <v>124</v>
      </c>
      <c r="AA51" s="63" t="s">
        <v>35</v>
      </c>
      <c r="AB51" s="149">
        <v>40000</v>
      </c>
      <c r="AC51" s="267">
        <f t="shared" si="19"/>
        <v>4960000</v>
      </c>
      <c r="AD51" s="251">
        <f t="shared" si="20"/>
        <v>0</v>
      </c>
      <c r="AE51" s="216">
        <v>124</v>
      </c>
      <c r="AF51" s="63" t="s">
        <v>35</v>
      </c>
      <c r="AG51" s="149">
        <v>40000</v>
      </c>
      <c r="AH51" s="267">
        <f t="shared" si="21"/>
        <v>4960000</v>
      </c>
      <c r="AI51" s="251">
        <f t="shared" si="12"/>
        <v>0</v>
      </c>
      <c r="AJ51" s="93" t="s">
        <v>241</v>
      </c>
      <c r="AK51" s="31"/>
    </row>
    <row r="52" spans="2:37" ht="30.2" customHeight="1">
      <c r="B52" s="820"/>
      <c r="C52" s="792"/>
      <c r="D52" s="793"/>
      <c r="E52" s="893"/>
      <c r="F52" s="66" t="s">
        <v>259</v>
      </c>
      <c r="G52" s="124">
        <v>16</v>
      </c>
      <c r="H52" s="125" t="s">
        <v>35</v>
      </c>
      <c r="I52" s="122">
        <v>25000</v>
      </c>
      <c r="J52" s="119">
        <f t="shared" si="22"/>
        <v>400000</v>
      </c>
      <c r="K52" s="216">
        <v>16</v>
      </c>
      <c r="L52" s="63" t="s">
        <v>35</v>
      </c>
      <c r="M52" s="149">
        <v>25000</v>
      </c>
      <c r="N52" s="267">
        <f t="shared" si="13"/>
        <v>400000</v>
      </c>
      <c r="O52" s="252">
        <f t="shared" si="14"/>
        <v>0</v>
      </c>
      <c r="P52" s="216">
        <v>16</v>
      </c>
      <c r="Q52" s="63" t="s">
        <v>35</v>
      </c>
      <c r="R52" s="149">
        <v>25000</v>
      </c>
      <c r="S52" s="267">
        <f t="shared" si="15"/>
        <v>400000</v>
      </c>
      <c r="T52" s="251">
        <f t="shared" si="16"/>
        <v>0</v>
      </c>
      <c r="U52" s="216">
        <v>16</v>
      </c>
      <c r="V52" s="63" t="s">
        <v>35</v>
      </c>
      <c r="W52" s="149">
        <v>25000</v>
      </c>
      <c r="X52" s="267">
        <f t="shared" si="17"/>
        <v>400000</v>
      </c>
      <c r="Y52" s="251">
        <f t="shared" si="18"/>
        <v>0</v>
      </c>
      <c r="Z52" s="216">
        <v>16</v>
      </c>
      <c r="AA52" s="63" t="s">
        <v>35</v>
      </c>
      <c r="AB52" s="149">
        <v>25000</v>
      </c>
      <c r="AC52" s="267">
        <f t="shared" si="19"/>
        <v>400000</v>
      </c>
      <c r="AD52" s="251">
        <f t="shared" si="20"/>
        <v>0</v>
      </c>
      <c r="AE52" s="216">
        <v>16</v>
      </c>
      <c r="AF52" s="63" t="s">
        <v>35</v>
      </c>
      <c r="AG52" s="149">
        <v>25000</v>
      </c>
      <c r="AH52" s="267">
        <f t="shared" si="21"/>
        <v>400000</v>
      </c>
      <c r="AI52" s="251">
        <f t="shared" si="12"/>
        <v>0</v>
      </c>
      <c r="AJ52" s="93"/>
      <c r="AK52" s="32"/>
    </row>
    <row r="53" spans="2:37" ht="30.2" customHeight="1">
      <c r="B53" s="820"/>
      <c r="C53" s="792"/>
      <c r="D53" s="793"/>
      <c r="E53" s="893"/>
      <c r="F53" s="66" t="s">
        <v>260</v>
      </c>
      <c r="G53" s="124">
        <v>45</v>
      </c>
      <c r="H53" s="125" t="s">
        <v>252</v>
      </c>
      <c r="I53" s="122">
        <v>100000</v>
      </c>
      <c r="J53" s="119">
        <f t="shared" si="22"/>
        <v>4500000</v>
      </c>
      <c r="K53" s="216">
        <v>45</v>
      </c>
      <c r="L53" s="63" t="s">
        <v>232</v>
      </c>
      <c r="M53" s="149">
        <v>100000</v>
      </c>
      <c r="N53" s="267">
        <f t="shared" si="13"/>
        <v>4500000</v>
      </c>
      <c r="O53" s="252">
        <f t="shared" si="14"/>
        <v>0</v>
      </c>
      <c r="P53" s="216">
        <v>45</v>
      </c>
      <c r="Q53" s="63" t="s">
        <v>232</v>
      </c>
      <c r="R53" s="149">
        <v>100000</v>
      </c>
      <c r="S53" s="267">
        <f t="shared" si="15"/>
        <v>4500000</v>
      </c>
      <c r="T53" s="251">
        <f t="shared" si="16"/>
        <v>0</v>
      </c>
      <c r="U53" s="216">
        <v>45</v>
      </c>
      <c r="V53" s="63" t="s">
        <v>232</v>
      </c>
      <c r="W53" s="149">
        <v>100000</v>
      </c>
      <c r="X53" s="267">
        <f t="shared" si="17"/>
        <v>4500000</v>
      </c>
      <c r="Y53" s="251">
        <f t="shared" si="18"/>
        <v>0</v>
      </c>
      <c r="Z53" s="216">
        <v>45</v>
      </c>
      <c r="AA53" s="63" t="s">
        <v>232</v>
      </c>
      <c r="AB53" s="149">
        <v>100000</v>
      </c>
      <c r="AC53" s="267">
        <f t="shared" si="19"/>
        <v>4500000</v>
      </c>
      <c r="AD53" s="251">
        <f t="shared" si="20"/>
        <v>0</v>
      </c>
      <c r="AE53" s="216">
        <v>45</v>
      </c>
      <c r="AF53" s="63" t="s">
        <v>232</v>
      </c>
      <c r="AG53" s="149">
        <v>100000</v>
      </c>
      <c r="AH53" s="267">
        <f t="shared" si="21"/>
        <v>4500000</v>
      </c>
      <c r="AI53" s="251">
        <f t="shared" ref="AI53:AI84" si="23">AH53-AC53</f>
        <v>0</v>
      </c>
      <c r="AJ53" s="93"/>
      <c r="AK53" s="31"/>
    </row>
    <row r="54" spans="2:37" ht="30.2" customHeight="1">
      <c r="B54" s="820"/>
      <c r="C54" s="792"/>
      <c r="D54" s="793"/>
      <c r="E54" s="893"/>
      <c r="F54" s="66" t="s">
        <v>261</v>
      </c>
      <c r="G54" s="124">
        <v>30</v>
      </c>
      <c r="H54" s="125" t="s">
        <v>252</v>
      </c>
      <c r="I54" s="122">
        <v>60000</v>
      </c>
      <c r="J54" s="119">
        <f t="shared" si="22"/>
        <v>1800000</v>
      </c>
      <c r="K54" s="216">
        <v>30</v>
      </c>
      <c r="L54" s="63" t="s">
        <v>232</v>
      </c>
      <c r="M54" s="149">
        <v>60000</v>
      </c>
      <c r="N54" s="267">
        <f t="shared" si="13"/>
        <v>1800000</v>
      </c>
      <c r="O54" s="252">
        <f t="shared" si="14"/>
        <v>0</v>
      </c>
      <c r="P54" s="216">
        <v>30</v>
      </c>
      <c r="Q54" s="63" t="s">
        <v>232</v>
      </c>
      <c r="R54" s="149">
        <v>60000</v>
      </c>
      <c r="S54" s="267">
        <f t="shared" si="15"/>
        <v>1800000</v>
      </c>
      <c r="T54" s="251">
        <f t="shared" si="16"/>
        <v>0</v>
      </c>
      <c r="U54" s="216">
        <v>30</v>
      </c>
      <c r="V54" s="63" t="s">
        <v>232</v>
      </c>
      <c r="W54" s="149">
        <v>60000</v>
      </c>
      <c r="X54" s="267">
        <f t="shared" si="17"/>
        <v>1800000</v>
      </c>
      <c r="Y54" s="251">
        <f t="shared" si="18"/>
        <v>0</v>
      </c>
      <c r="Z54" s="216">
        <v>30</v>
      </c>
      <c r="AA54" s="63" t="s">
        <v>232</v>
      </c>
      <c r="AB54" s="149">
        <v>60000</v>
      </c>
      <c r="AC54" s="267">
        <f t="shared" si="19"/>
        <v>1800000</v>
      </c>
      <c r="AD54" s="251">
        <f t="shared" si="20"/>
        <v>0</v>
      </c>
      <c r="AE54" s="216">
        <v>30</v>
      </c>
      <c r="AF54" s="63" t="s">
        <v>232</v>
      </c>
      <c r="AG54" s="149">
        <v>60000</v>
      </c>
      <c r="AH54" s="267">
        <f t="shared" si="21"/>
        <v>1800000</v>
      </c>
      <c r="AI54" s="251">
        <f t="shared" si="23"/>
        <v>0</v>
      </c>
      <c r="AJ54" s="93"/>
      <c r="AK54" s="31"/>
    </row>
    <row r="55" spans="2:37" ht="30.2" customHeight="1">
      <c r="B55" s="820"/>
      <c r="C55" s="792"/>
      <c r="D55" s="793"/>
      <c r="E55" s="893"/>
      <c r="F55" s="66" t="s">
        <v>262</v>
      </c>
      <c r="G55" s="124">
        <v>50</v>
      </c>
      <c r="H55" s="125" t="s">
        <v>252</v>
      </c>
      <c r="I55" s="122">
        <v>20000</v>
      </c>
      <c r="J55" s="119">
        <f t="shared" si="22"/>
        <v>1000000</v>
      </c>
      <c r="K55" s="216">
        <v>50</v>
      </c>
      <c r="L55" s="63" t="s">
        <v>232</v>
      </c>
      <c r="M55" s="149">
        <v>20000</v>
      </c>
      <c r="N55" s="267">
        <f t="shared" si="13"/>
        <v>1000000</v>
      </c>
      <c r="O55" s="252">
        <f t="shared" si="14"/>
        <v>0</v>
      </c>
      <c r="P55" s="216">
        <v>50</v>
      </c>
      <c r="Q55" s="63" t="s">
        <v>232</v>
      </c>
      <c r="R55" s="149">
        <v>20000</v>
      </c>
      <c r="S55" s="267">
        <f t="shared" si="15"/>
        <v>1000000</v>
      </c>
      <c r="T55" s="251">
        <f>S55-N55</f>
        <v>0</v>
      </c>
      <c r="U55" s="216">
        <v>50</v>
      </c>
      <c r="V55" s="63" t="s">
        <v>232</v>
      </c>
      <c r="W55" s="149">
        <v>20000</v>
      </c>
      <c r="X55" s="267">
        <f t="shared" si="17"/>
        <v>1000000</v>
      </c>
      <c r="Y55" s="251">
        <f>X55-S55</f>
        <v>0</v>
      </c>
      <c r="Z55" s="216">
        <v>50</v>
      </c>
      <c r="AA55" s="63" t="s">
        <v>232</v>
      </c>
      <c r="AB55" s="149">
        <v>20000</v>
      </c>
      <c r="AC55" s="267">
        <f t="shared" si="19"/>
        <v>1000000</v>
      </c>
      <c r="AD55" s="251">
        <f>AC55-X55</f>
        <v>0</v>
      </c>
      <c r="AE55" s="216">
        <v>50</v>
      </c>
      <c r="AF55" s="63" t="s">
        <v>232</v>
      </c>
      <c r="AG55" s="149">
        <v>20000</v>
      </c>
      <c r="AH55" s="267">
        <f t="shared" si="21"/>
        <v>1000000</v>
      </c>
      <c r="AI55" s="251">
        <f t="shared" si="23"/>
        <v>0</v>
      </c>
      <c r="AJ55" s="93"/>
      <c r="AK55" s="31"/>
    </row>
    <row r="56" spans="2:37" ht="30.2" customHeight="1">
      <c r="B56" s="820"/>
      <c r="C56" s="792"/>
      <c r="D56" s="793"/>
      <c r="E56" s="893"/>
      <c r="F56" s="66" t="s">
        <v>263</v>
      </c>
      <c r="G56" s="124">
        <v>10</v>
      </c>
      <c r="H56" s="125" t="s">
        <v>252</v>
      </c>
      <c r="I56" s="122">
        <v>10000</v>
      </c>
      <c r="J56" s="119">
        <f t="shared" si="22"/>
        <v>100000</v>
      </c>
      <c r="K56" s="216">
        <v>10</v>
      </c>
      <c r="L56" s="63" t="s">
        <v>232</v>
      </c>
      <c r="M56" s="149">
        <v>10000</v>
      </c>
      <c r="N56" s="267">
        <f t="shared" si="13"/>
        <v>100000</v>
      </c>
      <c r="O56" s="252">
        <f t="shared" si="14"/>
        <v>0</v>
      </c>
      <c r="P56" s="216">
        <v>10</v>
      </c>
      <c r="Q56" s="63" t="s">
        <v>232</v>
      </c>
      <c r="R56" s="149">
        <v>10000</v>
      </c>
      <c r="S56" s="267">
        <f t="shared" si="15"/>
        <v>100000</v>
      </c>
      <c r="T56" s="251">
        <f t="shared" si="16"/>
        <v>0</v>
      </c>
      <c r="U56" s="216">
        <v>10</v>
      </c>
      <c r="V56" s="63" t="s">
        <v>232</v>
      </c>
      <c r="W56" s="149">
        <v>10000</v>
      </c>
      <c r="X56" s="267">
        <f t="shared" si="17"/>
        <v>100000</v>
      </c>
      <c r="Y56" s="251">
        <f t="shared" ref="Y56:Y77" si="24">X56-S56</f>
        <v>0</v>
      </c>
      <c r="Z56" s="216">
        <v>10</v>
      </c>
      <c r="AA56" s="63" t="s">
        <v>232</v>
      </c>
      <c r="AB56" s="149">
        <v>10000</v>
      </c>
      <c r="AC56" s="267">
        <f t="shared" si="19"/>
        <v>100000</v>
      </c>
      <c r="AD56" s="251">
        <f t="shared" ref="AD56:AD77" si="25">AC56-X56</f>
        <v>0</v>
      </c>
      <c r="AE56" s="216">
        <v>10</v>
      </c>
      <c r="AF56" s="63" t="s">
        <v>232</v>
      </c>
      <c r="AG56" s="149">
        <v>10000</v>
      </c>
      <c r="AH56" s="267">
        <f t="shared" si="21"/>
        <v>100000</v>
      </c>
      <c r="AI56" s="251">
        <f t="shared" si="23"/>
        <v>0</v>
      </c>
      <c r="AJ56" s="93"/>
      <c r="AK56" s="31"/>
    </row>
    <row r="57" spans="2:37" ht="30.2" customHeight="1">
      <c r="B57" s="820"/>
      <c r="C57" s="792"/>
      <c r="D57" s="793"/>
      <c r="E57" s="893"/>
      <c r="F57" s="66" t="s">
        <v>264</v>
      </c>
      <c r="G57" s="124">
        <v>2</v>
      </c>
      <c r="H57" s="127" t="s">
        <v>252</v>
      </c>
      <c r="I57" s="122">
        <v>150000</v>
      </c>
      <c r="J57" s="119">
        <f t="shared" si="22"/>
        <v>300000</v>
      </c>
      <c r="K57" s="216">
        <v>2</v>
      </c>
      <c r="L57" s="70" t="s">
        <v>232</v>
      </c>
      <c r="M57" s="149">
        <v>150000</v>
      </c>
      <c r="N57" s="267">
        <f t="shared" si="13"/>
        <v>300000</v>
      </c>
      <c r="O57" s="252">
        <f t="shared" si="14"/>
        <v>0</v>
      </c>
      <c r="P57" s="216">
        <v>2</v>
      </c>
      <c r="Q57" s="70" t="s">
        <v>232</v>
      </c>
      <c r="R57" s="149">
        <v>150000</v>
      </c>
      <c r="S57" s="267">
        <f t="shared" si="15"/>
        <v>300000</v>
      </c>
      <c r="T57" s="251">
        <f t="shared" si="16"/>
        <v>0</v>
      </c>
      <c r="U57" s="216">
        <v>2</v>
      </c>
      <c r="V57" s="70" t="s">
        <v>232</v>
      </c>
      <c r="W57" s="149">
        <v>150000</v>
      </c>
      <c r="X57" s="267">
        <f t="shared" si="17"/>
        <v>300000</v>
      </c>
      <c r="Y57" s="251">
        <f t="shared" si="24"/>
        <v>0</v>
      </c>
      <c r="Z57" s="216">
        <v>2</v>
      </c>
      <c r="AA57" s="70" t="s">
        <v>232</v>
      </c>
      <c r="AB57" s="149">
        <v>150000</v>
      </c>
      <c r="AC57" s="267">
        <f t="shared" si="19"/>
        <v>300000</v>
      </c>
      <c r="AD57" s="251">
        <f t="shared" si="25"/>
        <v>0</v>
      </c>
      <c r="AE57" s="216">
        <v>2</v>
      </c>
      <c r="AF57" s="70" t="s">
        <v>232</v>
      </c>
      <c r="AG57" s="149">
        <v>150000</v>
      </c>
      <c r="AH57" s="267">
        <f t="shared" si="21"/>
        <v>300000</v>
      </c>
      <c r="AI57" s="251">
        <f t="shared" si="23"/>
        <v>0</v>
      </c>
      <c r="AJ57" s="93"/>
      <c r="AK57" s="31"/>
    </row>
    <row r="58" spans="2:37" ht="30.2" customHeight="1">
      <c r="B58" s="820"/>
      <c r="C58" s="792"/>
      <c r="D58" s="793"/>
      <c r="E58" s="893"/>
      <c r="F58" s="66" t="s">
        <v>265</v>
      </c>
      <c r="G58" s="124">
        <v>2</v>
      </c>
      <c r="H58" s="125" t="s">
        <v>252</v>
      </c>
      <c r="I58" s="122">
        <v>200000</v>
      </c>
      <c r="J58" s="119">
        <f t="shared" si="22"/>
        <v>400000</v>
      </c>
      <c r="K58" s="216">
        <v>2</v>
      </c>
      <c r="L58" s="63" t="s">
        <v>232</v>
      </c>
      <c r="M58" s="149">
        <v>200000</v>
      </c>
      <c r="N58" s="267">
        <f t="shared" si="13"/>
        <v>400000</v>
      </c>
      <c r="O58" s="252">
        <f t="shared" si="14"/>
        <v>0</v>
      </c>
      <c r="P58" s="216">
        <v>2</v>
      </c>
      <c r="Q58" s="63" t="s">
        <v>232</v>
      </c>
      <c r="R58" s="149">
        <v>200000</v>
      </c>
      <c r="S58" s="267">
        <f t="shared" si="15"/>
        <v>400000</v>
      </c>
      <c r="T58" s="251">
        <f t="shared" si="16"/>
        <v>0</v>
      </c>
      <c r="U58" s="216">
        <v>2</v>
      </c>
      <c r="V58" s="63" t="s">
        <v>232</v>
      </c>
      <c r="W58" s="149">
        <v>200000</v>
      </c>
      <c r="X58" s="267">
        <f t="shared" si="17"/>
        <v>400000</v>
      </c>
      <c r="Y58" s="251">
        <f t="shared" si="24"/>
        <v>0</v>
      </c>
      <c r="Z58" s="216">
        <v>2</v>
      </c>
      <c r="AA58" s="63" t="s">
        <v>232</v>
      </c>
      <c r="AB58" s="149">
        <v>200000</v>
      </c>
      <c r="AC58" s="267">
        <f t="shared" si="19"/>
        <v>400000</v>
      </c>
      <c r="AD58" s="251">
        <f t="shared" si="25"/>
        <v>0</v>
      </c>
      <c r="AE58" s="216">
        <v>2</v>
      </c>
      <c r="AF58" s="63" t="s">
        <v>232</v>
      </c>
      <c r="AG58" s="149">
        <v>200000</v>
      </c>
      <c r="AH58" s="267">
        <f t="shared" si="21"/>
        <v>400000</v>
      </c>
      <c r="AI58" s="251">
        <f t="shared" si="23"/>
        <v>0</v>
      </c>
      <c r="AJ58" s="93" t="s">
        <v>241</v>
      </c>
      <c r="AK58" s="31"/>
    </row>
    <row r="59" spans="2:37" ht="30.2" customHeight="1">
      <c r="B59" s="820"/>
      <c r="C59" s="792"/>
      <c r="D59" s="793"/>
      <c r="E59" s="893"/>
      <c r="F59" s="66" t="s">
        <v>266</v>
      </c>
      <c r="G59" s="124">
        <v>1</v>
      </c>
      <c r="H59" s="125" t="s">
        <v>252</v>
      </c>
      <c r="I59" s="122">
        <v>1000000</v>
      </c>
      <c r="J59" s="119">
        <f t="shared" si="22"/>
        <v>1000000</v>
      </c>
      <c r="K59" s="216">
        <v>1</v>
      </c>
      <c r="L59" s="63" t="s">
        <v>232</v>
      </c>
      <c r="M59" s="149">
        <v>1000000</v>
      </c>
      <c r="N59" s="267">
        <f t="shared" si="13"/>
        <v>1000000</v>
      </c>
      <c r="O59" s="252">
        <f t="shared" si="14"/>
        <v>0</v>
      </c>
      <c r="P59" s="216">
        <v>1</v>
      </c>
      <c r="Q59" s="63" t="s">
        <v>232</v>
      </c>
      <c r="R59" s="149">
        <v>1000000</v>
      </c>
      <c r="S59" s="267">
        <f t="shared" si="15"/>
        <v>1000000</v>
      </c>
      <c r="T59" s="251">
        <f t="shared" si="16"/>
        <v>0</v>
      </c>
      <c r="U59" s="216">
        <v>1</v>
      </c>
      <c r="V59" s="63" t="s">
        <v>232</v>
      </c>
      <c r="W59" s="149">
        <v>1000000</v>
      </c>
      <c r="X59" s="267">
        <f t="shared" si="17"/>
        <v>1000000</v>
      </c>
      <c r="Y59" s="251">
        <f t="shared" si="24"/>
        <v>0</v>
      </c>
      <c r="Z59" s="216">
        <v>1</v>
      </c>
      <c r="AA59" s="63" t="s">
        <v>232</v>
      </c>
      <c r="AB59" s="149">
        <v>1000000</v>
      </c>
      <c r="AC59" s="267">
        <f t="shared" si="19"/>
        <v>1000000</v>
      </c>
      <c r="AD59" s="251">
        <f t="shared" si="25"/>
        <v>0</v>
      </c>
      <c r="AE59" s="216">
        <v>1</v>
      </c>
      <c r="AF59" s="63" t="s">
        <v>232</v>
      </c>
      <c r="AG59" s="149">
        <v>1000000</v>
      </c>
      <c r="AH59" s="267">
        <f t="shared" si="21"/>
        <v>1000000</v>
      </c>
      <c r="AI59" s="251">
        <f t="shared" si="23"/>
        <v>0</v>
      </c>
      <c r="AJ59" s="93"/>
      <c r="AK59" s="31"/>
    </row>
    <row r="60" spans="2:37" ht="30.2" customHeight="1">
      <c r="B60" s="820"/>
      <c r="C60" s="792"/>
      <c r="D60" s="793"/>
      <c r="E60" s="893"/>
      <c r="F60" s="66" t="s">
        <v>267</v>
      </c>
      <c r="G60" s="124">
        <v>5</v>
      </c>
      <c r="H60" s="125" t="s">
        <v>252</v>
      </c>
      <c r="I60" s="122">
        <v>100000</v>
      </c>
      <c r="J60" s="119">
        <f t="shared" si="22"/>
        <v>500000</v>
      </c>
      <c r="K60" s="216">
        <v>5</v>
      </c>
      <c r="L60" s="63" t="s">
        <v>232</v>
      </c>
      <c r="M60" s="149">
        <v>100000</v>
      </c>
      <c r="N60" s="267">
        <f t="shared" si="13"/>
        <v>500000</v>
      </c>
      <c r="O60" s="252">
        <f t="shared" si="14"/>
        <v>0</v>
      </c>
      <c r="P60" s="216">
        <v>5</v>
      </c>
      <c r="Q60" s="63" t="s">
        <v>232</v>
      </c>
      <c r="R60" s="149">
        <v>100000</v>
      </c>
      <c r="S60" s="267">
        <f t="shared" si="15"/>
        <v>500000</v>
      </c>
      <c r="T60" s="251">
        <f t="shared" si="16"/>
        <v>0</v>
      </c>
      <c r="U60" s="216">
        <v>5</v>
      </c>
      <c r="V60" s="63" t="s">
        <v>232</v>
      </c>
      <c r="W60" s="149">
        <v>100000</v>
      </c>
      <c r="X60" s="267">
        <f t="shared" si="17"/>
        <v>500000</v>
      </c>
      <c r="Y60" s="251">
        <f t="shared" si="24"/>
        <v>0</v>
      </c>
      <c r="Z60" s="216">
        <v>5</v>
      </c>
      <c r="AA60" s="63" t="s">
        <v>232</v>
      </c>
      <c r="AB60" s="149">
        <v>100000</v>
      </c>
      <c r="AC60" s="267">
        <f t="shared" si="19"/>
        <v>500000</v>
      </c>
      <c r="AD60" s="251">
        <f t="shared" si="25"/>
        <v>0</v>
      </c>
      <c r="AE60" s="216">
        <v>5</v>
      </c>
      <c r="AF60" s="63" t="s">
        <v>232</v>
      </c>
      <c r="AG60" s="149">
        <v>100000</v>
      </c>
      <c r="AH60" s="267">
        <f t="shared" si="21"/>
        <v>500000</v>
      </c>
      <c r="AI60" s="251">
        <f t="shared" si="23"/>
        <v>0</v>
      </c>
      <c r="AJ60" s="93"/>
      <c r="AK60" s="31"/>
    </row>
    <row r="61" spans="2:37" ht="30.2" customHeight="1">
      <c r="B61" s="820"/>
      <c r="C61" s="792"/>
      <c r="D61" s="793"/>
      <c r="E61" s="894"/>
      <c r="F61" s="66" t="s">
        <v>248</v>
      </c>
      <c r="G61" s="124">
        <v>1</v>
      </c>
      <c r="H61" s="125" t="s">
        <v>268</v>
      </c>
      <c r="I61" s="122">
        <v>6000000</v>
      </c>
      <c r="J61" s="119">
        <f t="shared" si="22"/>
        <v>6000000</v>
      </c>
      <c r="K61" s="216">
        <v>1</v>
      </c>
      <c r="L61" s="63" t="s">
        <v>268</v>
      </c>
      <c r="M61" s="149">
        <v>6000000</v>
      </c>
      <c r="N61" s="267">
        <f t="shared" si="13"/>
        <v>6000000</v>
      </c>
      <c r="O61" s="252">
        <f t="shared" si="14"/>
        <v>0</v>
      </c>
      <c r="P61" s="216">
        <v>1</v>
      </c>
      <c r="Q61" s="63" t="s">
        <v>268</v>
      </c>
      <c r="R61" s="149">
        <v>6000000</v>
      </c>
      <c r="S61" s="267">
        <f t="shared" si="15"/>
        <v>6000000</v>
      </c>
      <c r="T61" s="251">
        <f t="shared" si="16"/>
        <v>0</v>
      </c>
      <c r="U61" s="216">
        <v>1</v>
      </c>
      <c r="V61" s="63" t="s">
        <v>268</v>
      </c>
      <c r="W61" s="149">
        <v>6000000</v>
      </c>
      <c r="X61" s="267">
        <f t="shared" si="17"/>
        <v>6000000</v>
      </c>
      <c r="Y61" s="251">
        <f t="shared" si="24"/>
        <v>0</v>
      </c>
      <c r="Z61" s="216">
        <v>1</v>
      </c>
      <c r="AA61" s="63" t="s">
        <v>268</v>
      </c>
      <c r="AB61" s="149">
        <v>6000000</v>
      </c>
      <c r="AC61" s="267">
        <f t="shared" si="19"/>
        <v>6000000</v>
      </c>
      <c r="AD61" s="251">
        <f t="shared" si="25"/>
        <v>0</v>
      </c>
      <c r="AE61" s="216">
        <v>1</v>
      </c>
      <c r="AF61" s="63" t="s">
        <v>268</v>
      </c>
      <c r="AG61" s="149">
        <v>6000000</v>
      </c>
      <c r="AH61" s="267">
        <f t="shared" si="21"/>
        <v>6000000</v>
      </c>
      <c r="AI61" s="251">
        <f t="shared" si="23"/>
        <v>0</v>
      </c>
      <c r="AJ61" s="93" t="s">
        <v>241</v>
      </c>
      <c r="AK61" s="31"/>
    </row>
    <row r="62" spans="2:37" ht="30.2" customHeight="1">
      <c r="B62" s="820"/>
      <c r="C62" s="792"/>
      <c r="D62" s="793"/>
      <c r="E62" s="892" t="s">
        <v>269</v>
      </c>
      <c r="F62" s="66" t="s">
        <v>270</v>
      </c>
      <c r="G62" s="120">
        <v>1000</v>
      </c>
      <c r="H62" s="117" t="s">
        <v>35</v>
      </c>
      <c r="I62" s="122">
        <v>45000</v>
      </c>
      <c r="J62" s="119">
        <f t="shared" si="22"/>
        <v>45000000</v>
      </c>
      <c r="K62" s="214">
        <v>1000</v>
      </c>
      <c r="L62" s="65" t="s">
        <v>35</v>
      </c>
      <c r="M62" s="149">
        <v>45000</v>
      </c>
      <c r="N62" s="267">
        <f t="shared" si="13"/>
        <v>45000000</v>
      </c>
      <c r="O62" s="252">
        <f t="shared" si="14"/>
        <v>0</v>
      </c>
      <c r="P62" s="214">
        <v>1000</v>
      </c>
      <c r="Q62" s="65" t="s">
        <v>35</v>
      </c>
      <c r="R62" s="149">
        <v>45000</v>
      </c>
      <c r="S62" s="267">
        <f t="shared" si="15"/>
        <v>45000000</v>
      </c>
      <c r="T62" s="251">
        <f t="shared" si="16"/>
        <v>0</v>
      </c>
      <c r="U62" s="214">
        <v>1000</v>
      </c>
      <c r="V62" s="65" t="s">
        <v>35</v>
      </c>
      <c r="W62" s="149">
        <v>45000</v>
      </c>
      <c r="X62" s="267">
        <f t="shared" si="17"/>
        <v>45000000</v>
      </c>
      <c r="Y62" s="251">
        <f t="shared" si="24"/>
        <v>0</v>
      </c>
      <c r="Z62" s="214">
        <v>1000</v>
      </c>
      <c r="AA62" s="65" t="s">
        <v>35</v>
      </c>
      <c r="AB62" s="149">
        <v>45000</v>
      </c>
      <c r="AC62" s="267">
        <f t="shared" si="19"/>
        <v>45000000</v>
      </c>
      <c r="AD62" s="251">
        <f t="shared" si="25"/>
        <v>0</v>
      </c>
      <c r="AE62" s="214">
        <v>1000</v>
      </c>
      <c r="AF62" s="65" t="s">
        <v>35</v>
      </c>
      <c r="AG62" s="149">
        <v>45000</v>
      </c>
      <c r="AH62" s="267">
        <f t="shared" si="21"/>
        <v>45000000</v>
      </c>
      <c r="AI62" s="251">
        <f t="shared" si="23"/>
        <v>0</v>
      </c>
      <c r="AJ62" s="93" t="s">
        <v>241</v>
      </c>
      <c r="AK62" s="614" t="s">
        <v>736</v>
      </c>
    </row>
    <row r="63" spans="2:37" ht="30.2" customHeight="1">
      <c r="B63" s="820"/>
      <c r="C63" s="792"/>
      <c r="D63" s="793"/>
      <c r="E63" s="893"/>
      <c r="F63" s="66" t="s">
        <v>271</v>
      </c>
      <c r="G63" s="120">
        <v>1</v>
      </c>
      <c r="H63" s="117" t="s">
        <v>240</v>
      </c>
      <c r="I63" s="122">
        <v>4000000</v>
      </c>
      <c r="J63" s="119">
        <f t="shared" si="22"/>
        <v>4000000</v>
      </c>
      <c r="K63" s="214">
        <v>1</v>
      </c>
      <c r="L63" s="65" t="s">
        <v>240</v>
      </c>
      <c r="M63" s="149">
        <v>4000000</v>
      </c>
      <c r="N63" s="267">
        <f t="shared" si="13"/>
        <v>4000000</v>
      </c>
      <c r="O63" s="252">
        <f t="shared" si="14"/>
        <v>0</v>
      </c>
      <c r="P63" s="214">
        <v>1</v>
      </c>
      <c r="Q63" s="65" t="s">
        <v>240</v>
      </c>
      <c r="R63" s="149">
        <v>4000000</v>
      </c>
      <c r="S63" s="267">
        <f t="shared" si="15"/>
        <v>4000000</v>
      </c>
      <c r="T63" s="251">
        <f t="shared" si="16"/>
        <v>0</v>
      </c>
      <c r="U63" s="214">
        <v>1</v>
      </c>
      <c r="V63" s="65" t="s">
        <v>240</v>
      </c>
      <c r="W63" s="149">
        <v>4000000</v>
      </c>
      <c r="X63" s="267">
        <f t="shared" si="17"/>
        <v>4000000</v>
      </c>
      <c r="Y63" s="251">
        <f t="shared" si="24"/>
        <v>0</v>
      </c>
      <c r="Z63" s="214">
        <v>1</v>
      </c>
      <c r="AA63" s="65" t="s">
        <v>240</v>
      </c>
      <c r="AB63" s="149">
        <v>4000000</v>
      </c>
      <c r="AC63" s="267">
        <f t="shared" si="19"/>
        <v>4000000</v>
      </c>
      <c r="AD63" s="251">
        <f t="shared" si="25"/>
        <v>0</v>
      </c>
      <c r="AE63" s="214">
        <v>1</v>
      </c>
      <c r="AF63" s="65" t="s">
        <v>240</v>
      </c>
      <c r="AG63" s="149">
        <v>4000000</v>
      </c>
      <c r="AH63" s="267">
        <f t="shared" si="21"/>
        <v>4000000</v>
      </c>
      <c r="AI63" s="251">
        <f t="shared" si="23"/>
        <v>0</v>
      </c>
      <c r="AJ63" s="93" t="s">
        <v>241</v>
      </c>
      <c r="AK63" s="31"/>
    </row>
    <row r="64" spans="2:37" ht="30.2" customHeight="1">
      <c r="B64" s="820"/>
      <c r="C64" s="792"/>
      <c r="D64" s="793"/>
      <c r="E64" s="893"/>
      <c r="F64" s="66" t="s">
        <v>272</v>
      </c>
      <c r="G64" s="120">
        <v>1</v>
      </c>
      <c r="H64" s="117" t="s">
        <v>240</v>
      </c>
      <c r="I64" s="122">
        <v>1500000</v>
      </c>
      <c r="J64" s="119">
        <f t="shared" si="22"/>
        <v>1500000</v>
      </c>
      <c r="K64" s="214">
        <v>1</v>
      </c>
      <c r="L64" s="65" t="s">
        <v>240</v>
      </c>
      <c r="M64" s="149">
        <v>1500000</v>
      </c>
      <c r="N64" s="267">
        <f t="shared" si="13"/>
        <v>1500000</v>
      </c>
      <c r="O64" s="252">
        <f t="shared" si="14"/>
        <v>0</v>
      </c>
      <c r="P64" s="214">
        <v>1</v>
      </c>
      <c r="Q64" s="65" t="s">
        <v>240</v>
      </c>
      <c r="R64" s="149">
        <v>1500000</v>
      </c>
      <c r="S64" s="267">
        <f t="shared" si="15"/>
        <v>1500000</v>
      </c>
      <c r="T64" s="251">
        <f t="shared" si="16"/>
        <v>0</v>
      </c>
      <c r="U64" s="214">
        <v>1</v>
      </c>
      <c r="V64" s="65" t="s">
        <v>240</v>
      </c>
      <c r="W64" s="149">
        <v>1500000</v>
      </c>
      <c r="X64" s="267">
        <f t="shared" si="17"/>
        <v>1500000</v>
      </c>
      <c r="Y64" s="251">
        <f t="shared" si="24"/>
        <v>0</v>
      </c>
      <c r="Z64" s="214">
        <v>1</v>
      </c>
      <c r="AA64" s="65" t="s">
        <v>240</v>
      </c>
      <c r="AB64" s="149">
        <v>1500000</v>
      </c>
      <c r="AC64" s="267">
        <f t="shared" si="19"/>
        <v>1500000</v>
      </c>
      <c r="AD64" s="251">
        <f t="shared" si="25"/>
        <v>0</v>
      </c>
      <c r="AE64" s="214">
        <v>1</v>
      </c>
      <c r="AF64" s="65" t="s">
        <v>240</v>
      </c>
      <c r="AG64" s="149">
        <v>1500000</v>
      </c>
      <c r="AH64" s="267">
        <f t="shared" si="21"/>
        <v>1500000</v>
      </c>
      <c r="AI64" s="251">
        <f t="shared" si="23"/>
        <v>0</v>
      </c>
      <c r="AJ64" s="93"/>
      <c r="AK64" s="614" t="s">
        <v>737</v>
      </c>
    </row>
    <row r="65" spans="2:37" ht="30.2" customHeight="1">
      <c r="B65" s="820"/>
      <c r="C65" s="792"/>
      <c r="D65" s="793"/>
      <c r="E65" s="894"/>
      <c r="F65" s="66" t="s">
        <v>248</v>
      </c>
      <c r="G65" s="120">
        <v>1</v>
      </c>
      <c r="H65" s="117" t="s">
        <v>147</v>
      </c>
      <c r="I65" s="122">
        <v>5000000</v>
      </c>
      <c r="J65" s="119">
        <f t="shared" si="22"/>
        <v>5000000</v>
      </c>
      <c r="K65" s="214">
        <v>1</v>
      </c>
      <c r="L65" s="65" t="s">
        <v>147</v>
      </c>
      <c r="M65" s="149">
        <v>5000000</v>
      </c>
      <c r="N65" s="267">
        <f t="shared" si="13"/>
        <v>5000000</v>
      </c>
      <c r="O65" s="252">
        <f t="shared" si="14"/>
        <v>0</v>
      </c>
      <c r="P65" s="214">
        <v>1</v>
      </c>
      <c r="Q65" s="65" t="s">
        <v>147</v>
      </c>
      <c r="R65" s="149">
        <v>5000000</v>
      </c>
      <c r="S65" s="267">
        <f t="shared" si="15"/>
        <v>5000000</v>
      </c>
      <c r="T65" s="251">
        <f t="shared" si="16"/>
        <v>0</v>
      </c>
      <c r="U65" s="214">
        <v>1</v>
      </c>
      <c r="V65" s="65" t="s">
        <v>147</v>
      </c>
      <c r="W65" s="149">
        <v>5000000</v>
      </c>
      <c r="X65" s="267">
        <f t="shared" si="17"/>
        <v>5000000</v>
      </c>
      <c r="Y65" s="251">
        <f t="shared" si="24"/>
        <v>0</v>
      </c>
      <c r="Z65" s="214">
        <v>1</v>
      </c>
      <c r="AA65" s="65" t="s">
        <v>147</v>
      </c>
      <c r="AB65" s="149">
        <v>5000000</v>
      </c>
      <c r="AC65" s="267">
        <f t="shared" si="19"/>
        <v>5000000</v>
      </c>
      <c r="AD65" s="251">
        <f t="shared" si="25"/>
        <v>0</v>
      </c>
      <c r="AE65" s="214">
        <v>1</v>
      </c>
      <c r="AF65" s="65" t="s">
        <v>147</v>
      </c>
      <c r="AG65" s="149">
        <v>5000000</v>
      </c>
      <c r="AH65" s="267">
        <f t="shared" si="21"/>
        <v>5000000</v>
      </c>
      <c r="AI65" s="251">
        <f t="shared" si="23"/>
        <v>0</v>
      </c>
      <c r="AJ65" s="93"/>
      <c r="AK65" s="31"/>
    </row>
    <row r="66" spans="2:37" ht="30.2" customHeight="1">
      <c r="B66" s="820"/>
      <c r="C66" s="792"/>
      <c r="D66" s="793"/>
      <c r="E66" s="892" t="s">
        <v>273</v>
      </c>
      <c r="F66" s="66" t="s">
        <v>274</v>
      </c>
      <c r="G66" s="121">
        <v>1</v>
      </c>
      <c r="H66" s="128" t="s">
        <v>252</v>
      </c>
      <c r="I66" s="122">
        <v>800000</v>
      </c>
      <c r="J66" s="119">
        <f t="shared" si="22"/>
        <v>800000</v>
      </c>
      <c r="K66" s="215">
        <v>1</v>
      </c>
      <c r="L66" s="71" t="s">
        <v>232</v>
      </c>
      <c r="M66" s="149">
        <v>800000</v>
      </c>
      <c r="N66" s="267">
        <f t="shared" si="13"/>
        <v>800000</v>
      </c>
      <c r="O66" s="252">
        <f t="shared" si="14"/>
        <v>0</v>
      </c>
      <c r="P66" s="215">
        <v>1</v>
      </c>
      <c r="Q66" s="71" t="s">
        <v>232</v>
      </c>
      <c r="R66" s="149">
        <v>800000</v>
      </c>
      <c r="S66" s="267">
        <f t="shared" si="15"/>
        <v>800000</v>
      </c>
      <c r="T66" s="251">
        <f t="shared" si="16"/>
        <v>0</v>
      </c>
      <c r="U66" s="215">
        <v>1</v>
      </c>
      <c r="V66" s="71" t="s">
        <v>232</v>
      </c>
      <c r="W66" s="149">
        <v>800000</v>
      </c>
      <c r="X66" s="267">
        <f t="shared" si="17"/>
        <v>800000</v>
      </c>
      <c r="Y66" s="251">
        <f t="shared" si="24"/>
        <v>0</v>
      </c>
      <c r="Z66" s="215">
        <v>1</v>
      </c>
      <c r="AA66" s="71" t="s">
        <v>232</v>
      </c>
      <c r="AB66" s="149">
        <v>800000</v>
      </c>
      <c r="AC66" s="267">
        <f t="shared" si="19"/>
        <v>800000</v>
      </c>
      <c r="AD66" s="251">
        <f t="shared" si="25"/>
        <v>0</v>
      </c>
      <c r="AE66" s="215">
        <v>1</v>
      </c>
      <c r="AF66" s="71" t="s">
        <v>232</v>
      </c>
      <c r="AG66" s="149">
        <v>800000</v>
      </c>
      <c r="AH66" s="267">
        <f t="shared" si="21"/>
        <v>800000</v>
      </c>
      <c r="AI66" s="251">
        <f t="shared" si="23"/>
        <v>0</v>
      </c>
      <c r="AJ66" s="93"/>
      <c r="AK66" s="31"/>
    </row>
    <row r="67" spans="2:37" ht="30.2" customHeight="1">
      <c r="B67" s="820"/>
      <c r="C67" s="792"/>
      <c r="D67" s="793"/>
      <c r="E67" s="893"/>
      <c r="F67" s="66" t="s">
        <v>275</v>
      </c>
      <c r="G67" s="121">
        <v>2</v>
      </c>
      <c r="H67" s="128" t="s">
        <v>252</v>
      </c>
      <c r="I67" s="122">
        <v>500000</v>
      </c>
      <c r="J67" s="119">
        <f t="shared" si="22"/>
        <v>1000000</v>
      </c>
      <c r="K67" s="215">
        <v>2</v>
      </c>
      <c r="L67" s="71" t="s">
        <v>232</v>
      </c>
      <c r="M67" s="149">
        <v>500000</v>
      </c>
      <c r="N67" s="267">
        <f t="shared" si="13"/>
        <v>1000000</v>
      </c>
      <c r="O67" s="252">
        <f t="shared" si="14"/>
        <v>0</v>
      </c>
      <c r="P67" s="215">
        <v>2</v>
      </c>
      <c r="Q67" s="71" t="s">
        <v>232</v>
      </c>
      <c r="R67" s="149">
        <v>500000</v>
      </c>
      <c r="S67" s="267">
        <f t="shared" si="15"/>
        <v>1000000</v>
      </c>
      <c r="T67" s="251">
        <f t="shared" si="16"/>
        <v>0</v>
      </c>
      <c r="U67" s="215">
        <v>2</v>
      </c>
      <c r="V67" s="71" t="s">
        <v>232</v>
      </c>
      <c r="W67" s="149">
        <v>500000</v>
      </c>
      <c r="X67" s="267">
        <f t="shared" si="17"/>
        <v>1000000</v>
      </c>
      <c r="Y67" s="251">
        <f t="shared" si="24"/>
        <v>0</v>
      </c>
      <c r="Z67" s="215">
        <v>2</v>
      </c>
      <c r="AA67" s="71" t="s">
        <v>232</v>
      </c>
      <c r="AB67" s="149">
        <v>500000</v>
      </c>
      <c r="AC67" s="267">
        <f t="shared" si="19"/>
        <v>1000000</v>
      </c>
      <c r="AD67" s="251">
        <f t="shared" si="25"/>
        <v>0</v>
      </c>
      <c r="AE67" s="215">
        <v>2</v>
      </c>
      <c r="AF67" s="71" t="s">
        <v>232</v>
      </c>
      <c r="AG67" s="149">
        <v>500000</v>
      </c>
      <c r="AH67" s="267">
        <f t="shared" si="21"/>
        <v>1000000</v>
      </c>
      <c r="AI67" s="251">
        <f t="shared" si="23"/>
        <v>0</v>
      </c>
      <c r="AJ67" s="93" t="s">
        <v>241</v>
      </c>
      <c r="AK67" s="31"/>
    </row>
    <row r="68" spans="2:37" ht="30.2" customHeight="1">
      <c r="B68" s="820"/>
      <c r="C68" s="792"/>
      <c r="D68" s="793"/>
      <c r="E68" s="893"/>
      <c r="F68" s="66" t="s">
        <v>276</v>
      </c>
      <c r="G68" s="121">
        <v>2</v>
      </c>
      <c r="H68" s="128" t="s">
        <v>252</v>
      </c>
      <c r="I68" s="122">
        <v>600000</v>
      </c>
      <c r="J68" s="119">
        <f t="shared" si="22"/>
        <v>1200000</v>
      </c>
      <c r="K68" s="215">
        <v>2</v>
      </c>
      <c r="L68" s="71" t="s">
        <v>232</v>
      </c>
      <c r="M68" s="149">
        <v>600000</v>
      </c>
      <c r="N68" s="267">
        <f t="shared" si="13"/>
        <v>1200000</v>
      </c>
      <c r="O68" s="252">
        <f t="shared" si="14"/>
        <v>0</v>
      </c>
      <c r="P68" s="215">
        <v>2</v>
      </c>
      <c r="Q68" s="71" t="s">
        <v>232</v>
      </c>
      <c r="R68" s="149">
        <v>600000</v>
      </c>
      <c r="S68" s="267">
        <f t="shared" si="15"/>
        <v>1200000</v>
      </c>
      <c r="T68" s="251">
        <f t="shared" si="16"/>
        <v>0</v>
      </c>
      <c r="U68" s="215">
        <v>2</v>
      </c>
      <c r="V68" s="71" t="s">
        <v>232</v>
      </c>
      <c r="W68" s="149">
        <v>600000</v>
      </c>
      <c r="X68" s="267">
        <f t="shared" si="17"/>
        <v>1200000</v>
      </c>
      <c r="Y68" s="251">
        <f t="shared" si="24"/>
        <v>0</v>
      </c>
      <c r="Z68" s="215">
        <v>2</v>
      </c>
      <c r="AA68" s="71" t="s">
        <v>232</v>
      </c>
      <c r="AB68" s="149">
        <v>600000</v>
      </c>
      <c r="AC68" s="267">
        <f t="shared" si="19"/>
        <v>1200000</v>
      </c>
      <c r="AD68" s="251">
        <f t="shared" si="25"/>
        <v>0</v>
      </c>
      <c r="AE68" s="215">
        <v>2</v>
      </c>
      <c r="AF68" s="71" t="s">
        <v>232</v>
      </c>
      <c r="AG68" s="149">
        <v>600000</v>
      </c>
      <c r="AH68" s="267">
        <f t="shared" si="21"/>
        <v>1200000</v>
      </c>
      <c r="AI68" s="251">
        <f t="shared" si="23"/>
        <v>0</v>
      </c>
      <c r="AJ68" s="93" t="s">
        <v>241</v>
      </c>
      <c r="AK68" s="31"/>
    </row>
    <row r="69" spans="2:37" ht="30.2" customHeight="1">
      <c r="B69" s="820"/>
      <c r="C69" s="792"/>
      <c r="D69" s="793"/>
      <c r="E69" s="894"/>
      <c r="F69" s="66" t="s">
        <v>277</v>
      </c>
      <c r="G69" s="121">
        <v>2</v>
      </c>
      <c r="H69" s="128" t="s">
        <v>252</v>
      </c>
      <c r="I69" s="122">
        <v>300000</v>
      </c>
      <c r="J69" s="119">
        <f t="shared" si="22"/>
        <v>600000</v>
      </c>
      <c r="K69" s="215">
        <v>2</v>
      </c>
      <c r="L69" s="71" t="s">
        <v>232</v>
      </c>
      <c r="M69" s="149">
        <v>300000</v>
      </c>
      <c r="N69" s="267">
        <f t="shared" si="13"/>
        <v>600000</v>
      </c>
      <c r="O69" s="252">
        <f t="shared" si="14"/>
        <v>0</v>
      </c>
      <c r="P69" s="215">
        <v>2</v>
      </c>
      <c r="Q69" s="71" t="s">
        <v>232</v>
      </c>
      <c r="R69" s="149">
        <v>300000</v>
      </c>
      <c r="S69" s="267">
        <f t="shared" si="15"/>
        <v>600000</v>
      </c>
      <c r="T69" s="251">
        <f t="shared" si="16"/>
        <v>0</v>
      </c>
      <c r="U69" s="215">
        <v>2</v>
      </c>
      <c r="V69" s="71" t="s">
        <v>232</v>
      </c>
      <c r="W69" s="149">
        <v>300000</v>
      </c>
      <c r="X69" s="267">
        <f t="shared" si="17"/>
        <v>600000</v>
      </c>
      <c r="Y69" s="251">
        <f t="shared" si="24"/>
        <v>0</v>
      </c>
      <c r="Z69" s="215">
        <v>2</v>
      </c>
      <c r="AA69" s="71" t="s">
        <v>232</v>
      </c>
      <c r="AB69" s="149">
        <v>300000</v>
      </c>
      <c r="AC69" s="267">
        <f t="shared" si="19"/>
        <v>600000</v>
      </c>
      <c r="AD69" s="251">
        <f t="shared" si="25"/>
        <v>0</v>
      </c>
      <c r="AE69" s="215">
        <v>2</v>
      </c>
      <c r="AF69" s="71" t="s">
        <v>232</v>
      </c>
      <c r="AG69" s="149">
        <v>300000</v>
      </c>
      <c r="AH69" s="267">
        <f t="shared" si="21"/>
        <v>600000</v>
      </c>
      <c r="AI69" s="251">
        <f t="shared" si="23"/>
        <v>0</v>
      </c>
      <c r="AJ69" s="93" t="s">
        <v>241</v>
      </c>
      <c r="AK69" s="31"/>
    </row>
    <row r="70" spans="2:37" ht="30.2" customHeight="1">
      <c r="B70" s="820"/>
      <c r="C70" s="792"/>
      <c r="D70" s="793"/>
      <c r="E70" s="895" t="s">
        <v>278</v>
      </c>
      <c r="F70" s="72" t="s">
        <v>279</v>
      </c>
      <c r="G70" s="129"/>
      <c r="H70" s="128" t="s">
        <v>252</v>
      </c>
      <c r="I70" s="122"/>
      <c r="J70" s="119">
        <f t="shared" si="22"/>
        <v>0</v>
      </c>
      <c r="K70" s="218"/>
      <c r="L70" s="71" t="s">
        <v>232</v>
      </c>
      <c r="M70" s="149"/>
      <c r="N70" s="267">
        <f t="shared" si="13"/>
        <v>0</v>
      </c>
      <c r="O70" s="252">
        <f t="shared" si="14"/>
        <v>0</v>
      </c>
      <c r="P70" s="218"/>
      <c r="Q70" s="71" t="s">
        <v>232</v>
      </c>
      <c r="R70" s="149"/>
      <c r="S70" s="267">
        <f t="shared" si="15"/>
        <v>0</v>
      </c>
      <c r="T70" s="251">
        <f t="shared" si="16"/>
        <v>0</v>
      </c>
      <c r="U70" s="218"/>
      <c r="V70" s="71" t="s">
        <v>232</v>
      </c>
      <c r="W70" s="149"/>
      <c r="X70" s="267">
        <f t="shared" si="17"/>
        <v>0</v>
      </c>
      <c r="Y70" s="251">
        <f t="shared" si="24"/>
        <v>0</v>
      </c>
      <c r="Z70" s="218"/>
      <c r="AA70" s="71" t="s">
        <v>232</v>
      </c>
      <c r="AB70" s="149"/>
      <c r="AC70" s="267">
        <f t="shared" si="19"/>
        <v>0</v>
      </c>
      <c r="AD70" s="251">
        <f t="shared" si="25"/>
        <v>0</v>
      </c>
      <c r="AE70" s="218"/>
      <c r="AF70" s="71" t="s">
        <v>232</v>
      </c>
      <c r="AG70" s="149"/>
      <c r="AH70" s="267">
        <f t="shared" si="21"/>
        <v>0</v>
      </c>
      <c r="AI70" s="251">
        <f t="shared" si="23"/>
        <v>0</v>
      </c>
      <c r="AJ70" s="93"/>
      <c r="AK70" s="31"/>
    </row>
    <row r="71" spans="2:37" ht="30.2" customHeight="1">
      <c r="B71" s="820"/>
      <c r="C71" s="792"/>
      <c r="D71" s="793"/>
      <c r="E71" s="896"/>
      <c r="F71" s="72" t="s">
        <v>280</v>
      </c>
      <c r="G71" s="129">
        <v>14</v>
      </c>
      <c r="H71" s="128" t="s">
        <v>252</v>
      </c>
      <c r="I71" s="122">
        <v>200000</v>
      </c>
      <c r="J71" s="119">
        <f t="shared" si="22"/>
        <v>2800000</v>
      </c>
      <c r="K71" s="218">
        <v>14</v>
      </c>
      <c r="L71" s="71" t="s">
        <v>232</v>
      </c>
      <c r="M71" s="149">
        <v>200000</v>
      </c>
      <c r="N71" s="267">
        <f t="shared" si="13"/>
        <v>2800000</v>
      </c>
      <c r="O71" s="252">
        <f t="shared" si="14"/>
        <v>0</v>
      </c>
      <c r="P71" s="218">
        <v>14</v>
      </c>
      <c r="Q71" s="71" t="s">
        <v>232</v>
      </c>
      <c r="R71" s="149">
        <v>200000</v>
      </c>
      <c r="S71" s="267">
        <f t="shared" si="15"/>
        <v>2800000</v>
      </c>
      <c r="T71" s="251">
        <f t="shared" si="16"/>
        <v>0</v>
      </c>
      <c r="U71" s="218">
        <v>14</v>
      </c>
      <c r="V71" s="71" t="s">
        <v>232</v>
      </c>
      <c r="W71" s="149">
        <v>200000</v>
      </c>
      <c r="X71" s="267">
        <f t="shared" si="17"/>
        <v>2800000</v>
      </c>
      <c r="Y71" s="251">
        <f t="shared" si="24"/>
        <v>0</v>
      </c>
      <c r="Z71" s="218">
        <v>14</v>
      </c>
      <c r="AA71" s="71" t="s">
        <v>232</v>
      </c>
      <c r="AB71" s="149">
        <v>200000</v>
      </c>
      <c r="AC71" s="267">
        <f t="shared" si="19"/>
        <v>2800000</v>
      </c>
      <c r="AD71" s="251">
        <f t="shared" si="25"/>
        <v>0</v>
      </c>
      <c r="AE71" s="218">
        <v>14</v>
      </c>
      <c r="AF71" s="71" t="s">
        <v>232</v>
      </c>
      <c r="AG71" s="149">
        <v>200000</v>
      </c>
      <c r="AH71" s="267">
        <f t="shared" si="21"/>
        <v>2800000</v>
      </c>
      <c r="AI71" s="251">
        <f t="shared" si="23"/>
        <v>0</v>
      </c>
      <c r="AJ71" s="93"/>
      <c r="AK71" s="614" t="s">
        <v>738</v>
      </c>
    </row>
    <row r="72" spans="2:37" ht="30.2" customHeight="1">
      <c r="B72" s="820"/>
      <c r="C72" s="792"/>
      <c r="D72" s="793"/>
      <c r="E72" s="896"/>
      <c r="F72" s="72" t="s">
        <v>281</v>
      </c>
      <c r="G72" s="129">
        <v>6</v>
      </c>
      <c r="H72" s="128" t="s">
        <v>234</v>
      </c>
      <c r="I72" s="122">
        <v>300000</v>
      </c>
      <c r="J72" s="119">
        <f t="shared" si="22"/>
        <v>1800000</v>
      </c>
      <c r="K72" s="218">
        <v>6</v>
      </c>
      <c r="L72" s="71" t="s">
        <v>232</v>
      </c>
      <c r="M72" s="149">
        <v>300000</v>
      </c>
      <c r="N72" s="267">
        <f t="shared" si="13"/>
        <v>1800000</v>
      </c>
      <c r="O72" s="252">
        <f t="shared" si="14"/>
        <v>0</v>
      </c>
      <c r="P72" s="218">
        <v>6</v>
      </c>
      <c r="Q72" s="71" t="s">
        <v>232</v>
      </c>
      <c r="R72" s="149">
        <v>300000</v>
      </c>
      <c r="S72" s="267">
        <f t="shared" si="15"/>
        <v>1800000</v>
      </c>
      <c r="T72" s="251">
        <f t="shared" si="16"/>
        <v>0</v>
      </c>
      <c r="U72" s="218">
        <v>6</v>
      </c>
      <c r="V72" s="71" t="s">
        <v>232</v>
      </c>
      <c r="W72" s="149">
        <v>300000</v>
      </c>
      <c r="X72" s="267">
        <f t="shared" si="17"/>
        <v>1800000</v>
      </c>
      <c r="Y72" s="251">
        <f t="shared" si="24"/>
        <v>0</v>
      </c>
      <c r="Z72" s="218">
        <v>6</v>
      </c>
      <c r="AA72" s="71" t="s">
        <v>232</v>
      </c>
      <c r="AB72" s="149">
        <v>300000</v>
      </c>
      <c r="AC72" s="267">
        <f t="shared" si="19"/>
        <v>1800000</v>
      </c>
      <c r="AD72" s="251">
        <f t="shared" si="25"/>
        <v>0</v>
      </c>
      <c r="AE72" s="218">
        <v>6</v>
      </c>
      <c r="AF72" s="71" t="s">
        <v>232</v>
      </c>
      <c r="AG72" s="149">
        <v>300000</v>
      </c>
      <c r="AH72" s="267">
        <f t="shared" si="21"/>
        <v>1800000</v>
      </c>
      <c r="AI72" s="251">
        <f t="shared" si="23"/>
        <v>0</v>
      </c>
      <c r="AJ72" s="93"/>
      <c r="AK72" s="614" t="s">
        <v>739</v>
      </c>
    </row>
    <row r="73" spans="2:37" ht="30.2" customHeight="1">
      <c r="B73" s="820"/>
      <c r="C73" s="792"/>
      <c r="D73" s="793"/>
      <c r="E73" s="896"/>
      <c r="F73" s="72" t="s">
        <v>282</v>
      </c>
      <c r="G73" s="129">
        <v>14</v>
      </c>
      <c r="H73" s="128" t="s">
        <v>252</v>
      </c>
      <c r="I73" s="122">
        <v>120000</v>
      </c>
      <c r="J73" s="119">
        <f t="shared" si="22"/>
        <v>1680000</v>
      </c>
      <c r="K73" s="218">
        <v>14</v>
      </c>
      <c r="L73" s="71" t="s">
        <v>232</v>
      </c>
      <c r="M73" s="149">
        <v>120000</v>
      </c>
      <c r="N73" s="267">
        <f t="shared" si="13"/>
        <v>1680000</v>
      </c>
      <c r="O73" s="252">
        <f t="shared" si="14"/>
        <v>0</v>
      </c>
      <c r="P73" s="218">
        <v>14</v>
      </c>
      <c r="Q73" s="71" t="s">
        <v>232</v>
      </c>
      <c r="R73" s="149">
        <v>120000</v>
      </c>
      <c r="S73" s="267">
        <f t="shared" si="15"/>
        <v>1680000</v>
      </c>
      <c r="T73" s="251">
        <f t="shared" si="16"/>
        <v>0</v>
      </c>
      <c r="U73" s="218">
        <v>14</v>
      </c>
      <c r="V73" s="71" t="s">
        <v>232</v>
      </c>
      <c r="W73" s="149">
        <v>120000</v>
      </c>
      <c r="X73" s="267">
        <f t="shared" si="17"/>
        <v>1680000</v>
      </c>
      <c r="Y73" s="251">
        <f t="shared" si="24"/>
        <v>0</v>
      </c>
      <c r="Z73" s="218">
        <v>14</v>
      </c>
      <c r="AA73" s="71" t="s">
        <v>232</v>
      </c>
      <c r="AB73" s="149">
        <v>120000</v>
      </c>
      <c r="AC73" s="267">
        <f t="shared" si="19"/>
        <v>1680000</v>
      </c>
      <c r="AD73" s="251">
        <f t="shared" si="25"/>
        <v>0</v>
      </c>
      <c r="AE73" s="218">
        <v>14</v>
      </c>
      <c r="AF73" s="71" t="s">
        <v>232</v>
      </c>
      <c r="AG73" s="149">
        <v>120000</v>
      </c>
      <c r="AH73" s="267">
        <f t="shared" si="21"/>
        <v>1680000</v>
      </c>
      <c r="AI73" s="251">
        <f t="shared" si="23"/>
        <v>0</v>
      </c>
      <c r="AJ73" s="93"/>
      <c r="AK73" s="614" t="s">
        <v>740</v>
      </c>
    </row>
    <row r="74" spans="2:37" ht="30.2" customHeight="1">
      <c r="B74" s="820"/>
      <c r="C74" s="792"/>
      <c r="D74" s="793"/>
      <c r="E74" s="896"/>
      <c r="F74" s="72" t="s">
        <v>283</v>
      </c>
      <c r="G74" s="129">
        <v>6</v>
      </c>
      <c r="H74" s="128" t="s">
        <v>234</v>
      </c>
      <c r="I74" s="122">
        <v>500000</v>
      </c>
      <c r="J74" s="119">
        <f t="shared" si="22"/>
        <v>3000000</v>
      </c>
      <c r="K74" s="218">
        <v>6</v>
      </c>
      <c r="L74" s="71" t="s">
        <v>232</v>
      </c>
      <c r="M74" s="149">
        <v>500000</v>
      </c>
      <c r="N74" s="267">
        <f t="shared" si="13"/>
        <v>3000000</v>
      </c>
      <c r="O74" s="252">
        <f t="shared" si="14"/>
        <v>0</v>
      </c>
      <c r="P74" s="218">
        <v>6</v>
      </c>
      <c r="Q74" s="71" t="s">
        <v>232</v>
      </c>
      <c r="R74" s="149">
        <v>500000</v>
      </c>
      <c r="S74" s="267">
        <f t="shared" si="15"/>
        <v>3000000</v>
      </c>
      <c r="T74" s="251">
        <f t="shared" si="16"/>
        <v>0</v>
      </c>
      <c r="U74" s="218">
        <v>6</v>
      </c>
      <c r="V74" s="71" t="s">
        <v>232</v>
      </c>
      <c r="W74" s="149">
        <v>500000</v>
      </c>
      <c r="X74" s="267">
        <f t="shared" si="17"/>
        <v>3000000</v>
      </c>
      <c r="Y74" s="251">
        <f t="shared" si="24"/>
        <v>0</v>
      </c>
      <c r="Z74" s="218">
        <v>6</v>
      </c>
      <c r="AA74" s="71" t="s">
        <v>232</v>
      </c>
      <c r="AB74" s="149">
        <v>500000</v>
      </c>
      <c r="AC74" s="267">
        <f t="shared" si="19"/>
        <v>3000000</v>
      </c>
      <c r="AD74" s="251">
        <f t="shared" si="25"/>
        <v>0</v>
      </c>
      <c r="AE74" s="218">
        <v>6</v>
      </c>
      <c r="AF74" s="71" t="s">
        <v>232</v>
      </c>
      <c r="AG74" s="149">
        <v>500000</v>
      </c>
      <c r="AH74" s="267">
        <f t="shared" si="21"/>
        <v>3000000</v>
      </c>
      <c r="AI74" s="251">
        <f t="shared" si="23"/>
        <v>0</v>
      </c>
      <c r="AJ74" s="93"/>
      <c r="AK74" s="31"/>
    </row>
    <row r="75" spans="2:37" ht="30.2" customHeight="1">
      <c r="B75" s="820"/>
      <c r="C75" s="792"/>
      <c r="D75" s="793"/>
      <c r="E75" s="896"/>
      <c r="F75" s="72" t="s">
        <v>284</v>
      </c>
      <c r="G75" s="129">
        <v>10</v>
      </c>
      <c r="H75" s="128" t="s">
        <v>252</v>
      </c>
      <c r="I75" s="122">
        <v>100000</v>
      </c>
      <c r="J75" s="119">
        <f t="shared" si="22"/>
        <v>1000000</v>
      </c>
      <c r="K75" s="218">
        <v>10</v>
      </c>
      <c r="L75" s="71" t="s">
        <v>232</v>
      </c>
      <c r="M75" s="149">
        <v>100000</v>
      </c>
      <c r="N75" s="267">
        <f t="shared" si="13"/>
        <v>1000000</v>
      </c>
      <c r="O75" s="252">
        <f t="shared" si="14"/>
        <v>0</v>
      </c>
      <c r="P75" s="218">
        <v>10</v>
      </c>
      <c r="Q75" s="71" t="s">
        <v>232</v>
      </c>
      <c r="R75" s="149">
        <v>100000</v>
      </c>
      <c r="S75" s="267">
        <f t="shared" si="15"/>
        <v>1000000</v>
      </c>
      <c r="T75" s="251">
        <f t="shared" si="16"/>
        <v>0</v>
      </c>
      <c r="U75" s="218">
        <v>10</v>
      </c>
      <c r="V75" s="71" t="s">
        <v>232</v>
      </c>
      <c r="W75" s="149">
        <v>100000</v>
      </c>
      <c r="X75" s="267">
        <f t="shared" si="17"/>
        <v>1000000</v>
      </c>
      <c r="Y75" s="251">
        <f t="shared" si="24"/>
        <v>0</v>
      </c>
      <c r="Z75" s="218">
        <v>10</v>
      </c>
      <c r="AA75" s="71" t="s">
        <v>232</v>
      </c>
      <c r="AB75" s="149">
        <v>100000</v>
      </c>
      <c r="AC75" s="267">
        <f t="shared" si="19"/>
        <v>1000000</v>
      </c>
      <c r="AD75" s="251">
        <f t="shared" si="25"/>
        <v>0</v>
      </c>
      <c r="AE75" s="218">
        <v>10</v>
      </c>
      <c r="AF75" s="71" t="s">
        <v>232</v>
      </c>
      <c r="AG75" s="149">
        <v>100000</v>
      </c>
      <c r="AH75" s="267">
        <f t="shared" si="21"/>
        <v>1000000</v>
      </c>
      <c r="AI75" s="251">
        <f t="shared" si="23"/>
        <v>0</v>
      </c>
      <c r="AJ75" s="93"/>
      <c r="AK75" s="614" t="s">
        <v>741</v>
      </c>
    </row>
    <row r="76" spans="2:37" ht="30.2" customHeight="1">
      <c r="B76" s="820"/>
      <c r="C76" s="792"/>
      <c r="D76" s="793"/>
      <c r="E76" s="896"/>
      <c r="F76" s="72" t="s">
        <v>285</v>
      </c>
      <c r="G76" s="129">
        <v>16</v>
      </c>
      <c r="H76" s="128" t="s">
        <v>234</v>
      </c>
      <c r="I76" s="122">
        <v>300000</v>
      </c>
      <c r="J76" s="119">
        <f t="shared" si="22"/>
        <v>4800000</v>
      </c>
      <c r="K76" s="218">
        <v>16</v>
      </c>
      <c r="L76" s="71" t="s">
        <v>232</v>
      </c>
      <c r="M76" s="149">
        <v>300000</v>
      </c>
      <c r="N76" s="267">
        <f t="shared" si="13"/>
        <v>4800000</v>
      </c>
      <c r="O76" s="252">
        <f t="shared" si="14"/>
        <v>0</v>
      </c>
      <c r="P76" s="218">
        <v>16</v>
      </c>
      <c r="Q76" s="71" t="s">
        <v>232</v>
      </c>
      <c r="R76" s="149">
        <v>300000</v>
      </c>
      <c r="S76" s="267">
        <f t="shared" si="15"/>
        <v>4800000</v>
      </c>
      <c r="T76" s="251">
        <f t="shared" si="16"/>
        <v>0</v>
      </c>
      <c r="U76" s="218">
        <v>16</v>
      </c>
      <c r="V76" s="71" t="s">
        <v>232</v>
      </c>
      <c r="W76" s="149">
        <v>300000</v>
      </c>
      <c r="X76" s="267">
        <f t="shared" si="17"/>
        <v>4800000</v>
      </c>
      <c r="Y76" s="251">
        <f t="shared" si="24"/>
        <v>0</v>
      </c>
      <c r="Z76" s="218">
        <v>16</v>
      </c>
      <c r="AA76" s="71" t="s">
        <v>232</v>
      </c>
      <c r="AB76" s="149">
        <v>300000</v>
      </c>
      <c r="AC76" s="267">
        <f t="shared" si="19"/>
        <v>4800000</v>
      </c>
      <c r="AD76" s="251">
        <f t="shared" si="25"/>
        <v>0</v>
      </c>
      <c r="AE76" s="218">
        <v>16</v>
      </c>
      <c r="AF76" s="71" t="s">
        <v>232</v>
      </c>
      <c r="AG76" s="149">
        <v>300000</v>
      </c>
      <c r="AH76" s="267">
        <f t="shared" si="21"/>
        <v>4800000</v>
      </c>
      <c r="AI76" s="251">
        <f t="shared" si="23"/>
        <v>0</v>
      </c>
      <c r="AJ76" s="93"/>
      <c r="AK76" s="31"/>
    </row>
    <row r="77" spans="2:37" ht="30.2" customHeight="1">
      <c r="B77" s="820"/>
      <c r="C77" s="792"/>
      <c r="D77" s="793"/>
      <c r="E77" s="896"/>
      <c r="F77" s="72" t="s">
        <v>286</v>
      </c>
      <c r="G77" s="129">
        <v>10</v>
      </c>
      <c r="H77" s="128" t="s">
        <v>252</v>
      </c>
      <c r="I77" s="122">
        <v>50000</v>
      </c>
      <c r="J77" s="119">
        <f t="shared" si="22"/>
        <v>500000</v>
      </c>
      <c r="K77" s="218">
        <v>10</v>
      </c>
      <c r="L77" s="71" t="s">
        <v>232</v>
      </c>
      <c r="M77" s="149">
        <v>50000</v>
      </c>
      <c r="N77" s="267">
        <f t="shared" si="13"/>
        <v>500000</v>
      </c>
      <c r="O77" s="252">
        <f t="shared" si="14"/>
        <v>0</v>
      </c>
      <c r="P77" s="218">
        <v>10</v>
      </c>
      <c r="Q77" s="71" t="s">
        <v>232</v>
      </c>
      <c r="R77" s="149">
        <v>50000</v>
      </c>
      <c r="S77" s="267">
        <f t="shared" si="15"/>
        <v>500000</v>
      </c>
      <c r="T77" s="251">
        <f t="shared" si="16"/>
        <v>0</v>
      </c>
      <c r="U77" s="218">
        <v>10</v>
      </c>
      <c r="V77" s="71" t="s">
        <v>232</v>
      </c>
      <c r="W77" s="149">
        <v>50000</v>
      </c>
      <c r="X77" s="267">
        <f t="shared" si="17"/>
        <v>500000</v>
      </c>
      <c r="Y77" s="251">
        <f t="shared" si="24"/>
        <v>0</v>
      </c>
      <c r="Z77" s="218">
        <v>10</v>
      </c>
      <c r="AA77" s="71" t="s">
        <v>232</v>
      </c>
      <c r="AB77" s="149">
        <v>50000</v>
      </c>
      <c r="AC77" s="267">
        <f t="shared" si="19"/>
        <v>500000</v>
      </c>
      <c r="AD77" s="251">
        <f t="shared" si="25"/>
        <v>0</v>
      </c>
      <c r="AE77" s="218">
        <v>10</v>
      </c>
      <c r="AF77" s="71" t="s">
        <v>232</v>
      </c>
      <c r="AG77" s="149">
        <v>50000</v>
      </c>
      <c r="AH77" s="267">
        <f t="shared" si="21"/>
        <v>500000</v>
      </c>
      <c r="AI77" s="251">
        <f t="shared" si="23"/>
        <v>0</v>
      </c>
      <c r="AJ77" s="93" t="s">
        <v>241</v>
      </c>
      <c r="AK77" s="31"/>
    </row>
    <row r="78" spans="2:37" ht="30.2" customHeight="1">
      <c r="B78" s="820"/>
      <c r="C78" s="792"/>
      <c r="D78" s="793"/>
      <c r="E78" s="896"/>
      <c r="F78" s="72" t="s">
        <v>287</v>
      </c>
      <c r="G78" s="129">
        <v>1</v>
      </c>
      <c r="H78" s="128" t="s">
        <v>252</v>
      </c>
      <c r="I78" s="122">
        <v>500000</v>
      </c>
      <c r="J78" s="119">
        <f t="shared" si="22"/>
        <v>500000</v>
      </c>
      <c r="K78" s="218">
        <v>1</v>
      </c>
      <c r="L78" s="71" t="s">
        <v>232</v>
      </c>
      <c r="M78" s="149">
        <v>500000</v>
      </c>
      <c r="N78" s="267">
        <f t="shared" si="13"/>
        <v>500000</v>
      </c>
      <c r="O78" s="252">
        <f t="shared" si="14"/>
        <v>0</v>
      </c>
      <c r="P78" s="218">
        <v>1</v>
      </c>
      <c r="Q78" s="71" t="s">
        <v>232</v>
      </c>
      <c r="R78" s="149">
        <v>500000</v>
      </c>
      <c r="S78" s="267">
        <f t="shared" si="15"/>
        <v>500000</v>
      </c>
      <c r="T78" s="251">
        <f>S78-N78</f>
        <v>0</v>
      </c>
      <c r="U78" s="218">
        <v>1</v>
      </c>
      <c r="V78" s="71" t="s">
        <v>232</v>
      </c>
      <c r="W78" s="149">
        <v>500000</v>
      </c>
      <c r="X78" s="267">
        <f t="shared" si="17"/>
        <v>500000</v>
      </c>
      <c r="Y78" s="251">
        <f>X78-S78</f>
        <v>0</v>
      </c>
      <c r="Z78" s="218">
        <v>1</v>
      </c>
      <c r="AA78" s="71" t="s">
        <v>232</v>
      </c>
      <c r="AB78" s="149">
        <v>500000</v>
      </c>
      <c r="AC78" s="267">
        <f t="shared" si="19"/>
        <v>500000</v>
      </c>
      <c r="AD78" s="251">
        <f>AC78-X78</f>
        <v>0</v>
      </c>
      <c r="AE78" s="218">
        <v>1</v>
      </c>
      <c r="AF78" s="71" t="s">
        <v>232</v>
      </c>
      <c r="AG78" s="149">
        <v>500000</v>
      </c>
      <c r="AH78" s="267">
        <f t="shared" si="21"/>
        <v>500000</v>
      </c>
      <c r="AI78" s="251">
        <f t="shared" si="23"/>
        <v>0</v>
      </c>
      <c r="AJ78" s="93"/>
      <c r="AK78" s="31"/>
    </row>
    <row r="79" spans="2:37" ht="30.2" customHeight="1">
      <c r="B79" s="820"/>
      <c r="C79" s="792"/>
      <c r="D79" s="793"/>
      <c r="E79" s="896"/>
      <c r="F79" s="72" t="s">
        <v>288</v>
      </c>
      <c r="G79" s="129">
        <v>20</v>
      </c>
      <c r="H79" s="128" t="s">
        <v>252</v>
      </c>
      <c r="I79" s="122">
        <v>400000</v>
      </c>
      <c r="J79" s="119">
        <f t="shared" si="22"/>
        <v>8000000</v>
      </c>
      <c r="K79" s="218">
        <v>20</v>
      </c>
      <c r="L79" s="71" t="s">
        <v>232</v>
      </c>
      <c r="M79" s="149">
        <v>400000</v>
      </c>
      <c r="N79" s="267">
        <f t="shared" si="13"/>
        <v>8000000</v>
      </c>
      <c r="O79" s="252">
        <f t="shared" si="14"/>
        <v>0</v>
      </c>
      <c r="P79" s="218">
        <v>20</v>
      </c>
      <c r="Q79" s="71" t="s">
        <v>232</v>
      </c>
      <c r="R79" s="149">
        <v>400000</v>
      </c>
      <c r="S79" s="267">
        <f t="shared" si="15"/>
        <v>8000000</v>
      </c>
      <c r="T79" s="251">
        <f t="shared" si="16"/>
        <v>0</v>
      </c>
      <c r="U79" s="218">
        <v>20</v>
      </c>
      <c r="V79" s="71" t="s">
        <v>232</v>
      </c>
      <c r="W79" s="149">
        <v>400000</v>
      </c>
      <c r="X79" s="267">
        <f t="shared" si="17"/>
        <v>8000000</v>
      </c>
      <c r="Y79" s="251">
        <f t="shared" ref="Y79:Y85" si="26">X79-S79</f>
        <v>0</v>
      </c>
      <c r="Z79" s="218">
        <v>20</v>
      </c>
      <c r="AA79" s="71" t="s">
        <v>232</v>
      </c>
      <c r="AB79" s="149">
        <v>400000</v>
      </c>
      <c r="AC79" s="267">
        <f t="shared" si="19"/>
        <v>8000000</v>
      </c>
      <c r="AD79" s="251">
        <f t="shared" ref="AD79:AD85" si="27">AC79-X79</f>
        <v>0</v>
      </c>
      <c r="AE79" s="218">
        <v>20</v>
      </c>
      <c r="AF79" s="71" t="s">
        <v>232</v>
      </c>
      <c r="AG79" s="149">
        <v>400000</v>
      </c>
      <c r="AH79" s="267">
        <f t="shared" si="21"/>
        <v>8000000</v>
      </c>
      <c r="AI79" s="251">
        <f t="shared" si="23"/>
        <v>0</v>
      </c>
      <c r="AJ79" s="93" t="s">
        <v>237</v>
      </c>
      <c r="AK79" s="31"/>
    </row>
    <row r="80" spans="2:37" ht="30.2" customHeight="1">
      <c r="B80" s="820"/>
      <c r="C80" s="792"/>
      <c r="D80" s="793"/>
      <c r="E80" s="896"/>
      <c r="F80" s="342" t="s">
        <v>607</v>
      </c>
      <c r="G80" s="343">
        <v>1</v>
      </c>
      <c r="H80" s="344" t="s">
        <v>289</v>
      </c>
      <c r="I80" s="345">
        <v>6000000</v>
      </c>
      <c r="J80" s="346">
        <f t="shared" si="22"/>
        <v>6000000</v>
      </c>
      <c r="K80" s="347">
        <v>1</v>
      </c>
      <c r="L80" s="348" t="s">
        <v>289</v>
      </c>
      <c r="M80" s="349">
        <v>20000000</v>
      </c>
      <c r="N80" s="350">
        <f t="shared" si="13"/>
        <v>20000000</v>
      </c>
      <c r="O80" s="382">
        <f t="shared" si="14"/>
        <v>14000000</v>
      </c>
      <c r="P80" s="510">
        <v>1</v>
      </c>
      <c r="Q80" s="511" t="s">
        <v>268</v>
      </c>
      <c r="R80" s="512">
        <v>15000000</v>
      </c>
      <c r="S80" s="513">
        <v>15000000</v>
      </c>
      <c r="T80" s="514">
        <f t="shared" si="16"/>
        <v>-5000000</v>
      </c>
      <c r="U80" s="510">
        <v>1</v>
      </c>
      <c r="V80" s="511" t="s">
        <v>268</v>
      </c>
      <c r="W80" s="512">
        <v>15000000</v>
      </c>
      <c r="X80" s="513">
        <v>15000000</v>
      </c>
      <c r="Y80" s="514">
        <f t="shared" si="26"/>
        <v>0</v>
      </c>
      <c r="Z80" s="510">
        <v>1</v>
      </c>
      <c r="AA80" s="511" t="s">
        <v>268</v>
      </c>
      <c r="AB80" s="512">
        <v>15000000</v>
      </c>
      <c r="AC80" s="513">
        <v>15000000</v>
      </c>
      <c r="AD80" s="514">
        <f t="shared" si="27"/>
        <v>0</v>
      </c>
      <c r="AE80" s="510">
        <v>1</v>
      </c>
      <c r="AF80" s="511" t="s">
        <v>268</v>
      </c>
      <c r="AG80" s="512">
        <v>15000000</v>
      </c>
      <c r="AH80" s="513">
        <v>15000000</v>
      </c>
      <c r="AI80" s="514">
        <f t="shared" si="23"/>
        <v>0</v>
      </c>
      <c r="AJ80" s="515" t="s">
        <v>237</v>
      </c>
      <c r="AK80" s="516" t="s">
        <v>608</v>
      </c>
    </row>
    <row r="81" spans="2:37" ht="30.2" customHeight="1">
      <c r="B81" s="820"/>
      <c r="C81" s="792"/>
      <c r="D81" s="793"/>
      <c r="E81" s="896"/>
      <c r="F81" s="72" t="s">
        <v>290</v>
      </c>
      <c r="G81" s="121">
        <v>1</v>
      </c>
      <c r="H81" s="128" t="s">
        <v>289</v>
      </c>
      <c r="I81" s="122">
        <v>1000000</v>
      </c>
      <c r="J81" s="119">
        <f t="shared" si="22"/>
        <v>1000000</v>
      </c>
      <c r="K81" s="215">
        <v>1</v>
      </c>
      <c r="L81" s="71" t="s">
        <v>289</v>
      </c>
      <c r="M81" s="149">
        <v>1000000</v>
      </c>
      <c r="N81" s="267">
        <f t="shared" si="13"/>
        <v>1000000</v>
      </c>
      <c r="O81" s="252">
        <f t="shared" si="14"/>
        <v>0</v>
      </c>
      <c r="P81" s="215">
        <v>1</v>
      </c>
      <c r="Q81" s="71" t="s">
        <v>268</v>
      </c>
      <c r="R81" s="149">
        <v>1000000</v>
      </c>
      <c r="S81" s="267">
        <f>P81*R81</f>
        <v>1000000</v>
      </c>
      <c r="T81" s="251">
        <f t="shared" si="16"/>
        <v>0</v>
      </c>
      <c r="U81" s="215">
        <v>1</v>
      </c>
      <c r="V81" s="71" t="s">
        <v>268</v>
      </c>
      <c r="W81" s="149">
        <v>1000000</v>
      </c>
      <c r="X81" s="267">
        <f>U81*W81</f>
        <v>1000000</v>
      </c>
      <c r="Y81" s="251">
        <f t="shared" si="26"/>
        <v>0</v>
      </c>
      <c r="Z81" s="215">
        <v>1</v>
      </c>
      <c r="AA81" s="71" t="s">
        <v>268</v>
      </c>
      <c r="AB81" s="149">
        <v>1000000</v>
      </c>
      <c r="AC81" s="267">
        <f>Z81*AB81</f>
        <v>1000000</v>
      </c>
      <c r="AD81" s="251">
        <f t="shared" si="27"/>
        <v>0</v>
      </c>
      <c r="AE81" s="215">
        <v>1</v>
      </c>
      <c r="AF81" s="71" t="s">
        <v>268</v>
      </c>
      <c r="AG81" s="149">
        <v>1000000</v>
      </c>
      <c r="AH81" s="267">
        <f>AE81*AG81</f>
        <v>1000000</v>
      </c>
      <c r="AI81" s="251">
        <f t="shared" si="23"/>
        <v>0</v>
      </c>
      <c r="AJ81" s="93" t="s">
        <v>237</v>
      </c>
      <c r="AK81" s="31"/>
    </row>
    <row r="82" spans="2:37" ht="30.2" customHeight="1">
      <c r="B82" s="820"/>
      <c r="C82" s="792"/>
      <c r="D82" s="793"/>
      <c r="E82" s="897"/>
      <c r="F82" s="73" t="s">
        <v>291</v>
      </c>
      <c r="G82" s="130">
        <v>4</v>
      </c>
      <c r="H82" s="128" t="s">
        <v>234</v>
      </c>
      <c r="I82" s="131">
        <v>2000000</v>
      </c>
      <c r="J82" s="119">
        <f t="shared" si="22"/>
        <v>8000000</v>
      </c>
      <c r="K82" s="219">
        <v>4</v>
      </c>
      <c r="L82" s="71" t="s">
        <v>232</v>
      </c>
      <c r="M82" s="151">
        <v>2000000</v>
      </c>
      <c r="N82" s="267">
        <f t="shared" si="13"/>
        <v>8000000</v>
      </c>
      <c r="O82" s="252">
        <f t="shared" si="14"/>
        <v>0</v>
      </c>
      <c r="P82" s="219">
        <v>4</v>
      </c>
      <c r="Q82" s="71" t="s">
        <v>232</v>
      </c>
      <c r="R82" s="151">
        <v>2000000</v>
      </c>
      <c r="S82" s="267">
        <f>P82*R82</f>
        <v>8000000</v>
      </c>
      <c r="T82" s="251">
        <f t="shared" si="16"/>
        <v>0</v>
      </c>
      <c r="U82" s="219">
        <v>4</v>
      </c>
      <c r="V82" s="71" t="s">
        <v>232</v>
      </c>
      <c r="W82" s="151">
        <v>2000000</v>
      </c>
      <c r="X82" s="267">
        <f>U82*W82</f>
        <v>8000000</v>
      </c>
      <c r="Y82" s="251">
        <f t="shared" si="26"/>
        <v>0</v>
      </c>
      <c r="Z82" s="219">
        <v>4</v>
      </c>
      <c r="AA82" s="71" t="s">
        <v>232</v>
      </c>
      <c r="AB82" s="151">
        <v>2000000</v>
      </c>
      <c r="AC82" s="267">
        <f>Z82*AB82</f>
        <v>8000000</v>
      </c>
      <c r="AD82" s="251">
        <f t="shared" si="27"/>
        <v>0</v>
      </c>
      <c r="AE82" s="219">
        <v>4</v>
      </c>
      <c r="AF82" s="71" t="s">
        <v>232</v>
      </c>
      <c r="AG82" s="151">
        <v>2000000</v>
      </c>
      <c r="AH82" s="267">
        <f>AE82*AG82</f>
        <v>8000000</v>
      </c>
      <c r="AI82" s="251">
        <f t="shared" si="23"/>
        <v>0</v>
      </c>
      <c r="AJ82" s="93"/>
      <c r="AK82" s="31"/>
    </row>
    <row r="83" spans="2:37" ht="30.2" customHeight="1">
      <c r="B83" s="820"/>
      <c r="C83" s="792"/>
      <c r="D83" s="793"/>
      <c r="E83" s="29" t="s">
        <v>292</v>
      </c>
      <c r="F83" s="64" t="s">
        <v>293</v>
      </c>
      <c r="G83" s="120">
        <v>2</v>
      </c>
      <c r="H83" s="117" t="s">
        <v>240</v>
      </c>
      <c r="I83" s="118">
        <v>1000000</v>
      </c>
      <c r="J83" s="119">
        <f t="shared" si="22"/>
        <v>2000000</v>
      </c>
      <c r="K83" s="214">
        <v>2</v>
      </c>
      <c r="L83" s="65" t="s">
        <v>240</v>
      </c>
      <c r="M83" s="148">
        <v>1000000</v>
      </c>
      <c r="N83" s="267">
        <f t="shared" si="13"/>
        <v>2000000</v>
      </c>
      <c r="O83" s="252">
        <f t="shared" si="14"/>
        <v>0</v>
      </c>
      <c r="P83" s="214">
        <v>2</v>
      </c>
      <c r="Q83" s="65" t="s">
        <v>240</v>
      </c>
      <c r="R83" s="148">
        <v>1000000</v>
      </c>
      <c r="S83" s="267">
        <f>P83*R83</f>
        <v>2000000</v>
      </c>
      <c r="T83" s="251">
        <f t="shared" si="16"/>
        <v>0</v>
      </c>
      <c r="U83" s="214">
        <v>2</v>
      </c>
      <c r="V83" s="65" t="s">
        <v>240</v>
      </c>
      <c r="W83" s="148">
        <v>1000000</v>
      </c>
      <c r="X83" s="267">
        <f>U83*W83</f>
        <v>2000000</v>
      </c>
      <c r="Y83" s="251">
        <f t="shared" si="26"/>
        <v>0</v>
      </c>
      <c r="Z83" s="214">
        <v>2</v>
      </c>
      <c r="AA83" s="65" t="s">
        <v>240</v>
      </c>
      <c r="AB83" s="148">
        <v>1000000</v>
      </c>
      <c r="AC83" s="267">
        <f>Z83*AB83</f>
        <v>2000000</v>
      </c>
      <c r="AD83" s="251">
        <f t="shared" si="27"/>
        <v>0</v>
      </c>
      <c r="AE83" s="214">
        <v>2</v>
      </c>
      <c r="AF83" s="65" t="s">
        <v>240</v>
      </c>
      <c r="AG83" s="148">
        <v>1000000</v>
      </c>
      <c r="AH83" s="267">
        <f>AE83*AG83</f>
        <v>2000000</v>
      </c>
      <c r="AI83" s="251">
        <f t="shared" si="23"/>
        <v>0</v>
      </c>
      <c r="AJ83" s="93"/>
      <c r="AK83" s="31"/>
    </row>
    <row r="84" spans="2:37" ht="60.6" customHeight="1">
      <c r="B84" s="820"/>
      <c r="C84" s="792"/>
      <c r="D84" s="793"/>
      <c r="E84" s="29" t="s">
        <v>294</v>
      </c>
      <c r="F84" s="73" t="s">
        <v>295</v>
      </c>
      <c r="G84" s="120">
        <v>16</v>
      </c>
      <c r="H84" s="117" t="s">
        <v>35</v>
      </c>
      <c r="I84" s="118">
        <v>1500000</v>
      </c>
      <c r="J84" s="119">
        <f t="shared" si="22"/>
        <v>24000000</v>
      </c>
      <c r="K84" s="214">
        <v>16</v>
      </c>
      <c r="L84" s="65" t="s">
        <v>35</v>
      </c>
      <c r="M84" s="148">
        <v>1500000</v>
      </c>
      <c r="N84" s="267">
        <f t="shared" si="13"/>
        <v>24000000</v>
      </c>
      <c r="O84" s="252">
        <f t="shared" si="14"/>
        <v>0</v>
      </c>
      <c r="P84" s="214">
        <v>16</v>
      </c>
      <c r="Q84" s="65" t="s">
        <v>35</v>
      </c>
      <c r="R84" s="148">
        <v>1500000</v>
      </c>
      <c r="S84" s="267">
        <f>P84*R84</f>
        <v>24000000</v>
      </c>
      <c r="T84" s="251">
        <f t="shared" si="16"/>
        <v>0</v>
      </c>
      <c r="U84" s="214">
        <v>16</v>
      </c>
      <c r="V84" s="65" t="s">
        <v>35</v>
      </c>
      <c r="W84" s="148">
        <v>1500000</v>
      </c>
      <c r="X84" s="267">
        <f>U84*W84</f>
        <v>24000000</v>
      </c>
      <c r="Y84" s="251">
        <f t="shared" si="26"/>
        <v>0</v>
      </c>
      <c r="Z84" s="214">
        <v>16</v>
      </c>
      <c r="AA84" s="65" t="s">
        <v>35</v>
      </c>
      <c r="AB84" s="148">
        <v>1500000</v>
      </c>
      <c r="AC84" s="267">
        <f>Z84*AB84</f>
        <v>24000000</v>
      </c>
      <c r="AD84" s="251">
        <f t="shared" si="27"/>
        <v>0</v>
      </c>
      <c r="AE84" s="214">
        <v>16</v>
      </c>
      <c r="AF84" s="65" t="s">
        <v>35</v>
      </c>
      <c r="AG84" s="148">
        <v>1500000</v>
      </c>
      <c r="AH84" s="267">
        <f>AE84*AG84</f>
        <v>24000000</v>
      </c>
      <c r="AI84" s="251">
        <f t="shared" si="23"/>
        <v>0</v>
      </c>
      <c r="AJ84" s="93"/>
      <c r="AK84" s="31"/>
    </row>
    <row r="85" spans="2:37" ht="60.6" customHeight="1">
      <c r="B85" s="820"/>
      <c r="C85" s="794"/>
      <c r="D85" s="795"/>
      <c r="E85" s="61" t="s">
        <v>323</v>
      </c>
      <c r="F85" s="73" t="s">
        <v>324</v>
      </c>
      <c r="G85" s="120">
        <v>1</v>
      </c>
      <c r="H85" s="117" t="s">
        <v>147</v>
      </c>
      <c r="I85" s="118">
        <v>10000000</v>
      </c>
      <c r="J85" s="119">
        <f t="shared" si="22"/>
        <v>10000000</v>
      </c>
      <c r="K85" s="214">
        <v>1</v>
      </c>
      <c r="L85" s="65" t="s">
        <v>147</v>
      </c>
      <c r="M85" s="148">
        <v>10000000</v>
      </c>
      <c r="N85" s="267">
        <f t="shared" si="13"/>
        <v>10000000</v>
      </c>
      <c r="O85" s="252">
        <f t="shared" si="14"/>
        <v>0</v>
      </c>
      <c r="P85" s="214">
        <v>1</v>
      </c>
      <c r="Q85" s="65" t="s">
        <v>147</v>
      </c>
      <c r="R85" s="148">
        <v>10000000</v>
      </c>
      <c r="S85" s="267">
        <f>P85*R85</f>
        <v>10000000</v>
      </c>
      <c r="T85" s="251">
        <f t="shared" si="16"/>
        <v>0</v>
      </c>
      <c r="U85" s="214">
        <v>1</v>
      </c>
      <c r="V85" s="65" t="s">
        <v>147</v>
      </c>
      <c r="W85" s="148">
        <v>10000000</v>
      </c>
      <c r="X85" s="267">
        <f>U85*W85</f>
        <v>10000000</v>
      </c>
      <c r="Y85" s="251">
        <f t="shared" si="26"/>
        <v>0</v>
      </c>
      <c r="Z85" s="214">
        <v>1</v>
      </c>
      <c r="AA85" s="65" t="s">
        <v>147</v>
      </c>
      <c r="AB85" s="148">
        <v>10000000</v>
      </c>
      <c r="AC85" s="267">
        <f>Z85*AB85</f>
        <v>10000000</v>
      </c>
      <c r="AD85" s="251">
        <f t="shared" si="27"/>
        <v>0</v>
      </c>
      <c r="AE85" s="214">
        <v>1</v>
      </c>
      <c r="AF85" s="65" t="s">
        <v>147</v>
      </c>
      <c r="AG85" s="148">
        <v>10000000</v>
      </c>
      <c r="AH85" s="267">
        <f>AE85*AG85</f>
        <v>10000000</v>
      </c>
      <c r="AI85" s="251">
        <f t="shared" ref="AI85" si="28">AH85-AC85</f>
        <v>0</v>
      </c>
      <c r="AJ85" s="93"/>
      <c r="AK85" s="31"/>
    </row>
    <row r="86" spans="2:37" ht="30.2" customHeight="1">
      <c r="B86" s="820"/>
      <c r="C86" s="880" t="s">
        <v>296</v>
      </c>
      <c r="D86" s="881"/>
      <c r="E86" s="881"/>
      <c r="F86" s="881"/>
      <c r="G86" s="881"/>
      <c r="H86" s="881"/>
      <c r="I86" s="882"/>
      <c r="J86" s="92">
        <f>SUM(J21:J85)</f>
        <v>337780000</v>
      </c>
      <c r="K86" s="796"/>
      <c r="L86" s="797"/>
      <c r="M86" s="798"/>
      <c r="N86" s="268">
        <f>SUM(N21:N85)</f>
        <v>351780000</v>
      </c>
      <c r="O86" s="245">
        <f>SUM(O21:O85)</f>
        <v>14000000</v>
      </c>
      <c r="P86" s="796"/>
      <c r="Q86" s="797"/>
      <c r="R86" s="798"/>
      <c r="S86" s="268">
        <f>SUM(S21:S85)</f>
        <v>346780000</v>
      </c>
      <c r="T86" s="245">
        <f>SUM(T21:T85)</f>
        <v>-5000000</v>
      </c>
      <c r="U86" s="796"/>
      <c r="V86" s="797"/>
      <c r="W86" s="798"/>
      <c r="X86" s="268">
        <f>SUM(X21:X85)</f>
        <v>346780000</v>
      </c>
      <c r="Y86" s="245">
        <f>SUM(Y21:Y85)</f>
        <v>0</v>
      </c>
      <c r="Z86" s="796"/>
      <c r="AA86" s="797"/>
      <c r="AB86" s="798"/>
      <c r="AC86" s="268">
        <f>SUM(AC21:AC85)</f>
        <v>346780000</v>
      </c>
      <c r="AD86" s="245">
        <f>SUM(AD21:AD85)</f>
        <v>0</v>
      </c>
      <c r="AE86" s="796"/>
      <c r="AF86" s="797"/>
      <c r="AG86" s="798"/>
      <c r="AH86" s="268">
        <f>SUM(AH21:AH85)</f>
        <v>346780000</v>
      </c>
      <c r="AI86" s="245">
        <f>SUM(AI21:AI85)</f>
        <v>0</v>
      </c>
      <c r="AJ86" s="94"/>
      <c r="AK86" s="33"/>
    </row>
    <row r="87" spans="2:37" ht="30.2" customHeight="1">
      <c r="B87" s="820"/>
      <c r="C87" s="790" t="s">
        <v>297</v>
      </c>
      <c r="D87" s="886"/>
      <c r="E87" s="747" t="s">
        <v>230</v>
      </c>
      <c r="F87" s="66" t="s">
        <v>235</v>
      </c>
      <c r="G87" s="121">
        <v>8</v>
      </c>
      <c r="H87" s="117" t="s">
        <v>252</v>
      </c>
      <c r="I87" s="122">
        <v>80000</v>
      </c>
      <c r="J87" s="119">
        <f t="shared" ref="J87:J97" si="29">G87*I87</f>
        <v>640000</v>
      </c>
      <c r="K87" s="215">
        <v>8</v>
      </c>
      <c r="L87" s="133" t="s">
        <v>232</v>
      </c>
      <c r="M87" s="149">
        <v>80000</v>
      </c>
      <c r="N87" s="267">
        <f>K87*M87</f>
        <v>640000</v>
      </c>
      <c r="O87" s="252">
        <f>N87-J87</f>
        <v>0</v>
      </c>
      <c r="P87" s="215">
        <v>8</v>
      </c>
      <c r="Q87" s="133" t="s">
        <v>232</v>
      </c>
      <c r="R87" s="149">
        <v>80000</v>
      </c>
      <c r="S87" s="267">
        <f>P87*R87</f>
        <v>640000</v>
      </c>
      <c r="T87" s="251">
        <f t="shared" si="16"/>
        <v>0</v>
      </c>
      <c r="U87" s="215">
        <v>8</v>
      </c>
      <c r="V87" s="133" t="s">
        <v>232</v>
      </c>
      <c r="W87" s="149">
        <v>80000</v>
      </c>
      <c r="X87" s="267">
        <f>U87*W87</f>
        <v>640000</v>
      </c>
      <c r="Y87" s="251">
        <f t="shared" ref="Y87:Y108" si="30">X87-S87</f>
        <v>0</v>
      </c>
      <c r="Z87" s="215">
        <v>8</v>
      </c>
      <c r="AA87" s="133" t="s">
        <v>232</v>
      </c>
      <c r="AB87" s="149">
        <v>80000</v>
      </c>
      <c r="AC87" s="267">
        <f>Z87*AB87</f>
        <v>640000</v>
      </c>
      <c r="AD87" s="251">
        <f t="shared" ref="AD87:AD108" si="31">AC87-X87</f>
        <v>0</v>
      </c>
      <c r="AE87" s="215">
        <v>8</v>
      </c>
      <c r="AF87" s="133" t="s">
        <v>232</v>
      </c>
      <c r="AG87" s="149">
        <v>80000</v>
      </c>
      <c r="AH87" s="267">
        <f>AE87*AG87</f>
        <v>640000</v>
      </c>
      <c r="AI87" s="251">
        <f t="shared" ref="AI87:AI109" si="32">AH87-AC87</f>
        <v>0</v>
      </c>
      <c r="AJ87" s="95"/>
      <c r="AK87" s="49"/>
    </row>
    <row r="88" spans="2:37" ht="30.2" customHeight="1">
      <c r="B88" s="820"/>
      <c r="C88" s="792"/>
      <c r="D88" s="887"/>
      <c r="E88" s="828"/>
      <c r="F88" s="66" t="s">
        <v>236</v>
      </c>
      <c r="G88" s="121">
        <v>4</v>
      </c>
      <c r="H88" s="117" t="s">
        <v>252</v>
      </c>
      <c r="I88" s="122">
        <v>120000</v>
      </c>
      <c r="J88" s="119">
        <f t="shared" si="29"/>
        <v>480000</v>
      </c>
      <c r="K88" s="215">
        <v>4</v>
      </c>
      <c r="L88" s="133" t="s">
        <v>232</v>
      </c>
      <c r="M88" s="149">
        <v>120000</v>
      </c>
      <c r="N88" s="267">
        <f t="shared" ref="N88:N109" si="33">K88*M88</f>
        <v>480000</v>
      </c>
      <c r="O88" s="252">
        <f t="shared" ref="O88:O108" si="34">N88-J88</f>
        <v>0</v>
      </c>
      <c r="P88" s="215">
        <v>4</v>
      </c>
      <c r="Q88" s="133" t="s">
        <v>232</v>
      </c>
      <c r="R88" s="149">
        <v>120000</v>
      </c>
      <c r="S88" s="267">
        <f t="shared" ref="S88:S109" si="35">P88*R88</f>
        <v>480000</v>
      </c>
      <c r="T88" s="251">
        <f t="shared" si="16"/>
        <v>0</v>
      </c>
      <c r="U88" s="215">
        <v>4</v>
      </c>
      <c r="V88" s="133" t="s">
        <v>232</v>
      </c>
      <c r="W88" s="149">
        <v>120000</v>
      </c>
      <c r="X88" s="267">
        <f t="shared" ref="X88:X109" si="36">U88*W88</f>
        <v>480000</v>
      </c>
      <c r="Y88" s="251">
        <f t="shared" si="30"/>
        <v>0</v>
      </c>
      <c r="Z88" s="215">
        <v>4</v>
      </c>
      <c r="AA88" s="133" t="s">
        <v>232</v>
      </c>
      <c r="AB88" s="149">
        <v>120000</v>
      </c>
      <c r="AC88" s="267">
        <f t="shared" ref="AC88:AC109" si="37">Z88*AB88</f>
        <v>480000</v>
      </c>
      <c r="AD88" s="251">
        <f t="shared" si="31"/>
        <v>0</v>
      </c>
      <c r="AE88" s="215">
        <v>4</v>
      </c>
      <c r="AF88" s="133" t="s">
        <v>232</v>
      </c>
      <c r="AG88" s="149">
        <v>120000</v>
      </c>
      <c r="AH88" s="267">
        <f t="shared" ref="AH88:AH109" si="38">AE88*AG88</f>
        <v>480000</v>
      </c>
      <c r="AI88" s="251">
        <f t="shared" si="32"/>
        <v>0</v>
      </c>
      <c r="AJ88" s="95"/>
      <c r="AK88" s="34"/>
    </row>
    <row r="89" spans="2:37" ht="30.2" customHeight="1">
      <c r="B89" s="820"/>
      <c r="C89" s="792"/>
      <c r="D89" s="887"/>
      <c r="E89" s="828"/>
      <c r="F89" s="66" t="s">
        <v>238</v>
      </c>
      <c r="G89" s="121">
        <v>2</v>
      </c>
      <c r="H89" s="117" t="s">
        <v>252</v>
      </c>
      <c r="I89" s="122">
        <v>200000</v>
      </c>
      <c r="J89" s="119">
        <f t="shared" si="29"/>
        <v>400000</v>
      </c>
      <c r="K89" s="215">
        <v>2</v>
      </c>
      <c r="L89" s="133" t="s">
        <v>232</v>
      </c>
      <c r="M89" s="149">
        <v>200000</v>
      </c>
      <c r="N89" s="267">
        <f t="shared" si="33"/>
        <v>400000</v>
      </c>
      <c r="O89" s="252">
        <f t="shared" si="34"/>
        <v>0</v>
      </c>
      <c r="P89" s="215">
        <v>2</v>
      </c>
      <c r="Q89" s="133" t="s">
        <v>232</v>
      </c>
      <c r="R89" s="149">
        <v>200000</v>
      </c>
      <c r="S89" s="267">
        <f t="shared" si="35"/>
        <v>400000</v>
      </c>
      <c r="T89" s="251">
        <f t="shared" ref="T89:T108" si="39">S89-N89</f>
        <v>0</v>
      </c>
      <c r="U89" s="215">
        <v>2</v>
      </c>
      <c r="V89" s="133" t="s">
        <v>232</v>
      </c>
      <c r="W89" s="149">
        <v>200000</v>
      </c>
      <c r="X89" s="267">
        <f t="shared" si="36"/>
        <v>400000</v>
      </c>
      <c r="Y89" s="251">
        <f t="shared" si="30"/>
        <v>0</v>
      </c>
      <c r="Z89" s="215">
        <v>2</v>
      </c>
      <c r="AA89" s="133" t="s">
        <v>232</v>
      </c>
      <c r="AB89" s="149">
        <v>200000</v>
      </c>
      <c r="AC89" s="267">
        <f t="shared" si="37"/>
        <v>400000</v>
      </c>
      <c r="AD89" s="251">
        <f t="shared" si="31"/>
        <v>0</v>
      </c>
      <c r="AE89" s="215">
        <v>2</v>
      </c>
      <c r="AF89" s="133" t="s">
        <v>232</v>
      </c>
      <c r="AG89" s="149">
        <v>200000</v>
      </c>
      <c r="AH89" s="267">
        <f t="shared" si="38"/>
        <v>400000</v>
      </c>
      <c r="AI89" s="251">
        <f t="shared" si="32"/>
        <v>0</v>
      </c>
      <c r="AJ89" s="93"/>
      <c r="AK89" s="31"/>
    </row>
    <row r="90" spans="2:37" ht="30.2" customHeight="1">
      <c r="B90" s="820"/>
      <c r="C90" s="792"/>
      <c r="D90" s="887"/>
      <c r="E90" s="828"/>
      <c r="F90" s="64" t="s">
        <v>298</v>
      </c>
      <c r="G90" s="132">
        <v>1</v>
      </c>
      <c r="H90" s="117" t="s">
        <v>35</v>
      </c>
      <c r="I90" s="118">
        <v>500000</v>
      </c>
      <c r="J90" s="119">
        <f t="shared" si="29"/>
        <v>500000</v>
      </c>
      <c r="K90" s="220">
        <v>1</v>
      </c>
      <c r="L90" s="133" t="s">
        <v>35</v>
      </c>
      <c r="M90" s="150">
        <v>500000</v>
      </c>
      <c r="N90" s="267">
        <f t="shared" si="33"/>
        <v>500000</v>
      </c>
      <c r="O90" s="252">
        <f t="shared" si="34"/>
        <v>0</v>
      </c>
      <c r="P90" s="220">
        <v>1</v>
      </c>
      <c r="Q90" s="133" t="s">
        <v>35</v>
      </c>
      <c r="R90" s="150">
        <v>500000</v>
      </c>
      <c r="S90" s="267">
        <f t="shared" si="35"/>
        <v>500000</v>
      </c>
      <c r="T90" s="251">
        <f t="shared" si="39"/>
        <v>0</v>
      </c>
      <c r="U90" s="220">
        <v>1</v>
      </c>
      <c r="V90" s="133" t="s">
        <v>35</v>
      </c>
      <c r="W90" s="150">
        <v>500000</v>
      </c>
      <c r="X90" s="267">
        <f t="shared" si="36"/>
        <v>500000</v>
      </c>
      <c r="Y90" s="251">
        <f t="shared" si="30"/>
        <v>0</v>
      </c>
      <c r="Z90" s="220">
        <v>1</v>
      </c>
      <c r="AA90" s="133" t="s">
        <v>35</v>
      </c>
      <c r="AB90" s="150">
        <v>500000</v>
      </c>
      <c r="AC90" s="267">
        <f t="shared" si="37"/>
        <v>500000</v>
      </c>
      <c r="AD90" s="251">
        <f t="shared" si="31"/>
        <v>0</v>
      </c>
      <c r="AE90" s="220">
        <v>1</v>
      </c>
      <c r="AF90" s="133" t="s">
        <v>35</v>
      </c>
      <c r="AG90" s="150">
        <v>500000</v>
      </c>
      <c r="AH90" s="267">
        <f t="shared" si="38"/>
        <v>500000</v>
      </c>
      <c r="AI90" s="251">
        <f t="shared" si="32"/>
        <v>0</v>
      </c>
      <c r="AJ90" s="93"/>
      <c r="AK90" s="31"/>
    </row>
    <row r="91" spans="2:37" ht="30.2" customHeight="1">
      <c r="B91" s="820"/>
      <c r="C91" s="792"/>
      <c r="D91" s="887"/>
      <c r="E91" s="748"/>
      <c r="F91" s="66" t="s">
        <v>248</v>
      </c>
      <c r="G91" s="121">
        <v>1</v>
      </c>
      <c r="H91" s="123" t="s">
        <v>249</v>
      </c>
      <c r="I91" s="122">
        <v>1000000</v>
      </c>
      <c r="J91" s="119">
        <f t="shared" si="29"/>
        <v>1000000</v>
      </c>
      <c r="K91" s="215">
        <v>1</v>
      </c>
      <c r="L91" s="69" t="s">
        <v>249</v>
      </c>
      <c r="M91" s="149">
        <v>1000000</v>
      </c>
      <c r="N91" s="267">
        <f t="shared" si="33"/>
        <v>1000000</v>
      </c>
      <c r="O91" s="252">
        <f t="shared" si="34"/>
        <v>0</v>
      </c>
      <c r="P91" s="215">
        <v>1</v>
      </c>
      <c r="Q91" s="69" t="s">
        <v>249</v>
      </c>
      <c r="R91" s="149">
        <v>1000000</v>
      </c>
      <c r="S91" s="267">
        <f t="shared" si="35"/>
        <v>1000000</v>
      </c>
      <c r="T91" s="251">
        <f t="shared" si="39"/>
        <v>0</v>
      </c>
      <c r="U91" s="215">
        <v>1</v>
      </c>
      <c r="V91" s="69" t="s">
        <v>249</v>
      </c>
      <c r="W91" s="149">
        <v>1000000</v>
      </c>
      <c r="X91" s="267">
        <f t="shared" si="36"/>
        <v>1000000</v>
      </c>
      <c r="Y91" s="251">
        <f t="shared" si="30"/>
        <v>0</v>
      </c>
      <c r="Z91" s="215">
        <v>1</v>
      </c>
      <c r="AA91" s="69" t="s">
        <v>249</v>
      </c>
      <c r="AB91" s="149">
        <v>1000000</v>
      </c>
      <c r="AC91" s="267">
        <f t="shared" si="37"/>
        <v>1000000</v>
      </c>
      <c r="AD91" s="251">
        <f t="shared" si="31"/>
        <v>0</v>
      </c>
      <c r="AE91" s="215">
        <v>1</v>
      </c>
      <c r="AF91" s="69" t="s">
        <v>249</v>
      </c>
      <c r="AG91" s="149">
        <v>1000000</v>
      </c>
      <c r="AH91" s="267">
        <f t="shared" si="38"/>
        <v>1000000</v>
      </c>
      <c r="AI91" s="251">
        <f t="shared" si="32"/>
        <v>0</v>
      </c>
      <c r="AJ91" s="93"/>
      <c r="AK91" s="31"/>
    </row>
    <row r="92" spans="2:37" ht="30.2" customHeight="1">
      <c r="B92" s="820"/>
      <c r="C92" s="792"/>
      <c r="D92" s="887"/>
      <c r="E92" s="747" t="s">
        <v>250</v>
      </c>
      <c r="F92" s="66" t="s">
        <v>256</v>
      </c>
      <c r="G92" s="124">
        <v>16</v>
      </c>
      <c r="H92" s="127" t="s">
        <v>252</v>
      </c>
      <c r="I92" s="122">
        <v>80000</v>
      </c>
      <c r="J92" s="119">
        <f t="shared" si="29"/>
        <v>1280000</v>
      </c>
      <c r="K92" s="216">
        <v>16</v>
      </c>
      <c r="L92" s="134" t="s">
        <v>232</v>
      </c>
      <c r="M92" s="149">
        <v>80000</v>
      </c>
      <c r="N92" s="267">
        <f t="shared" si="33"/>
        <v>1280000</v>
      </c>
      <c r="O92" s="252">
        <f t="shared" si="34"/>
        <v>0</v>
      </c>
      <c r="P92" s="216">
        <v>16</v>
      </c>
      <c r="Q92" s="134" t="s">
        <v>232</v>
      </c>
      <c r="R92" s="149">
        <v>80000</v>
      </c>
      <c r="S92" s="267">
        <f t="shared" si="35"/>
        <v>1280000</v>
      </c>
      <c r="T92" s="251">
        <f t="shared" si="39"/>
        <v>0</v>
      </c>
      <c r="U92" s="216">
        <v>16</v>
      </c>
      <c r="V92" s="134" t="s">
        <v>232</v>
      </c>
      <c r="W92" s="149">
        <v>80000</v>
      </c>
      <c r="X92" s="267">
        <f t="shared" si="36"/>
        <v>1280000</v>
      </c>
      <c r="Y92" s="251">
        <f t="shared" si="30"/>
        <v>0</v>
      </c>
      <c r="Z92" s="216">
        <v>16</v>
      </c>
      <c r="AA92" s="134" t="s">
        <v>232</v>
      </c>
      <c r="AB92" s="149">
        <v>80000</v>
      </c>
      <c r="AC92" s="267">
        <f t="shared" si="37"/>
        <v>1280000</v>
      </c>
      <c r="AD92" s="251">
        <f t="shared" si="31"/>
        <v>0</v>
      </c>
      <c r="AE92" s="216">
        <v>16</v>
      </c>
      <c r="AF92" s="134" t="s">
        <v>232</v>
      </c>
      <c r="AG92" s="149">
        <v>80000</v>
      </c>
      <c r="AH92" s="267">
        <f t="shared" si="38"/>
        <v>1280000</v>
      </c>
      <c r="AI92" s="251">
        <f t="shared" si="32"/>
        <v>0</v>
      </c>
      <c r="AJ92" s="93"/>
      <c r="AK92" s="32"/>
    </row>
    <row r="93" spans="2:37" ht="30.2" customHeight="1">
      <c r="B93" s="820"/>
      <c r="C93" s="792"/>
      <c r="D93" s="887"/>
      <c r="E93" s="828"/>
      <c r="F93" s="66" t="s">
        <v>257</v>
      </c>
      <c r="G93" s="124">
        <v>16</v>
      </c>
      <c r="H93" s="125" t="s">
        <v>252</v>
      </c>
      <c r="I93" s="122">
        <v>60000</v>
      </c>
      <c r="J93" s="119">
        <f t="shared" si="29"/>
        <v>960000</v>
      </c>
      <c r="K93" s="216">
        <v>16</v>
      </c>
      <c r="L93" s="135" t="s">
        <v>232</v>
      </c>
      <c r="M93" s="149">
        <v>60000</v>
      </c>
      <c r="N93" s="267">
        <f t="shared" si="33"/>
        <v>960000</v>
      </c>
      <c r="O93" s="252">
        <f t="shared" si="34"/>
        <v>0</v>
      </c>
      <c r="P93" s="216">
        <v>16</v>
      </c>
      <c r="Q93" s="135" t="s">
        <v>232</v>
      </c>
      <c r="R93" s="149">
        <v>60000</v>
      </c>
      <c r="S93" s="267">
        <f t="shared" si="35"/>
        <v>960000</v>
      </c>
      <c r="T93" s="251">
        <f t="shared" si="39"/>
        <v>0</v>
      </c>
      <c r="U93" s="216">
        <v>16</v>
      </c>
      <c r="V93" s="135" t="s">
        <v>232</v>
      </c>
      <c r="W93" s="149">
        <v>60000</v>
      </c>
      <c r="X93" s="267">
        <f t="shared" si="36"/>
        <v>960000</v>
      </c>
      <c r="Y93" s="251">
        <f t="shared" si="30"/>
        <v>0</v>
      </c>
      <c r="Z93" s="216">
        <v>16</v>
      </c>
      <c r="AA93" s="135" t="s">
        <v>232</v>
      </c>
      <c r="AB93" s="149">
        <v>60000</v>
      </c>
      <c r="AC93" s="267">
        <f t="shared" si="37"/>
        <v>960000</v>
      </c>
      <c r="AD93" s="251">
        <f t="shared" si="31"/>
        <v>0</v>
      </c>
      <c r="AE93" s="216">
        <v>16</v>
      </c>
      <c r="AF93" s="135" t="s">
        <v>232</v>
      </c>
      <c r="AG93" s="149">
        <v>60000</v>
      </c>
      <c r="AH93" s="267">
        <f t="shared" si="38"/>
        <v>960000</v>
      </c>
      <c r="AI93" s="251">
        <f t="shared" si="32"/>
        <v>0</v>
      </c>
      <c r="AJ93" s="93"/>
      <c r="AK93" s="31"/>
    </row>
    <row r="94" spans="2:37" ht="30.2" customHeight="1">
      <c r="B94" s="820"/>
      <c r="C94" s="792"/>
      <c r="D94" s="887"/>
      <c r="E94" s="828"/>
      <c r="F94" s="66" t="s">
        <v>299</v>
      </c>
      <c r="G94" s="124">
        <v>8</v>
      </c>
      <c r="H94" s="125" t="s">
        <v>35</v>
      </c>
      <c r="I94" s="122">
        <v>80000</v>
      </c>
      <c r="J94" s="119">
        <f t="shared" si="29"/>
        <v>640000</v>
      </c>
      <c r="K94" s="216">
        <v>8</v>
      </c>
      <c r="L94" s="135" t="s">
        <v>35</v>
      </c>
      <c r="M94" s="149">
        <v>80000</v>
      </c>
      <c r="N94" s="267">
        <f t="shared" si="33"/>
        <v>640000</v>
      </c>
      <c r="O94" s="252">
        <f t="shared" si="34"/>
        <v>0</v>
      </c>
      <c r="P94" s="216">
        <v>8</v>
      </c>
      <c r="Q94" s="135" t="s">
        <v>35</v>
      </c>
      <c r="R94" s="149">
        <v>80000</v>
      </c>
      <c r="S94" s="267">
        <f t="shared" si="35"/>
        <v>640000</v>
      </c>
      <c r="T94" s="251">
        <f t="shared" si="39"/>
        <v>0</v>
      </c>
      <c r="U94" s="216">
        <v>8</v>
      </c>
      <c r="V94" s="135" t="s">
        <v>35</v>
      </c>
      <c r="W94" s="149">
        <v>80000</v>
      </c>
      <c r="X94" s="267">
        <f t="shared" si="36"/>
        <v>640000</v>
      </c>
      <c r="Y94" s="251">
        <f t="shared" si="30"/>
        <v>0</v>
      </c>
      <c r="Z94" s="216">
        <v>8</v>
      </c>
      <c r="AA94" s="135" t="s">
        <v>35</v>
      </c>
      <c r="AB94" s="149">
        <v>80000</v>
      </c>
      <c r="AC94" s="267">
        <f t="shared" si="37"/>
        <v>640000</v>
      </c>
      <c r="AD94" s="251">
        <f t="shared" si="31"/>
        <v>0</v>
      </c>
      <c r="AE94" s="216">
        <v>8</v>
      </c>
      <c r="AF94" s="135" t="s">
        <v>35</v>
      </c>
      <c r="AG94" s="149">
        <v>80000</v>
      </c>
      <c r="AH94" s="267">
        <f t="shared" si="38"/>
        <v>640000</v>
      </c>
      <c r="AI94" s="251">
        <f t="shared" si="32"/>
        <v>0</v>
      </c>
      <c r="AJ94" s="95"/>
      <c r="AK94" s="34"/>
    </row>
    <row r="95" spans="2:37" ht="30.2" customHeight="1">
      <c r="B95" s="820"/>
      <c r="C95" s="792"/>
      <c r="D95" s="887"/>
      <c r="E95" s="828"/>
      <c r="F95" s="66" t="s">
        <v>260</v>
      </c>
      <c r="G95" s="124">
        <v>8</v>
      </c>
      <c r="H95" s="125" t="s">
        <v>252</v>
      </c>
      <c r="I95" s="122">
        <v>100000</v>
      </c>
      <c r="J95" s="119">
        <f t="shared" si="29"/>
        <v>800000</v>
      </c>
      <c r="K95" s="216">
        <v>8</v>
      </c>
      <c r="L95" s="135" t="s">
        <v>232</v>
      </c>
      <c r="M95" s="149">
        <v>100000</v>
      </c>
      <c r="N95" s="267">
        <f t="shared" si="33"/>
        <v>800000</v>
      </c>
      <c r="O95" s="252">
        <f t="shared" si="34"/>
        <v>0</v>
      </c>
      <c r="P95" s="216">
        <v>8</v>
      </c>
      <c r="Q95" s="135" t="s">
        <v>232</v>
      </c>
      <c r="R95" s="149">
        <v>100000</v>
      </c>
      <c r="S95" s="267">
        <f t="shared" si="35"/>
        <v>800000</v>
      </c>
      <c r="T95" s="251">
        <f t="shared" si="39"/>
        <v>0</v>
      </c>
      <c r="U95" s="216">
        <v>8</v>
      </c>
      <c r="V95" s="135" t="s">
        <v>232</v>
      </c>
      <c r="W95" s="149">
        <v>100000</v>
      </c>
      <c r="X95" s="267">
        <f t="shared" si="36"/>
        <v>800000</v>
      </c>
      <c r="Y95" s="251">
        <f t="shared" si="30"/>
        <v>0</v>
      </c>
      <c r="Z95" s="216">
        <v>8</v>
      </c>
      <c r="AA95" s="135" t="s">
        <v>232</v>
      </c>
      <c r="AB95" s="149">
        <v>100000</v>
      </c>
      <c r="AC95" s="267">
        <f t="shared" si="37"/>
        <v>800000</v>
      </c>
      <c r="AD95" s="251">
        <f t="shared" si="31"/>
        <v>0</v>
      </c>
      <c r="AE95" s="216">
        <v>8</v>
      </c>
      <c r="AF95" s="135" t="s">
        <v>232</v>
      </c>
      <c r="AG95" s="149">
        <v>100000</v>
      </c>
      <c r="AH95" s="267">
        <f t="shared" si="38"/>
        <v>800000</v>
      </c>
      <c r="AI95" s="251">
        <f t="shared" si="32"/>
        <v>0</v>
      </c>
      <c r="AJ95" s="93"/>
      <c r="AK95" s="31"/>
    </row>
    <row r="96" spans="2:37" ht="30.2" customHeight="1">
      <c r="B96" s="820"/>
      <c r="C96" s="792"/>
      <c r="D96" s="887"/>
      <c r="E96" s="748"/>
      <c r="F96" s="66" t="s">
        <v>266</v>
      </c>
      <c r="G96" s="124">
        <v>1</v>
      </c>
      <c r="H96" s="125" t="s">
        <v>252</v>
      </c>
      <c r="I96" s="122">
        <v>300000</v>
      </c>
      <c r="J96" s="119">
        <f t="shared" si="29"/>
        <v>300000</v>
      </c>
      <c r="K96" s="216">
        <v>1</v>
      </c>
      <c r="L96" s="135" t="s">
        <v>232</v>
      </c>
      <c r="M96" s="149">
        <v>300000</v>
      </c>
      <c r="N96" s="267">
        <f t="shared" si="33"/>
        <v>300000</v>
      </c>
      <c r="O96" s="252">
        <f t="shared" si="34"/>
        <v>0</v>
      </c>
      <c r="P96" s="216">
        <v>1</v>
      </c>
      <c r="Q96" s="135" t="s">
        <v>232</v>
      </c>
      <c r="R96" s="149">
        <v>300000</v>
      </c>
      <c r="S96" s="267">
        <f t="shared" si="35"/>
        <v>300000</v>
      </c>
      <c r="T96" s="251">
        <f t="shared" si="39"/>
        <v>0</v>
      </c>
      <c r="U96" s="216">
        <v>1</v>
      </c>
      <c r="V96" s="135" t="s">
        <v>232</v>
      </c>
      <c r="W96" s="149">
        <v>300000</v>
      </c>
      <c r="X96" s="267">
        <f t="shared" si="36"/>
        <v>300000</v>
      </c>
      <c r="Y96" s="251">
        <f t="shared" si="30"/>
        <v>0</v>
      </c>
      <c r="Z96" s="216">
        <v>1</v>
      </c>
      <c r="AA96" s="135" t="s">
        <v>232</v>
      </c>
      <c r="AB96" s="149">
        <v>300000</v>
      </c>
      <c r="AC96" s="267">
        <f t="shared" si="37"/>
        <v>300000</v>
      </c>
      <c r="AD96" s="251">
        <f t="shared" si="31"/>
        <v>0</v>
      </c>
      <c r="AE96" s="216">
        <v>1</v>
      </c>
      <c r="AF96" s="135" t="s">
        <v>232</v>
      </c>
      <c r="AG96" s="149">
        <v>300000</v>
      </c>
      <c r="AH96" s="267">
        <f t="shared" si="38"/>
        <v>300000</v>
      </c>
      <c r="AI96" s="251">
        <f t="shared" si="32"/>
        <v>0</v>
      </c>
      <c r="AJ96" s="93"/>
      <c r="AK96" s="31"/>
    </row>
    <row r="97" spans="2:37" ht="30.2" customHeight="1">
      <c r="B97" s="820"/>
      <c r="C97" s="792"/>
      <c r="D97" s="887"/>
      <c r="E97" s="747" t="s">
        <v>224</v>
      </c>
      <c r="F97" s="64" t="s">
        <v>300</v>
      </c>
      <c r="G97" s="132">
        <v>1</v>
      </c>
      <c r="H97" s="117" t="s">
        <v>147</v>
      </c>
      <c r="I97" s="118">
        <v>2000000</v>
      </c>
      <c r="J97" s="119">
        <f t="shared" si="29"/>
        <v>2000000</v>
      </c>
      <c r="K97" s="220">
        <v>1</v>
      </c>
      <c r="L97" s="133" t="s">
        <v>147</v>
      </c>
      <c r="M97" s="150">
        <v>2000000</v>
      </c>
      <c r="N97" s="267">
        <f t="shared" si="33"/>
        <v>2000000</v>
      </c>
      <c r="O97" s="252">
        <f t="shared" si="34"/>
        <v>0</v>
      </c>
      <c r="P97" s="220">
        <v>1</v>
      </c>
      <c r="Q97" s="133" t="s">
        <v>147</v>
      </c>
      <c r="R97" s="150">
        <v>2000000</v>
      </c>
      <c r="S97" s="267">
        <f t="shared" si="35"/>
        <v>2000000</v>
      </c>
      <c r="T97" s="251">
        <f t="shared" si="39"/>
        <v>0</v>
      </c>
      <c r="U97" s="220">
        <v>1</v>
      </c>
      <c r="V97" s="133" t="s">
        <v>147</v>
      </c>
      <c r="W97" s="150">
        <v>2000000</v>
      </c>
      <c r="X97" s="267">
        <f t="shared" si="36"/>
        <v>2000000</v>
      </c>
      <c r="Y97" s="251">
        <f t="shared" si="30"/>
        <v>0</v>
      </c>
      <c r="Z97" s="220">
        <v>1</v>
      </c>
      <c r="AA97" s="133" t="s">
        <v>147</v>
      </c>
      <c r="AB97" s="150">
        <v>2000000</v>
      </c>
      <c r="AC97" s="267">
        <f t="shared" si="37"/>
        <v>2000000</v>
      </c>
      <c r="AD97" s="251">
        <f t="shared" si="31"/>
        <v>0</v>
      </c>
      <c r="AE97" s="220">
        <v>1</v>
      </c>
      <c r="AF97" s="133" t="s">
        <v>147</v>
      </c>
      <c r="AG97" s="150">
        <v>2000000</v>
      </c>
      <c r="AH97" s="267">
        <f t="shared" si="38"/>
        <v>2000000</v>
      </c>
      <c r="AI97" s="251">
        <f t="shared" si="32"/>
        <v>0</v>
      </c>
      <c r="AJ97" s="93"/>
      <c r="AK97" s="31"/>
    </row>
    <row r="98" spans="2:37" ht="30.2" customHeight="1">
      <c r="B98" s="820"/>
      <c r="C98" s="792"/>
      <c r="D98" s="887"/>
      <c r="E98" s="748"/>
      <c r="F98" s="64" t="s">
        <v>223</v>
      </c>
      <c r="G98" s="120">
        <v>1</v>
      </c>
      <c r="H98" s="117" t="s">
        <v>147</v>
      </c>
      <c r="I98" s="118">
        <v>500000</v>
      </c>
      <c r="J98" s="119">
        <f>G98*I98</f>
        <v>500000</v>
      </c>
      <c r="K98" s="221">
        <v>1</v>
      </c>
      <c r="L98" s="133" t="s">
        <v>147</v>
      </c>
      <c r="M98" s="150">
        <v>500000</v>
      </c>
      <c r="N98" s="267">
        <f t="shared" si="33"/>
        <v>500000</v>
      </c>
      <c r="O98" s="252">
        <f t="shared" si="34"/>
        <v>0</v>
      </c>
      <c r="P98" s="221">
        <v>1</v>
      </c>
      <c r="Q98" s="133" t="s">
        <v>147</v>
      </c>
      <c r="R98" s="150">
        <v>500000</v>
      </c>
      <c r="S98" s="267">
        <f t="shared" si="35"/>
        <v>500000</v>
      </c>
      <c r="T98" s="251">
        <f t="shared" si="39"/>
        <v>0</v>
      </c>
      <c r="U98" s="221">
        <v>1</v>
      </c>
      <c r="V98" s="133" t="s">
        <v>147</v>
      </c>
      <c r="W98" s="150">
        <v>500000</v>
      </c>
      <c r="X98" s="267">
        <f t="shared" si="36"/>
        <v>500000</v>
      </c>
      <c r="Y98" s="251">
        <f t="shared" si="30"/>
        <v>0</v>
      </c>
      <c r="Z98" s="221">
        <v>1</v>
      </c>
      <c r="AA98" s="133" t="s">
        <v>147</v>
      </c>
      <c r="AB98" s="150">
        <v>500000</v>
      </c>
      <c r="AC98" s="267">
        <f t="shared" si="37"/>
        <v>500000</v>
      </c>
      <c r="AD98" s="251">
        <f t="shared" si="31"/>
        <v>0</v>
      </c>
      <c r="AE98" s="221">
        <v>1</v>
      </c>
      <c r="AF98" s="133" t="s">
        <v>147</v>
      </c>
      <c r="AG98" s="150">
        <v>500000</v>
      </c>
      <c r="AH98" s="267">
        <f t="shared" si="38"/>
        <v>500000</v>
      </c>
      <c r="AI98" s="251">
        <f t="shared" si="32"/>
        <v>0</v>
      </c>
      <c r="AJ98" s="93"/>
      <c r="AK98" s="32"/>
    </row>
    <row r="99" spans="2:37" ht="30.2" customHeight="1">
      <c r="B99" s="820"/>
      <c r="C99" s="792"/>
      <c r="D99" s="887"/>
      <c r="E99" s="747" t="s">
        <v>269</v>
      </c>
      <c r="F99" s="66" t="s">
        <v>270</v>
      </c>
      <c r="G99" s="120">
        <v>56</v>
      </c>
      <c r="H99" s="117" t="s">
        <v>35</v>
      </c>
      <c r="I99" s="122">
        <v>45000</v>
      </c>
      <c r="J99" s="119">
        <f t="shared" ref="J99:J108" si="40">G99*I99</f>
        <v>2520000</v>
      </c>
      <c r="K99" s="221">
        <v>56</v>
      </c>
      <c r="L99" s="133" t="s">
        <v>35</v>
      </c>
      <c r="M99" s="149">
        <v>45000</v>
      </c>
      <c r="N99" s="267">
        <f t="shared" si="33"/>
        <v>2520000</v>
      </c>
      <c r="O99" s="252">
        <f t="shared" si="34"/>
        <v>0</v>
      </c>
      <c r="P99" s="221">
        <v>56</v>
      </c>
      <c r="Q99" s="133" t="s">
        <v>35</v>
      </c>
      <c r="R99" s="149">
        <v>45000</v>
      </c>
      <c r="S99" s="267">
        <f t="shared" si="35"/>
        <v>2520000</v>
      </c>
      <c r="T99" s="251">
        <f t="shared" si="39"/>
        <v>0</v>
      </c>
      <c r="U99" s="221">
        <v>56</v>
      </c>
      <c r="V99" s="133" t="s">
        <v>35</v>
      </c>
      <c r="W99" s="149">
        <v>45000</v>
      </c>
      <c r="X99" s="267">
        <f t="shared" si="36"/>
        <v>2520000</v>
      </c>
      <c r="Y99" s="251">
        <f t="shared" si="30"/>
        <v>0</v>
      </c>
      <c r="Z99" s="221">
        <v>56</v>
      </c>
      <c r="AA99" s="133" t="s">
        <v>35</v>
      </c>
      <c r="AB99" s="149">
        <v>45000</v>
      </c>
      <c r="AC99" s="267">
        <f t="shared" si="37"/>
        <v>2520000</v>
      </c>
      <c r="AD99" s="251">
        <f t="shared" si="31"/>
        <v>0</v>
      </c>
      <c r="AE99" s="221">
        <v>56</v>
      </c>
      <c r="AF99" s="133" t="s">
        <v>35</v>
      </c>
      <c r="AG99" s="149">
        <v>45000</v>
      </c>
      <c r="AH99" s="267">
        <f t="shared" si="38"/>
        <v>2520000</v>
      </c>
      <c r="AI99" s="251">
        <f t="shared" si="32"/>
        <v>0</v>
      </c>
      <c r="AJ99" s="95"/>
      <c r="AK99" s="34"/>
    </row>
    <row r="100" spans="2:37" s="1" customFormat="1" ht="30.2" customHeight="1">
      <c r="B100" s="820"/>
      <c r="C100" s="792"/>
      <c r="D100" s="887"/>
      <c r="E100" s="828"/>
      <c r="F100" s="66" t="s">
        <v>301</v>
      </c>
      <c r="G100" s="120">
        <v>1</v>
      </c>
      <c r="H100" s="117" t="s">
        <v>35</v>
      </c>
      <c r="I100" s="122">
        <v>800000</v>
      </c>
      <c r="J100" s="119">
        <f t="shared" si="40"/>
        <v>800000</v>
      </c>
      <c r="K100" s="221">
        <v>1</v>
      </c>
      <c r="L100" s="133" t="s">
        <v>35</v>
      </c>
      <c r="M100" s="149">
        <v>800000</v>
      </c>
      <c r="N100" s="267">
        <f t="shared" si="33"/>
        <v>800000</v>
      </c>
      <c r="O100" s="252">
        <f t="shared" si="34"/>
        <v>0</v>
      </c>
      <c r="P100" s="221">
        <v>1</v>
      </c>
      <c r="Q100" s="133" t="s">
        <v>35</v>
      </c>
      <c r="R100" s="149">
        <v>800000</v>
      </c>
      <c r="S100" s="267">
        <f t="shared" si="35"/>
        <v>800000</v>
      </c>
      <c r="T100" s="251">
        <f t="shared" si="39"/>
        <v>0</v>
      </c>
      <c r="U100" s="221">
        <v>1</v>
      </c>
      <c r="V100" s="133" t="s">
        <v>35</v>
      </c>
      <c r="W100" s="149">
        <v>800000</v>
      </c>
      <c r="X100" s="267">
        <f t="shared" si="36"/>
        <v>800000</v>
      </c>
      <c r="Y100" s="251">
        <f t="shared" si="30"/>
        <v>0</v>
      </c>
      <c r="Z100" s="221">
        <v>1</v>
      </c>
      <c r="AA100" s="133" t="s">
        <v>35</v>
      </c>
      <c r="AB100" s="149">
        <v>800000</v>
      </c>
      <c r="AC100" s="267">
        <f t="shared" si="37"/>
        <v>800000</v>
      </c>
      <c r="AD100" s="251">
        <f t="shared" si="31"/>
        <v>0</v>
      </c>
      <c r="AE100" s="221">
        <v>1</v>
      </c>
      <c r="AF100" s="133" t="s">
        <v>35</v>
      </c>
      <c r="AG100" s="149">
        <v>800000</v>
      </c>
      <c r="AH100" s="267">
        <f t="shared" si="38"/>
        <v>800000</v>
      </c>
      <c r="AI100" s="251">
        <f t="shared" si="32"/>
        <v>0</v>
      </c>
      <c r="AJ100" s="93"/>
      <c r="AK100" s="31"/>
    </row>
    <row r="101" spans="2:37" s="1" customFormat="1" ht="30.2" customHeight="1">
      <c r="B101" s="820"/>
      <c r="C101" s="792"/>
      <c r="D101" s="887"/>
      <c r="E101" s="828"/>
      <c r="F101" s="66" t="s">
        <v>272</v>
      </c>
      <c r="G101" s="120">
        <v>1</v>
      </c>
      <c r="H101" s="117" t="s">
        <v>35</v>
      </c>
      <c r="I101" s="122">
        <v>300000</v>
      </c>
      <c r="J101" s="119">
        <f t="shared" si="40"/>
        <v>300000</v>
      </c>
      <c r="K101" s="221">
        <v>1</v>
      </c>
      <c r="L101" s="133" t="s">
        <v>35</v>
      </c>
      <c r="M101" s="149">
        <v>300000</v>
      </c>
      <c r="N101" s="267">
        <f t="shared" si="33"/>
        <v>300000</v>
      </c>
      <c r="O101" s="252">
        <f t="shared" si="34"/>
        <v>0</v>
      </c>
      <c r="P101" s="221">
        <v>1</v>
      </c>
      <c r="Q101" s="133" t="s">
        <v>35</v>
      </c>
      <c r="R101" s="149">
        <v>300000</v>
      </c>
      <c r="S101" s="267">
        <f t="shared" si="35"/>
        <v>300000</v>
      </c>
      <c r="T101" s="251">
        <f t="shared" si="39"/>
        <v>0</v>
      </c>
      <c r="U101" s="221">
        <v>1</v>
      </c>
      <c r="V101" s="133" t="s">
        <v>35</v>
      </c>
      <c r="W101" s="149">
        <v>300000</v>
      </c>
      <c r="X101" s="267">
        <f t="shared" si="36"/>
        <v>300000</v>
      </c>
      <c r="Y101" s="251">
        <f t="shared" si="30"/>
        <v>0</v>
      </c>
      <c r="Z101" s="221">
        <v>1</v>
      </c>
      <c r="AA101" s="133" t="s">
        <v>35</v>
      </c>
      <c r="AB101" s="149">
        <v>300000</v>
      </c>
      <c r="AC101" s="267">
        <f t="shared" si="37"/>
        <v>300000</v>
      </c>
      <c r="AD101" s="251">
        <f t="shared" si="31"/>
        <v>0</v>
      </c>
      <c r="AE101" s="221">
        <v>1</v>
      </c>
      <c r="AF101" s="133" t="s">
        <v>35</v>
      </c>
      <c r="AG101" s="149">
        <v>300000</v>
      </c>
      <c r="AH101" s="267">
        <f t="shared" si="38"/>
        <v>300000</v>
      </c>
      <c r="AI101" s="251">
        <f t="shared" si="32"/>
        <v>0</v>
      </c>
      <c r="AJ101" s="93"/>
      <c r="AK101" s="31"/>
    </row>
    <row r="102" spans="2:37" s="1" customFormat="1" ht="30.2" customHeight="1">
      <c r="B102" s="820"/>
      <c r="C102" s="792"/>
      <c r="D102" s="887"/>
      <c r="E102" s="748"/>
      <c r="F102" s="66" t="s">
        <v>248</v>
      </c>
      <c r="G102" s="120">
        <v>1</v>
      </c>
      <c r="H102" s="117" t="s">
        <v>147</v>
      </c>
      <c r="I102" s="122">
        <v>1000000</v>
      </c>
      <c r="J102" s="119">
        <f t="shared" si="40"/>
        <v>1000000</v>
      </c>
      <c r="K102" s="221">
        <v>1</v>
      </c>
      <c r="L102" s="133" t="s">
        <v>147</v>
      </c>
      <c r="M102" s="149">
        <v>1000000</v>
      </c>
      <c r="N102" s="267">
        <f t="shared" si="33"/>
        <v>1000000</v>
      </c>
      <c r="O102" s="252">
        <f t="shared" si="34"/>
        <v>0</v>
      </c>
      <c r="P102" s="221">
        <v>1</v>
      </c>
      <c r="Q102" s="133" t="s">
        <v>147</v>
      </c>
      <c r="R102" s="149">
        <v>1000000</v>
      </c>
      <c r="S102" s="267">
        <f t="shared" si="35"/>
        <v>1000000</v>
      </c>
      <c r="T102" s="251">
        <f t="shared" si="39"/>
        <v>0</v>
      </c>
      <c r="U102" s="221">
        <v>1</v>
      </c>
      <c r="V102" s="133" t="s">
        <v>147</v>
      </c>
      <c r="W102" s="149">
        <v>1000000</v>
      </c>
      <c r="X102" s="267">
        <f t="shared" si="36"/>
        <v>1000000</v>
      </c>
      <c r="Y102" s="251">
        <f t="shared" si="30"/>
        <v>0</v>
      </c>
      <c r="Z102" s="221">
        <v>1</v>
      </c>
      <c r="AA102" s="133" t="s">
        <v>147</v>
      </c>
      <c r="AB102" s="149">
        <v>1000000</v>
      </c>
      <c r="AC102" s="267">
        <f t="shared" si="37"/>
        <v>1000000</v>
      </c>
      <c r="AD102" s="251">
        <f t="shared" si="31"/>
        <v>0</v>
      </c>
      <c r="AE102" s="221">
        <v>1</v>
      </c>
      <c r="AF102" s="133" t="s">
        <v>147</v>
      </c>
      <c r="AG102" s="149">
        <v>1000000</v>
      </c>
      <c r="AH102" s="267">
        <f t="shared" si="38"/>
        <v>1000000</v>
      </c>
      <c r="AI102" s="251">
        <f t="shared" si="32"/>
        <v>0</v>
      </c>
      <c r="AJ102" s="93"/>
      <c r="AK102" s="31"/>
    </row>
    <row r="103" spans="2:37" s="1" customFormat="1" ht="30.2" customHeight="1">
      <c r="B103" s="820"/>
      <c r="C103" s="792"/>
      <c r="D103" s="887"/>
      <c r="E103" s="29" t="s">
        <v>292</v>
      </c>
      <c r="F103" s="64" t="s">
        <v>293</v>
      </c>
      <c r="G103" s="120">
        <v>1</v>
      </c>
      <c r="H103" s="117" t="s">
        <v>240</v>
      </c>
      <c r="I103" s="118">
        <v>1000000</v>
      </c>
      <c r="J103" s="119">
        <f t="shared" si="40"/>
        <v>1000000</v>
      </c>
      <c r="K103" s="221">
        <v>1</v>
      </c>
      <c r="L103" s="133" t="s">
        <v>240</v>
      </c>
      <c r="M103" s="150">
        <v>1000000</v>
      </c>
      <c r="N103" s="267">
        <f t="shared" si="33"/>
        <v>1000000</v>
      </c>
      <c r="O103" s="252">
        <f t="shared" si="34"/>
        <v>0</v>
      </c>
      <c r="P103" s="221">
        <v>1</v>
      </c>
      <c r="Q103" s="133" t="s">
        <v>240</v>
      </c>
      <c r="R103" s="150">
        <v>1000000</v>
      </c>
      <c r="S103" s="267">
        <f t="shared" si="35"/>
        <v>1000000</v>
      </c>
      <c r="T103" s="251">
        <f t="shared" si="39"/>
        <v>0</v>
      </c>
      <c r="U103" s="221">
        <v>1</v>
      </c>
      <c r="V103" s="133" t="s">
        <v>240</v>
      </c>
      <c r="W103" s="150">
        <v>1000000</v>
      </c>
      <c r="X103" s="267">
        <f t="shared" si="36"/>
        <v>1000000</v>
      </c>
      <c r="Y103" s="251">
        <f t="shared" si="30"/>
        <v>0</v>
      </c>
      <c r="Z103" s="221">
        <v>1</v>
      </c>
      <c r="AA103" s="133" t="s">
        <v>240</v>
      </c>
      <c r="AB103" s="150">
        <v>1000000</v>
      </c>
      <c r="AC103" s="267">
        <f t="shared" si="37"/>
        <v>1000000</v>
      </c>
      <c r="AD103" s="251">
        <f t="shared" si="31"/>
        <v>0</v>
      </c>
      <c r="AE103" s="221">
        <v>1</v>
      </c>
      <c r="AF103" s="133" t="s">
        <v>240</v>
      </c>
      <c r="AG103" s="150">
        <v>1000000</v>
      </c>
      <c r="AH103" s="267">
        <f t="shared" si="38"/>
        <v>1000000</v>
      </c>
      <c r="AI103" s="251">
        <f t="shared" si="32"/>
        <v>0</v>
      </c>
      <c r="AJ103" s="93"/>
      <c r="AK103" s="32"/>
    </row>
    <row r="104" spans="2:37" s="1" customFormat="1" ht="30.2" customHeight="1">
      <c r="B104" s="820"/>
      <c r="C104" s="792"/>
      <c r="D104" s="887"/>
      <c r="E104" s="747" t="s">
        <v>278</v>
      </c>
      <c r="F104" s="72" t="s">
        <v>302</v>
      </c>
      <c r="G104" s="129">
        <v>6</v>
      </c>
      <c r="H104" s="128" t="s">
        <v>234</v>
      </c>
      <c r="I104" s="122">
        <v>120000</v>
      </c>
      <c r="J104" s="119">
        <f t="shared" si="40"/>
        <v>720000</v>
      </c>
      <c r="K104" s="218">
        <v>6</v>
      </c>
      <c r="L104" s="136" t="s">
        <v>232</v>
      </c>
      <c r="M104" s="149">
        <v>120000</v>
      </c>
      <c r="N104" s="267">
        <f t="shared" si="33"/>
        <v>720000</v>
      </c>
      <c r="O104" s="252">
        <f t="shared" si="34"/>
        <v>0</v>
      </c>
      <c r="P104" s="218">
        <v>6</v>
      </c>
      <c r="Q104" s="136" t="s">
        <v>232</v>
      </c>
      <c r="R104" s="149">
        <v>120000</v>
      </c>
      <c r="S104" s="267">
        <f t="shared" si="35"/>
        <v>720000</v>
      </c>
      <c r="T104" s="251">
        <f t="shared" si="39"/>
        <v>0</v>
      </c>
      <c r="U104" s="218">
        <v>6</v>
      </c>
      <c r="V104" s="136" t="s">
        <v>232</v>
      </c>
      <c r="W104" s="149">
        <v>120000</v>
      </c>
      <c r="X104" s="267">
        <f t="shared" si="36"/>
        <v>720000</v>
      </c>
      <c r="Y104" s="251">
        <f t="shared" si="30"/>
        <v>0</v>
      </c>
      <c r="Z104" s="218">
        <v>6</v>
      </c>
      <c r="AA104" s="136" t="s">
        <v>232</v>
      </c>
      <c r="AB104" s="149">
        <v>120000</v>
      </c>
      <c r="AC104" s="267">
        <f t="shared" si="37"/>
        <v>720000</v>
      </c>
      <c r="AD104" s="251">
        <f t="shared" si="31"/>
        <v>0</v>
      </c>
      <c r="AE104" s="218">
        <v>6</v>
      </c>
      <c r="AF104" s="136" t="s">
        <v>232</v>
      </c>
      <c r="AG104" s="149">
        <v>120000</v>
      </c>
      <c r="AH104" s="267">
        <f t="shared" si="38"/>
        <v>720000</v>
      </c>
      <c r="AI104" s="251">
        <f t="shared" si="32"/>
        <v>0</v>
      </c>
      <c r="AJ104" s="93"/>
      <c r="AK104" s="31"/>
    </row>
    <row r="105" spans="2:37" s="1" customFormat="1" ht="30.2" customHeight="1">
      <c r="B105" s="820"/>
      <c r="C105" s="792"/>
      <c r="D105" s="887"/>
      <c r="E105" s="828"/>
      <c r="F105" s="72" t="s">
        <v>303</v>
      </c>
      <c r="G105" s="129">
        <v>2</v>
      </c>
      <c r="H105" s="128" t="s">
        <v>232</v>
      </c>
      <c r="I105" s="122">
        <v>100000</v>
      </c>
      <c r="J105" s="119">
        <f t="shared" si="40"/>
        <v>200000</v>
      </c>
      <c r="K105" s="218">
        <v>2</v>
      </c>
      <c r="L105" s="136" t="s">
        <v>232</v>
      </c>
      <c r="M105" s="149">
        <v>100000</v>
      </c>
      <c r="N105" s="267">
        <f t="shared" si="33"/>
        <v>200000</v>
      </c>
      <c r="O105" s="252">
        <f t="shared" si="34"/>
        <v>0</v>
      </c>
      <c r="P105" s="218">
        <v>2</v>
      </c>
      <c r="Q105" s="136" t="s">
        <v>232</v>
      </c>
      <c r="R105" s="149">
        <v>100000</v>
      </c>
      <c r="S105" s="267">
        <f t="shared" si="35"/>
        <v>200000</v>
      </c>
      <c r="T105" s="251">
        <f t="shared" si="39"/>
        <v>0</v>
      </c>
      <c r="U105" s="218">
        <v>2</v>
      </c>
      <c r="V105" s="136" t="s">
        <v>232</v>
      </c>
      <c r="W105" s="149">
        <v>100000</v>
      </c>
      <c r="X105" s="267">
        <f t="shared" si="36"/>
        <v>200000</v>
      </c>
      <c r="Y105" s="251">
        <f t="shared" si="30"/>
        <v>0</v>
      </c>
      <c r="Z105" s="218">
        <v>2</v>
      </c>
      <c r="AA105" s="136" t="s">
        <v>232</v>
      </c>
      <c r="AB105" s="149">
        <v>100000</v>
      </c>
      <c r="AC105" s="267">
        <f t="shared" si="37"/>
        <v>200000</v>
      </c>
      <c r="AD105" s="251">
        <f t="shared" si="31"/>
        <v>0</v>
      </c>
      <c r="AE105" s="218">
        <v>2</v>
      </c>
      <c r="AF105" s="136" t="s">
        <v>232</v>
      </c>
      <c r="AG105" s="149">
        <v>100000</v>
      </c>
      <c r="AH105" s="267">
        <f t="shared" si="38"/>
        <v>200000</v>
      </c>
      <c r="AI105" s="251">
        <f t="shared" si="32"/>
        <v>0</v>
      </c>
      <c r="AJ105" s="95"/>
      <c r="AK105" s="34"/>
    </row>
    <row r="106" spans="2:37" s="1" customFormat="1" ht="30.2" customHeight="1">
      <c r="B106" s="820"/>
      <c r="C106" s="792"/>
      <c r="D106" s="887"/>
      <c r="E106" s="828"/>
      <c r="F106" s="72" t="s">
        <v>304</v>
      </c>
      <c r="G106" s="129">
        <v>1</v>
      </c>
      <c r="H106" s="128" t="s">
        <v>234</v>
      </c>
      <c r="I106" s="122">
        <v>200000</v>
      </c>
      <c r="J106" s="119">
        <f t="shared" si="40"/>
        <v>200000</v>
      </c>
      <c r="K106" s="218">
        <v>1</v>
      </c>
      <c r="L106" s="136" t="s">
        <v>232</v>
      </c>
      <c r="M106" s="149">
        <v>200000</v>
      </c>
      <c r="N106" s="267">
        <f t="shared" si="33"/>
        <v>200000</v>
      </c>
      <c r="O106" s="252">
        <f t="shared" si="34"/>
        <v>0</v>
      </c>
      <c r="P106" s="218">
        <v>1</v>
      </c>
      <c r="Q106" s="136" t="s">
        <v>232</v>
      </c>
      <c r="R106" s="149">
        <v>200000</v>
      </c>
      <c r="S106" s="267">
        <f t="shared" si="35"/>
        <v>200000</v>
      </c>
      <c r="T106" s="251">
        <f t="shared" si="39"/>
        <v>0</v>
      </c>
      <c r="U106" s="218">
        <v>1</v>
      </c>
      <c r="V106" s="136" t="s">
        <v>232</v>
      </c>
      <c r="W106" s="149">
        <v>200000</v>
      </c>
      <c r="X106" s="267">
        <f t="shared" si="36"/>
        <v>200000</v>
      </c>
      <c r="Y106" s="251">
        <f t="shared" si="30"/>
        <v>0</v>
      </c>
      <c r="Z106" s="218">
        <v>1</v>
      </c>
      <c r="AA106" s="136" t="s">
        <v>232</v>
      </c>
      <c r="AB106" s="149">
        <v>200000</v>
      </c>
      <c r="AC106" s="267">
        <f t="shared" si="37"/>
        <v>200000</v>
      </c>
      <c r="AD106" s="251">
        <f t="shared" si="31"/>
        <v>0</v>
      </c>
      <c r="AE106" s="218">
        <v>1</v>
      </c>
      <c r="AF106" s="136" t="s">
        <v>232</v>
      </c>
      <c r="AG106" s="149">
        <v>200000</v>
      </c>
      <c r="AH106" s="267">
        <f t="shared" si="38"/>
        <v>200000</v>
      </c>
      <c r="AI106" s="251">
        <f t="shared" si="32"/>
        <v>0</v>
      </c>
      <c r="AJ106" s="93"/>
      <c r="AK106" s="31"/>
    </row>
    <row r="107" spans="2:37" s="1" customFormat="1" ht="30.2" customHeight="1">
      <c r="B107" s="820"/>
      <c r="C107" s="792"/>
      <c r="D107" s="887"/>
      <c r="E107" s="748"/>
      <c r="F107" s="66" t="s">
        <v>248</v>
      </c>
      <c r="G107" s="120">
        <v>1</v>
      </c>
      <c r="H107" s="117" t="s">
        <v>147</v>
      </c>
      <c r="I107" s="122">
        <v>500000</v>
      </c>
      <c r="J107" s="119">
        <f t="shared" si="40"/>
        <v>500000</v>
      </c>
      <c r="K107" s="221">
        <v>1</v>
      </c>
      <c r="L107" s="133" t="s">
        <v>147</v>
      </c>
      <c r="M107" s="149">
        <v>500000</v>
      </c>
      <c r="N107" s="267">
        <f t="shared" si="33"/>
        <v>500000</v>
      </c>
      <c r="O107" s="252">
        <f t="shared" si="34"/>
        <v>0</v>
      </c>
      <c r="P107" s="221">
        <v>1</v>
      </c>
      <c r="Q107" s="133" t="s">
        <v>147</v>
      </c>
      <c r="R107" s="149">
        <v>500000</v>
      </c>
      <c r="S107" s="267">
        <f t="shared" si="35"/>
        <v>500000</v>
      </c>
      <c r="T107" s="251">
        <f t="shared" si="39"/>
        <v>0</v>
      </c>
      <c r="U107" s="221">
        <v>1</v>
      </c>
      <c r="V107" s="133" t="s">
        <v>147</v>
      </c>
      <c r="W107" s="149">
        <v>500000</v>
      </c>
      <c r="X107" s="267">
        <f t="shared" si="36"/>
        <v>500000</v>
      </c>
      <c r="Y107" s="251">
        <f t="shared" si="30"/>
        <v>0</v>
      </c>
      <c r="Z107" s="221">
        <v>1</v>
      </c>
      <c r="AA107" s="133" t="s">
        <v>147</v>
      </c>
      <c r="AB107" s="149">
        <v>500000</v>
      </c>
      <c r="AC107" s="267">
        <f t="shared" si="37"/>
        <v>500000</v>
      </c>
      <c r="AD107" s="251">
        <f t="shared" si="31"/>
        <v>0</v>
      </c>
      <c r="AE107" s="221">
        <v>1</v>
      </c>
      <c r="AF107" s="133" t="s">
        <v>147</v>
      </c>
      <c r="AG107" s="149">
        <v>500000</v>
      </c>
      <c r="AH107" s="267">
        <f t="shared" si="38"/>
        <v>500000</v>
      </c>
      <c r="AI107" s="251">
        <f t="shared" si="32"/>
        <v>0</v>
      </c>
      <c r="AJ107" s="93"/>
      <c r="AK107" s="31"/>
    </row>
    <row r="108" spans="2:37" s="1" customFormat="1" ht="60.6" customHeight="1">
      <c r="B108" s="820"/>
      <c r="C108" s="792"/>
      <c r="D108" s="887"/>
      <c r="E108" s="78" t="s">
        <v>294</v>
      </c>
      <c r="F108" s="84" t="s">
        <v>305</v>
      </c>
      <c r="G108" s="120">
        <v>3</v>
      </c>
      <c r="H108" s="117" t="s">
        <v>35</v>
      </c>
      <c r="I108" s="118">
        <v>1200000</v>
      </c>
      <c r="J108" s="119">
        <f t="shared" si="40"/>
        <v>3600000</v>
      </c>
      <c r="K108" s="221">
        <v>3</v>
      </c>
      <c r="L108" s="133" t="s">
        <v>35</v>
      </c>
      <c r="M108" s="150">
        <v>1200000</v>
      </c>
      <c r="N108" s="267">
        <f t="shared" si="33"/>
        <v>3600000</v>
      </c>
      <c r="O108" s="252">
        <f t="shared" si="34"/>
        <v>0</v>
      </c>
      <c r="P108" s="221">
        <v>3</v>
      </c>
      <c r="Q108" s="133" t="s">
        <v>35</v>
      </c>
      <c r="R108" s="150">
        <v>1200000</v>
      </c>
      <c r="S108" s="267">
        <f t="shared" si="35"/>
        <v>3600000</v>
      </c>
      <c r="T108" s="251">
        <f t="shared" si="39"/>
        <v>0</v>
      </c>
      <c r="U108" s="221">
        <v>3</v>
      </c>
      <c r="V108" s="133" t="s">
        <v>35</v>
      </c>
      <c r="W108" s="150">
        <v>1200000</v>
      </c>
      <c r="X108" s="267">
        <f t="shared" si="36"/>
        <v>3600000</v>
      </c>
      <c r="Y108" s="251">
        <f t="shared" si="30"/>
        <v>0</v>
      </c>
      <c r="Z108" s="221">
        <v>3</v>
      </c>
      <c r="AA108" s="133" t="s">
        <v>35</v>
      </c>
      <c r="AB108" s="150">
        <v>1200000</v>
      </c>
      <c r="AC108" s="267">
        <f t="shared" si="37"/>
        <v>3600000</v>
      </c>
      <c r="AD108" s="251">
        <f t="shared" si="31"/>
        <v>0</v>
      </c>
      <c r="AE108" s="221">
        <v>3</v>
      </c>
      <c r="AF108" s="133" t="s">
        <v>35</v>
      </c>
      <c r="AG108" s="150">
        <v>1200000</v>
      </c>
      <c r="AH108" s="267">
        <f t="shared" si="38"/>
        <v>3600000</v>
      </c>
      <c r="AI108" s="251">
        <f t="shared" si="32"/>
        <v>0</v>
      </c>
      <c r="AJ108" s="96"/>
      <c r="AK108" s="85"/>
    </row>
    <row r="109" spans="2:37" s="1" customFormat="1" ht="39.75" customHeight="1">
      <c r="B109" s="820"/>
      <c r="C109" s="794"/>
      <c r="D109" s="888"/>
      <c r="E109" s="97" t="s">
        <v>344</v>
      </c>
      <c r="F109" s="98" t="s">
        <v>345</v>
      </c>
      <c r="G109" s="99"/>
      <c r="H109" s="100"/>
      <c r="I109" s="101"/>
      <c r="J109" s="102"/>
      <c r="K109" s="222">
        <v>1</v>
      </c>
      <c r="L109" s="100" t="s">
        <v>38</v>
      </c>
      <c r="M109" s="152">
        <v>2000000</v>
      </c>
      <c r="N109" s="108">
        <f t="shared" si="33"/>
        <v>2000000</v>
      </c>
      <c r="O109" s="262">
        <f>N109-J109</f>
        <v>2000000</v>
      </c>
      <c r="P109" s="222">
        <v>1</v>
      </c>
      <c r="Q109" s="100" t="s">
        <v>38</v>
      </c>
      <c r="R109" s="152">
        <v>2000000</v>
      </c>
      <c r="S109" s="108">
        <f t="shared" si="35"/>
        <v>2000000</v>
      </c>
      <c r="T109" s="262">
        <f>S109-O109</f>
        <v>0</v>
      </c>
      <c r="U109" s="222">
        <v>1</v>
      </c>
      <c r="V109" s="100" t="s">
        <v>38</v>
      </c>
      <c r="W109" s="152">
        <v>2000000</v>
      </c>
      <c r="X109" s="108">
        <f t="shared" si="36"/>
        <v>2000000</v>
      </c>
      <c r="Y109" s="262">
        <f>X109-S109</f>
        <v>0</v>
      </c>
      <c r="Z109" s="222">
        <v>1</v>
      </c>
      <c r="AA109" s="100" t="s">
        <v>38</v>
      </c>
      <c r="AB109" s="152">
        <v>2000000</v>
      </c>
      <c r="AC109" s="108">
        <f t="shared" si="37"/>
        <v>2000000</v>
      </c>
      <c r="AD109" s="262">
        <f>AC109-X109</f>
        <v>0</v>
      </c>
      <c r="AE109" s="222">
        <v>1</v>
      </c>
      <c r="AF109" s="100" t="s">
        <v>38</v>
      </c>
      <c r="AG109" s="152">
        <v>2000000</v>
      </c>
      <c r="AH109" s="108">
        <f t="shared" si="38"/>
        <v>2000000</v>
      </c>
      <c r="AI109" s="262">
        <f t="shared" si="32"/>
        <v>0</v>
      </c>
      <c r="AJ109" s="103"/>
      <c r="AK109" s="104" t="s">
        <v>346</v>
      </c>
    </row>
    <row r="110" spans="2:37" s="1" customFormat="1" ht="29.25" customHeight="1">
      <c r="B110" s="820"/>
      <c r="C110" s="707" t="s">
        <v>306</v>
      </c>
      <c r="D110" s="708"/>
      <c r="E110" s="708"/>
      <c r="F110" s="708"/>
      <c r="G110" s="708"/>
      <c r="H110" s="708"/>
      <c r="I110" s="709"/>
      <c r="J110" s="276">
        <f>SUM(J87:J109)</f>
        <v>20340000</v>
      </c>
      <c r="K110" s="812"/>
      <c r="L110" s="813"/>
      <c r="M110" s="814"/>
      <c r="N110" s="269">
        <f>SUM(N87:N109)</f>
        <v>22340000</v>
      </c>
      <c r="O110" s="274">
        <f>SUM(O87:O109)</f>
        <v>2000000</v>
      </c>
      <c r="P110" s="812"/>
      <c r="Q110" s="813"/>
      <c r="R110" s="814"/>
      <c r="S110" s="269">
        <f>SUM(S87:S109)</f>
        <v>22340000</v>
      </c>
      <c r="T110" s="274">
        <f>SUM(T87:T109)</f>
        <v>0</v>
      </c>
      <c r="U110" s="812"/>
      <c r="V110" s="813"/>
      <c r="W110" s="814"/>
      <c r="X110" s="269">
        <f>SUM(X87:X109)</f>
        <v>22340000</v>
      </c>
      <c r="Y110" s="274">
        <f>SUM(Y87:Y109)</f>
        <v>0</v>
      </c>
      <c r="Z110" s="812"/>
      <c r="AA110" s="813"/>
      <c r="AB110" s="814"/>
      <c r="AC110" s="269">
        <f>SUM(AC87:AC109)</f>
        <v>22340000</v>
      </c>
      <c r="AD110" s="274">
        <f>SUM(AD87:AD109)</f>
        <v>0</v>
      </c>
      <c r="AE110" s="812"/>
      <c r="AF110" s="813"/>
      <c r="AG110" s="814"/>
      <c r="AH110" s="269">
        <f>SUM(AH87:AH109)</f>
        <v>22340000</v>
      </c>
      <c r="AI110" s="274">
        <f>SUM(AI87:AI109)</f>
        <v>0</v>
      </c>
      <c r="AJ110" s="94"/>
      <c r="AK110" s="33"/>
    </row>
    <row r="111" spans="2:37" s="1" customFormat="1" ht="30.2" customHeight="1">
      <c r="B111" s="820"/>
      <c r="C111" s="823" t="s">
        <v>307</v>
      </c>
      <c r="D111" s="823"/>
      <c r="E111" s="747" t="s">
        <v>224</v>
      </c>
      <c r="F111" s="433" t="s">
        <v>334</v>
      </c>
      <c r="G111" s="434">
        <v>2</v>
      </c>
      <c r="H111" s="434" t="s">
        <v>240</v>
      </c>
      <c r="I111" s="435">
        <v>10000000</v>
      </c>
      <c r="J111" s="436">
        <f>G111*I111</f>
        <v>20000000</v>
      </c>
      <c r="K111" s="437">
        <v>0</v>
      </c>
      <c r="L111" s="438" t="s">
        <v>240</v>
      </c>
      <c r="M111" s="439">
        <v>10000000</v>
      </c>
      <c r="N111" s="440">
        <f>K111*M111</f>
        <v>0</v>
      </c>
      <c r="O111" s="441">
        <f>N111-J111</f>
        <v>-20000000</v>
      </c>
      <c r="P111" s="437">
        <v>0</v>
      </c>
      <c r="Q111" s="438" t="s">
        <v>240</v>
      </c>
      <c r="R111" s="439">
        <v>10000000</v>
      </c>
      <c r="S111" s="440">
        <f>P111*R111</f>
        <v>0</v>
      </c>
      <c r="T111" s="509">
        <f t="shared" ref="T111:T132" si="41">S111-N111</f>
        <v>0</v>
      </c>
      <c r="U111" s="437">
        <v>0</v>
      </c>
      <c r="V111" s="438" t="s">
        <v>240</v>
      </c>
      <c r="W111" s="439">
        <v>10000000</v>
      </c>
      <c r="X111" s="440">
        <f>U111*W111</f>
        <v>0</v>
      </c>
      <c r="Y111" s="509">
        <f>X111-S111</f>
        <v>0</v>
      </c>
      <c r="Z111" s="437">
        <v>0</v>
      </c>
      <c r="AA111" s="438" t="s">
        <v>240</v>
      </c>
      <c r="AB111" s="439">
        <v>10000000</v>
      </c>
      <c r="AC111" s="440">
        <f>Z111*AB111</f>
        <v>0</v>
      </c>
      <c r="AD111" s="509">
        <f>AC111-X111</f>
        <v>0</v>
      </c>
      <c r="AE111" s="437">
        <v>0</v>
      </c>
      <c r="AF111" s="438" t="s">
        <v>240</v>
      </c>
      <c r="AG111" s="439">
        <v>10000000</v>
      </c>
      <c r="AH111" s="440">
        <f>AE111*AG111</f>
        <v>0</v>
      </c>
      <c r="AI111" s="509">
        <f>AH111-AC111</f>
        <v>0</v>
      </c>
      <c r="AJ111" s="442"/>
      <c r="AK111" s="438" t="s">
        <v>678</v>
      </c>
    </row>
    <row r="112" spans="2:37" s="1" customFormat="1" ht="30.2" customHeight="1">
      <c r="B112" s="820"/>
      <c r="C112" s="823"/>
      <c r="D112" s="823"/>
      <c r="E112" s="828"/>
      <c r="F112" s="433" t="s">
        <v>439</v>
      </c>
      <c r="G112" s="434"/>
      <c r="H112" s="434"/>
      <c r="I112" s="435"/>
      <c r="J112" s="436"/>
      <c r="K112" s="437">
        <v>2</v>
      </c>
      <c r="L112" s="438" t="s">
        <v>335</v>
      </c>
      <c r="M112" s="439">
        <v>14000000</v>
      </c>
      <c r="N112" s="440">
        <f t="shared" ref="N112:N124" si="42">K112*M112</f>
        <v>28000000</v>
      </c>
      <c r="O112" s="443">
        <f t="shared" ref="O112:O124" si="43">N112-J112</f>
        <v>28000000</v>
      </c>
      <c r="P112" s="437">
        <v>2</v>
      </c>
      <c r="Q112" s="438" t="s">
        <v>38</v>
      </c>
      <c r="R112" s="439">
        <v>14000000</v>
      </c>
      <c r="S112" s="440">
        <f t="shared" ref="S112:S124" si="44">P112*R112</f>
        <v>28000000</v>
      </c>
      <c r="T112" s="509">
        <f t="shared" si="41"/>
        <v>0</v>
      </c>
      <c r="U112" s="437">
        <v>2</v>
      </c>
      <c r="V112" s="438" t="s">
        <v>38</v>
      </c>
      <c r="W112" s="439">
        <v>14000000</v>
      </c>
      <c r="X112" s="440">
        <f t="shared" ref="X112:X121" si="45">U112*W112</f>
        <v>28000000</v>
      </c>
      <c r="Y112" s="509">
        <f>X112-S112</f>
        <v>0</v>
      </c>
      <c r="Z112" s="437">
        <v>2</v>
      </c>
      <c r="AA112" s="438" t="s">
        <v>38</v>
      </c>
      <c r="AB112" s="439">
        <v>14000000</v>
      </c>
      <c r="AC112" s="440">
        <f t="shared" ref="AC112:AC113" si="46">Z112*AB112</f>
        <v>28000000</v>
      </c>
      <c r="AD112" s="509">
        <f>AC112-X112</f>
        <v>0</v>
      </c>
      <c r="AE112" s="437">
        <v>2</v>
      </c>
      <c r="AF112" s="438" t="s">
        <v>38</v>
      </c>
      <c r="AG112" s="439">
        <v>14000000</v>
      </c>
      <c r="AH112" s="440">
        <f t="shared" ref="AH112:AH113" si="47">AE112*AG112</f>
        <v>28000000</v>
      </c>
      <c r="AI112" s="509">
        <f>AH112-AC112</f>
        <v>0</v>
      </c>
      <c r="AJ112" s="442"/>
      <c r="AK112" s="438" t="s">
        <v>626</v>
      </c>
    </row>
    <row r="113" spans="2:37" s="1" customFormat="1" ht="30.2" customHeight="1">
      <c r="B113" s="820"/>
      <c r="C113" s="823"/>
      <c r="D113" s="823"/>
      <c r="E113" s="748"/>
      <c r="F113" s="89" t="s">
        <v>223</v>
      </c>
      <c r="G113" s="121">
        <v>1</v>
      </c>
      <c r="H113" s="140" t="s">
        <v>147</v>
      </c>
      <c r="I113" s="122">
        <v>4000000</v>
      </c>
      <c r="J113" s="119">
        <f>G113*I113</f>
        <v>4000000</v>
      </c>
      <c r="K113" s="223">
        <v>1</v>
      </c>
      <c r="L113" s="88" t="s">
        <v>147</v>
      </c>
      <c r="M113" s="154">
        <v>4000000</v>
      </c>
      <c r="N113" s="267">
        <f t="shared" si="42"/>
        <v>4000000</v>
      </c>
      <c r="O113" s="253">
        <f t="shared" si="43"/>
        <v>0</v>
      </c>
      <c r="P113" s="223">
        <v>1</v>
      </c>
      <c r="Q113" s="88" t="s">
        <v>147</v>
      </c>
      <c r="R113" s="154">
        <v>4000000</v>
      </c>
      <c r="S113" s="267">
        <f t="shared" si="44"/>
        <v>4000000</v>
      </c>
      <c r="T113" s="251">
        <f t="shared" si="41"/>
        <v>0</v>
      </c>
      <c r="U113" s="223">
        <v>1</v>
      </c>
      <c r="V113" s="88" t="s">
        <v>147</v>
      </c>
      <c r="W113" s="154">
        <v>4000000</v>
      </c>
      <c r="X113" s="267">
        <f t="shared" si="45"/>
        <v>4000000</v>
      </c>
      <c r="Y113" s="251">
        <f>X113-S113</f>
        <v>0</v>
      </c>
      <c r="Z113" s="223">
        <v>1</v>
      </c>
      <c r="AA113" s="88" t="s">
        <v>147</v>
      </c>
      <c r="AB113" s="154">
        <v>4000000</v>
      </c>
      <c r="AC113" s="267">
        <f t="shared" si="46"/>
        <v>4000000</v>
      </c>
      <c r="AD113" s="251">
        <f>AC113-X113</f>
        <v>0</v>
      </c>
      <c r="AE113" s="223">
        <v>1</v>
      </c>
      <c r="AF113" s="88" t="s">
        <v>147</v>
      </c>
      <c r="AG113" s="154">
        <v>4000000</v>
      </c>
      <c r="AH113" s="267">
        <f t="shared" si="47"/>
        <v>4000000</v>
      </c>
      <c r="AI113" s="251">
        <f>AH113-AC113</f>
        <v>0</v>
      </c>
      <c r="AJ113" s="93"/>
      <c r="AK113" s="79"/>
    </row>
    <row r="114" spans="2:37" s="1" customFormat="1" ht="30.2" customHeight="1">
      <c r="B114" s="820"/>
      <c r="C114" s="823"/>
      <c r="D114" s="823"/>
      <c r="E114" s="747" t="s">
        <v>691</v>
      </c>
      <c r="F114" s="89" t="s">
        <v>692</v>
      </c>
      <c r="G114" s="121"/>
      <c r="H114" s="140" t="s">
        <v>147</v>
      </c>
      <c r="I114" s="122"/>
      <c r="J114" s="119">
        <f>G114*I114</f>
        <v>0</v>
      </c>
      <c r="K114" s="223"/>
      <c r="L114" s="88" t="s">
        <v>147</v>
      </c>
      <c r="M114" s="154"/>
      <c r="N114" s="267">
        <f>K114*M114</f>
        <v>0</v>
      </c>
      <c r="O114" s="253">
        <f>N114-J114</f>
        <v>0</v>
      </c>
      <c r="P114" s="517">
        <v>2</v>
      </c>
      <c r="Q114" s="518" t="s">
        <v>147</v>
      </c>
      <c r="R114" s="519">
        <v>5500000</v>
      </c>
      <c r="S114" s="513">
        <f t="shared" si="44"/>
        <v>11000000</v>
      </c>
      <c r="T114" s="514">
        <f t="shared" si="41"/>
        <v>11000000</v>
      </c>
      <c r="U114" s="517">
        <v>2</v>
      </c>
      <c r="V114" s="518" t="s">
        <v>147</v>
      </c>
      <c r="W114" s="519">
        <v>5500000</v>
      </c>
      <c r="X114" s="513"/>
      <c r="Y114" s="545">
        <f>X114-S114</f>
        <v>-11000000</v>
      </c>
      <c r="Z114" s="517">
        <v>2</v>
      </c>
      <c r="AA114" s="518" t="s">
        <v>147</v>
      </c>
      <c r="AB114" s="519">
        <v>5500000</v>
      </c>
      <c r="AC114" s="513"/>
      <c r="AD114" s="545">
        <f>AC114-X114</f>
        <v>0</v>
      </c>
      <c r="AE114" s="517">
        <v>2</v>
      </c>
      <c r="AF114" s="518" t="s">
        <v>147</v>
      </c>
      <c r="AG114" s="519">
        <v>5500000</v>
      </c>
      <c r="AH114" s="513"/>
      <c r="AI114" s="545">
        <f>AH114-AC114</f>
        <v>0</v>
      </c>
      <c r="AJ114" s="515"/>
      <c r="AK114" s="520" t="s">
        <v>687</v>
      </c>
    </row>
    <row r="115" spans="2:37" s="1" customFormat="1" ht="30.2" customHeight="1">
      <c r="B115" s="820"/>
      <c r="C115" s="823"/>
      <c r="D115" s="823"/>
      <c r="E115" s="748"/>
      <c r="F115" s="89" t="s">
        <v>693</v>
      </c>
      <c r="G115" s="121">
        <v>1</v>
      </c>
      <c r="H115" s="140" t="s">
        <v>147</v>
      </c>
      <c r="I115" s="122"/>
      <c r="J115" s="119">
        <f>G115*I115</f>
        <v>0</v>
      </c>
      <c r="K115" s="223"/>
      <c r="L115" s="88" t="s">
        <v>147</v>
      </c>
      <c r="M115" s="154"/>
      <c r="N115" s="267">
        <f>K115*M115</f>
        <v>0</v>
      </c>
      <c r="O115" s="253">
        <f>N115-J115</f>
        <v>0</v>
      </c>
      <c r="P115" s="517">
        <v>2</v>
      </c>
      <c r="Q115" s="518" t="s">
        <v>147</v>
      </c>
      <c r="R115" s="519">
        <v>3000000</v>
      </c>
      <c r="S115" s="513"/>
      <c r="T115" s="514">
        <f t="shared" si="41"/>
        <v>0</v>
      </c>
      <c r="U115" s="517">
        <v>2</v>
      </c>
      <c r="V115" s="518" t="s">
        <v>147</v>
      </c>
      <c r="W115" s="519">
        <v>3000000</v>
      </c>
      <c r="X115" s="267">
        <f t="shared" si="45"/>
        <v>6000000</v>
      </c>
      <c r="Y115" s="514"/>
      <c r="Z115" s="517">
        <v>2</v>
      </c>
      <c r="AA115" s="518" t="s">
        <v>147</v>
      </c>
      <c r="AB115" s="519">
        <v>3000000</v>
      </c>
      <c r="AC115" s="513">
        <f t="shared" ref="AC115:AC121" si="48">Z115*AB115</f>
        <v>6000000</v>
      </c>
      <c r="AD115" s="514"/>
      <c r="AE115" s="517">
        <v>2</v>
      </c>
      <c r="AF115" s="518" t="s">
        <v>147</v>
      </c>
      <c r="AG115" s="519">
        <v>3000000</v>
      </c>
      <c r="AH115" s="513">
        <f t="shared" ref="AH115:AH121" si="49">AE115*AG115</f>
        <v>6000000</v>
      </c>
      <c r="AI115" s="514"/>
      <c r="AJ115" s="515"/>
      <c r="AK115" s="520"/>
    </row>
    <row r="116" spans="2:37" s="1" customFormat="1" ht="30.2" customHeight="1">
      <c r="B116" s="820"/>
      <c r="C116" s="823"/>
      <c r="D116" s="823"/>
      <c r="E116" s="822" t="s">
        <v>308</v>
      </c>
      <c r="F116" s="444" t="s">
        <v>333</v>
      </c>
      <c r="G116" s="434">
        <v>2</v>
      </c>
      <c r="H116" s="445" t="s">
        <v>289</v>
      </c>
      <c r="I116" s="435">
        <v>7000000</v>
      </c>
      <c r="J116" s="436">
        <f t="shared" ref="J116:J121" si="50">G116*I116</f>
        <v>14000000</v>
      </c>
      <c r="K116" s="437">
        <v>0</v>
      </c>
      <c r="L116" s="446" t="s">
        <v>289</v>
      </c>
      <c r="M116" s="439">
        <v>7000000</v>
      </c>
      <c r="N116" s="440">
        <f t="shared" si="42"/>
        <v>0</v>
      </c>
      <c r="O116" s="441">
        <f t="shared" si="43"/>
        <v>-14000000</v>
      </c>
      <c r="P116" s="437">
        <v>0</v>
      </c>
      <c r="Q116" s="446" t="s">
        <v>268</v>
      </c>
      <c r="R116" s="439">
        <v>7000000</v>
      </c>
      <c r="S116" s="440">
        <f t="shared" si="44"/>
        <v>0</v>
      </c>
      <c r="T116" s="509">
        <f t="shared" si="41"/>
        <v>0</v>
      </c>
      <c r="U116" s="437">
        <v>0</v>
      </c>
      <c r="V116" s="446" t="s">
        <v>268</v>
      </c>
      <c r="W116" s="439">
        <v>7000000</v>
      </c>
      <c r="X116" s="440">
        <f t="shared" si="45"/>
        <v>0</v>
      </c>
      <c r="Y116" s="509">
        <f t="shared" ref="Y116:Y132" si="51">X116-S116</f>
        <v>0</v>
      </c>
      <c r="Z116" s="437">
        <v>0</v>
      </c>
      <c r="AA116" s="446" t="s">
        <v>268</v>
      </c>
      <c r="AB116" s="439">
        <v>7000000</v>
      </c>
      <c r="AC116" s="440">
        <f t="shared" si="48"/>
        <v>0</v>
      </c>
      <c r="AD116" s="509">
        <f t="shared" ref="AD116:AD132" si="52">AC116-X116</f>
        <v>0</v>
      </c>
      <c r="AE116" s="437">
        <v>0</v>
      </c>
      <c r="AF116" s="446" t="s">
        <v>268</v>
      </c>
      <c r="AG116" s="439">
        <v>7000000</v>
      </c>
      <c r="AH116" s="440">
        <f t="shared" si="49"/>
        <v>0</v>
      </c>
      <c r="AI116" s="509">
        <f t="shared" ref="AI116:AI133" si="53">AH116-AC116</f>
        <v>0</v>
      </c>
      <c r="AJ116" s="442"/>
      <c r="AK116" s="438" t="s">
        <v>440</v>
      </c>
    </row>
    <row r="117" spans="2:37" s="1" customFormat="1" ht="30.2" customHeight="1">
      <c r="B117" s="820"/>
      <c r="C117" s="823"/>
      <c r="D117" s="823"/>
      <c r="E117" s="822"/>
      <c r="F117" s="444" t="s">
        <v>430</v>
      </c>
      <c r="G117" s="434">
        <v>1</v>
      </c>
      <c r="H117" s="445" t="s">
        <v>336</v>
      </c>
      <c r="I117" s="435">
        <v>3000000</v>
      </c>
      <c r="J117" s="436"/>
      <c r="K117" s="437">
        <v>2</v>
      </c>
      <c r="L117" s="446" t="s">
        <v>336</v>
      </c>
      <c r="M117" s="439">
        <v>10000000</v>
      </c>
      <c r="N117" s="440">
        <f t="shared" si="42"/>
        <v>20000000</v>
      </c>
      <c r="O117" s="443">
        <f t="shared" si="43"/>
        <v>20000000</v>
      </c>
      <c r="P117" s="437">
        <v>2</v>
      </c>
      <c r="Q117" s="446" t="s">
        <v>336</v>
      </c>
      <c r="R117" s="439">
        <v>10000000</v>
      </c>
      <c r="S117" s="440">
        <f t="shared" si="44"/>
        <v>20000000</v>
      </c>
      <c r="T117" s="509">
        <f t="shared" si="41"/>
        <v>0</v>
      </c>
      <c r="U117" s="437">
        <v>2</v>
      </c>
      <c r="V117" s="446" t="s">
        <v>336</v>
      </c>
      <c r="W117" s="439">
        <v>10000000</v>
      </c>
      <c r="X117" s="440">
        <f t="shared" si="45"/>
        <v>20000000</v>
      </c>
      <c r="Y117" s="509">
        <f t="shared" si="51"/>
        <v>0</v>
      </c>
      <c r="Z117" s="437">
        <v>2</v>
      </c>
      <c r="AA117" s="446" t="s">
        <v>336</v>
      </c>
      <c r="AB117" s="439">
        <v>10000000</v>
      </c>
      <c r="AC117" s="440">
        <f t="shared" si="48"/>
        <v>20000000</v>
      </c>
      <c r="AD117" s="509">
        <f t="shared" si="52"/>
        <v>0</v>
      </c>
      <c r="AE117" s="437">
        <v>2</v>
      </c>
      <c r="AF117" s="446" t="s">
        <v>336</v>
      </c>
      <c r="AG117" s="439">
        <v>10000000</v>
      </c>
      <c r="AH117" s="440">
        <f t="shared" si="49"/>
        <v>20000000</v>
      </c>
      <c r="AI117" s="509">
        <f t="shared" si="53"/>
        <v>0</v>
      </c>
      <c r="AJ117" s="442"/>
      <c r="AK117" s="438" t="s">
        <v>627</v>
      </c>
    </row>
    <row r="118" spans="2:37" s="1" customFormat="1" ht="30.2" customHeight="1">
      <c r="B118" s="820"/>
      <c r="C118" s="823"/>
      <c r="D118" s="823"/>
      <c r="E118" s="822"/>
      <c r="F118" s="64" t="s">
        <v>337</v>
      </c>
      <c r="G118" s="113">
        <v>2</v>
      </c>
      <c r="H118" s="117" t="s">
        <v>35</v>
      </c>
      <c r="I118" s="115">
        <v>2000000</v>
      </c>
      <c r="J118" s="119">
        <f t="shared" si="50"/>
        <v>4000000</v>
      </c>
      <c r="K118" s="212">
        <v>2</v>
      </c>
      <c r="L118" s="65" t="s">
        <v>35</v>
      </c>
      <c r="M118" s="147">
        <v>2000000</v>
      </c>
      <c r="N118" s="267">
        <f t="shared" si="42"/>
        <v>4000000</v>
      </c>
      <c r="O118" s="253">
        <f t="shared" si="43"/>
        <v>0</v>
      </c>
      <c r="P118" s="212">
        <v>2</v>
      </c>
      <c r="Q118" s="65" t="s">
        <v>35</v>
      </c>
      <c r="R118" s="147">
        <v>2000000</v>
      </c>
      <c r="S118" s="267">
        <f t="shared" si="44"/>
        <v>4000000</v>
      </c>
      <c r="T118" s="251">
        <f t="shared" si="41"/>
        <v>0</v>
      </c>
      <c r="U118" s="212">
        <v>2</v>
      </c>
      <c r="V118" s="65" t="s">
        <v>35</v>
      </c>
      <c r="W118" s="147">
        <v>2000000</v>
      </c>
      <c r="X118" s="267">
        <f t="shared" si="45"/>
        <v>4000000</v>
      </c>
      <c r="Y118" s="251">
        <f t="shared" si="51"/>
        <v>0</v>
      </c>
      <c r="Z118" s="212">
        <v>2</v>
      </c>
      <c r="AA118" s="65" t="s">
        <v>35</v>
      </c>
      <c r="AB118" s="147">
        <v>2000000</v>
      </c>
      <c r="AC118" s="267">
        <f t="shared" si="48"/>
        <v>4000000</v>
      </c>
      <c r="AD118" s="251">
        <f t="shared" si="52"/>
        <v>0</v>
      </c>
      <c r="AE118" s="212">
        <v>2</v>
      </c>
      <c r="AF118" s="65" t="s">
        <v>35</v>
      </c>
      <c r="AG118" s="147">
        <v>2000000</v>
      </c>
      <c r="AH118" s="267">
        <f t="shared" si="49"/>
        <v>4000000</v>
      </c>
      <c r="AI118" s="251">
        <f t="shared" si="53"/>
        <v>0</v>
      </c>
      <c r="AJ118" s="93"/>
      <c r="AK118" s="49"/>
    </row>
    <row r="119" spans="2:37" s="1" customFormat="1" ht="30.2" customHeight="1">
      <c r="B119" s="820"/>
      <c r="C119" s="823"/>
      <c r="D119" s="823"/>
      <c r="E119" s="822"/>
      <c r="F119" s="64" t="s">
        <v>223</v>
      </c>
      <c r="G119" s="113">
        <v>1</v>
      </c>
      <c r="H119" s="117" t="s">
        <v>147</v>
      </c>
      <c r="I119" s="115">
        <v>2000000</v>
      </c>
      <c r="J119" s="119">
        <f t="shared" si="50"/>
        <v>2000000</v>
      </c>
      <c r="K119" s="212">
        <v>1</v>
      </c>
      <c r="L119" s="65" t="s">
        <v>147</v>
      </c>
      <c r="M119" s="147">
        <v>2000000</v>
      </c>
      <c r="N119" s="267">
        <f t="shared" si="42"/>
        <v>2000000</v>
      </c>
      <c r="O119" s="253">
        <f t="shared" si="43"/>
        <v>0</v>
      </c>
      <c r="P119" s="212">
        <v>1</v>
      </c>
      <c r="Q119" s="65" t="s">
        <v>147</v>
      </c>
      <c r="R119" s="147">
        <v>2000000</v>
      </c>
      <c r="S119" s="267">
        <f t="shared" si="44"/>
        <v>2000000</v>
      </c>
      <c r="T119" s="251">
        <f t="shared" si="41"/>
        <v>0</v>
      </c>
      <c r="U119" s="212">
        <v>1</v>
      </c>
      <c r="V119" s="65" t="s">
        <v>147</v>
      </c>
      <c r="W119" s="147">
        <v>2000000</v>
      </c>
      <c r="X119" s="267">
        <f t="shared" si="45"/>
        <v>2000000</v>
      </c>
      <c r="Y119" s="251">
        <f t="shared" si="51"/>
        <v>0</v>
      </c>
      <c r="Z119" s="212">
        <v>1</v>
      </c>
      <c r="AA119" s="65" t="s">
        <v>147</v>
      </c>
      <c r="AB119" s="147">
        <v>2000000</v>
      </c>
      <c r="AC119" s="267">
        <f t="shared" si="48"/>
        <v>2000000</v>
      </c>
      <c r="AD119" s="251">
        <f t="shared" si="52"/>
        <v>0</v>
      </c>
      <c r="AE119" s="212">
        <v>1</v>
      </c>
      <c r="AF119" s="65" t="s">
        <v>147</v>
      </c>
      <c r="AG119" s="147">
        <v>2000000</v>
      </c>
      <c r="AH119" s="267">
        <f t="shared" si="49"/>
        <v>2000000</v>
      </c>
      <c r="AI119" s="251">
        <f t="shared" si="53"/>
        <v>0</v>
      </c>
      <c r="AJ119" s="93"/>
      <c r="AK119" s="49"/>
    </row>
    <row r="120" spans="2:37" s="1" customFormat="1" ht="30.2" customHeight="1">
      <c r="B120" s="820"/>
      <c r="C120" s="823"/>
      <c r="D120" s="823"/>
      <c r="E120" s="66" t="s">
        <v>310</v>
      </c>
      <c r="F120" s="91" t="s">
        <v>311</v>
      </c>
      <c r="G120" s="141">
        <v>2</v>
      </c>
      <c r="H120" s="113" t="s">
        <v>147</v>
      </c>
      <c r="I120" s="115">
        <v>5000000</v>
      </c>
      <c r="J120" s="119">
        <f t="shared" si="50"/>
        <v>10000000</v>
      </c>
      <c r="K120" s="223">
        <v>2</v>
      </c>
      <c r="L120" s="87" t="s">
        <v>147</v>
      </c>
      <c r="M120" s="147">
        <v>5000000</v>
      </c>
      <c r="N120" s="267">
        <f t="shared" si="42"/>
        <v>10000000</v>
      </c>
      <c r="O120" s="253">
        <f t="shared" si="43"/>
        <v>0</v>
      </c>
      <c r="P120" s="223">
        <v>2</v>
      </c>
      <c r="Q120" s="504" t="s">
        <v>147</v>
      </c>
      <c r="R120" s="147">
        <v>5000000</v>
      </c>
      <c r="S120" s="267">
        <f t="shared" si="44"/>
        <v>10000000</v>
      </c>
      <c r="T120" s="251">
        <f t="shared" si="41"/>
        <v>0</v>
      </c>
      <c r="U120" s="223">
        <v>2</v>
      </c>
      <c r="V120" s="504" t="s">
        <v>147</v>
      </c>
      <c r="W120" s="147">
        <v>5000000</v>
      </c>
      <c r="X120" s="267">
        <f t="shared" si="45"/>
        <v>10000000</v>
      </c>
      <c r="Y120" s="251">
        <f t="shared" si="51"/>
        <v>0</v>
      </c>
      <c r="Z120" s="223">
        <v>2</v>
      </c>
      <c r="AA120" s="566" t="s">
        <v>147</v>
      </c>
      <c r="AB120" s="147">
        <v>5000000</v>
      </c>
      <c r="AC120" s="267">
        <f t="shared" si="48"/>
        <v>10000000</v>
      </c>
      <c r="AD120" s="251">
        <f t="shared" si="52"/>
        <v>0</v>
      </c>
      <c r="AE120" s="223">
        <v>2</v>
      </c>
      <c r="AF120" s="573" t="s">
        <v>147</v>
      </c>
      <c r="AG120" s="147">
        <v>5000000</v>
      </c>
      <c r="AH120" s="267">
        <f t="shared" si="49"/>
        <v>10000000</v>
      </c>
      <c r="AI120" s="251">
        <f t="shared" si="53"/>
        <v>0</v>
      </c>
      <c r="AJ120" s="93"/>
      <c r="AK120" s="49"/>
    </row>
    <row r="121" spans="2:37" s="1" customFormat="1" ht="30.2" customHeight="1">
      <c r="B121" s="820"/>
      <c r="C121" s="823"/>
      <c r="D121" s="823"/>
      <c r="E121" s="66" t="s">
        <v>312</v>
      </c>
      <c r="F121" s="23" t="s">
        <v>313</v>
      </c>
      <c r="G121" s="141">
        <v>2</v>
      </c>
      <c r="H121" s="113" t="s">
        <v>240</v>
      </c>
      <c r="I121" s="115">
        <v>1000000</v>
      </c>
      <c r="J121" s="119">
        <f t="shared" si="50"/>
        <v>2000000</v>
      </c>
      <c r="K121" s="223">
        <v>2</v>
      </c>
      <c r="L121" s="87" t="s">
        <v>240</v>
      </c>
      <c r="M121" s="147">
        <v>1000000</v>
      </c>
      <c r="N121" s="267">
        <f t="shared" si="42"/>
        <v>2000000</v>
      </c>
      <c r="O121" s="253">
        <f t="shared" si="43"/>
        <v>0</v>
      </c>
      <c r="P121" s="223">
        <v>2</v>
      </c>
      <c r="Q121" s="504" t="s">
        <v>240</v>
      </c>
      <c r="R121" s="147">
        <v>1000000</v>
      </c>
      <c r="S121" s="267">
        <f t="shared" si="44"/>
        <v>2000000</v>
      </c>
      <c r="T121" s="251">
        <f t="shared" si="41"/>
        <v>0</v>
      </c>
      <c r="U121" s="223">
        <v>2</v>
      </c>
      <c r="V121" s="504" t="s">
        <v>240</v>
      </c>
      <c r="W121" s="147">
        <v>1000000</v>
      </c>
      <c r="X121" s="267">
        <f t="shared" si="45"/>
        <v>2000000</v>
      </c>
      <c r="Y121" s="251">
        <f t="shared" si="51"/>
        <v>0</v>
      </c>
      <c r="Z121" s="223">
        <v>2</v>
      </c>
      <c r="AA121" s="566" t="s">
        <v>240</v>
      </c>
      <c r="AB121" s="147">
        <v>1000000</v>
      </c>
      <c r="AC121" s="267">
        <f t="shared" si="48"/>
        <v>2000000</v>
      </c>
      <c r="AD121" s="251">
        <f t="shared" si="52"/>
        <v>0</v>
      </c>
      <c r="AE121" s="223">
        <v>2</v>
      </c>
      <c r="AF121" s="573" t="s">
        <v>240</v>
      </c>
      <c r="AG121" s="147">
        <v>1000000</v>
      </c>
      <c r="AH121" s="267">
        <f t="shared" si="49"/>
        <v>2000000</v>
      </c>
      <c r="AI121" s="251">
        <f t="shared" si="53"/>
        <v>0</v>
      </c>
      <c r="AJ121" s="96"/>
      <c r="AK121" s="49"/>
    </row>
    <row r="122" spans="2:37" s="1" customFormat="1" ht="30.2" customHeight="1">
      <c r="B122" s="820"/>
      <c r="C122" s="823"/>
      <c r="D122" s="823"/>
      <c r="E122" s="787" t="s">
        <v>423</v>
      </c>
      <c r="F122" s="105" t="s">
        <v>424</v>
      </c>
      <c r="G122" s="142"/>
      <c r="H122" s="137"/>
      <c r="I122" s="138"/>
      <c r="J122" s="139"/>
      <c r="K122" s="224">
        <v>1</v>
      </c>
      <c r="L122" s="106" t="s">
        <v>38</v>
      </c>
      <c r="M122" s="153">
        <v>3402000</v>
      </c>
      <c r="N122" s="108">
        <f t="shared" si="42"/>
        <v>3402000</v>
      </c>
      <c r="O122" s="261">
        <f t="shared" si="43"/>
        <v>3402000</v>
      </c>
      <c r="P122" s="224">
        <v>1</v>
      </c>
      <c r="Q122" s="503" t="s">
        <v>38</v>
      </c>
      <c r="R122" s="153">
        <v>3402000</v>
      </c>
      <c r="S122" s="108">
        <f t="shared" si="44"/>
        <v>3402000</v>
      </c>
      <c r="T122" s="256">
        <f t="shared" si="41"/>
        <v>0</v>
      </c>
      <c r="U122" s="517">
        <v>1</v>
      </c>
      <c r="V122" s="520" t="s">
        <v>38</v>
      </c>
      <c r="W122" s="521">
        <v>3402000</v>
      </c>
      <c r="X122" s="513"/>
      <c r="Y122" s="545">
        <f t="shared" si="51"/>
        <v>-3402000</v>
      </c>
      <c r="Z122" s="517">
        <v>1</v>
      </c>
      <c r="AA122" s="520" t="s">
        <v>38</v>
      </c>
      <c r="AB122" s="521">
        <v>3402000</v>
      </c>
      <c r="AC122" s="513"/>
      <c r="AD122" s="545">
        <f t="shared" si="52"/>
        <v>0</v>
      </c>
      <c r="AE122" s="517">
        <v>1</v>
      </c>
      <c r="AF122" s="520" t="s">
        <v>38</v>
      </c>
      <c r="AG122" s="521">
        <v>3402000</v>
      </c>
      <c r="AH122" s="513"/>
      <c r="AI122" s="545">
        <f t="shared" si="53"/>
        <v>0</v>
      </c>
      <c r="AJ122" s="522"/>
      <c r="AK122" s="520" t="s">
        <v>441</v>
      </c>
    </row>
    <row r="123" spans="2:37" s="1" customFormat="1" ht="30.2" customHeight="1">
      <c r="B123" s="820"/>
      <c r="C123" s="823"/>
      <c r="D123" s="823"/>
      <c r="E123" s="788"/>
      <c r="F123" s="433" t="s">
        <v>628</v>
      </c>
      <c r="G123" s="447"/>
      <c r="H123" s="434"/>
      <c r="I123" s="435"/>
      <c r="J123" s="436"/>
      <c r="K123" s="448">
        <v>1</v>
      </c>
      <c r="L123" s="438" t="s">
        <v>630</v>
      </c>
      <c r="M123" s="439">
        <f>M124-M122</f>
        <v>756000</v>
      </c>
      <c r="N123" s="440">
        <f t="shared" si="42"/>
        <v>756000</v>
      </c>
      <c r="O123" s="443">
        <f t="shared" si="43"/>
        <v>756000</v>
      </c>
      <c r="P123" s="448">
        <v>1</v>
      </c>
      <c r="Q123" s="438" t="s">
        <v>630</v>
      </c>
      <c r="R123" s="439">
        <f>R124-R122</f>
        <v>756000</v>
      </c>
      <c r="S123" s="440">
        <f t="shared" si="44"/>
        <v>756000</v>
      </c>
      <c r="T123" s="509">
        <f t="shared" si="41"/>
        <v>0</v>
      </c>
      <c r="U123" s="517">
        <v>1</v>
      </c>
      <c r="V123" s="520" t="s">
        <v>630</v>
      </c>
      <c r="W123" s="521">
        <f>W124-W122</f>
        <v>756000</v>
      </c>
      <c r="X123" s="513"/>
      <c r="Y123" s="545">
        <f t="shared" si="51"/>
        <v>-756000</v>
      </c>
      <c r="Z123" s="517">
        <v>1</v>
      </c>
      <c r="AA123" s="520" t="s">
        <v>38</v>
      </c>
      <c r="AB123" s="521">
        <f>AB124-AB122</f>
        <v>756000</v>
      </c>
      <c r="AC123" s="513"/>
      <c r="AD123" s="545">
        <f t="shared" si="52"/>
        <v>0</v>
      </c>
      <c r="AE123" s="517">
        <v>1</v>
      </c>
      <c r="AF123" s="520" t="s">
        <v>38</v>
      </c>
      <c r="AG123" s="521">
        <f>AG124-AG122</f>
        <v>756000</v>
      </c>
      <c r="AH123" s="513"/>
      <c r="AI123" s="545">
        <f t="shared" si="53"/>
        <v>0</v>
      </c>
      <c r="AJ123" s="522"/>
      <c r="AK123" s="520" t="s">
        <v>629</v>
      </c>
    </row>
    <row r="124" spans="2:37" s="1" customFormat="1" ht="30.2" customHeight="1">
      <c r="B124" s="820"/>
      <c r="C124" s="823"/>
      <c r="D124" s="823"/>
      <c r="E124" s="789"/>
      <c r="F124" s="105" t="s">
        <v>425</v>
      </c>
      <c r="G124" s="142"/>
      <c r="H124" s="137"/>
      <c r="I124" s="138"/>
      <c r="J124" s="139"/>
      <c r="K124" s="224">
        <v>1</v>
      </c>
      <c r="L124" s="106" t="s">
        <v>426</v>
      </c>
      <c r="M124" s="153">
        <v>4158000</v>
      </c>
      <c r="N124" s="108">
        <f t="shared" si="42"/>
        <v>4158000</v>
      </c>
      <c r="O124" s="261">
        <f t="shared" si="43"/>
        <v>4158000</v>
      </c>
      <c r="P124" s="224">
        <v>1</v>
      </c>
      <c r="Q124" s="503" t="s">
        <v>38</v>
      </c>
      <c r="R124" s="153">
        <v>4158000</v>
      </c>
      <c r="S124" s="108">
        <f t="shared" si="44"/>
        <v>4158000</v>
      </c>
      <c r="T124" s="256">
        <f t="shared" si="41"/>
        <v>0</v>
      </c>
      <c r="U124" s="517">
        <v>1</v>
      </c>
      <c r="V124" s="520" t="s">
        <v>38</v>
      </c>
      <c r="W124" s="521">
        <v>4158000</v>
      </c>
      <c r="X124" s="513"/>
      <c r="Y124" s="545">
        <f t="shared" si="51"/>
        <v>-4158000</v>
      </c>
      <c r="Z124" s="517">
        <v>1</v>
      </c>
      <c r="AA124" s="520" t="s">
        <v>38</v>
      </c>
      <c r="AB124" s="521">
        <v>4158000</v>
      </c>
      <c r="AC124" s="513"/>
      <c r="AD124" s="545">
        <f t="shared" si="52"/>
        <v>0</v>
      </c>
      <c r="AE124" s="517">
        <v>1</v>
      </c>
      <c r="AF124" s="520" t="s">
        <v>38</v>
      </c>
      <c r="AG124" s="521">
        <v>4158000</v>
      </c>
      <c r="AH124" s="513"/>
      <c r="AI124" s="545">
        <f t="shared" si="53"/>
        <v>0</v>
      </c>
      <c r="AJ124" s="523"/>
      <c r="AK124" s="520" t="s">
        <v>442</v>
      </c>
    </row>
    <row r="125" spans="2:37" s="1" customFormat="1" ht="30.2" customHeight="1">
      <c r="B125" s="820"/>
      <c r="C125" s="880" t="s">
        <v>314</v>
      </c>
      <c r="D125" s="881"/>
      <c r="E125" s="881"/>
      <c r="F125" s="881"/>
      <c r="G125" s="881"/>
      <c r="H125" s="881"/>
      <c r="I125" s="882"/>
      <c r="J125" s="160">
        <f>SUM(J111:J124)</f>
        <v>56000000</v>
      </c>
      <c r="K125" s="812"/>
      <c r="L125" s="813"/>
      <c r="M125" s="814"/>
      <c r="N125" s="268">
        <f>SUM(N111:N124)</f>
        <v>78316000</v>
      </c>
      <c r="O125" s="275">
        <f>SUM(O111:O124)</f>
        <v>22316000</v>
      </c>
      <c r="P125" s="812"/>
      <c r="Q125" s="813"/>
      <c r="R125" s="814"/>
      <c r="S125" s="268">
        <f>SUM(S111:S124)</f>
        <v>89316000</v>
      </c>
      <c r="T125" s="543">
        <f t="shared" si="41"/>
        <v>11000000</v>
      </c>
      <c r="U125" s="812"/>
      <c r="V125" s="813"/>
      <c r="W125" s="814"/>
      <c r="X125" s="268">
        <f>SUM(X111:X124)</f>
        <v>76000000</v>
      </c>
      <c r="Y125" s="543">
        <f t="shared" si="51"/>
        <v>-13316000</v>
      </c>
      <c r="Z125" s="812"/>
      <c r="AA125" s="813"/>
      <c r="AB125" s="814"/>
      <c r="AC125" s="268">
        <f>SUM(AC111:AC124)</f>
        <v>76000000</v>
      </c>
      <c r="AD125" s="543">
        <f t="shared" si="52"/>
        <v>0</v>
      </c>
      <c r="AE125" s="812"/>
      <c r="AF125" s="813"/>
      <c r="AG125" s="814"/>
      <c r="AH125" s="268">
        <f>SUM(AH111:AH124)</f>
        <v>76000000</v>
      </c>
      <c r="AI125" s="543">
        <f t="shared" si="53"/>
        <v>0</v>
      </c>
      <c r="AJ125" s="94"/>
      <c r="AK125" s="33"/>
    </row>
    <row r="126" spans="2:37" s="1" customFormat="1" ht="30.2" customHeight="1">
      <c r="B126" s="820"/>
      <c r="C126" s="824" t="s">
        <v>315</v>
      </c>
      <c r="D126" s="883"/>
      <c r="E126" s="747" t="s">
        <v>224</v>
      </c>
      <c r="F126" s="23" t="s">
        <v>316</v>
      </c>
      <c r="G126" s="113">
        <v>1</v>
      </c>
      <c r="H126" s="113" t="s">
        <v>147</v>
      </c>
      <c r="I126" s="115">
        <v>3000000</v>
      </c>
      <c r="J126" s="119">
        <f>G126*I126</f>
        <v>3000000</v>
      </c>
      <c r="K126" s="212">
        <v>1</v>
      </c>
      <c r="L126" s="87" t="s">
        <v>147</v>
      </c>
      <c r="M126" s="147">
        <v>3000000</v>
      </c>
      <c r="N126" s="267">
        <f>K126*M126</f>
        <v>3000000</v>
      </c>
      <c r="O126" s="253">
        <f>N126-J126</f>
        <v>0</v>
      </c>
      <c r="P126" s="212">
        <v>1</v>
      </c>
      <c r="Q126" s="504" t="s">
        <v>147</v>
      </c>
      <c r="R126" s="147">
        <v>3000000</v>
      </c>
      <c r="S126" s="267">
        <f>P126*R126</f>
        <v>3000000</v>
      </c>
      <c r="T126" s="251">
        <f t="shared" si="41"/>
        <v>0</v>
      </c>
      <c r="U126" s="212">
        <v>1</v>
      </c>
      <c r="V126" s="504" t="s">
        <v>147</v>
      </c>
      <c r="W126" s="147">
        <v>3000000</v>
      </c>
      <c r="X126" s="267">
        <f>U126*W126</f>
        <v>3000000</v>
      </c>
      <c r="Y126" s="251">
        <f t="shared" si="51"/>
        <v>0</v>
      </c>
      <c r="Z126" s="212">
        <v>1</v>
      </c>
      <c r="AA126" s="566" t="s">
        <v>147</v>
      </c>
      <c r="AB126" s="147">
        <v>3000000</v>
      </c>
      <c r="AC126" s="267">
        <f>Z126*AB126</f>
        <v>3000000</v>
      </c>
      <c r="AD126" s="251">
        <f t="shared" si="52"/>
        <v>0</v>
      </c>
      <c r="AE126" s="212">
        <v>1</v>
      </c>
      <c r="AF126" s="573" t="s">
        <v>147</v>
      </c>
      <c r="AG126" s="147">
        <v>3000000</v>
      </c>
      <c r="AH126" s="267">
        <f>AE126*AG126</f>
        <v>3000000</v>
      </c>
      <c r="AI126" s="251">
        <f t="shared" si="53"/>
        <v>0</v>
      </c>
      <c r="AJ126" s="95"/>
      <c r="AK126" s="49"/>
    </row>
    <row r="127" spans="2:37" s="1" customFormat="1" ht="30.2" customHeight="1">
      <c r="B127" s="820"/>
      <c r="C127" s="825"/>
      <c r="D127" s="884"/>
      <c r="E127" s="748"/>
      <c r="F127" s="64" t="s">
        <v>223</v>
      </c>
      <c r="G127" s="120">
        <v>1</v>
      </c>
      <c r="H127" s="117" t="s">
        <v>147</v>
      </c>
      <c r="I127" s="118">
        <v>1000000</v>
      </c>
      <c r="J127" s="119">
        <f>G127*I127</f>
        <v>1000000</v>
      </c>
      <c r="K127" s="214">
        <v>1</v>
      </c>
      <c r="L127" s="65" t="s">
        <v>147</v>
      </c>
      <c r="M127" s="148">
        <v>1000000</v>
      </c>
      <c r="N127" s="267">
        <f>K127*M127</f>
        <v>1000000</v>
      </c>
      <c r="O127" s="253">
        <f>N127-J127</f>
        <v>0</v>
      </c>
      <c r="P127" s="214">
        <v>1</v>
      </c>
      <c r="Q127" s="65" t="s">
        <v>147</v>
      </c>
      <c r="R127" s="148">
        <v>1000000</v>
      </c>
      <c r="S127" s="267">
        <f>P127*R127</f>
        <v>1000000</v>
      </c>
      <c r="T127" s="251">
        <f t="shared" si="41"/>
        <v>0</v>
      </c>
      <c r="U127" s="214">
        <v>1</v>
      </c>
      <c r="V127" s="65" t="s">
        <v>147</v>
      </c>
      <c r="W127" s="148">
        <v>1000000</v>
      </c>
      <c r="X127" s="267">
        <f>U127*W127</f>
        <v>1000000</v>
      </c>
      <c r="Y127" s="251">
        <f t="shared" si="51"/>
        <v>0</v>
      </c>
      <c r="Z127" s="214">
        <v>1</v>
      </c>
      <c r="AA127" s="65" t="s">
        <v>147</v>
      </c>
      <c r="AB127" s="148">
        <v>1000000</v>
      </c>
      <c r="AC127" s="267">
        <f>Z127*AB127</f>
        <v>1000000</v>
      </c>
      <c r="AD127" s="251">
        <f t="shared" si="52"/>
        <v>0</v>
      </c>
      <c r="AE127" s="214">
        <v>1</v>
      </c>
      <c r="AF127" s="65" t="s">
        <v>147</v>
      </c>
      <c r="AG127" s="148">
        <v>1000000</v>
      </c>
      <c r="AH127" s="267">
        <f>AE127*AG127</f>
        <v>1000000</v>
      </c>
      <c r="AI127" s="251">
        <f t="shared" si="53"/>
        <v>0</v>
      </c>
      <c r="AJ127" s="95"/>
      <c r="AK127" s="49"/>
    </row>
    <row r="128" spans="2:37" s="1" customFormat="1" ht="30.2" customHeight="1">
      <c r="B128" s="820"/>
      <c r="C128" s="825"/>
      <c r="D128" s="884"/>
      <c r="E128" s="747" t="s">
        <v>308</v>
      </c>
      <c r="F128" s="64" t="s">
        <v>317</v>
      </c>
      <c r="G128" s="113">
        <v>1</v>
      </c>
      <c r="H128" s="117" t="s">
        <v>289</v>
      </c>
      <c r="I128" s="115">
        <v>3500000</v>
      </c>
      <c r="J128" s="119">
        <f>G128*I128</f>
        <v>3500000</v>
      </c>
      <c r="K128" s="212">
        <v>1</v>
      </c>
      <c r="L128" s="65" t="s">
        <v>289</v>
      </c>
      <c r="M128" s="147">
        <v>3500000</v>
      </c>
      <c r="N128" s="267">
        <f>K128*M128</f>
        <v>3500000</v>
      </c>
      <c r="O128" s="253">
        <f>N128-J128</f>
        <v>0</v>
      </c>
      <c r="P128" s="212">
        <v>1</v>
      </c>
      <c r="Q128" s="65" t="s">
        <v>268</v>
      </c>
      <c r="R128" s="147">
        <v>3500000</v>
      </c>
      <c r="S128" s="267">
        <f>P128*R128</f>
        <v>3500000</v>
      </c>
      <c r="T128" s="251">
        <f t="shared" si="41"/>
        <v>0</v>
      </c>
      <c r="U128" s="212">
        <v>1</v>
      </c>
      <c r="V128" s="65" t="s">
        <v>268</v>
      </c>
      <c r="W128" s="147">
        <v>3500000</v>
      </c>
      <c r="X128" s="267">
        <f>U128*W128</f>
        <v>3500000</v>
      </c>
      <c r="Y128" s="251">
        <f t="shared" si="51"/>
        <v>0</v>
      </c>
      <c r="Z128" s="212">
        <v>1</v>
      </c>
      <c r="AA128" s="65" t="s">
        <v>268</v>
      </c>
      <c r="AB128" s="147">
        <v>3500000</v>
      </c>
      <c r="AC128" s="267">
        <f>Z128*AB128</f>
        <v>3500000</v>
      </c>
      <c r="AD128" s="251">
        <f t="shared" si="52"/>
        <v>0</v>
      </c>
      <c r="AE128" s="212">
        <v>1</v>
      </c>
      <c r="AF128" s="65" t="s">
        <v>268</v>
      </c>
      <c r="AG128" s="147">
        <v>3500000</v>
      </c>
      <c r="AH128" s="267">
        <f>AE128*AG128</f>
        <v>3500000</v>
      </c>
      <c r="AI128" s="251">
        <f t="shared" si="53"/>
        <v>0</v>
      </c>
      <c r="AJ128" s="95"/>
      <c r="AK128" s="49"/>
    </row>
    <row r="129" spans="2:37" s="1" customFormat="1" ht="30.2" customHeight="1">
      <c r="B129" s="820"/>
      <c r="C129" s="825"/>
      <c r="D129" s="884"/>
      <c r="E129" s="828"/>
      <c r="F129" s="64" t="s">
        <v>309</v>
      </c>
      <c r="G129" s="113">
        <v>1</v>
      </c>
      <c r="H129" s="117" t="s">
        <v>35</v>
      </c>
      <c r="I129" s="115">
        <v>1000000</v>
      </c>
      <c r="J129" s="119">
        <f>G129*I129</f>
        <v>1000000</v>
      </c>
      <c r="K129" s="212">
        <v>1</v>
      </c>
      <c r="L129" s="65" t="s">
        <v>35</v>
      </c>
      <c r="M129" s="147">
        <v>1000000</v>
      </c>
      <c r="N129" s="267">
        <f>K129*M129</f>
        <v>1000000</v>
      </c>
      <c r="O129" s="253">
        <f>N129-J129</f>
        <v>0</v>
      </c>
      <c r="P129" s="212">
        <v>1</v>
      </c>
      <c r="Q129" s="65" t="s">
        <v>35</v>
      </c>
      <c r="R129" s="147">
        <v>1000000</v>
      </c>
      <c r="S129" s="267">
        <f>P129*R129</f>
        <v>1000000</v>
      </c>
      <c r="T129" s="251">
        <f t="shared" si="41"/>
        <v>0</v>
      </c>
      <c r="U129" s="212">
        <v>1</v>
      </c>
      <c r="V129" s="65" t="s">
        <v>35</v>
      </c>
      <c r="W129" s="147">
        <v>1000000</v>
      </c>
      <c r="X129" s="267">
        <f>U129*W129</f>
        <v>1000000</v>
      </c>
      <c r="Y129" s="251">
        <f t="shared" si="51"/>
        <v>0</v>
      </c>
      <c r="Z129" s="212">
        <v>1</v>
      </c>
      <c r="AA129" s="65" t="s">
        <v>35</v>
      </c>
      <c r="AB129" s="147">
        <v>1000000</v>
      </c>
      <c r="AC129" s="267">
        <f>Z129*AB129</f>
        <v>1000000</v>
      </c>
      <c r="AD129" s="251">
        <f t="shared" si="52"/>
        <v>0</v>
      </c>
      <c r="AE129" s="212">
        <v>1</v>
      </c>
      <c r="AF129" s="65" t="s">
        <v>35</v>
      </c>
      <c r="AG129" s="147">
        <v>1000000</v>
      </c>
      <c r="AH129" s="267">
        <f>AE129*AG129</f>
        <v>1000000</v>
      </c>
      <c r="AI129" s="251">
        <f t="shared" si="53"/>
        <v>0</v>
      </c>
      <c r="AJ129" s="95"/>
      <c r="AK129" s="49"/>
    </row>
    <row r="130" spans="2:37" s="1" customFormat="1" ht="30.2" customHeight="1">
      <c r="B130" s="820"/>
      <c r="C130" s="826"/>
      <c r="D130" s="885"/>
      <c r="E130" s="748"/>
      <c r="F130" s="64" t="s">
        <v>223</v>
      </c>
      <c r="G130" s="113">
        <v>1</v>
      </c>
      <c r="H130" s="117" t="s">
        <v>147</v>
      </c>
      <c r="I130" s="115">
        <v>600000</v>
      </c>
      <c r="J130" s="119">
        <f>G130*I130</f>
        <v>600000</v>
      </c>
      <c r="K130" s="212">
        <v>1</v>
      </c>
      <c r="L130" s="65" t="s">
        <v>147</v>
      </c>
      <c r="M130" s="147">
        <v>600000</v>
      </c>
      <c r="N130" s="267">
        <f>K130*M130</f>
        <v>600000</v>
      </c>
      <c r="O130" s="253">
        <f>N130-J130</f>
        <v>0</v>
      </c>
      <c r="P130" s="212">
        <v>1</v>
      </c>
      <c r="Q130" s="65" t="s">
        <v>147</v>
      </c>
      <c r="R130" s="147">
        <v>600000</v>
      </c>
      <c r="S130" s="267">
        <f>P130*R130</f>
        <v>600000</v>
      </c>
      <c r="T130" s="251">
        <f t="shared" si="41"/>
        <v>0</v>
      </c>
      <c r="U130" s="212">
        <v>1</v>
      </c>
      <c r="V130" s="65" t="s">
        <v>147</v>
      </c>
      <c r="W130" s="147">
        <v>600000</v>
      </c>
      <c r="X130" s="267">
        <f>U130*W130</f>
        <v>600000</v>
      </c>
      <c r="Y130" s="251">
        <f t="shared" si="51"/>
        <v>0</v>
      </c>
      <c r="Z130" s="212">
        <v>1</v>
      </c>
      <c r="AA130" s="65" t="s">
        <v>147</v>
      </c>
      <c r="AB130" s="147">
        <v>600000</v>
      </c>
      <c r="AC130" s="267">
        <f>Z130*AB130</f>
        <v>600000</v>
      </c>
      <c r="AD130" s="251">
        <f t="shared" si="52"/>
        <v>0</v>
      </c>
      <c r="AE130" s="212">
        <v>1</v>
      </c>
      <c r="AF130" s="65" t="s">
        <v>147</v>
      </c>
      <c r="AG130" s="147">
        <v>600000</v>
      </c>
      <c r="AH130" s="267">
        <f>AE130*AG130</f>
        <v>600000</v>
      </c>
      <c r="AI130" s="251">
        <f t="shared" si="53"/>
        <v>0</v>
      </c>
      <c r="AJ130" s="95"/>
      <c r="AK130" s="49"/>
    </row>
    <row r="131" spans="2:37" ht="30.2" customHeight="1">
      <c r="B131" s="821"/>
      <c r="C131" s="707" t="s">
        <v>314</v>
      </c>
      <c r="D131" s="708"/>
      <c r="E131" s="708"/>
      <c r="F131" s="708"/>
      <c r="G131" s="708"/>
      <c r="H131" s="708"/>
      <c r="I131" s="709"/>
      <c r="J131" s="160">
        <f>SUM(J126:J130)</f>
        <v>9100000</v>
      </c>
      <c r="K131" s="812"/>
      <c r="L131" s="813"/>
      <c r="M131" s="814"/>
      <c r="N131" s="268">
        <f>SUM(N126:N130)</f>
        <v>9100000</v>
      </c>
      <c r="O131" s="245">
        <f>SUM(O126:O130)</f>
        <v>0</v>
      </c>
      <c r="P131" s="812"/>
      <c r="Q131" s="813"/>
      <c r="R131" s="814"/>
      <c r="S131" s="268">
        <f>SUM(S126:S130)</f>
        <v>9100000</v>
      </c>
      <c r="T131" s="543">
        <f t="shared" si="41"/>
        <v>0</v>
      </c>
      <c r="U131" s="812"/>
      <c r="V131" s="813"/>
      <c r="W131" s="814"/>
      <c r="X131" s="268">
        <f>SUM(X126:X130)</f>
        <v>9100000</v>
      </c>
      <c r="Y131" s="543">
        <f t="shared" si="51"/>
        <v>0</v>
      </c>
      <c r="Z131" s="812"/>
      <c r="AA131" s="813"/>
      <c r="AB131" s="814"/>
      <c r="AC131" s="268">
        <f>SUM(AC126:AC130)</f>
        <v>9100000</v>
      </c>
      <c r="AD131" s="543">
        <f t="shared" si="52"/>
        <v>0</v>
      </c>
      <c r="AE131" s="812"/>
      <c r="AF131" s="813"/>
      <c r="AG131" s="814"/>
      <c r="AH131" s="268">
        <f>SUM(AH126:AH130)</f>
        <v>9100000</v>
      </c>
      <c r="AI131" s="543">
        <f t="shared" si="53"/>
        <v>0</v>
      </c>
      <c r="AJ131" s="94"/>
      <c r="AK131" s="33"/>
    </row>
    <row r="132" spans="2:37" ht="30.2" customHeight="1">
      <c r="B132" s="875" t="s">
        <v>56</v>
      </c>
      <c r="C132" s="875"/>
      <c r="D132" s="875"/>
      <c r="E132" s="875"/>
      <c r="F132" s="875"/>
      <c r="G132" s="875"/>
      <c r="H132" s="875"/>
      <c r="I132" s="875"/>
      <c r="J132" s="161">
        <f>SUM(J131,J125,J110,J86,)</f>
        <v>423220000</v>
      </c>
      <c r="K132" s="801"/>
      <c r="L132" s="802"/>
      <c r="M132" s="803"/>
      <c r="N132" s="270">
        <f>SUM(N131,N125,N110,N86,)</f>
        <v>461536000</v>
      </c>
      <c r="O132" s="277">
        <f>SUM(O131,O125,O110,O86,)</f>
        <v>38316000</v>
      </c>
      <c r="P132" s="801"/>
      <c r="Q132" s="802"/>
      <c r="R132" s="803"/>
      <c r="S132" s="270">
        <f>SUM(S131,S125,S110,S86,)</f>
        <v>467536000</v>
      </c>
      <c r="T132" s="244">
        <f t="shared" si="41"/>
        <v>6000000</v>
      </c>
      <c r="U132" s="801"/>
      <c r="V132" s="802"/>
      <c r="W132" s="803"/>
      <c r="X132" s="270">
        <f>SUM(X131,X125,X110,X86,)</f>
        <v>454220000</v>
      </c>
      <c r="Y132" s="244">
        <f t="shared" si="51"/>
        <v>-13316000</v>
      </c>
      <c r="Z132" s="801"/>
      <c r="AA132" s="802"/>
      <c r="AB132" s="803"/>
      <c r="AC132" s="270">
        <f>SUM(AC131,AC125,AC110,AC86,)</f>
        <v>454220000</v>
      </c>
      <c r="AD132" s="244">
        <f t="shared" si="52"/>
        <v>0</v>
      </c>
      <c r="AE132" s="801"/>
      <c r="AF132" s="802"/>
      <c r="AG132" s="803"/>
      <c r="AH132" s="270">
        <f>SUM(AH131,AH125,AH110,AH86,)</f>
        <v>454220000</v>
      </c>
      <c r="AI132" s="244">
        <f t="shared" si="53"/>
        <v>0</v>
      </c>
      <c r="AJ132" s="205"/>
      <c r="AK132" s="57"/>
    </row>
    <row r="133" spans="2:37" s="1" customFormat="1" ht="30.2" customHeight="1">
      <c r="B133" s="819" t="s">
        <v>58</v>
      </c>
      <c r="C133" s="703" t="s">
        <v>59</v>
      </c>
      <c r="D133" s="703" t="s">
        <v>36</v>
      </c>
      <c r="E133" s="173" t="s">
        <v>338</v>
      </c>
      <c r="F133" s="174" t="s">
        <v>433</v>
      </c>
      <c r="G133" s="179">
        <v>1</v>
      </c>
      <c r="H133" s="179" t="s">
        <v>38</v>
      </c>
      <c r="I133" s="185">
        <v>100000000</v>
      </c>
      <c r="J133" s="182">
        <f>G133*I133</f>
        <v>100000000</v>
      </c>
      <c r="K133" s="779">
        <v>1</v>
      </c>
      <c r="L133" s="781" t="s">
        <v>443</v>
      </c>
      <c r="M133" s="783">
        <v>288000000</v>
      </c>
      <c r="N133" s="759">
        <f>K133*M133</f>
        <v>288000000</v>
      </c>
      <c r="O133" s="764">
        <f>N133-J133-J134</f>
        <v>58000000</v>
      </c>
      <c r="P133" s="779">
        <v>1</v>
      </c>
      <c r="Q133" s="781" t="s">
        <v>38</v>
      </c>
      <c r="R133" s="783">
        <v>288000000</v>
      </c>
      <c r="S133" s="759">
        <f>P133*R133</f>
        <v>288000000</v>
      </c>
      <c r="T133" s="764">
        <v>0</v>
      </c>
      <c r="U133" s="779">
        <v>1</v>
      </c>
      <c r="V133" s="781" t="s">
        <v>38</v>
      </c>
      <c r="W133" s="783">
        <v>288000000</v>
      </c>
      <c r="X133" s="759">
        <f>U133*W133</f>
        <v>288000000</v>
      </c>
      <c r="Y133" s="764">
        <f>X133-S133</f>
        <v>0</v>
      </c>
      <c r="Z133" s="779">
        <v>1</v>
      </c>
      <c r="AA133" s="781" t="s">
        <v>38</v>
      </c>
      <c r="AB133" s="783">
        <v>288000000</v>
      </c>
      <c r="AC133" s="759">
        <f>Z133*AB133</f>
        <v>288000000</v>
      </c>
      <c r="AD133" s="764">
        <f>AC133-X133</f>
        <v>0</v>
      </c>
      <c r="AE133" s="779">
        <v>1</v>
      </c>
      <c r="AF133" s="781" t="s">
        <v>38</v>
      </c>
      <c r="AG133" s="783">
        <v>288000000</v>
      </c>
      <c r="AH133" s="759">
        <f>AE133*AG133</f>
        <v>288000000</v>
      </c>
      <c r="AI133" s="764">
        <f t="shared" si="53"/>
        <v>0</v>
      </c>
      <c r="AJ133" s="785"/>
      <c r="AK133" s="703"/>
    </row>
    <row r="134" spans="2:37" s="1" customFormat="1" ht="30.2" customHeight="1">
      <c r="B134" s="820"/>
      <c r="C134" s="705"/>
      <c r="D134" s="704"/>
      <c r="E134" s="173" t="s">
        <v>431</v>
      </c>
      <c r="F134" s="174" t="s">
        <v>432</v>
      </c>
      <c r="G134" s="179">
        <v>1</v>
      </c>
      <c r="H134" s="179" t="s">
        <v>434</v>
      </c>
      <c r="I134" s="185">
        <v>130000000</v>
      </c>
      <c r="J134" s="182">
        <f>G134*I134</f>
        <v>130000000</v>
      </c>
      <c r="K134" s="780"/>
      <c r="L134" s="782"/>
      <c r="M134" s="784"/>
      <c r="N134" s="760"/>
      <c r="O134" s="765"/>
      <c r="P134" s="780"/>
      <c r="Q134" s="782"/>
      <c r="R134" s="784"/>
      <c r="S134" s="760"/>
      <c r="T134" s="765"/>
      <c r="U134" s="780"/>
      <c r="V134" s="782"/>
      <c r="W134" s="784"/>
      <c r="X134" s="760"/>
      <c r="Y134" s="765"/>
      <c r="Z134" s="780"/>
      <c r="AA134" s="782"/>
      <c r="AB134" s="784"/>
      <c r="AC134" s="760"/>
      <c r="AD134" s="765"/>
      <c r="AE134" s="780"/>
      <c r="AF134" s="782"/>
      <c r="AG134" s="784"/>
      <c r="AH134" s="760"/>
      <c r="AI134" s="765"/>
      <c r="AJ134" s="815"/>
      <c r="AK134" s="704"/>
    </row>
    <row r="135" spans="2:37" s="1" customFormat="1" ht="30.2" customHeight="1">
      <c r="B135" s="820"/>
      <c r="C135" s="704"/>
      <c r="D135" s="106" t="s">
        <v>39</v>
      </c>
      <c r="E135" s="173" t="s">
        <v>37</v>
      </c>
      <c r="F135" s="174" t="s">
        <v>43</v>
      </c>
      <c r="G135" s="179">
        <v>1</v>
      </c>
      <c r="H135" s="180" t="s">
        <v>38</v>
      </c>
      <c r="I135" s="181">
        <v>20000000</v>
      </c>
      <c r="J135" s="182">
        <v>20000000</v>
      </c>
      <c r="K135" s="225">
        <v>1</v>
      </c>
      <c r="L135" s="187" t="s">
        <v>444</v>
      </c>
      <c r="M135" s="188">
        <v>12000000</v>
      </c>
      <c r="N135" s="271">
        <f>K135*M135</f>
        <v>12000000</v>
      </c>
      <c r="O135" s="258">
        <f>N135-J135</f>
        <v>-8000000</v>
      </c>
      <c r="P135" s="225">
        <v>1</v>
      </c>
      <c r="Q135" s="187" t="s">
        <v>38</v>
      </c>
      <c r="R135" s="188">
        <v>12000000</v>
      </c>
      <c r="S135" s="271">
        <f>P135*R135</f>
        <v>12000000</v>
      </c>
      <c r="T135" s="256">
        <f>S135-N135</f>
        <v>0</v>
      </c>
      <c r="U135" s="225">
        <v>1</v>
      </c>
      <c r="V135" s="187" t="s">
        <v>38</v>
      </c>
      <c r="W135" s="188">
        <v>12000000</v>
      </c>
      <c r="X135" s="271">
        <f>U135*W135</f>
        <v>12000000</v>
      </c>
      <c r="Y135" s="258">
        <f>X135-S135</f>
        <v>0</v>
      </c>
      <c r="Z135" s="225">
        <v>1</v>
      </c>
      <c r="AA135" s="187" t="s">
        <v>38</v>
      </c>
      <c r="AB135" s="188">
        <v>12000000</v>
      </c>
      <c r="AC135" s="271">
        <f>Z135*AB135</f>
        <v>12000000</v>
      </c>
      <c r="AD135" s="258">
        <f>AC135-X135</f>
        <v>0</v>
      </c>
      <c r="AE135" s="225">
        <v>1</v>
      </c>
      <c r="AF135" s="187" t="s">
        <v>38</v>
      </c>
      <c r="AG135" s="188">
        <v>12000000</v>
      </c>
      <c r="AH135" s="271">
        <f>AE135*AG135</f>
        <v>12000000</v>
      </c>
      <c r="AI135" s="258">
        <f>AH135-AC135</f>
        <v>0</v>
      </c>
      <c r="AJ135" s="206"/>
      <c r="AK135" s="106"/>
    </row>
    <row r="136" spans="2:37" s="1" customFormat="1" ht="32.25" customHeight="1">
      <c r="B136" s="820"/>
      <c r="C136" s="707" t="s">
        <v>55</v>
      </c>
      <c r="D136" s="708"/>
      <c r="E136" s="708"/>
      <c r="F136" s="708"/>
      <c r="G136" s="708"/>
      <c r="H136" s="708"/>
      <c r="I136" s="709"/>
      <c r="J136" s="167">
        <f>SUM(J133:J135)</f>
        <v>250000000</v>
      </c>
      <c r="K136" s="766"/>
      <c r="L136" s="767"/>
      <c r="M136" s="768"/>
      <c r="N136" s="272">
        <f>SUM(N133:N135)</f>
        <v>300000000</v>
      </c>
      <c r="O136" s="278">
        <f>SUM(O133:O135)</f>
        <v>50000000</v>
      </c>
      <c r="P136" s="766"/>
      <c r="Q136" s="767"/>
      <c r="R136" s="768"/>
      <c r="S136" s="272">
        <f>SUM(S133:S135)</f>
        <v>300000000</v>
      </c>
      <c r="T136" s="278">
        <f>SUM(T133:T135)</f>
        <v>0</v>
      </c>
      <c r="U136" s="766"/>
      <c r="V136" s="767"/>
      <c r="W136" s="768"/>
      <c r="X136" s="272">
        <f>SUM(X133:X135)</f>
        <v>300000000</v>
      </c>
      <c r="Y136" s="278">
        <f>SUM(Y133:Y135)</f>
        <v>0</v>
      </c>
      <c r="Z136" s="766"/>
      <c r="AA136" s="767"/>
      <c r="AB136" s="768"/>
      <c r="AC136" s="272">
        <f>SUM(AC133:AC135)</f>
        <v>300000000</v>
      </c>
      <c r="AD136" s="278">
        <f>SUM(AD133:AD135)</f>
        <v>0</v>
      </c>
      <c r="AE136" s="766"/>
      <c r="AF136" s="767"/>
      <c r="AG136" s="768"/>
      <c r="AH136" s="272">
        <f>SUM(AH133:AH135)</f>
        <v>300000000</v>
      </c>
      <c r="AI136" s="278">
        <f>SUM(AI133:AI135)</f>
        <v>0</v>
      </c>
      <c r="AJ136" s="207"/>
      <c r="AK136" s="33"/>
    </row>
    <row r="137" spans="2:37" s="1" customFormat="1" ht="32.25" customHeight="1">
      <c r="B137" s="820"/>
      <c r="C137" s="744" t="s">
        <v>339</v>
      </c>
      <c r="D137" s="703" t="s">
        <v>445</v>
      </c>
      <c r="E137" s="754" t="s">
        <v>446</v>
      </c>
      <c r="F137" s="174" t="s">
        <v>447</v>
      </c>
      <c r="G137" s="179">
        <v>1</v>
      </c>
      <c r="H137" s="189" t="s">
        <v>448</v>
      </c>
      <c r="I137" s="185">
        <v>6000000</v>
      </c>
      <c r="J137" s="182">
        <f>G137*I137</f>
        <v>6000000</v>
      </c>
      <c r="K137" s="226"/>
      <c r="L137" s="190"/>
      <c r="M137" s="190"/>
      <c r="N137" s="271">
        <f>K137*M137</f>
        <v>0</v>
      </c>
      <c r="O137" s="259">
        <f>N137-J137</f>
        <v>-6000000</v>
      </c>
      <c r="P137" s="226"/>
      <c r="Q137" s="190"/>
      <c r="R137" s="190"/>
      <c r="S137" s="271">
        <f>P137*R137</f>
        <v>0</v>
      </c>
      <c r="T137" s="256">
        <f t="shared" ref="T137:T147" si="54">S137-N137</f>
        <v>0</v>
      </c>
      <c r="U137" s="226"/>
      <c r="V137" s="190"/>
      <c r="W137" s="190"/>
      <c r="X137" s="271">
        <f>U137*W137</f>
        <v>0</v>
      </c>
      <c r="Y137" s="259">
        <f>X137-T137</f>
        <v>0</v>
      </c>
      <c r="Z137" s="226"/>
      <c r="AA137" s="190"/>
      <c r="AB137" s="190"/>
      <c r="AC137" s="271">
        <f>Z137*AB137</f>
        <v>0</v>
      </c>
      <c r="AD137" s="259">
        <f>AC137-Y137</f>
        <v>0</v>
      </c>
      <c r="AE137" s="226"/>
      <c r="AF137" s="190"/>
      <c r="AG137" s="190"/>
      <c r="AH137" s="271">
        <f>AE137*AG137</f>
        <v>0</v>
      </c>
      <c r="AI137" s="259">
        <f>AH137-AD137</f>
        <v>0</v>
      </c>
      <c r="AJ137" s="208"/>
      <c r="AK137" s="710" t="s">
        <v>452</v>
      </c>
    </row>
    <row r="138" spans="2:37" s="1" customFormat="1" ht="32.25" customHeight="1">
      <c r="B138" s="820"/>
      <c r="C138" s="745"/>
      <c r="D138" s="705"/>
      <c r="E138" s="827"/>
      <c r="F138" s="174" t="s">
        <v>449</v>
      </c>
      <c r="G138" s="179">
        <v>1</v>
      </c>
      <c r="H138" s="189" t="s">
        <v>450</v>
      </c>
      <c r="I138" s="185">
        <v>4000000</v>
      </c>
      <c r="J138" s="182">
        <f>G138*I138</f>
        <v>4000000</v>
      </c>
      <c r="K138" s="226"/>
      <c r="L138" s="190"/>
      <c r="M138" s="190"/>
      <c r="N138" s="271">
        <f>K138*M138</f>
        <v>0</v>
      </c>
      <c r="O138" s="259">
        <f>N138-J138</f>
        <v>-4000000</v>
      </c>
      <c r="P138" s="226"/>
      <c r="Q138" s="190"/>
      <c r="R138" s="190"/>
      <c r="S138" s="271">
        <f>P138*R138</f>
        <v>0</v>
      </c>
      <c r="T138" s="256">
        <f t="shared" si="54"/>
        <v>0</v>
      </c>
      <c r="U138" s="226"/>
      <c r="V138" s="190"/>
      <c r="W138" s="190"/>
      <c r="X138" s="271">
        <f>U138*W138</f>
        <v>0</v>
      </c>
      <c r="Y138" s="259">
        <f>X138-T138</f>
        <v>0</v>
      </c>
      <c r="Z138" s="226"/>
      <c r="AA138" s="190"/>
      <c r="AB138" s="190"/>
      <c r="AC138" s="271">
        <f>Z138*AB138</f>
        <v>0</v>
      </c>
      <c r="AD138" s="259">
        <f>AC138-Y138</f>
        <v>0</v>
      </c>
      <c r="AE138" s="226"/>
      <c r="AF138" s="190"/>
      <c r="AG138" s="190"/>
      <c r="AH138" s="271">
        <f>AE138*AG138</f>
        <v>0</v>
      </c>
      <c r="AI138" s="259">
        <f>AH138-AD138</f>
        <v>0</v>
      </c>
      <c r="AJ138" s="208"/>
      <c r="AK138" s="711"/>
    </row>
    <row r="139" spans="2:37" s="1" customFormat="1" ht="32.25" customHeight="1">
      <c r="B139" s="820"/>
      <c r="C139" s="745"/>
      <c r="D139" s="704"/>
      <c r="E139" s="755"/>
      <c r="F139" s="174" t="s">
        <v>451</v>
      </c>
      <c r="G139" s="179">
        <v>9</v>
      </c>
      <c r="H139" s="189" t="s">
        <v>76</v>
      </c>
      <c r="I139" s="185">
        <v>200000</v>
      </c>
      <c r="J139" s="182">
        <f>G139*I139</f>
        <v>1800000</v>
      </c>
      <c r="K139" s="226"/>
      <c r="L139" s="190"/>
      <c r="M139" s="190"/>
      <c r="N139" s="271">
        <f>K139*M139</f>
        <v>0</v>
      </c>
      <c r="O139" s="259">
        <f>N139-J139</f>
        <v>-1800000</v>
      </c>
      <c r="P139" s="226"/>
      <c r="Q139" s="190"/>
      <c r="R139" s="190"/>
      <c r="S139" s="271">
        <f>P139*R139</f>
        <v>0</v>
      </c>
      <c r="T139" s="256">
        <f t="shared" si="54"/>
        <v>0</v>
      </c>
      <c r="U139" s="226"/>
      <c r="V139" s="190"/>
      <c r="W139" s="190"/>
      <c r="X139" s="271">
        <f>U139*W139</f>
        <v>0</v>
      </c>
      <c r="Y139" s="259">
        <f>X139-T139</f>
        <v>0</v>
      </c>
      <c r="Z139" s="226"/>
      <c r="AA139" s="190"/>
      <c r="AB139" s="190"/>
      <c r="AC139" s="271">
        <f>Z139*AB139</f>
        <v>0</v>
      </c>
      <c r="AD139" s="259">
        <f>AC139-Y139</f>
        <v>0</v>
      </c>
      <c r="AE139" s="226"/>
      <c r="AF139" s="190"/>
      <c r="AG139" s="190"/>
      <c r="AH139" s="271">
        <f>AE139*AG139</f>
        <v>0</v>
      </c>
      <c r="AI139" s="259">
        <f>AH139-AD139</f>
        <v>0</v>
      </c>
      <c r="AJ139" s="208"/>
      <c r="AK139" s="712"/>
    </row>
    <row r="140" spans="2:37" s="1" customFormat="1" ht="30.2" customHeight="1">
      <c r="B140" s="820"/>
      <c r="C140" s="745"/>
      <c r="D140" s="744" t="s">
        <v>73</v>
      </c>
      <c r="E140" s="799" t="s">
        <v>72</v>
      </c>
      <c r="F140" s="45" t="s">
        <v>75</v>
      </c>
      <c r="G140" s="162">
        <v>12</v>
      </c>
      <c r="H140" s="172" t="s">
        <v>76</v>
      </c>
      <c r="I140" s="163">
        <v>180000</v>
      </c>
      <c r="J140" s="166">
        <f>G140*I140</f>
        <v>2160000</v>
      </c>
      <c r="K140" s="227">
        <v>12</v>
      </c>
      <c r="L140" s="50" t="s">
        <v>76</v>
      </c>
      <c r="M140" s="25">
        <v>180000</v>
      </c>
      <c r="N140" s="265">
        <f>K140*M140</f>
        <v>2160000</v>
      </c>
      <c r="O140" s="251">
        <f>N140-J140</f>
        <v>0</v>
      </c>
      <c r="P140" s="227">
        <v>12</v>
      </c>
      <c r="Q140" s="50" t="s">
        <v>76</v>
      </c>
      <c r="R140" s="25">
        <v>180000</v>
      </c>
      <c r="S140" s="265">
        <f>P140*R140</f>
        <v>2160000</v>
      </c>
      <c r="T140" s="251">
        <f t="shared" si="54"/>
        <v>0</v>
      </c>
      <c r="U140" s="227">
        <v>12</v>
      </c>
      <c r="V140" s="50" t="s">
        <v>76</v>
      </c>
      <c r="W140" s="25">
        <v>180000</v>
      </c>
      <c r="X140" s="265">
        <f>U140*W140</f>
        <v>2160000</v>
      </c>
      <c r="Y140" s="251">
        <f>X140-S140</f>
        <v>0</v>
      </c>
      <c r="Z140" s="227">
        <v>12</v>
      </c>
      <c r="AA140" s="50" t="s">
        <v>76</v>
      </c>
      <c r="AB140" s="25">
        <v>180000</v>
      </c>
      <c r="AC140" s="265">
        <f>Z140*AB140</f>
        <v>2160000</v>
      </c>
      <c r="AD140" s="251">
        <f>AC140-X140</f>
        <v>0</v>
      </c>
      <c r="AE140" s="227">
        <v>12</v>
      </c>
      <c r="AF140" s="50" t="s">
        <v>76</v>
      </c>
      <c r="AG140" s="25">
        <v>180000</v>
      </c>
      <c r="AH140" s="265">
        <f>AE140*AG140</f>
        <v>2160000</v>
      </c>
      <c r="AI140" s="251">
        <f>AH140-AC140</f>
        <v>0</v>
      </c>
      <c r="AJ140" s="18"/>
      <c r="AK140" s="79" t="s">
        <v>78</v>
      </c>
    </row>
    <row r="141" spans="2:37" s="1" customFormat="1" ht="30.2" customHeight="1">
      <c r="B141" s="820"/>
      <c r="C141" s="746"/>
      <c r="D141" s="746"/>
      <c r="E141" s="800"/>
      <c r="F141" s="174" t="s">
        <v>74</v>
      </c>
      <c r="G141" s="179">
        <v>1</v>
      </c>
      <c r="H141" s="180" t="s">
        <v>77</v>
      </c>
      <c r="I141" s="181">
        <v>8000000</v>
      </c>
      <c r="J141" s="182">
        <v>5000000</v>
      </c>
      <c r="K141" s="228">
        <v>1</v>
      </c>
      <c r="L141" s="176" t="s">
        <v>77</v>
      </c>
      <c r="M141" s="183">
        <v>5000000</v>
      </c>
      <c r="N141" s="271">
        <f>K141*M141</f>
        <v>5000000</v>
      </c>
      <c r="O141" s="256">
        <f>N141-J141</f>
        <v>0</v>
      </c>
      <c r="P141" s="524">
        <v>1</v>
      </c>
      <c r="Q141" s="525" t="s">
        <v>38</v>
      </c>
      <c r="R141" s="526">
        <v>3000000</v>
      </c>
      <c r="S141" s="527">
        <f>P141*R141</f>
        <v>3000000</v>
      </c>
      <c r="T141" s="514">
        <f t="shared" si="54"/>
        <v>-2000000</v>
      </c>
      <c r="U141" s="524">
        <v>1</v>
      </c>
      <c r="V141" s="525" t="s">
        <v>38</v>
      </c>
      <c r="W141" s="526">
        <v>3000000</v>
      </c>
      <c r="X141" s="527">
        <f>U141*W141</f>
        <v>3000000</v>
      </c>
      <c r="Y141" s="514">
        <f>X141-S141</f>
        <v>0</v>
      </c>
      <c r="Z141" s="524">
        <v>1</v>
      </c>
      <c r="AA141" s="525" t="s">
        <v>38</v>
      </c>
      <c r="AB141" s="526">
        <v>3000000</v>
      </c>
      <c r="AC141" s="527">
        <f>Z141*AB141</f>
        <v>3000000</v>
      </c>
      <c r="AD141" s="514">
        <f>AC141-X141</f>
        <v>0</v>
      </c>
      <c r="AE141" s="524">
        <v>1</v>
      </c>
      <c r="AF141" s="525" t="s">
        <v>38</v>
      </c>
      <c r="AG141" s="526">
        <v>3000000</v>
      </c>
      <c r="AH141" s="527">
        <f>AE141*AG141</f>
        <v>3000000</v>
      </c>
      <c r="AI141" s="514">
        <f>AH141-AC141</f>
        <v>0</v>
      </c>
      <c r="AJ141" s="552"/>
      <c r="AK141" s="553"/>
    </row>
    <row r="142" spans="2:37" s="1" customFormat="1" ht="32.25" customHeight="1">
      <c r="B142" s="821"/>
      <c r="C142" s="707" t="s">
        <v>55</v>
      </c>
      <c r="D142" s="708"/>
      <c r="E142" s="708"/>
      <c r="F142" s="708"/>
      <c r="G142" s="708"/>
      <c r="H142" s="708"/>
      <c r="I142" s="709"/>
      <c r="J142" s="167">
        <f>SUM(J137:J141)</f>
        <v>18960000</v>
      </c>
      <c r="K142" s="713"/>
      <c r="L142" s="714"/>
      <c r="M142" s="715"/>
      <c r="N142" s="272">
        <f>SUM(N137:N141)</f>
        <v>7160000</v>
      </c>
      <c r="O142" s="260">
        <f>SUM(O137:O141)</f>
        <v>-11800000</v>
      </c>
      <c r="P142" s="713"/>
      <c r="Q142" s="714"/>
      <c r="R142" s="715"/>
      <c r="S142" s="272">
        <f>SUM(S137:S141)</f>
        <v>5160000</v>
      </c>
      <c r="T142" s="543">
        <f t="shared" si="54"/>
        <v>-2000000</v>
      </c>
      <c r="U142" s="713"/>
      <c r="V142" s="714"/>
      <c r="W142" s="715"/>
      <c r="X142" s="272">
        <f>SUM(X137:X141)</f>
        <v>5160000</v>
      </c>
      <c r="Y142" s="260">
        <f>SUM(Y137:Y141)</f>
        <v>0</v>
      </c>
      <c r="Z142" s="713"/>
      <c r="AA142" s="714"/>
      <c r="AB142" s="715"/>
      <c r="AC142" s="272">
        <f>SUM(AC137:AC141)</f>
        <v>5160000</v>
      </c>
      <c r="AD142" s="260">
        <f>SUM(AD137:AD141)</f>
        <v>0</v>
      </c>
      <c r="AE142" s="713"/>
      <c r="AF142" s="714"/>
      <c r="AG142" s="715"/>
      <c r="AH142" s="272">
        <f>SUM(AH137:AH141)</f>
        <v>5160000</v>
      </c>
      <c r="AI142" s="260">
        <f>SUM(AI137:AI141)</f>
        <v>0</v>
      </c>
      <c r="AJ142" s="207"/>
      <c r="AK142" s="33"/>
    </row>
    <row r="143" spans="2:37" ht="30.2" customHeight="1">
      <c r="B143" s="875" t="s">
        <v>60</v>
      </c>
      <c r="C143" s="875"/>
      <c r="D143" s="875"/>
      <c r="E143" s="875"/>
      <c r="F143" s="875"/>
      <c r="G143" s="875"/>
      <c r="H143" s="875"/>
      <c r="I143" s="875"/>
      <c r="J143" s="161">
        <f>SUM(J136,J142)</f>
        <v>268960000</v>
      </c>
      <c r="K143" s="736"/>
      <c r="L143" s="737"/>
      <c r="M143" s="738"/>
      <c r="N143" s="266">
        <f>N142+N136</f>
        <v>307160000</v>
      </c>
      <c r="O143" s="248">
        <f>O142+O136</f>
        <v>38200000</v>
      </c>
      <c r="P143" s="736"/>
      <c r="Q143" s="737"/>
      <c r="R143" s="738"/>
      <c r="S143" s="266">
        <f>S142+S136</f>
        <v>305160000</v>
      </c>
      <c r="T143" s="244">
        <f t="shared" si="54"/>
        <v>-2000000</v>
      </c>
      <c r="U143" s="736"/>
      <c r="V143" s="737"/>
      <c r="W143" s="738"/>
      <c r="X143" s="266">
        <f>X142+X136</f>
        <v>305160000</v>
      </c>
      <c r="Y143" s="248">
        <f>Y142+Y136</f>
        <v>0</v>
      </c>
      <c r="Z143" s="736"/>
      <c r="AA143" s="737"/>
      <c r="AB143" s="738"/>
      <c r="AC143" s="266">
        <f>AC142+AC136</f>
        <v>305160000</v>
      </c>
      <c r="AD143" s="248">
        <f>AD142+AD136</f>
        <v>0</v>
      </c>
      <c r="AE143" s="736"/>
      <c r="AF143" s="737"/>
      <c r="AG143" s="738"/>
      <c r="AH143" s="266">
        <f>AH142+AH136</f>
        <v>305160000</v>
      </c>
      <c r="AI143" s="248">
        <f>AI142+AI136</f>
        <v>0</v>
      </c>
      <c r="AJ143" s="205"/>
      <c r="AK143" s="57"/>
    </row>
    <row r="144" spans="2:37" s="1" customFormat="1" ht="30.2" customHeight="1">
      <c r="B144" s="819" t="s">
        <v>61</v>
      </c>
      <c r="C144" s="823" t="s">
        <v>62</v>
      </c>
      <c r="D144" s="383" t="s">
        <v>614</v>
      </c>
      <c r="E144" s="399" t="s">
        <v>318</v>
      </c>
      <c r="F144" s="400" t="s">
        <v>319</v>
      </c>
      <c r="G144" s="385">
        <v>1</v>
      </c>
      <c r="H144" s="385" t="s">
        <v>240</v>
      </c>
      <c r="I144" s="393">
        <v>1200000</v>
      </c>
      <c r="J144" s="401">
        <f>G144*I144</f>
        <v>1200000</v>
      </c>
      <c r="K144" s="402">
        <v>0</v>
      </c>
      <c r="L144" s="389" t="s">
        <v>240</v>
      </c>
      <c r="M144" s="394">
        <v>1200000</v>
      </c>
      <c r="N144" s="403">
        <f>K144*M144</f>
        <v>0</v>
      </c>
      <c r="O144" s="404">
        <f>N144-J144</f>
        <v>-1200000</v>
      </c>
      <c r="P144" s="402">
        <v>0</v>
      </c>
      <c r="Q144" s="389" t="s">
        <v>240</v>
      </c>
      <c r="R144" s="394">
        <v>1200000</v>
      </c>
      <c r="S144" s="403">
        <f>P144*R144</f>
        <v>0</v>
      </c>
      <c r="T144" s="544">
        <f t="shared" si="54"/>
        <v>0</v>
      </c>
      <c r="U144" s="402">
        <v>0</v>
      </c>
      <c r="V144" s="389" t="s">
        <v>240</v>
      </c>
      <c r="W144" s="394">
        <v>1200000</v>
      </c>
      <c r="X144" s="403">
        <f>U144*W144</f>
        <v>0</v>
      </c>
      <c r="Y144" s="404">
        <f>X144-T144</f>
        <v>0</v>
      </c>
      <c r="Z144" s="402">
        <v>0</v>
      </c>
      <c r="AA144" s="389" t="s">
        <v>240</v>
      </c>
      <c r="AB144" s="394">
        <v>1200000</v>
      </c>
      <c r="AC144" s="403">
        <f>Z144*AB144</f>
        <v>0</v>
      </c>
      <c r="AD144" s="404">
        <f>AC144-Y144</f>
        <v>0</v>
      </c>
      <c r="AE144" s="402">
        <v>0</v>
      </c>
      <c r="AF144" s="389" t="s">
        <v>240</v>
      </c>
      <c r="AG144" s="394">
        <v>1200000</v>
      </c>
      <c r="AH144" s="403">
        <f>AE144*AG144</f>
        <v>0</v>
      </c>
      <c r="AI144" s="404">
        <f>AH144-AD144</f>
        <v>0</v>
      </c>
      <c r="AJ144" s="392"/>
      <c r="AK144" s="383"/>
    </row>
    <row r="145" spans="1:37" s="1" customFormat="1" ht="30.2" customHeight="1">
      <c r="B145" s="820"/>
      <c r="C145" s="823"/>
      <c r="D145" s="703" t="s">
        <v>340</v>
      </c>
      <c r="E145" s="703" t="s">
        <v>341</v>
      </c>
      <c r="F145" s="191" t="s">
        <v>342</v>
      </c>
      <c r="G145" s="179"/>
      <c r="H145" s="179"/>
      <c r="I145" s="185"/>
      <c r="J145" s="139">
        <f>G145*I145</f>
        <v>0</v>
      </c>
      <c r="K145" s="230">
        <v>1</v>
      </c>
      <c r="L145" s="175" t="s">
        <v>38</v>
      </c>
      <c r="M145" s="177">
        <v>9000000</v>
      </c>
      <c r="N145" s="108">
        <f>K145*M145</f>
        <v>9000000</v>
      </c>
      <c r="O145" s="262">
        <f>N145-J145</f>
        <v>9000000</v>
      </c>
      <c r="P145" s="230">
        <v>1</v>
      </c>
      <c r="Q145" s="175" t="s">
        <v>38</v>
      </c>
      <c r="R145" s="177">
        <v>9000000</v>
      </c>
      <c r="S145" s="108">
        <f>P145*R145</f>
        <v>9000000</v>
      </c>
      <c r="T145" s="256">
        <f t="shared" si="54"/>
        <v>0</v>
      </c>
      <c r="U145" s="230">
        <v>1</v>
      </c>
      <c r="V145" s="175" t="s">
        <v>38</v>
      </c>
      <c r="W145" s="177">
        <v>9000000</v>
      </c>
      <c r="X145" s="108">
        <f>U145*W145</f>
        <v>9000000</v>
      </c>
      <c r="Y145" s="262">
        <f>X145-S145</f>
        <v>0</v>
      </c>
      <c r="Z145" s="230">
        <v>1</v>
      </c>
      <c r="AA145" s="175" t="s">
        <v>38</v>
      </c>
      <c r="AB145" s="177">
        <v>9000000</v>
      </c>
      <c r="AC145" s="108">
        <f>Z145*AB145</f>
        <v>9000000</v>
      </c>
      <c r="AD145" s="262">
        <f>AC145-X145</f>
        <v>0</v>
      </c>
      <c r="AE145" s="230">
        <v>1</v>
      </c>
      <c r="AF145" s="175" t="s">
        <v>38</v>
      </c>
      <c r="AG145" s="177">
        <v>9000000</v>
      </c>
      <c r="AH145" s="108">
        <f>AE145*AG145</f>
        <v>9000000</v>
      </c>
      <c r="AI145" s="262">
        <f>AH145-AC145</f>
        <v>0</v>
      </c>
      <c r="AJ145" s="206"/>
      <c r="AK145" s="106" t="s">
        <v>343</v>
      </c>
    </row>
    <row r="146" spans="1:37" s="1" customFormat="1" ht="30.2" customHeight="1">
      <c r="B146" s="820"/>
      <c r="C146" s="823"/>
      <c r="D146" s="704"/>
      <c r="E146" s="704"/>
      <c r="F146" s="456" t="s">
        <v>631</v>
      </c>
      <c r="G146" s="457"/>
      <c r="H146" s="457"/>
      <c r="I146" s="458"/>
      <c r="J146" s="436"/>
      <c r="K146" s="459">
        <v>1</v>
      </c>
      <c r="L146" s="460" t="s">
        <v>38</v>
      </c>
      <c r="M146" s="461">
        <v>3500000</v>
      </c>
      <c r="N146" s="440">
        <f>K146*M146</f>
        <v>3500000</v>
      </c>
      <c r="O146" s="462">
        <f>N146-J146</f>
        <v>3500000</v>
      </c>
      <c r="P146" s="459">
        <v>1</v>
      </c>
      <c r="Q146" s="460" t="s">
        <v>38</v>
      </c>
      <c r="R146" s="461">
        <v>3500000</v>
      </c>
      <c r="S146" s="440">
        <f>P146*R146</f>
        <v>3500000</v>
      </c>
      <c r="T146" s="509">
        <f t="shared" si="54"/>
        <v>0</v>
      </c>
      <c r="U146" s="459">
        <v>1</v>
      </c>
      <c r="V146" s="460" t="s">
        <v>38</v>
      </c>
      <c r="W146" s="461">
        <v>3500000</v>
      </c>
      <c r="X146" s="440">
        <f>U146*W146</f>
        <v>3500000</v>
      </c>
      <c r="Y146" s="462">
        <f>X146-S146</f>
        <v>0</v>
      </c>
      <c r="Z146" s="459">
        <v>1</v>
      </c>
      <c r="AA146" s="460" t="s">
        <v>38</v>
      </c>
      <c r="AB146" s="461">
        <v>3500000</v>
      </c>
      <c r="AC146" s="440">
        <f>Z146*AB146</f>
        <v>3500000</v>
      </c>
      <c r="AD146" s="462">
        <f>AC146-X146</f>
        <v>0</v>
      </c>
      <c r="AE146" s="459">
        <v>1</v>
      </c>
      <c r="AF146" s="460" t="s">
        <v>38</v>
      </c>
      <c r="AG146" s="461">
        <v>3500000</v>
      </c>
      <c r="AH146" s="440">
        <f>AE146*AG146</f>
        <v>3500000</v>
      </c>
      <c r="AI146" s="462">
        <f>AH146-AC146</f>
        <v>0</v>
      </c>
      <c r="AJ146" s="463"/>
      <c r="AK146" s="438"/>
    </row>
    <row r="147" spans="1:37" s="1" customFormat="1" ht="30.2" customHeight="1">
      <c r="B147" s="820"/>
      <c r="C147" s="823"/>
      <c r="D147" s="87" t="s">
        <v>320</v>
      </c>
      <c r="E147" s="23" t="s">
        <v>318</v>
      </c>
      <c r="F147" s="58" t="s">
        <v>321</v>
      </c>
      <c r="G147" s="162">
        <v>1</v>
      </c>
      <c r="H147" s="162" t="s">
        <v>240</v>
      </c>
      <c r="I147" s="163">
        <v>2500000</v>
      </c>
      <c r="J147" s="119">
        <f>G147*I147</f>
        <v>2500000</v>
      </c>
      <c r="K147" s="229">
        <v>1</v>
      </c>
      <c r="L147" s="24" t="s">
        <v>240</v>
      </c>
      <c r="M147" s="25">
        <v>2500000</v>
      </c>
      <c r="N147" s="267">
        <f>K147*M147</f>
        <v>2500000</v>
      </c>
      <c r="O147" s="252">
        <f>N147-J147</f>
        <v>0</v>
      </c>
      <c r="P147" s="229">
        <v>1</v>
      </c>
      <c r="Q147" s="24" t="s">
        <v>240</v>
      </c>
      <c r="R147" s="25">
        <v>2500000</v>
      </c>
      <c r="S147" s="267">
        <f>P147*R147</f>
        <v>2500000</v>
      </c>
      <c r="T147" s="251">
        <f t="shared" si="54"/>
        <v>0</v>
      </c>
      <c r="U147" s="229">
        <v>1</v>
      </c>
      <c r="V147" s="24" t="s">
        <v>240</v>
      </c>
      <c r="W147" s="25">
        <v>2500000</v>
      </c>
      <c r="X147" s="267">
        <f>U147*W147</f>
        <v>2500000</v>
      </c>
      <c r="Y147" s="252">
        <f>X147-S147</f>
        <v>0</v>
      </c>
      <c r="Z147" s="229">
        <v>1</v>
      </c>
      <c r="AA147" s="24" t="s">
        <v>240</v>
      </c>
      <c r="AB147" s="25">
        <v>2500000</v>
      </c>
      <c r="AC147" s="267">
        <f>Z147*AB147</f>
        <v>2500000</v>
      </c>
      <c r="AD147" s="252">
        <f>AC147-X147</f>
        <v>0</v>
      </c>
      <c r="AE147" s="229">
        <v>1</v>
      </c>
      <c r="AF147" s="24" t="s">
        <v>240</v>
      </c>
      <c r="AG147" s="25">
        <v>2500000</v>
      </c>
      <c r="AH147" s="267">
        <f>AE147*AG147</f>
        <v>2500000</v>
      </c>
      <c r="AI147" s="252">
        <f>AH147-AC147</f>
        <v>0</v>
      </c>
      <c r="AJ147" s="18"/>
      <c r="AK147" s="87"/>
    </row>
    <row r="148" spans="1:37" s="1" customFormat="1" ht="32.25" customHeight="1">
      <c r="B148" s="820"/>
      <c r="C148" s="707" t="s">
        <v>55</v>
      </c>
      <c r="D148" s="708"/>
      <c r="E148" s="708"/>
      <c r="F148" s="708"/>
      <c r="G148" s="708"/>
      <c r="H148" s="708"/>
      <c r="I148" s="709"/>
      <c r="J148" s="167">
        <f>SUM(J144:J147)</f>
        <v>3700000</v>
      </c>
      <c r="K148" s="231"/>
      <c r="L148" s="158"/>
      <c r="M148" s="156"/>
      <c r="N148" s="272">
        <f>SUM(N144:N147)</f>
        <v>15000000</v>
      </c>
      <c r="O148" s="278">
        <f>SUM(O144:O147)</f>
        <v>11300000</v>
      </c>
      <c r="P148" s="501"/>
      <c r="Q148" s="158"/>
      <c r="R148" s="156"/>
      <c r="S148" s="272">
        <f>SUM(S144:S147)</f>
        <v>15000000</v>
      </c>
      <c r="T148" s="278">
        <f>SUM(T144:T147)</f>
        <v>0</v>
      </c>
      <c r="U148" s="501"/>
      <c r="V148" s="158"/>
      <c r="W148" s="156"/>
      <c r="X148" s="272">
        <f>SUM(X144:X147)</f>
        <v>15000000</v>
      </c>
      <c r="Y148" s="278">
        <f>SUM(Y144:Y147)</f>
        <v>0</v>
      </c>
      <c r="Z148" s="564"/>
      <c r="AA148" s="158"/>
      <c r="AB148" s="156"/>
      <c r="AC148" s="272">
        <f>SUM(AC144:AC147)</f>
        <v>15000000</v>
      </c>
      <c r="AD148" s="278">
        <f>SUM(AD144:AD147)</f>
        <v>0</v>
      </c>
      <c r="AE148" s="571"/>
      <c r="AF148" s="158"/>
      <c r="AG148" s="156"/>
      <c r="AH148" s="272">
        <f>SUM(AH144:AH147)</f>
        <v>15000000</v>
      </c>
      <c r="AI148" s="278">
        <f>SUM(AI144:AI147)</f>
        <v>0</v>
      </c>
      <c r="AJ148" s="207"/>
      <c r="AK148" s="33"/>
    </row>
    <row r="149" spans="1:37" s="1" customFormat="1" ht="30.2" customHeight="1">
      <c r="B149" s="820"/>
      <c r="C149" s="744" t="s">
        <v>63</v>
      </c>
      <c r="D149" s="744" t="s">
        <v>80</v>
      </c>
      <c r="E149" s="747" t="s">
        <v>81</v>
      </c>
      <c r="F149" s="105" t="s">
        <v>473</v>
      </c>
      <c r="G149" s="876">
        <v>18000</v>
      </c>
      <c r="H149" s="876" t="s">
        <v>82</v>
      </c>
      <c r="I149" s="878">
        <v>500</v>
      </c>
      <c r="J149" s="777">
        <f t="shared" ref="J149:J157" si="55">G149*I149</f>
        <v>9000000</v>
      </c>
      <c r="K149" s="779">
        <v>21000</v>
      </c>
      <c r="L149" s="781" t="s">
        <v>475</v>
      </c>
      <c r="M149" s="783">
        <v>500</v>
      </c>
      <c r="N149" s="759">
        <f>K149*M149</f>
        <v>10500000</v>
      </c>
      <c r="O149" s="764">
        <f>N149-J149</f>
        <v>1500000</v>
      </c>
      <c r="P149" s="779">
        <v>21000</v>
      </c>
      <c r="Q149" s="781" t="s">
        <v>33</v>
      </c>
      <c r="R149" s="783">
        <v>500</v>
      </c>
      <c r="S149" s="759">
        <f>P149*R149</f>
        <v>10500000</v>
      </c>
      <c r="T149" s="764">
        <v>0</v>
      </c>
      <c r="U149" s="779">
        <v>21000</v>
      </c>
      <c r="V149" s="781" t="s">
        <v>33</v>
      </c>
      <c r="W149" s="783">
        <v>500</v>
      </c>
      <c r="X149" s="759">
        <f>U149*W149</f>
        <v>10500000</v>
      </c>
      <c r="Y149" s="764">
        <f>X149-S149</f>
        <v>0</v>
      </c>
      <c r="Z149" s="779">
        <v>21000</v>
      </c>
      <c r="AA149" s="781" t="s">
        <v>33</v>
      </c>
      <c r="AB149" s="783">
        <v>500</v>
      </c>
      <c r="AC149" s="759">
        <f>Z149*AB149</f>
        <v>10500000</v>
      </c>
      <c r="AD149" s="764">
        <f>AC149-X149</f>
        <v>0</v>
      </c>
      <c r="AE149" s="779">
        <v>21000</v>
      </c>
      <c r="AF149" s="781" t="s">
        <v>33</v>
      </c>
      <c r="AG149" s="783">
        <v>500</v>
      </c>
      <c r="AH149" s="759">
        <f>AE149*AG149</f>
        <v>10500000</v>
      </c>
      <c r="AI149" s="764">
        <f>AH149-AC149</f>
        <v>0</v>
      </c>
      <c r="AJ149" s="785"/>
      <c r="AK149" s="706" t="s">
        <v>479</v>
      </c>
    </row>
    <row r="150" spans="1:37" s="1" customFormat="1" ht="30.2" customHeight="1">
      <c r="B150" s="820"/>
      <c r="C150" s="745"/>
      <c r="D150" s="745"/>
      <c r="E150" s="828"/>
      <c r="F150" s="105" t="s">
        <v>474</v>
      </c>
      <c r="G150" s="877"/>
      <c r="H150" s="877"/>
      <c r="I150" s="879"/>
      <c r="J150" s="778"/>
      <c r="K150" s="780"/>
      <c r="L150" s="782"/>
      <c r="M150" s="784"/>
      <c r="N150" s="760"/>
      <c r="O150" s="765"/>
      <c r="P150" s="780"/>
      <c r="Q150" s="782"/>
      <c r="R150" s="784"/>
      <c r="S150" s="760"/>
      <c r="T150" s="765"/>
      <c r="U150" s="780"/>
      <c r="V150" s="782"/>
      <c r="W150" s="784"/>
      <c r="X150" s="760"/>
      <c r="Y150" s="765"/>
      <c r="Z150" s="780"/>
      <c r="AA150" s="782"/>
      <c r="AB150" s="784"/>
      <c r="AC150" s="760"/>
      <c r="AD150" s="765"/>
      <c r="AE150" s="780"/>
      <c r="AF150" s="782"/>
      <c r="AG150" s="784"/>
      <c r="AH150" s="760"/>
      <c r="AI150" s="765"/>
      <c r="AJ150" s="786"/>
      <c r="AK150" s="704"/>
    </row>
    <row r="151" spans="1:37" s="1" customFormat="1" ht="30.2" customHeight="1">
      <c r="B151" s="820"/>
      <c r="C151" s="745"/>
      <c r="D151" s="745"/>
      <c r="E151" s="828"/>
      <c r="F151" s="193" t="s">
        <v>83</v>
      </c>
      <c r="G151" s="137">
        <v>250</v>
      </c>
      <c r="H151" s="137" t="s">
        <v>82</v>
      </c>
      <c r="I151" s="138">
        <v>3000</v>
      </c>
      <c r="J151" s="182">
        <f t="shared" si="55"/>
        <v>750000</v>
      </c>
      <c r="K151" s="225">
        <v>600</v>
      </c>
      <c r="L151" s="187" t="s">
        <v>475</v>
      </c>
      <c r="M151" s="188">
        <v>3000</v>
      </c>
      <c r="N151" s="271">
        <f>K151*M151</f>
        <v>1800000</v>
      </c>
      <c r="O151" s="279">
        <f>N151-J151</f>
        <v>1050000</v>
      </c>
      <c r="P151" s="225">
        <v>600</v>
      </c>
      <c r="Q151" s="187" t="s">
        <v>33</v>
      </c>
      <c r="R151" s="188">
        <v>3000</v>
      </c>
      <c r="S151" s="271">
        <f>P151*R151</f>
        <v>1800000</v>
      </c>
      <c r="T151" s="256">
        <f>S151-N151</f>
        <v>0</v>
      </c>
      <c r="U151" s="225">
        <v>600</v>
      </c>
      <c r="V151" s="187" t="s">
        <v>33</v>
      </c>
      <c r="W151" s="188">
        <v>3000</v>
      </c>
      <c r="X151" s="271">
        <f>U151*W151</f>
        <v>1800000</v>
      </c>
      <c r="Y151" s="279">
        <f t="shared" ref="Y151:Y159" si="56">X151-S151</f>
        <v>0</v>
      </c>
      <c r="Z151" s="225">
        <v>600</v>
      </c>
      <c r="AA151" s="187" t="s">
        <v>33</v>
      </c>
      <c r="AB151" s="188">
        <v>3000</v>
      </c>
      <c r="AC151" s="271">
        <f>Z151*AB151</f>
        <v>1800000</v>
      </c>
      <c r="AD151" s="279">
        <f t="shared" ref="AD151:AD159" si="57">AC151-X151</f>
        <v>0</v>
      </c>
      <c r="AE151" s="225">
        <v>600</v>
      </c>
      <c r="AF151" s="187" t="s">
        <v>33</v>
      </c>
      <c r="AG151" s="188">
        <v>3000</v>
      </c>
      <c r="AH151" s="271">
        <f>AE151*AG151</f>
        <v>1800000</v>
      </c>
      <c r="AI151" s="279">
        <f t="shared" ref="AI151:AI159" si="58">AH151-AC151</f>
        <v>0</v>
      </c>
      <c r="AJ151" s="178"/>
      <c r="AK151" s="106" t="s">
        <v>478</v>
      </c>
    </row>
    <row r="152" spans="1:37" s="1" customFormat="1" ht="95.25" customHeight="1">
      <c r="B152" s="820"/>
      <c r="C152" s="745"/>
      <c r="D152" s="745"/>
      <c r="E152" s="828"/>
      <c r="F152" s="193" t="s">
        <v>414</v>
      </c>
      <c r="G152" s="137"/>
      <c r="H152" s="137"/>
      <c r="I152" s="138"/>
      <c r="J152" s="182">
        <f t="shared" si="55"/>
        <v>0</v>
      </c>
      <c r="K152" s="225">
        <v>21000</v>
      </c>
      <c r="L152" s="187" t="s">
        <v>476</v>
      </c>
      <c r="M152" s="188">
        <v>1150</v>
      </c>
      <c r="N152" s="271">
        <f>K152*M152</f>
        <v>24150000</v>
      </c>
      <c r="O152" s="279">
        <f t="shared" ref="O152:O181" si="59">N152-J152</f>
        <v>24150000</v>
      </c>
      <c r="P152" s="225">
        <v>21000</v>
      </c>
      <c r="Q152" s="187" t="s">
        <v>33</v>
      </c>
      <c r="R152" s="188">
        <v>1150</v>
      </c>
      <c r="S152" s="271">
        <f>P152*R152</f>
        <v>24150000</v>
      </c>
      <c r="T152" s="279">
        <f>S152-O152</f>
        <v>0</v>
      </c>
      <c r="U152" s="225">
        <v>21000</v>
      </c>
      <c r="V152" s="187" t="s">
        <v>33</v>
      </c>
      <c r="W152" s="188">
        <v>1150</v>
      </c>
      <c r="X152" s="271">
        <f>U152*W152</f>
        <v>24150000</v>
      </c>
      <c r="Y152" s="279">
        <f t="shared" si="56"/>
        <v>0</v>
      </c>
      <c r="Z152" s="225">
        <v>21000</v>
      </c>
      <c r="AA152" s="187" t="s">
        <v>33</v>
      </c>
      <c r="AB152" s="188">
        <v>1150</v>
      </c>
      <c r="AC152" s="271">
        <f>Z152*AB152</f>
        <v>24150000</v>
      </c>
      <c r="AD152" s="279">
        <f t="shared" si="57"/>
        <v>0</v>
      </c>
      <c r="AE152" s="225">
        <v>21000</v>
      </c>
      <c r="AF152" s="187" t="s">
        <v>33</v>
      </c>
      <c r="AG152" s="188">
        <v>1150</v>
      </c>
      <c r="AH152" s="271">
        <f>AE152*AG152</f>
        <v>24150000</v>
      </c>
      <c r="AI152" s="279">
        <f t="shared" si="58"/>
        <v>0</v>
      </c>
      <c r="AJ152" s="178"/>
      <c r="AK152" s="197" t="s">
        <v>480</v>
      </c>
    </row>
    <row r="153" spans="1:37" s="1" customFormat="1" ht="30.2" customHeight="1">
      <c r="B153" s="820"/>
      <c r="C153" s="745"/>
      <c r="D153" s="745"/>
      <c r="E153" s="748"/>
      <c r="F153" s="193" t="s">
        <v>84</v>
      </c>
      <c r="G153" s="137">
        <v>16000</v>
      </c>
      <c r="H153" s="137" t="s">
        <v>82</v>
      </c>
      <c r="I153" s="138">
        <v>2500</v>
      </c>
      <c r="J153" s="182">
        <f t="shared" si="55"/>
        <v>40000000</v>
      </c>
      <c r="K153" s="225">
        <v>10000</v>
      </c>
      <c r="L153" s="187" t="s">
        <v>477</v>
      </c>
      <c r="M153" s="188">
        <v>2500</v>
      </c>
      <c r="N153" s="271">
        <f t="shared" ref="N153:N181" si="60">K153*M153</f>
        <v>25000000</v>
      </c>
      <c r="O153" s="258">
        <f t="shared" si="59"/>
        <v>-15000000</v>
      </c>
      <c r="P153" s="225">
        <v>10000</v>
      </c>
      <c r="Q153" s="187" t="s">
        <v>33</v>
      </c>
      <c r="R153" s="188">
        <v>2500</v>
      </c>
      <c r="S153" s="271">
        <f t="shared" ref="S153:S159" si="61">P153*R153</f>
        <v>25000000</v>
      </c>
      <c r="T153" s="256">
        <f t="shared" ref="T153:T216" si="62">S153-N153</f>
        <v>0</v>
      </c>
      <c r="U153" s="225">
        <v>10000</v>
      </c>
      <c r="V153" s="187" t="s">
        <v>33</v>
      </c>
      <c r="W153" s="188">
        <v>2500</v>
      </c>
      <c r="X153" s="271">
        <f t="shared" ref="X153:X159" si="63">U153*W153</f>
        <v>25000000</v>
      </c>
      <c r="Y153" s="258">
        <f t="shared" si="56"/>
        <v>0</v>
      </c>
      <c r="Z153" s="225">
        <v>10000</v>
      </c>
      <c r="AA153" s="187" t="s">
        <v>33</v>
      </c>
      <c r="AB153" s="188">
        <v>2500</v>
      </c>
      <c r="AC153" s="271">
        <f t="shared" ref="AC153:AC159" si="64">Z153*AB153</f>
        <v>25000000</v>
      </c>
      <c r="AD153" s="258">
        <f t="shared" si="57"/>
        <v>0</v>
      </c>
      <c r="AE153" s="225">
        <v>10000</v>
      </c>
      <c r="AF153" s="187" t="s">
        <v>33</v>
      </c>
      <c r="AG153" s="188">
        <v>2500</v>
      </c>
      <c r="AH153" s="271">
        <f t="shared" ref="AH153:AH159" si="65">AE153*AG153</f>
        <v>25000000</v>
      </c>
      <c r="AI153" s="258">
        <f t="shared" si="58"/>
        <v>0</v>
      </c>
      <c r="AJ153" s="178"/>
      <c r="AK153" s="106" t="s">
        <v>481</v>
      </c>
    </row>
    <row r="154" spans="1:37" s="1" customFormat="1" ht="30.2" customHeight="1">
      <c r="B154" s="820"/>
      <c r="C154" s="745"/>
      <c r="D154" s="745"/>
      <c r="E154" s="449" t="s">
        <v>85</v>
      </c>
      <c r="F154" s="449" t="s">
        <v>86</v>
      </c>
      <c r="G154" s="434">
        <v>300</v>
      </c>
      <c r="H154" s="434" t="s">
        <v>82</v>
      </c>
      <c r="I154" s="435">
        <v>12000</v>
      </c>
      <c r="J154" s="450">
        <f t="shared" si="55"/>
        <v>3600000</v>
      </c>
      <c r="K154" s="451">
        <v>500</v>
      </c>
      <c r="L154" s="438" t="s">
        <v>33</v>
      </c>
      <c r="M154" s="452">
        <v>18000</v>
      </c>
      <c r="N154" s="453">
        <f t="shared" si="60"/>
        <v>9000000</v>
      </c>
      <c r="O154" s="454">
        <f t="shared" si="59"/>
        <v>5400000</v>
      </c>
      <c r="P154" s="451">
        <v>500</v>
      </c>
      <c r="Q154" s="438" t="s">
        <v>33</v>
      </c>
      <c r="R154" s="452">
        <v>18000</v>
      </c>
      <c r="S154" s="453">
        <f t="shared" si="61"/>
        <v>9000000</v>
      </c>
      <c r="T154" s="509">
        <f t="shared" si="62"/>
        <v>0</v>
      </c>
      <c r="U154" s="451">
        <v>500</v>
      </c>
      <c r="V154" s="438" t="s">
        <v>33</v>
      </c>
      <c r="W154" s="452">
        <v>18000</v>
      </c>
      <c r="X154" s="453">
        <f t="shared" si="63"/>
        <v>9000000</v>
      </c>
      <c r="Y154" s="454">
        <f t="shared" si="56"/>
        <v>0</v>
      </c>
      <c r="Z154" s="451">
        <v>500</v>
      </c>
      <c r="AA154" s="438" t="s">
        <v>33</v>
      </c>
      <c r="AB154" s="452">
        <v>18000</v>
      </c>
      <c r="AC154" s="453">
        <f t="shared" si="64"/>
        <v>9000000</v>
      </c>
      <c r="AD154" s="454">
        <f t="shared" si="57"/>
        <v>0</v>
      </c>
      <c r="AE154" s="451">
        <v>500</v>
      </c>
      <c r="AF154" s="438" t="s">
        <v>33</v>
      </c>
      <c r="AG154" s="452">
        <v>18000</v>
      </c>
      <c r="AH154" s="453">
        <f t="shared" si="65"/>
        <v>9000000</v>
      </c>
      <c r="AI154" s="454">
        <f t="shared" si="58"/>
        <v>0</v>
      </c>
      <c r="AJ154" s="455"/>
      <c r="AK154" s="438" t="s">
        <v>677</v>
      </c>
    </row>
    <row r="155" spans="1:37" s="1" customFormat="1" ht="30.2" customHeight="1">
      <c r="B155" s="820"/>
      <c r="C155" s="745"/>
      <c r="D155" s="745"/>
      <c r="E155" s="62" t="s">
        <v>413</v>
      </c>
      <c r="F155" s="29" t="s">
        <v>183</v>
      </c>
      <c r="G155" s="113">
        <v>20000</v>
      </c>
      <c r="H155" s="113" t="s">
        <v>33</v>
      </c>
      <c r="I155" s="115">
        <v>800</v>
      </c>
      <c r="J155" s="166">
        <f t="shared" si="55"/>
        <v>16000000</v>
      </c>
      <c r="K155" s="232">
        <v>20000</v>
      </c>
      <c r="L155" s="87" t="s">
        <v>33</v>
      </c>
      <c r="M155" s="17">
        <v>800</v>
      </c>
      <c r="N155" s="265">
        <f t="shared" si="60"/>
        <v>16000000</v>
      </c>
      <c r="O155" s="257">
        <f t="shared" si="59"/>
        <v>0</v>
      </c>
      <c r="P155" s="232">
        <v>20000</v>
      </c>
      <c r="Q155" s="504" t="s">
        <v>33</v>
      </c>
      <c r="R155" s="17">
        <v>800</v>
      </c>
      <c r="S155" s="265">
        <f t="shared" si="61"/>
        <v>16000000</v>
      </c>
      <c r="T155" s="251">
        <f t="shared" si="62"/>
        <v>0</v>
      </c>
      <c r="U155" s="232">
        <v>20000</v>
      </c>
      <c r="V155" s="504" t="s">
        <v>33</v>
      </c>
      <c r="W155" s="17">
        <v>800</v>
      </c>
      <c r="X155" s="265">
        <f t="shared" si="63"/>
        <v>16000000</v>
      </c>
      <c r="Y155" s="257">
        <f t="shared" si="56"/>
        <v>0</v>
      </c>
      <c r="Z155" s="232">
        <v>20000</v>
      </c>
      <c r="AA155" s="566" t="s">
        <v>33</v>
      </c>
      <c r="AB155" s="17">
        <v>800</v>
      </c>
      <c r="AC155" s="265">
        <f t="shared" si="64"/>
        <v>16000000</v>
      </c>
      <c r="AD155" s="257">
        <f t="shared" si="57"/>
        <v>0</v>
      </c>
      <c r="AE155" s="232">
        <v>20000</v>
      </c>
      <c r="AF155" s="573" t="s">
        <v>33</v>
      </c>
      <c r="AG155" s="17">
        <v>800</v>
      </c>
      <c r="AH155" s="265">
        <f t="shared" si="65"/>
        <v>16000000</v>
      </c>
      <c r="AI155" s="257">
        <f t="shared" si="58"/>
        <v>0</v>
      </c>
      <c r="AJ155" s="47"/>
      <c r="AK155" s="49"/>
    </row>
    <row r="156" spans="1:37" s="1" customFormat="1" ht="30.2" customHeight="1">
      <c r="B156" s="820"/>
      <c r="C156" s="745"/>
      <c r="D156" s="745"/>
      <c r="E156" s="62" t="s">
        <v>87</v>
      </c>
      <c r="F156" s="29" t="s">
        <v>88</v>
      </c>
      <c r="G156" s="113">
        <v>500</v>
      </c>
      <c r="H156" s="113" t="s">
        <v>33</v>
      </c>
      <c r="I156" s="115">
        <v>2000</v>
      </c>
      <c r="J156" s="166">
        <f t="shared" si="55"/>
        <v>1000000</v>
      </c>
      <c r="K156" s="232">
        <v>500</v>
      </c>
      <c r="L156" s="87" t="s">
        <v>33</v>
      </c>
      <c r="M156" s="17">
        <v>2000</v>
      </c>
      <c r="N156" s="265">
        <f t="shared" si="60"/>
        <v>1000000</v>
      </c>
      <c r="O156" s="257">
        <f t="shared" si="59"/>
        <v>0</v>
      </c>
      <c r="P156" s="232">
        <v>500</v>
      </c>
      <c r="Q156" s="504" t="s">
        <v>33</v>
      </c>
      <c r="R156" s="17">
        <v>2000</v>
      </c>
      <c r="S156" s="265">
        <f t="shared" si="61"/>
        <v>1000000</v>
      </c>
      <c r="T156" s="251">
        <f t="shared" si="62"/>
        <v>0</v>
      </c>
      <c r="U156" s="232">
        <v>500</v>
      </c>
      <c r="V156" s="504" t="s">
        <v>33</v>
      </c>
      <c r="W156" s="17">
        <v>2000</v>
      </c>
      <c r="X156" s="265">
        <f t="shared" si="63"/>
        <v>1000000</v>
      </c>
      <c r="Y156" s="257">
        <f t="shared" si="56"/>
        <v>0</v>
      </c>
      <c r="Z156" s="232">
        <v>500</v>
      </c>
      <c r="AA156" s="566" t="s">
        <v>33</v>
      </c>
      <c r="AB156" s="17">
        <v>2000</v>
      </c>
      <c r="AC156" s="265">
        <f t="shared" si="64"/>
        <v>1000000</v>
      </c>
      <c r="AD156" s="257">
        <f t="shared" si="57"/>
        <v>0</v>
      </c>
      <c r="AE156" s="232">
        <v>500</v>
      </c>
      <c r="AF156" s="573" t="s">
        <v>33</v>
      </c>
      <c r="AG156" s="17">
        <v>2000</v>
      </c>
      <c r="AH156" s="265">
        <f t="shared" si="65"/>
        <v>1000000</v>
      </c>
      <c r="AI156" s="257">
        <f t="shared" si="58"/>
        <v>0</v>
      </c>
      <c r="AJ156" s="47"/>
      <c r="AK156" s="49"/>
    </row>
    <row r="157" spans="1:37" s="1" customFormat="1" ht="30.2" customHeight="1">
      <c r="A157" s="1" t="s">
        <v>79</v>
      </c>
      <c r="B157" s="820"/>
      <c r="C157" s="745"/>
      <c r="D157" s="746"/>
      <c r="E157" s="62" t="s">
        <v>89</v>
      </c>
      <c r="F157" s="29" t="s">
        <v>90</v>
      </c>
      <c r="G157" s="113">
        <v>1</v>
      </c>
      <c r="H157" s="113" t="s">
        <v>33</v>
      </c>
      <c r="I157" s="115">
        <v>500000</v>
      </c>
      <c r="J157" s="166">
        <f t="shared" si="55"/>
        <v>500000</v>
      </c>
      <c r="K157" s="232">
        <v>1</v>
      </c>
      <c r="L157" s="87" t="s">
        <v>33</v>
      </c>
      <c r="M157" s="17">
        <v>500000</v>
      </c>
      <c r="N157" s="265">
        <f t="shared" si="60"/>
        <v>500000</v>
      </c>
      <c r="O157" s="257">
        <f t="shared" si="59"/>
        <v>0</v>
      </c>
      <c r="P157" s="232">
        <v>1</v>
      </c>
      <c r="Q157" s="504" t="s">
        <v>33</v>
      </c>
      <c r="R157" s="17">
        <v>500000</v>
      </c>
      <c r="S157" s="265">
        <f t="shared" si="61"/>
        <v>500000</v>
      </c>
      <c r="T157" s="251">
        <f t="shared" si="62"/>
        <v>0</v>
      </c>
      <c r="U157" s="232">
        <v>1</v>
      </c>
      <c r="V157" s="504" t="s">
        <v>33</v>
      </c>
      <c r="W157" s="17">
        <v>500000</v>
      </c>
      <c r="X157" s="265">
        <f t="shared" si="63"/>
        <v>500000</v>
      </c>
      <c r="Y157" s="257">
        <f t="shared" si="56"/>
        <v>0</v>
      </c>
      <c r="Z157" s="232">
        <v>1</v>
      </c>
      <c r="AA157" s="566" t="s">
        <v>33</v>
      </c>
      <c r="AB157" s="17">
        <v>500000</v>
      </c>
      <c r="AC157" s="265">
        <f t="shared" si="64"/>
        <v>500000</v>
      </c>
      <c r="AD157" s="257">
        <f t="shared" si="57"/>
        <v>0</v>
      </c>
      <c r="AE157" s="232">
        <v>1</v>
      </c>
      <c r="AF157" s="573" t="s">
        <v>33</v>
      </c>
      <c r="AG157" s="17">
        <v>500000</v>
      </c>
      <c r="AH157" s="265">
        <f t="shared" si="65"/>
        <v>500000</v>
      </c>
      <c r="AI157" s="257">
        <f t="shared" si="58"/>
        <v>0</v>
      </c>
      <c r="AJ157" s="47"/>
      <c r="AK157" s="49"/>
    </row>
    <row r="158" spans="1:37" s="1" customFormat="1" ht="30.2" customHeight="1">
      <c r="B158" s="820"/>
      <c r="C158" s="745"/>
      <c r="D158" s="824" t="s">
        <v>91</v>
      </c>
      <c r="E158" s="51" t="s">
        <v>92</v>
      </c>
      <c r="F158" s="19" t="s">
        <v>93</v>
      </c>
      <c r="G158" s="194">
        <v>4</v>
      </c>
      <c r="H158" s="194" t="s">
        <v>82</v>
      </c>
      <c r="I158" s="195">
        <v>306600</v>
      </c>
      <c r="J158" s="166">
        <f>G158*I158</f>
        <v>1226400</v>
      </c>
      <c r="K158" s="233">
        <v>4</v>
      </c>
      <c r="L158" s="20" t="s">
        <v>33</v>
      </c>
      <c r="M158" s="21">
        <v>306600</v>
      </c>
      <c r="N158" s="265">
        <f t="shared" si="60"/>
        <v>1226400</v>
      </c>
      <c r="O158" s="257">
        <f t="shared" si="59"/>
        <v>0</v>
      </c>
      <c r="P158" s="233">
        <v>4</v>
      </c>
      <c r="Q158" s="20" t="s">
        <v>33</v>
      </c>
      <c r="R158" s="21">
        <v>306600</v>
      </c>
      <c r="S158" s="265">
        <f t="shared" si="61"/>
        <v>1226400</v>
      </c>
      <c r="T158" s="251">
        <f t="shared" si="62"/>
        <v>0</v>
      </c>
      <c r="U158" s="233">
        <v>4</v>
      </c>
      <c r="V158" s="20" t="s">
        <v>33</v>
      </c>
      <c r="W158" s="21">
        <v>306600</v>
      </c>
      <c r="X158" s="265">
        <f t="shared" si="63"/>
        <v>1226400</v>
      </c>
      <c r="Y158" s="257">
        <f t="shared" si="56"/>
        <v>0</v>
      </c>
      <c r="Z158" s="233">
        <v>4</v>
      </c>
      <c r="AA158" s="20" t="s">
        <v>33</v>
      </c>
      <c r="AB158" s="21">
        <v>306600</v>
      </c>
      <c r="AC158" s="265">
        <f t="shared" si="64"/>
        <v>1226400</v>
      </c>
      <c r="AD158" s="257">
        <f t="shared" si="57"/>
        <v>0</v>
      </c>
      <c r="AE158" s="233">
        <v>4</v>
      </c>
      <c r="AF158" s="20" t="s">
        <v>33</v>
      </c>
      <c r="AG158" s="21">
        <v>306600</v>
      </c>
      <c r="AH158" s="265">
        <f t="shared" si="65"/>
        <v>1226400</v>
      </c>
      <c r="AI158" s="257">
        <f t="shared" si="58"/>
        <v>0</v>
      </c>
      <c r="AJ158" s="209"/>
      <c r="AK158" s="49"/>
    </row>
    <row r="159" spans="1:37" s="1" customFormat="1" ht="30.2" customHeight="1">
      <c r="B159" s="820"/>
      <c r="C159" s="745"/>
      <c r="D159" s="825"/>
      <c r="E159" s="19" t="s">
        <v>94</v>
      </c>
      <c r="F159" s="19" t="s">
        <v>95</v>
      </c>
      <c r="G159" s="194">
        <v>232</v>
      </c>
      <c r="H159" s="194" t="s">
        <v>96</v>
      </c>
      <c r="I159" s="195">
        <v>21000</v>
      </c>
      <c r="J159" s="166">
        <f t="shared" ref="J159:J181" si="66">G159*I159</f>
        <v>4872000</v>
      </c>
      <c r="K159" s="233">
        <v>232</v>
      </c>
      <c r="L159" s="20" t="s">
        <v>96</v>
      </c>
      <c r="M159" s="21">
        <v>21000</v>
      </c>
      <c r="N159" s="265">
        <f t="shared" si="60"/>
        <v>4872000</v>
      </c>
      <c r="O159" s="257">
        <f t="shared" si="59"/>
        <v>0</v>
      </c>
      <c r="P159" s="233">
        <v>232</v>
      </c>
      <c r="Q159" s="20" t="s">
        <v>96</v>
      </c>
      <c r="R159" s="21">
        <v>21000</v>
      </c>
      <c r="S159" s="265">
        <f t="shared" si="61"/>
        <v>4872000</v>
      </c>
      <c r="T159" s="251">
        <f t="shared" si="62"/>
        <v>0</v>
      </c>
      <c r="U159" s="233">
        <v>232</v>
      </c>
      <c r="V159" s="20" t="s">
        <v>96</v>
      </c>
      <c r="W159" s="21">
        <v>21000</v>
      </c>
      <c r="X159" s="265">
        <f t="shared" si="63"/>
        <v>4872000</v>
      </c>
      <c r="Y159" s="257">
        <f t="shared" si="56"/>
        <v>0</v>
      </c>
      <c r="Z159" s="233">
        <v>232</v>
      </c>
      <c r="AA159" s="20" t="s">
        <v>96</v>
      </c>
      <c r="AB159" s="21">
        <v>21000</v>
      </c>
      <c r="AC159" s="265">
        <f t="shared" si="64"/>
        <v>4872000</v>
      </c>
      <c r="AD159" s="257">
        <f t="shared" si="57"/>
        <v>0</v>
      </c>
      <c r="AE159" s="233">
        <v>232</v>
      </c>
      <c r="AF159" s="20" t="s">
        <v>96</v>
      </c>
      <c r="AG159" s="21">
        <v>21000</v>
      </c>
      <c r="AH159" s="265">
        <f t="shared" si="65"/>
        <v>4872000</v>
      </c>
      <c r="AI159" s="257">
        <f t="shared" si="58"/>
        <v>0</v>
      </c>
      <c r="AJ159" s="209"/>
      <c r="AK159" s="49"/>
    </row>
    <row r="160" spans="1:37" s="1" customFormat="1" ht="30.2" customHeight="1">
      <c r="B160" s="820"/>
      <c r="C160" s="745"/>
      <c r="D160" s="825"/>
      <c r="E160" s="405" t="s">
        <v>97</v>
      </c>
      <c r="F160" s="405" t="s">
        <v>98</v>
      </c>
      <c r="G160" s="406">
        <v>9</v>
      </c>
      <c r="H160" s="406" t="s">
        <v>99</v>
      </c>
      <c r="I160" s="407">
        <v>21000</v>
      </c>
      <c r="J160" s="387">
        <f t="shared" si="66"/>
        <v>189000</v>
      </c>
      <c r="K160" s="408">
        <v>9</v>
      </c>
      <c r="L160" s="409" t="s">
        <v>99</v>
      </c>
      <c r="M160" s="410">
        <v>21000</v>
      </c>
      <c r="N160" s="391"/>
      <c r="O160" s="411">
        <f t="shared" si="59"/>
        <v>-189000</v>
      </c>
      <c r="P160" s="408">
        <v>9</v>
      </c>
      <c r="Q160" s="409" t="s">
        <v>99</v>
      </c>
      <c r="R160" s="410">
        <v>21000</v>
      </c>
      <c r="S160" s="391"/>
      <c r="T160" s="544">
        <f t="shared" si="62"/>
        <v>0</v>
      </c>
      <c r="U160" s="408">
        <v>9</v>
      </c>
      <c r="V160" s="409" t="s">
        <v>99</v>
      </c>
      <c r="W160" s="410">
        <v>21000</v>
      </c>
      <c r="X160" s="391"/>
      <c r="Y160" s="411">
        <f>X160-T160</f>
        <v>0</v>
      </c>
      <c r="Z160" s="408">
        <v>9</v>
      </c>
      <c r="AA160" s="409" t="s">
        <v>99</v>
      </c>
      <c r="AB160" s="410">
        <v>21000</v>
      </c>
      <c r="AC160" s="391"/>
      <c r="AD160" s="411">
        <f>AC160-Y160</f>
        <v>0</v>
      </c>
      <c r="AE160" s="408">
        <v>9</v>
      </c>
      <c r="AF160" s="409" t="s">
        <v>99</v>
      </c>
      <c r="AG160" s="410">
        <v>21000</v>
      </c>
      <c r="AH160" s="391"/>
      <c r="AI160" s="411">
        <f>AH160-AD160</f>
        <v>0</v>
      </c>
      <c r="AJ160" s="412"/>
      <c r="AK160" s="383"/>
    </row>
    <row r="161" spans="1:37" s="1" customFormat="1" ht="30.2" customHeight="1">
      <c r="B161" s="820"/>
      <c r="C161" s="745"/>
      <c r="D161" s="825"/>
      <c r="E161" s="405" t="s">
        <v>100</v>
      </c>
      <c r="F161" s="405" t="s">
        <v>98</v>
      </c>
      <c r="G161" s="406">
        <v>9</v>
      </c>
      <c r="H161" s="406" t="s">
        <v>99</v>
      </c>
      <c r="I161" s="407">
        <v>21000</v>
      </c>
      <c r="J161" s="387">
        <f t="shared" si="66"/>
        <v>189000</v>
      </c>
      <c r="K161" s="408">
        <v>9</v>
      </c>
      <c r="L161" s="409" t="s">
        <v>99</v>
      </c>
      <c r="M161" s="410">
        <v>21000</v>
      </c>
      <c r="N161" s="391"/>
      <c r="O161" s="411">
        <f t="shared" si="59"/>
        <v>-189000</v>
      </c>
      <c r="P161" s="408">
        <v>9</v>
      </c>
      <c r="Q161" s="409" t="s">
        <v>99</v>
      </c>
      <c r="R161" s="410">
        <v>21000</v>
      </c>
      <c r="S161" s="391"/>
      <c r="T161" s="544">
        <f t="shared" si="62"/>
        <v>0</v>
      </c>
      <c r="U161" s="408">
        <v>9</v>
      </c>
      <c r="V161" s="409" t="s">
        <v>99</v>
      </c>
      <c r="W161" s="410">
        <v>21000</v>
      </c>
      <c r="X161" s="391"/>
      <c r="Y161" s="411">
        <f>X161-T161</f>
        <v>0</v>
      </c>
      <c r="Z161" s="408">
        <v>9</v>
      </c>
      <c r="AA161" s="409" t="s">
        <v>99</v>
      </c>
      <c r="AB161" s="410">
        <v>21000</v>
      </c>
      <c r="AC161" s="391"/>
      <c r="AD161" s="411">
        <f>AC161-Y161</f>
        <v>0</v>
      </c>
      <c r="AE161" s="408">
        <v>9</v>
      </c>
      <c r="AF161" s="409" t="s">
        <v>99</v>
      </c>
      <c r="AG161" s="410">
        <v>21000</v>
      </c>
      <c r="AH161" s="391"/>
      <c r="AI161" s="411">
        <f>AH161-AD161</f>
        <v>0</v>
      </c>
      <c r="AJ161" s="412"/>
      <c r="AK161" s="383"/>
    </row>
    <row r="162" spans="1:37" s="1" customFormat="1" ht="30.2" customHeight="1">
      <c r="B162" s="820"/>
      <c r="C162" s="745"/>
      <c r="D162" s="825"/>
      <c r="E162" s="52" t="s">
        <v>101</v>
      </c>
      <c r="F162" s="22" t="s">
        <v>102</v>
      </c>
      <c r="G162" s="196">
        <v>10</v>
      </c>
      <c r="H162" s="194" t="s">
        <v>103</v>
      </c>
      <c r="I162" s="195">
        <v>75600</v>
      </c>
      <c r="J162" s="166">
        <f t="shared" si="66"/>
        <v>756000</v>
      </c>
      <c r="K162" s="234">
        <v>10</v>
      </c>
      <c r="L162" s="20" t="s">
        <v>103</v>
      </c>
      <c r="M162" s="21">
        <v>75600</v>
      </c>
      <c r="N162" s="265">
        <f t="shared" si="60"/>
        <v>756000</v>
      </c>
      <c r="O162" s="257">
        <f t="shared" si="59"/>
        <v>0</v>
      </c>
      <c r="P162" s="234">
        <v>10</v>
      </c>
      <c r="Q162" s="20" t="s">
        <v>103</v>
      </c>
      <c r="R162" s="21">
        <v>75600</v>
      </c>
      <c r="S162" s="265">
        <f t="shared" ref="S162:S181" si="67">P162*R162</f>
        <v>756000</v>
      </c>
      <c r="T162" s="251">
        <f t="shared" si="62"/>
        <v>0</v>
      </c>
      <c r="U162" s="234">
        <v>10</v>
      </c>
      <c r="V162" s="20" t="s">
        <v>103</v>
      </c>
      <c r="W162" s="21">
        <v>75600</v>
      </c>
      <c r="X162" s="265">
        <f t="shared" ref="X162:X181" si="68">U162*W162</f>
        <v>756000</v>
      </c>
      <c r="Y162" s="257">
        <f>X162-S162</f>
        <v>0</v>
      </c>
      <c r="Z162" s="234">
        <v>10</v>
      </c>
      <c r="AA162" s="20" t="s">
        <v>103</v>
      </c>
      <c r="AB162" s="21">
        <v>75600</v>
      </c>
      <c r="AC162" s="265">
        <f t="shared" ref="AC162:AC181" si="69">Z162*AB162</f>
        <v>756000</v>
      </c>
      <c r="AD162" s="257">
        <f>AC162-X162</f>
        <v>0</v>
      </c>
      <c r="AE162" s="234">
        <v>10</v>
      </c>
      <c r="AF162" s="20" t="s">
        <v>103</v>
      </c>
      <c r="AG162" s="21">
        <v>75600</v>
      </c>
      <c r="AH162" s="265">
        <f t="shared" ref="AH162:AH181" si="70">AE162*AG162</f>
        <v>756000</v>
      </c>
      <c r="AI162" s="257">
        <f t="shared" ref="AI162:AI179" si="71">AH162-AC162</f>
        <v>0</v>
      </c>
      <c r="AJ162" s="209"/>
      <c r="AK162" s="49"/>
    </row>
    <row r="163" spans="1:37" s="1" customFormat="1" ht="30.2" customHeight="1">
      <c r="B163" s="820"/>
      <c r="C163" s="745"/>
      <c r="D163" s="825"/>
      <c r="E163" s="53" t="s">
        <v>104</v>
      </c>
      <c r="F163" s="22" t="s">
        <v>105</v>
      </c>
      <c r="G163" s="196">
        <v>120</v>
      </c>
      <c r="H163" s="194" t="s">
        <v>103</v>
      </c>
      <c r="I163" s="195">
        <v>48300</v>
      </c>
      <c r="J163" s="166">
        <f t="shared" si="66"/>
        <v>5796000</v>
      </c>
      <c r="K163" s="234">
        <v>120</v>
      </c>
      <c r="L163" s="20" t="s">
        <v>103</v>
      </c>
      <c r="M163" s="21">
        <v>48300</v>
      </c>
      <c r="N163" s="265">
        <f t="shared" si="60"/>
        <v>5796000</v>
      </c>
      <c r="O163" s="257">
        <f t="shared" si="59"/>
        <v>0</v>
      </c>
      <c r="P163" s="234">
        <v>120</v>
      </c>
      <c r="Q163" s="20" t="s">
        <v>103</v>
      </c>
      <c r="R163" s="21">
        <v>48300</v>
      </c>
      <c r="S163" s="265">
        <f t="shared" si="67"/>
        <v>5796000</v>
      </c>
      <c r="T163" s="251">
        <f t="shared" si="62"/>
        <v>0</v>
      </c>
      <c r="U163" s="234">
        <v>120</v>
      </c>
      <c r="V163" s="20" t="s">
        <v>103</v>
      </c>
      <c r="W163" s="21">
        <v>48300</v>
      </c>
      <c r="X163" s="265">
        <f t="shared" si="68"/>
        <v>5796000</v>
      </c>
      <c r="Y163" s="257">
        <f t="shared" ref="Y163:Y174" si="72">X163-S163</f>
        <v>0</v>
      </c>
      <c r="Z163" s="234">
        <v>120</v>
      </c>
      <c r="AA163" s="20" t="s">
        <v>103</v>
      </c>
      <c r="AB163" s="21">
        <v>48300</v>
      </c>
      <c r="AC163" s="265">
        <f t="shared" si="69"/>
        <v>5796000</v>
      </c>
      <c r="AD163" s="257">
        <f t="shared" ref="AD163:AD174" si="73">AC163-X163</f>
        <v>0</v>
      </c>
      <c r="AE163" s="234">
        <v>120</v>
      </c>
      <c r="AF163" s="20" t="s">
        <v>103</v>
      </c>
      <c r="AG163" s="21">
        <v>48300</v>
      </c>
      <c r="AH163" s="265">
        <f t="shared" si="70"/>
        <v>5796000</v>
      </c>
      <c r="AI163" s="257">
        <f t="shared" si="71"/>
        <v>0</v>
      </c>
      <c r="AJ163" s="209"/>
      <c r="AK163" s="49"/>
    </row>
    <row r="164" spans="1:37" s="1" customFormat="1" ht="30.2" customHeight="1">
      <c r="B164" s="820"/>
      <c r="C164" s="745"/>
      <c r="D164" s="825"/>
      <c r="E164" s="616" t="s">
        <v>106</v>
      </c>
      <c r="F164" s="617" t="s">
        <v>107</v>
      </c>
      <c r="G164" s="601">
        <v>120</v>
      </c>
      <c r="H164" s="602" t="s">
        <v>99</v>
      </c>
      <c r="I164" s="603">
        <v>21000</v>
      </c>
      <c r="J164" s="604">
        <f t="shared" si="66"/>
        <v>2520000</v>
      </c>
      <c r="K164" s="605">
        <v>120</v>
      </c>
      <c r="L164" s="602" t="s">
        <v>99</v>
      </c>
      <c r="M164" s="603">
        <v>21000</v>
      </c>
      <c r="N164" s="582">
        <f t="shared" si="60"/>
        <v>2520000</v>
      </c>
      <c r="O164" s="583">
        <f t="shared" si="59"/>
        <v>0</v>
      </c>
      <c r="P164" s="605">
        <v>120</v>
      </c>
      <c r="Q164" s="602" t="s">
        <v>99</v>
      </c>
      <c r="R164" s="603">
        <v>21000</v>
      </c>
      <c r="S164" s="582">
        <f t="shared" si="67"/>
        <v>2520000</v>
      </c>
      <c r="T164" s="606">
        <f t="shared" si="62"/>
        <v>0</v>
      </c>
      <c r="U164" s="605">
        <v>120</v>
      </c>
      <c r="V164" s="602" t="s">
        <v>99</v>
      </c>
      <c r="W164" s="603">
        <v>21000</v>
      </c>
      <c r="X164" s="582">
        <f t="shared" si="68"/>
        <v>2520000</v>
      </c>
      <c r="Y164" s="583">
        <f t="shared" si="72"/>
        <v>0</v>
      </c>
      <c r="Z164" s="605">
        <v>120</v>
      </c>
      <c r="AA164" s="602" t="s">
        <v>99</v>
      </c>
      <c r="AB164" s="603">
        <v>21000</v>
      </c>
      <c r="AC164" s="582">
        <f t="shared" si="69"/>
        <v>2520000</v>
      </c>
      <c r="AD164" s="583">
        <f t="shared" si="73"/>
        <v>0</v>
      </c>
      <c r="AE164" s="605">
        <v>0</v>
      </c>
      <c r="AF164" s="602" t="s">
        <v>99</v>
      </c>
      <c r="AG164" s="603">
        <v>21000</v>
      </c>
      <c r="AH164" s="582">
        <f t="shared" si="70"/>
        <v>0</v>
      </c>
      <c r="AI164" s="583">
        <f t="shared" si="71"/>
        <v>-2520000</v>
      </c>
      <c r="AJ164" s="613"/>
      <c r="AK164" s="600" t="s">
        <v>742</v>
      </c>
    </row>
    <row r="165" spans="1:37" s="1" customFormat="1" ht="30.2" customHeight="1">
      <c r="B165" s="820"/>
      <c r="C165" s="745"/>
      <c r="D165" s="825"/>
      <c r="E165" s="616" t="s">
        <v>108</v>
      </c>
      <c r="F165" s="617" t="s">
        <v>109</v>
      </c>
      <c r="G165" s="601">
        <v>2</v>
      </c>
      <c r="H165" s="602" t="s">
        <v>33</v>
      </c>
      <c r="I165" s="603">
        <v>1344000</v>
      </c>
      <c r="J165" s="604">
        <f t="shared" si="66"/>
        <v>2688000</v>
      </c>
      <c r="K165" s="605">
        <v>2</v>
      </c>
      <c r="L165" s="602" t="s">
        <v>33</v>
      </c>
      <c r="M165" s="603">
        <v>1344000</v>
      </c>
      <c r="N165" s="582">
        <f t="shared" si="60"/>
        <v>2688000</v>
      </c>
      <c r="O165" s="583">
        <f t="shared" si="59"/>
        <v>0</v>
      </c>
      <c r="P165" s="605">
        <v>2</v>
      </c>
      <c r="Q165" s="602" t="s">
        <v>33</v>
      </c>
      <c r="R165" s="603">
        <v>1344000</v>
      </c>
      <c r="S165" s="582">
        <f t="shared" si="67"/>
        <v>2688000</v>
      </c>
      <c r="T165" s="606">
        <f t="shared" si="62"/>
        <v>0</v>
      </c>
      <c r="U165" s="605">
        <v>2</v>
      </c>
      <c r="V165" s="602" t="s">
        <v>33</v>
      </c>
      <c r="W165" s="603">
        <v>1344000</v>
      </c>
      <c r="X165" s="582">
        <f t="shared" si="68"/>
        <v>2688000</v>
      </c>
      <c r="Y165" s="583">
        <f t="shared" si="72"/>
        <v>0</v>
      </c>
      <c r="Z165" s="605">
        <v>2</v>
      </c>
      <c r="AA165" s="602" t="s">
        <v>33</v>
      </c>
      <c r="AB165" s="603">
        <v>1344000</v>
      </c>
      <c r="AC165" s="582">
        <f t="shared" si="69"/>
        <v>2688000</v>
      </c>
      <c r="AD165" s="583">
        <f t="shared" si="73"/>
        <v>0</v>
      </c>
      <c r="AE165" s="605">
        <v>0</v>
      </c>
      <c r="AF165" s="602" t="s">
        <v>33</v>
      </c>
      <c r="AG165" s="603">
        <v>1344000</v>
      </c>
      <c r="AH165" s="582">
        <f t="shared" si="70"/>
        <v>0</v>
      </c>
      <c r="AI165" s="583">
        <f t="shared" si="71"/>
        <v>-2688000</v>
      </c>
      <c r="AJ165" s="613"/>
      <c r="AK165" s="600" t="s">
        <v>743</v>
      </c>
    </row>
    <row r="166" spans="1:37" s="1" customFormat="1" ht="30.2" customHeight="1">
      <c r="B166" s="820"/>
      <c r="C166" s="745"/>
      <c r="D166" s="825"/>
      <c r="E166" s="52" t="s">
        <v>744</v>
      </c>
      <c r="F166" s="19" t="s">
        <v>745</v>
      </c>
      <c r="G166" s="196">
        <v>38</v>
      </c>
      <c r="H166" s="194" t="s">
        <v>33</v>
      </c>
      <c r="I166" s="195">
        <v>50400</v>
      </c>
      <c r="J166" s="166">
        <f t="shared" si="66"/>
        <v>1915200</v>
      </c>
      <c r="K166" s="234">
        <v>38</v>
      </c>
      <c r="L166" s="20" t="s">
        <v>746</v>
      </c>
      <c r="M166" s="21">
        <v>50400</v>
      </c>
      <c r="N166" s="265">
        <f t="shared" si="60"/>
        <v>1915200</v>
      </c>
      <c r="O166" s="257">
        <f t="shared" si="59"/>
        <v>0</v>
      </c>
      <c r="P166" s="234">
        <v>38</v>
      </c>
      <c r="Q166" s="20" t="s">
        <v>33</v>
      </c>
      <c r="R166" s="21">
        <v>50400</v>
      </c>
      <c r="S166" s="265">
        <f t="shared" si="67"/>
        <v>1915200</v>
      </c>
      <c r="T166" s="251">
        <f t="shared" si="62"/>
        <v>0</v>
      </c>
      <c r="U166" s="234">
        <v>38</v>
      </c>
      <c r="V166" s="20" t="s">
        <v>33</v>
      </c>
      <c r="W166" s="21">
        <v>50400</v>
      </c>
      <c r="X166" s="265">
        <f t="shared" si="68"/>
        <v>1915200</v>
      </c>
      <c r="Y166" s="257">
        <f t="shared" si="72"/>
        <v>0</v>
      </c>
      <c r="Z166" s="234">
        <v>38</v>
      </c>
      <c r="AA166" s="20" t="s">
        <v>33</v>
      </c>
      <c r="AB166" s="21">
        <v>50400</v>
      </c>
      <c r="AC166" s="265">
        <f t="shared" si="69"/>
        <v>1915200</v>
      </c>
      <c r="AD166" s="257">
        <f t="shared" si="73"/>
        <v>0</v>
      </c>
      <c r="AE166" s="234">
        <v>38</v>
      </c>
      <c r="AF166" s="20" t="s">
        <v>33</v>
      </c>
      <c r="AG166" s="21">
        <v>50400</v>
      </c>
      <c r="AH166" s="265">
        <f t="shared" si="70"/>
        <v>1915200</v>
      </c>
      <c r="AI166" s="257">
        <f t="shared" si="71"/>
        <v>0</v>
      </c>
      <c r="AJ166" s="209"/>
      <c r="AK166" s="574"/>
    </row>
    <row r="167" spans="1:37" s="1" customFormat="1" ht="30.2" customHeight="1">
      <c r="B167" s="820"/>
      <c r="C167" s="745"/>
      <c r="D167" s="825"/>
      <c r="E167" s="52" t="s">
        <v>751</v>
      </c>
      <c r="F167" s="19" t="s">
        <v>747</v>
      </c>
      <c r="G167" s="196">
        <v>12</v>
      </c>
      <c r="H167" s="194" t="s">
        <v>33</v>
      </c>
      <c r="I167" s="195">
        <v>92400</v>
      </c>
      <c r="J167" s="166">
        <f t="shared" si="66"/>
        <v>1108800</v>
      </c>
      <c r="K167" s="234">
        <v>12</v>
      </c>
      <c r="L167" s="20" t="s">
        <v>33</v>
      </c>
      <c r="M167" s="21">
        <v>92400</v>
      </c>
      <c r="N167" s="265">
        <f t="shared" si="60"/>
        <v>1108800</v>
      </c>
      <c r="O167" s="257">
        <f t="shared" si="59"/>
        <v>0</v>
      </c>
      <c r="P167" s="234">
        <v>12</v>
      </c>
      <c r="Q167" s="20" t="s">
        <v>746</v>
      </c>
      <c r="R167" s="21">
        <v>92400</v>
      </c>
      <c r="S167" s="265">
        <f t="shared" si="67"/>
        <v>1108800</v>
      </c>
      <c r="T167" s="251">
        <f t="shared" si="62"/>
        <v>0</v>
      </c>
      <c r="U167" s="234">
        <v>12</v>
      </c>
      <c r="V167" s="20" t="s">
        <v>33</v>
      </c>
      <c r="W167" s="21">
        <v>92400</v>
      </c>
      <c r="X167" s="265">
        <f t="shared" si="68"/>
        <v>1108800</v>
      </c>
      <c r="Y167" s="257">
        <f t="shared" si="72"/>
        <v>0</v>
      </c>
      <c r="Z167" s="234">
        <v>12</v>
      </c>
      <c r="AA167" s="20" t="s">
        <v>33</v>
      </c>
      <c r="AB167" s="21">
        <v>92400</v>
      </c>
      <c r="AC167" s="265">
        <f t="shared" si="69"/>
        <v>1108800</v>
      </c>
      <c r="AD167" s="257">
        <f t="shared" si="73"/>
        <v>0</v>
      </c>
      <c r="AE167" s="605">
        <v>31</v>
      </c>
      <c r="AF167" s="602" t="s">
        <v>746</v>
      </c>
      <c r="AG167" s="603">
        <v>92400</v>
      </c>
      <c r="AH167" s="582">
        <f t="shared" si="70"/>
        <v>2864400</v>
      </c>
      <c r="AI167" s="583">
        <f t="shared" si="71"/>
        <v>1755600</v>
      </c>
      <c r="AJ167" s="615"/>
      <c r="AK167" s="686" t="s">
        <v>748</v>
      </c>
    </row>
    <row r="168" spans="1:37" s="1" customFormat="1" ht="30.2" customHeight="1">
      <c r="B168" s="820"/>
      <c r="C168" s="745"/>
      <c r="D168" s="825"/>
      <c r="E168" s="52" t="s">
        <v>749</v>
      </c>
      <c r="F168" s="19" t="s">
        <v>750</v>
      </c>
      <c r="G168" s="196">
        <v>12</v>
      </c>
      <c r="H168" s="194" t="s">
        <v>33</v>
      </c>
      <c r="I168" s="195">
        <v>176000</v>
      </c>
      <c r="J168" s="166">
        <f t="shared" si="66"/>
        <v>2112000</v>
      </c>
      <c r="K168" s="234">
        <v>12</v>
      </c>
      <c r="L168" s="20" t="s">
        <v>33</v>
      </c>
      <c r="M168" s="21">
        <v>176000</v>
      </c>
      <c r="N168" s="265">
        <f t="shared" si="60"/>
        <v>2112000</v>
      </c>
      <c r="O168" s="257">
        <f t="shared" si="59"/>
        <v>0</v>
      </c>
      <c r="P168" s="234">
        <v>12</v>
      </c>
      <c r="Q168" s="20" t="s">
        <v>33</v>
      </c>
      <c r="R168" s="21">
        <v>176000</v>
      </c>
      <c r="S168" s="265">
        <f t="shared" si="67"/>
        <v>2112000</v>
      </c>
      <c r="T168" s="251">
        <f t="shared" si="62"/>
        <v>0</v>
      </c>
      <c r="U168" s="234">
        <v>12</v>
      </c>
      <c r="V168" s="20" t="s">
        <v>33</v>
      </c>
      <c r="W168" s="21">
        <v>176000</v>
      </c>
      <c r="X168" s="265">
        <f t="shared" si="68"/>
        <v>2112000</v>
      </c>
      <c r="Y168" s="257">
        <f t="shared" si="72"/>
        <v>0</v>
      </c>
      <c r="Z168" s="234">
        <v>12</v>
      </c>
      <c r="AA168" s="20" t="s">
        <v>33</v>
      </c>
      <c r="AB168" s="21">
        <v>176000</v>
      </c>
      <c r="AC168" s="265">
        <f t="shared" si="69"/>
        <v>2112000</v>
      </c>
      <c r="AD168" s="257">
        <f t="shared" si="73"/>
        <v>0</v>
      </c>
      <c r="AE168" s="605">
        <v>31</v>
      </c>
      <c r="AF168" s="602" t="s">
        <v>33</v>
      </c>
      <c r="AG168" s="603">
        <v>176000</v>
      </c>
      <c r="AH168" s="582">
        <f t="shared" si="70"/>
        <v>5456000</v>
      </c>
      <c r="AI168" s="583">
        <f t="shared" si="71"/>
        <v>3344000</v>
      </c>
      <c r="AJ168" s="615"/>
      <c r="AK168" s="687"/>
    </row>
    <row r="169" spans="1:37" s="1" customFormat="1" ht="30.2" customHeight="1">
      <c r="B169" s="820"/>
      <c r="C169" s="745"/>
      <c r="D169" s="825"/>
      <c r="E169" s="52" t="s">
        <v>110</v>
      </c>
      <c r="F169" s="19" t="s">
        <v>111</v>
      </c>
      <c r="G169" s="196">
        <v>80</v>
      </c>
      <c r="H169" s="194" t="s">
        <v>82</v>
      </c>
      <c r="I169" s="195">
        <v>126000</v>
      </c>
      <c r="J169" s="166">
        <f t="shared" si="66"/>
        <v>10080000</v>
      </c>
      <c r="K169" s="234">
        <v>80</v>
      </c>
      <c r="L169" s="20" t="s">
        <v>33</v>
      </c>
      <c r="M169" s="21">
        <v>126000</v>
      </c>
      <c r="N169" s="265">
        <f t="shared" si="60"/>
        <v>10080000</v>
      </c>
      <c r="O169" s="257">
        <f t="shared" si="59"/>
        <v>0</v>
      </c>
      <c r="P169" s="234">
        <v>80</v>
      </c>
      <c r="Q169" s="20" t="s">
        <v>33</v>
      </c>
      <c r="R169" s="21">
        <v>126000</v>
      </c>
      <c r="S169" s="265">
        <f t="shared" si="67"/>
        <v>10080000</v>
      </c>
      <c r="T169" s="251">
        <f t="shared" si="62"/>
        <v>0</v>
      </c>
      <c r="U169" s="234">
        <v>80</v>
      </c>
      <c r="V169" s="20" t="s">
        <v>33</v>
      </c>
      <c r="W169" s="21">
        <v>126000</v>
      </c>
      <c r="X169" s="265">
        <f t="shared" si="68"/>
        <v>10080000</v>
      </c>
      <c r="Y169" s="257">
        <f t="shared" si="72"/>
        <v>0</v>
      </c>
      <c r="Z169" s="234">
        <v>80</v>
      </c>
      <c r="AA169" s="20" t="s">
        <v>33</v>
      </c>
      <c r="AB169" s="21">
        <v>126000</v>
      </c>
      <c r="AC169" s="265">
        <f t="shared" si="69"/>
        <v>10080000</v>
      </c>
      <c r="AD169" s="257">
        <f t="shared" si="73"/>
        <v>0</v>
      </c>
      <c r="AE169" s="234">
        <v>80</v>
      </c>
      <c r="AF169" s="20" t="s">
        <v>33</v>
      </c>
      <c r="AG169" s="21">
        <v>126000</v>
      </c>
      <c r="AH169" s="265">
        <f t="shared" si="70"/>
        <v>10080000</v>
      </c>
      <c r="AI169" s="257">
        <f t="shared" si="71"/>
        <v>0</v>
      </c>
      <c r="AJ169" s="209"/>
      <c r="AK169" s="49"/>
    </row>
    <row r="170" spans="1:37" s="1" customFormat="1" ht="30.2" customHeight="1">
      <c r="B170" s="820"/>
      <c r="C170" s="745"/>
      <c r="D170" s="825"/>
      <c r="E170" s="52" t="s">
        <v>112</v>
      </c>
      <c r="F170" s="19" t="s">
        <v>113</v>
      </c>
      <c r="G170" s="196">
        <v>30</v>
      </c>
      <c r="H170" s="194" t="s">
        <v>82</v>
      </c>
      <c r="I170" s="195">
        <v>231000</v>
      </c>
      <c r="J170" s="166">
        <f t="shared" si="66"/>
        <v>6930000</v>
      </c>
      <c r="K170" s="234">
        <v>30</v>
      </c>
      <c r="L170" s="20" t="s">
        <v>33</v>
      </c>
      <c r="M170" s="21">
        <v>231000</v>
      </c>
      <c r="N170" s="265">
        <f t="shared" si="60"/>
        <v>6930000</v>
      </c>
      <c r="O170" s="257">
        <f t="shared" si="59"/>
        <v>0</v>
      </c>
      <c r="P170" s="234">
        <v>30</v>
      </c>
      <c r="Q170" s="20" t="s">
        <v>33</v>
      </c>
      <c r="R170" s="21">
        <v>231000</v>
      </c>
      <c r="S170" s="265">
        <f t="shared" si="67"/>
        <v>6930000</v>
      </c>
      <c r="T170" s="251">
        <f t="shared" si="62"/>
        <v>0</v>
      </c>
      <c r="U170" s="234">
        <v>30</v>
      </c>
      <c r="V170" s="20" t="s">
        <v>33</v>
      </c>
      <c r="W170" s="21">
        <v>231000</v>
      </c>
      <c r="X170" s="265">
        <f t="shared" si="68"/>
        <v>6930000</v>
      </c>
      <c r="Y170" s="257">
        <f t="shared" si="72"/>
        <v>0</v>
      </c>
      <c r="Z170" s="234">
        <v>30</v>
      </c>
      <c r="AA170" s="20" t="s">
        <v>33</v>
      </c>
      <c r="AB170" s="21">
        <v>231000</v>
      </c>
      <c r="AC170" s="265">
        <f t="shared" si="69"/>
        <v>6930000</v>
      </c>
      <c r="AD170" s="257">
        <f t="shared" si="73"/>
        <v>0</v>
      </c>
      <c r="AE170" s="234">
        <v>30</v>
      </c>
      <c r="AF170" s="20" t="s">
        <v>33</v>
      </c>
      <c r="AG170" s="21">
        <v>231000</v>
      </c>
      <c r="AH170" s="265">
        <f t="shared" si="70"/>
        <v>6930000</v>
      </c>
      <c r="AI170" s="257">
        <f t="shared" si="71"/>
        <v>0</v>
      </c>
      <c r="AJ170" s="209"/>
      <c r="AK170" s="49"/>
    </row>
    <row r="171" spans="1:37" s="1" customFormat="1" ht="30.2" customHeight="1">
      <c r="B171" s="820"/>
      <c r="C171" s="745"/>
      <c r="D171" s="825"/>
      <c r="E171" s="52" t="s">
        <v>114</v>
      </c>
      <c r="F171" s="19" t="s">
        <v>115</v>
      </c>
      <c r="G171" s="196">
        <v>51</v>
      </c>
      <c r="H171" s="194" t="s">
        <v>99</v>
      </c>
      <c r="I171" s="195">
        <v>21000</v>
      </c>
      <c r="J171" s="166">
        <f t="shared" si="66"/>
        <v>1071000</v>
      </c>
      <c r="K171" s="234">
        <v>51</v>
      </c>
      <c r="L171" s="20" t="s">
        <v>99</v>
      </c>
      <c r="M171" s="21">
        <v>21000</v>
      </c>
      <c r="N171" s="265">
        <f t="shared" si="60"/>
        <v>1071000</v>
      </c>
      <c r="O171" s="257">
        <f t="shared" si="59"/>
        <v>0</v>
      </c>
      <c r="P171" s="234">
        <v>51</v>
      </c>
      <c r="Q171" s="20" t="s">
        <v>99</v>
      </c>
      <c r="R171" s="21">
        <v>21000</v>
      </c>
      <c r="S171" s="265">
        <f t="shared" si="67"/>
        <v>1071000</v>
      </c>
      <c r="T171" s="251">
        <f t="shared" si="62"/>
        <v>0</v>
      </c>
      <c r="U171" s="234">
        <v>51</v>
      </c>
      <c r="V171" s="20" t="s">
        <v>99</v>
      </c>
      <c r="W171" s="21">
        <v>21000</v>
      </c>
      <c r="X171" s="265">
        <f t="shared" si="68"/>
        <v>1071000</v>
      </c>
      <c r="Y171" s="257">
        <f t="shared" si="72"/>
        <v>0</v>
      </c>
      <c r="Z171" s="234">
        <v>51</v>
      </c>
      <c r="AA171" s="20" t="s">
        <v>99</v>
      </c>
      <c r="AB171" s="21">
        <v>21000</v>
      </c>
      <c r="AC171" s="265">
        <f t="shared" si="69"/>
        <v>1071000</v>
      </c>
      <c r="AD171" s="257">
        <f t="shared" si="73"/>
        <v>0</v>
      </c>
      <c r="AE171" s="234">
        <v>51</v>
      </c>
      <c r="AF171" s="20" t="s">
        <v>99</v>
      </c>
      <c r="AG171" s="21">
        <v>21000</v>
      </c>
      <c r="AH171" s="265">
        <f t="shared" si="70"/>
        <v>1071000</v>
      </c>
      <c r="AI171" s="257">
        <f t="shared" si="71"/>
        <v>0</v>
      </c>
      <c r="AJ171" s="209"/>
      <c r="AK171" s="49"/>
    </row>
    <row r="172" spans="1:37" s="1" customFormat="1" ht="30.2" customHeight="1">
      <c r="B172" s="820"/>
      <c r="C172" s="745"/>
      <c r="D172" s="825"/>
      <c r="E172" s="52" t="s">
        <v>116</v>
      </c>
      <c r="F172" s="19" t="s">
        <v>117</v>
      </c>
      <c r="G172" s="196">
        <v>6</v>
      </c>
      <c r="H172" s="194" t="s">
        <v>33</v>
      </c>
      <c r="I172" s="195">
        <v>134400</v>
      </c>
      <c r="J172" s="166">
        <f t="shared" si="66"/>
        <v>806400</v>
      </c>
      <c r="K172" s="234">
        <v>6</v>
      </c>
      <c r="L172" s="20" t="s">
        <v>33</v>
      </c>
      <c r="M172" s="21">
        <v>134400</v>
      </c>
      <c r="N172" s="265">
        <f t="shared" si="60"/>
        <v>806400</v>
      </c>
      <c r="O172" s="257">
        <f t="shared" si="59"/>
        <v>0</v>
      </c>
      <c r="P172" s="234">
        <v>6</v>
      </c>
      <c r="Q172" s="20" t="s">
        <v>33</v>
      </c>
      <c r="R172" s="21">
        <v>134400</v>
      </c>
      <c r="S172" s="265">
        <f t="shared" si="67"/>
        <v>806400</v>
      </c>
      <c r="T172" s="251">
        <f t="shared" si="62"/>
        <v>0</v>
      </c>
      <c r="U172" s="234">
        <v>6</v>
      </c>
      <c r="V172" s="20" t="s">
        <v>33</v>
      </c>
      <c r="W172" s="21">
        <v>134400</v>
      </c>
      <c r="X172" s="265">
        <f t="shared" si="68"/>
        <v>806400</v>
      </c>
      <c r="Y172" s="257">
        <f t="shared" si="72"/>
        <v>0</v>
      </c>
      <c r="Z172" s="234">
        <v>6</v>
      </c>
      <c r="AA172" s="20" t="s">
        <v>33</v>
      </c>
      <c r="AB172" s="21">
        <v>134400</v>
      </c>
      <c r="AC172" s="265">
        <f t="shared" si="69"/>
        <v>806400</v>
      </c>
      <c r="AD172" s="257">
        <f t="shared" si="73"/>
        <v>0</v>
      </c>
      <c r="AE172" s="234">
        <v>6</v>
      </c>
      <c r="AF172" s="20" t="s">
        <v>33</v>
      </c>
      <c r="AG172" s="21">
        <v>134400</v>
      </c>
      <c r="AH172" s="265">
        <f t="shared" si="70"/>
        <v>806400</v>
      </c>
      <c r="AI172" s="257">
        <f t="shared" si="71"/>
        <v>0</v>
      </c>
      <c r="AJ172" s="209"/>
      <c r="AK172" s="49"/>
    </row>
    <row r="173" spans="1:37" s="1" customFormat="1" ht="30.2" customHeight="1">
      <c r="A173" s="1" t="s">
        <v>79</v>
      </c>
      <c r="B173" s="820"/>
      <c r="C173" s="745"/>
      <c r="D173" s="825"/>
      <c r="E173" s="52" t="s">
        <v>32</v>
      </c>
      <c r="F173" s="19" t="s">
        <v>118</v>
      </c>
      <c r="G173" s="196">
        <v>15</v>
      </c>
      <c r="H173" s="194" t="s">
        <v>33</v>
      </c>
      <c r="I173" s="195">
        <v>33600</v>
      </c>
      <c r="J173" s="166">
        <f t="shared" si="66"/>
        <v>504000</v>
      </c>
      <c r="K173" s="234">
        <v>15</v>
      </c>
      <c r="L173" s="20" t="s">
        <v>33</v>
      </c>
      <c r="M173" s="21">
        <v>33600</v>
      </c>
      <c r="N173" s="265">
        <f t="shared" si="60"/>
        <v>504000</v>
      </c>
      <c r="O173" s="257">
        <f t="shared" si="59"/>
        <v>0</v>
      </c>
      <c r="P173" s="234">
        <v>15</v>
      </c>
      <c r="Q173" s="20" t="s">
        <v>33</v>
      </c>
      <c r="R173" s="21">
        <v>33600</v>
      </c>
      <c r="S173" s="265">
        <f t="shared" si="67"/>
        <v>504000</v>
      </c>
      <c r="T173" s="251">
        <f t="shared" si="62"/>
        <v>0</v>
      </c>
      <c r="U173" s="234">
        <v>15</v>
      </c>
      <c r="V173" s="20" t="s">
        <v>33</v>
      </c>
      <c r="W173" s="21">
        <v>33600</v>
      </c>
      <c r="X173" s="265">
        <f t="shared" si="68"/>
        <v>504000</v>
      </c>
      <c r="Y173" s="257">
        <f t="shared" si="72"/>
        <v>0</v>
      </c>
      <c r="Z173" s="234">
        <v>15</v>
      </c>
      <c r="AA173" s="20" t="s">
        <v>33</v>
      </c>
      <c r="AB173" s="21">
        <v>33600</v>
      </c>
      <c r="AC173" s="265">
        <f t="shared" si="69"/>
        <v>504000</v>
      </c>
      <c r="AD173" s="257">
        <f t="shared" si="73"/>
        <v>0</v>
      </c>
      <c r="AE173" s="234">
        <v>15</v>
      </c>
      <c r="AF173" s="20" t="s">
        <v>33</v>
      </c>
      <c r="AG173" s="21">
        <v>33600</v>
      </c>
      <c r="AH173" s="265">
        <f t="shared" si="70"/>
        <v>504000</v>
      </c>
      <c r="AI173" s="257">
        <f t="shared" si="71"/>
        <v>0</v>
      </c>
      <c r="AJ173" s="209"/>
      <c r="AK173" s="49"/>
    </row>
    <row r="174" spans="1:37" s="1" customFormat="1" ht="30.2" customHeight="1">
      <c r="B174" s="820"/>
      <c r="C174" s="745"/>
      <c r="D174" s="825"/>
      <c r="E174" s="52" t="s">
        <v>119</v>
      </c>
      <c r="F174" s="19" t="s">
        <v>120</v>
      </c>
      <c r="G174" s="196">
        <v>40</v>
      </c>
      <c r="H174" s="194" t="s">
        <v>33</v>
      </c>
      <c r="I174" s="195">
        <v>50400</v>
      </c>
      <c r="J174" s="166">
        <f t="shared" si="66"/>
        <v>2016000</v>
      </c>
      <c r="K174" s="234">
        <v>40</v>
      </c>
      <c r="L174" s="20" t="s">
        <v>33</v>
      </c>
      <c r="M174" s="21">
        <v>50400</v>
      </c>
      <c r="N174" s="265">
        <f t="shared" si="60"/>
        <v>2016000</v>
      </c>
      <c r="O174" s="257">
        <f t="shared" si="59"/>
        <v>0</v>
      </c>
      <c r="P174" s="234">
        <v>40</v>
      </c>
      <c r="Q174" s="20" t="s">
        <v>33</v>
      </c>
      <c r="R174" s="21">
        <v>50400</v>
      </c>
      <c r="S174" s="265">
        <f t="shared" si="67"/>
        <v>2016000</v>
      </c>
      <c r="T174" s="251">
        <f t="shared" si="62"/>
        <v>0</v>
      </c>
      <c r="U174" s="234">
        <v>40</v>
      </c>
      <c r="V174" s="20" t="s">
        <v>33</v>
      </c>
      <c r="W174" s="21">
        <v>50400</v>
      </c>
      <c r="X174" s="265">
        <f t="shared" si="68"/>
        <v>2016000</v>
      </c>
      <c r="Y174" s="257">
        <f t="shared" si="72"/>
        <v>0</v>
      </c>
      <c r="Z174" s="234">
        <v>40</v>
      </c>
      <c r="AA174" s="20" t="s">
        <v>33</v>
      </c>
      <c r="AB174" s="21">
        <v>50400</v>
      </c>
      <c r="AC174" s="265">
        <f t="shared" si="69"/>
        <v>2016000</v>
      </c>
      <c r="AD174" s="257">
        <f t="shared" si="73"/>
        <v>0</v>
      </c>
      <c r="AE174" s="234">
        <v>40</v>
      </c>
      <c r="AF174" s="20" t="s">
        <v>33</v>
      </c>
      <c r="AG174" s="21">
        <v>50400</v>
      </c>
      <c r="AH174" s="265">
        <f t="shared" si="70"/>
        <v>2016000</v>
      </c>
      <c r="AI174" s="257">
        <f t="shared" si="71"/>
        <v>0</v>
      </c>
      <c r="AJ174" s="209"/>
      <c r="AK174" s="49"/>
    </row>
    <row r="175" spans="1:37" s="1" customFormat="1" ht="30.2" customHeight="1">
      <c r="B175" s="820"/>
      <c r="C175" s="745"/>
      <c r="D175" s="825"/>
      <c r="E175" s="464" t="s">
        <v>121</v>
      </c>
      <c r="F175" s="464" t="s">
        <v>632</v>
      </c>
      <c r="G175" s="465">
        <v>25</v>
      </c>
      <c r="H175" s="465" t="s">
        <v>122</v>
      </c>
      <c r="I175" s="466">
        <v>350000</v>
      </c>
      <c r="J175" s="450">
        <f t="shared" si="66"/>
        <v>8750000</v>
      </c>
      <c r="K175" s="467">
        <v>30</v>
      </c>
      <c r="L175" s="468" t="s">
        <v>122</v>
      </c>
      <c r="M175" s="469">
        <v>350000</v>
      </c>
      <c r="N175" s="453">
        <f t="shared" si="60"/>
        <v>10500000</v>
      </c>
      <c r="O175" s="454">
        <f t="shared" si="59"/>
        <v>1750000</v>
      </c>
      <c r="P175" s="467">
        <v>30</v>
      </c>
      <c r="Q175" s="468" t="s">
        <v>122</v>
      </c>
      <c r="R175" s="469">
        <v>350000</v>
      </c>
      <c r="S175" s="453">
        <f t="shared" si="67"/>
        <v>10500000</v>
      </c>
      <c r="T175" s="509">
        <f t="shared" si="62"/>
        <v>0</v>
      </c>
      <c r="U175" s="467">
        <v>30</v>
      </c>
      <c r="V175" s="468" t="s">
        <v>122</v>
      </c>
      <c r="W175" s="469">
        <v>350000</v>
      </c>
      <c r="X175" s="453">
        <f t="shared" si="68"/>
        <v>10500000</v>
      </c>
      <c r="Y175" s="454">
        <f>X175-S175</f>
        <v>0</v>
      </c>
      <c r="Z175" s="467">
        <v>30</v>
      </c>
      <c r="AA175" s="468" t="s">
        <v>122</v>
      </c>
      <c r="AB175" s="469">
        <v>350000</v>
      </c>
      <c r="AC175" s="453">
        <f t="shared" si="69"/>
        <v>10500000</v>
      </c>
      <c r="AD175" s="454">
        <f>AC175-X175</f>
        <v>0</v>
      </c>
      <c r="AE175" s="467">
        <v>30</v>
      </c>
      <c r="AF175" s="468" t="s">
        <v>122</v>
      </c>
      <c r="AG175" s="469">
        <v>350000</v>
      </c>
      <c r="AH175" s="453">
        <f t="shared" si="70"/>
        <v>10500000</v>
      </c>
      <c r="AI175" s="454">
        <f t="shared" si="71"/>
        <v>0</v>
      </c>
      <c r="AJ175" s="470"/>
      <c r="AK175" s="438" t="s">
        <v>672</v>
      </c>
    </row>
    <row r="176" spans="1:37" s="1" customFormat="1" ht="30.2" customHeight="1">
      <c r="B176" s="820"/>
      <c r="C176" s="745"/>
      <c r="D176" s="825"/>
      <c r="E176" s="464" t="s">
        <v>633</v>
      </c>
      <c r="F176" s="464" t="s">
        <v>634</v>
      </c>
      <c r="G176" s="465">
        <v>40</v>
      </c>
      <c r="H176" s="465" t="s">
        <v>122</v>
      </c>
      <c r="I176" s="466">
        <v>250000</v>
      </c>
      <c r="J176" s="450">
        <f t="shared" si="66"/>
        <v>10000000</v>
      </c>
      <c r="K176" s="467">
        <v>75</v>
      </c>
      <c r="L176" s="468" t="s">
        <v>635</v>
      </c>
      <c r="M176" s="469">
        <v>250000</v>
      </c>
      <c r="N176" s="453">
        <f t="shared" si="60"/>
        <v>18750000</v>
      </c>
      <c r="O176" s="454">
        <f t="shared" si="59"/>
        <v>8750000</v>
      </c>
      <c r="P176" s="467">
        <v>75</v>
      </c>
      <c r="Q176" s="468" t="s">
        <v>635</v>
      </c>
      <c r="R176" s="469">
        <v>250000</v>
      </c>
      <c r="S176" s="453">
        <f t="shared" si="67"/>
        <v>18750000</v>
      </c>
      <c r="T176" s="509">
        <f t="shared" si="62"/>
        <v>0</v>
      </c>
      <c r="U176" s="467">
        <v>75</v>
      </c>
      <c r="V176" s="468" t="s">
        <v>635</v>
      </c>
      <c r="W176" s="469">
        <v>250000</v>
      </c>
      <c r="X176" s="453">
        <f t="shared" si="68"/>
        <v>18750000</v>
      </c>
      <c r="Y176" s="454">
        <f>X176-S176</f>
        <v>0</v>
      </c>
      <c r="Z176" s="467">
        <v>75</v>
      </c>
      <c r="AA176" s="468" t="s">
        <v>635</v>
      </c>
      <c r="AB176" s="469">
        <v>250000</v>
      </c>
      <c r="AC176" s="453">
        <f t="shared" si="69"/>
        <v>18750000</v>
      </c>
      <c r="AD176" s="454">
        <f>AC176-X176</f>
        <v>0</v>
      </c>
      <c r="AE176" s="467">
        <v>75</v>
      </c>
      <c r="AF176" s="468" t="s">
        <v>122</v>
      </c>
      <c r="AG176" s="469">
        <v>250000</v>
      </c>
      <c r="AH176" s="453">
        <f t="shared" si="70"/>
        <v>18750000</v>
      </c>
      <c r="AI176" s="454">
        <f t="shared" si="71"/>
        <v>0</v>
      </c>
      <c r="AJ176" s="470"/>
      <c r="AK176" s="438" t="s">
        <v>673</v>
      </c>
    </row>
    <row r="177" spans="2:37" s="1" customFormat="1" ht="30.2" customHeight="1">
      <c r="B177" s="820"/>
      <c r="C177" s="745"/>
      <c r="D177" s="825"/>
      <c r="E177" s="464" t="s">
        <v>123</v>
      </c>
      <c r="F177" s="464" t="s">
        <v>636</v>
      </c>
      <c r="G177" s="465">
        <v>2</v>
      </c>
      <c r="H177" s="465" t="s">
        <v>635</v>
      </c>
      <c r="I177" s="466">
        <v>400000</v>
      </c>
      <c r="J177" s="450">
        <f t="shared" si="66"/>
        <v>800000</v>
      </c>
      <c r="K177" s="467">
        <v>3</v>
      </c>
      <c r="L177" s="468" t="s">
        <v>635</v>
      </c>
      <c r="M177" s="469">
        <v>400000</v>
      </c>
      <c r="N177" s="453">
        <f t="shared" si="60"/>
        <v>1200000</v>
      </c>
      <c r="O177" s="454">
        <f t="shared" si="59"/>
        <v>400000</v>
      </c>
      <c r="P177" s="467">
        <v>3</v>
      </c>
      <c r="Q177" s="468" t="s">
        <v>635</v>
      </c>
      <c r="R177" s="469">
        <v>400000</v>
      </c>
      <c r="S177" s="453">
        <f t="shared" si="67"/>
        <v>1200000</v>
      </c>
      <c r="T177" s="509">
        <f t="shared" si="62"/>
        <v>0</v>
      </c>
      <c r="U177" s="467">
        <v>3</v>
      </c>
      <c r="V177" s="468" t="s">
        <v>635</v>
      </c>
      <c r="W177" s="469">
        <v>400000</v>
      </c>
      <c r="X177" s="453">
        <f t="shared" si="68"/>
        <v>1200000</v>
      </c>
      <c r="Y177" s="454">
        <f>X177-S177</f>
        <v>0</v>
      </c>
      <c r="Z177" s="467">
        <v>3</v>
      </c>
      <c r="AA177" s="468" t="s">
        <v>635</v>
      </c>
      <c r="AB177" s="469">
        <v>400000</v>
      </c>
      <c r="AC177" s="453">
        <f t="shared" si="69"/>
        <v>1200000</v>
      </c>
      <c r="AD177" s="454">
        <f>AC177-X177</f>
        <v>0</v>
      </c>
      <c r="AE177" s="467">
        <v>3</v>
      </c>
      <c r="AF177" s="468" t="s">
        <v>122</v>
      </c>
      <c r="AG177" s="469">
        <v>400000</v>
      </c>
      <c r="AH177" s="453">
        <f t="shared" si="70"/>
        <v>1200000</v>
      </c>
      <c r="AI177" s="454">
        <f t="shared" si="71"/>
        <v>0</v>
      </c>
      <c r="AJ177" s="470"/>
      <c r="AK177" s="438" t="s">
        <v>674</v>
      </c>
    </row>
    <row r="178" spans="2:37" s="1" customFormat="1" ht="30.2" customHeight="1">
      <c r="B178" s="820"/>
      <c r="C178" s="745"/>
      <c r="D178" s="825"/>
      <c r="E178" s="471" t="s">
        <v>124</v>
      </c>
      <c r="F178" s="471" t="s">
        <v>125</v>
      </c>
      <c r="G178" s="472">
        <v>12</v>
      </c>
      <c r="H178" s="472" t="s">
        <v>635</v>
      </c>
      <c r="I178" s="473">
        <v>250000</v>
      </c>
      <c r="J178" s="450">
        <f t="shared" si="66"/>
        <v>3000000</v>
      </c>
      <c r="K178" s="474">
        <v>30</v>
      </c>
      <c r="L178" s="475" t="s">
        <v>122</v>
      </c>
      <c r="M178" s="476">
        <v>250000</v>
      </c>
      <c r="N178" s="453">
        <f t="shared" si="60"/>
        <v>7500000</v>
      </c>
      <c r="O178" s="454">
        <f t="shared" si="59"/>
        <v>4500000</v>
      </c>
      <c r="P178" s="474">
        <v>30</v>
      </c>
      <c r="Q178" s="475" t="s">
        <v>122</v>
      </c>
      <c r="R178" s="476">
        <v>250000</v>
      </c>
      <c r="S178" s="453">
        <f t="shared" si="67"/>
        <v>7500000</v>
      </c>
      <c r="T178" s="509">
        <f t="shared" si="62"/>
        <v>0</v>
      </c>
      <c r="U178" s="474">
        <v>30</v>
      </c>
      <c r="V178" s="475" t="s">
        <v>122</v>
      </c>
      <c r="W178" s="476">
        <v>250000</v>
      </c>
      <c r="X178" s="453">
        <f t="shared" si="68"/>
        <v>7500000</v>
      </c>
      <c r="Y178" s="454">
        <f>X178-S178</f>
        <v>0</v>
      </c>
      <c r="Z178" s="474">
        <v>30</v>
      </c>
      <c r="AA178" s="475" t="s">
        <v>122</v>
      </c>
      <c r="AB178" s="476">
        <v>250000</v>
      </c>
      <c r="AC178" s="453">
        <f t="shared" si="69"/>
        <v>7500000</v>
      </c>
      <c r="AD178" s="454">
        <f>AC178-X178</f>
        <v>0</v>
      </c>
      <c r="AE178" s="474">
        <v>30</v>
      </c>
      <c r="AF178" s="475" t="s">
        <v>122</v>
      </c>
      <c r="AG178" s="476">
        <v>250000</v>
      </c>
      <c r="AH178" s="453">
        <f t="shared" si="70"/>
        <v>7500000</v>
      </c>
      <c r="AI178" s="454">
        <f t="shared" si="71"/>
        <v>0</v>
      </c>
      <c r="AJ178" s="477"/>
      <c r="AK178" s="438" t="s">
        <v>675</v>
      </c>
    </row>
    <row r="179" spans="2:37" s="1" customFormat="1" ht="30.2" customHeight="1">
      <c r="B179" s="820"/>
      <c r="C179" s="745"/>
      <c r="D179" s="825"/>
      <c r="E179" s="433" t="s">
        <v>637</v>
      </c>
      <c r="F179" s="433" t="s">
        <v>638</v>
      </c>
      <c r="G179" s="434">
        <v>2</v>
      </c>
      <c r="H179" s="434" t="s">
        <v>127</v>
      </c>
      <c r="I179" s="435">
        <v>250000</v>
      </c>
      <c r="J179" s="450">
        <f t="shared" si="66"/>
        <v>500000</v>
      </c>
      <c r="K179" s="451">
        <v>4</v>
      </c>
      <c r="L179" s="438" t="s">
        <v>127</v>
      </c>
      <c r="M179" s="452">
        <v>250000</v>
      </c>
      <c r="N179" s="453">
        <f t="shared" si="60"/>
        <v>1000000</v>
      </c>
      <c r="O179" s="454">
        <f t="shared" si="59"/>
        <v>500000</v>
      </c>
      <c r="P179" s="451">
        <v>4</v>
      </c>
      <c r="Q179" s="438" t="s">
        <v>127</v>
      </c>
      <c r="R179" s="452">
        <v>250000</v>
      </c>
      <c r="S179" s="453">
        <f t="shared" si="67"/>
        <v>1000000</v>
      </c>
      <c r="T179" s="509">
        <f t="shared" si="62"/>
        <v>0</v>
      </c>
      <c r="U179" s="451">
        <v>4</v>
      </c>
      <c r="V179" s="438" t="s">
        <v>127</v>
      </c>
      <c r="W179" s="452">
        <v>250000</v>
      </c>
      <c r="X179" s="453">
        <f t="shared" si="68"/>
        <v>1000000</v>
      </c>
      <c r="Y179" s="454">
        <f>X179-S179</f>
        <v>0</v>
      </c>
      <c r="Z179" s="451">
        <v>4</v>
      </c>
      <c r="AA179" s="438" t="s">
        <v>127</v>
      </c>
      <c r="AB179" s="452">
        <v>250000</v>
      </c>
      <c r="AC179" s="453">
        <f t="shared" si="69"/>
        <v>1000000</v>
      </c>
      <c r="AD179" s="454">
        <f>AC179-X179</f>
        <v>0</v>
      </c>
      <c r="AE179" s="451">
        <v>4</v>
      </c>
      <c r="AF179" s="438" t="s">
        <v>127</v>
      </c>
      <c r="AG179" s="452">
        <v>250000</v>
      </c>
      <c r="AH179" s="453">
        <f t="shared" si="70"/>
        <v>1000000</v>
      </c>
      <c r="AI179" s="454">
        <f t="shared" si="71"/>
        <v>0</v>
      </c>
      <c r="AJ179" s="463"/>
      <c r="AK179" s="438" t="s">
        <v>676</v>
      </c>
    </row>
    <row r="180" spans="2:37" s="1" customFormat="1" ht="30.2" customHeight="1">
      <c r="B180" s="820"/>
      <c r="C180" s="745"/>
      <c r="D180" s="825"/>
      <c r="E180" s="23" t="s">
        <v>126</v>
      </c>
      <c r="F180" s="23" t="s">
        <v>322</v>
      </c>
      <c r="G180" s="113"/>
      <c r="H180" s="113"/>
      <c r="I180" s="115"/>
      <c r="J180" s="166">
        <f t="shared" si="66"/>
        <v>0</v>
      </c>
      <c r="K180" s="232"/>
      <c r="L180" s="432"/>
      <c r="M180" s="17"/>
      <c r="N180" s="265">
        <f t="shared" si="60"/>
        <v>0</v>
      </c>
      <c r="O180" s="257">
        <f t="shared" si="59"/>
        <v>0</v>
      </c>
      <c r="P180" s="232"/>
      <c r="Q180" s="504"/>
      <c r="R180" s="17"/>
      <c r="S180" s="265">
        <f t="shared" si="67"/>
        <v>0</v>
      </c>
      <c r="T180" s="251">
        <f t="shared" si="62"/>
        <v>0</v>
      </c>
      <c r="U180" s="232"/>
      <c r="V180" s="504"/>
      <c r="W180" s="17"/>
      <c r="X180" s="265">
        <f t="shared" si="68"/>
        <v>0</v>
      </c>
      <c r="Y180" s="257">
        <f>X180-T180</f>
        <v>0</v>
      </c>
      <c r="Z180" s="232"/>
      <c r="AA180" s="566"/>
      <c r="AB180" s="17"/>
      <c r="AC180" s="265">
        <f t="shared" si="69"/>
        <v>0</v>
      </c>
      <c r="AD180" s="257">
        <f>AC180-Y180</f>
        <v>0</v>
      </c>
      <c r="AE180" s="232"/>
      <c r="AF180" s="573"/>
      <c r="AG180" s="17"/>
      <c r="AH180" s="265">
        <f t="shared" si="70"/>
        <v>0</v>
      </c>
      <c r="AI180" s="257">
        <f>AH180-AD180</f>
        <v>0</v>
      </c>
      <c r="AJ180" s="18"/>
      <c r="AK180" s="49"/>
    </row>
    <row r="181" spans="2:37" s="1" customFormat="1" ht="30.2" customHeight="1">
      <c r="B181" s="820"/>
      <c r="C181" s="745"/>
      <c r="D181" s="826"/>
      <c r="E181" s="433" t="s">
        <v>639</v>
      </c>
      <c r="F181" s="449" t="s">
        <v>129</v>
      </c>
      <c r="G181" s="434">
        <v>1</v>
      </c>
      <c r="H181" s="434" t="s">
        <v>38</v>
      </c>
      <c r="I181" s="435">
        <v>500000</v>
      </c>
      <c r="J181" s="450">
        <f t="shared" si="66"/>
        <v>500000</v>
      </c>
      <c r="K181" s="451">
        <v>2</v>
      </c>
      <c r="L181" s="438" t="s">
        <v>38</v>
      </c>
      <c r="M181" s="452">
        <v>500000</v>
      </c>
      <c r="N181" s="453">
        <f t="shared" si="60"/>
        <v>1000000</v>
      </c>
      <c r="O181" s="454">
        <f t="shared" si="59"/>
        <v>500000</v>
      </c>
      <c r="P181" s="451">
        <v>2</v>
      </c>
      <c r="Q181" s="438" t="s">
        <v>38</v>
      </c>
      <c r="R181" s="452">
        <v>500000</v>
      </c>
      <c r="S181" s="453">
        <f t="shared" si="67"/>
        <v>1000000</v>
      </c>
      <c r="T181" s="509">
        <f t="shared" si="62"/>
        <v>0</v>
      </c>
      <c r="U181" s="451">
        <v>2</v>
      </c>
      <c r="V181" s="438" t="s">
        <v>38</v>
      </c>
      <c r="W181" s="452">
        <v>500000</v>
      </c>
      <c r="X181" s="453">
        <f t="shared" si="68"/>
        <v>1000000</v>
      </c>
      <c r="Y181" s="454">
        <f>X181-S181</f>
        <v>0</v>
      </c>
      <c r="Z181" s="451">
        <v>2</v>
      </c>
      <c r="AA181" s="438" t="s">
        <v>38</v>
      </c>
      <c r="AB181" s="452">
        <v>500000</v>
      </c>
      <c r="AC181" s="453">
        <f t="shared" si="69"/>
        <v>1000000</v>
      </c>
      <c r="AD181" s="454">
        <f>AC181-X181</f>
        <v>0</v>
      </c>
      <c r="AE181" s="451">
        <v>2</v>
      </c>
      <c r="AF181" s="438" t="s">
        <v>38</v>
      </c>
      <c r="AG181" s="452">
        <v>500000</v>
      </c>
      <c r="AH181" s="453">
        <f t="shared" si="70"/>
        <v>1000000</v>
      </c>
      <c r="AI181" s="454">
        <f>AH181-AC181</f>
        <v>0</v>
      </c>
      <c r="AJ181" s="463"/>
      <c r="AK181" s="438" t="s">
        <v>640</v>
      </c>
    </row>
    <row r="182" spans="2:37" s="1" customFormat="1" ht="32.25" customHeight="1">
      <c r="B182" s="821"/>
      <c r="C182" s="707" t="s">
        <v>55</v>
      </c>
      <c r="D182" s="708"/>
      <c r="E182" s="708"/>
      <c r="F182" s="708"/>
      <c r="G182" s="708"/>
      <c r="H182" s="708"/>
      <c r="I182" s="709"/>
      <c r="J182" s="167">
        <f>SUM(J149:J181)</f>
        <v>139179800</v>
      </c>
      <c r="K182" s="231"/>
      <c r="L182" s="158"/>
      <c r="M182" s="156"/>
      <c r="N182" s="272">
        <f>SUM(N149:N181)</f>
        <v>172301800</v>
      </c>
      <c r="O182" s="278">
        <f>SUM(O149:O181)</f>
        <v>33122000</v>
      </c>
      <c r="P182" s="501"/>
      <c r="Q182" s="158"/>
      <c r="R182" s="156"/>
      <c r="S182" s="272">
        <f>SUM(S149:S181)</f>
        <v>172301800</v>
      </c>
      <c r="T182" s="543">
        <f t="shared" si="62"/>
        <v>0</v>
      </c>
      <c r="U182" s="501"/>
      <c r="V182" s="158"/>
      <c r="W182" s="156"/>
      <c r="X182" s="272">
        <f>SUM(X149:X181)</f>
        <v>172301800</v>
      </c>
      <c r="Y182" s="278">
        <f>SUM(Y149:Y181)</f>
        <v>0</v>
      </c>
      <c r="Z182" s="564"/>
      <c r="AA182" s="158"/>
      <c r="AB182" s="156"/>
      <c r="AC182" s="272">
        <f>SUM(AC149:AC181)</f>
        <v>172301800</v>
      </c>
      <c r="AD182" s="278">
        <f>SUM(AD149:AD181)</f>
        <v>0</v>
      </c>
      <c r="AE182" s="571"/>
      <c r="AF182" s="158"/>
      <c r="AG182" s="156"/>
      <c r="AH182" s="272">
        <f>SUM(AH149:AH181)</f>
        <v>172193400</v>
      </c>
      <c r="AI182" s="278">
        <f>SUM(AI149:AI181)</f>
        <v>-108400</v>
      </c>
      <c r="AJ182" s="207"/>
      <c r="AK182" s="33"/>
    </row>
    <row r="183" spans="2:37" ht="30.2" customHeight="1">
      <c r="B183" s="875" t="s">
        <v>64</v>
      </c>
      <c r="C183" s="875"/>
      <c r="D183" s="875"/>
      <c r="E183" s="875"/>
      <c r="F183" s="875"/>
      <c r="G183" s="875"/>
      <c r="H183" s="875"/>
      <c r="I183" s="875"/>
      <c r="J183" s="161">
        <f>SUM(J148,J182)</f>
        <v>142879800</v>
      </c>
      <c r="K183" s="235"/>
      <c r="L183" s="159"/>
      <c r="M183" s="155"/>
      <c r="N183" s="266">
        <f>N148+N182</f>
        <v>187301800</v>
      </c>
      <c r="O183" s="248">
        <f>O148+O182</f>
        <v>44422000</v>
      </c>
      <c r="P183" s="502"/>
      <c r="Q183" s="159"/>
      <c r="R183" s="155"/>
      <c r="S183" s="266">
        <f>S148+S182</f>
        <v>187301800</v>
      </c>
      <c r="T183" s="244">
        <f t="shared" si="62"/>
        <v>0</v>
      </c>
      <c r="U183" s="502"/>
      <c r="V183" s="159"/>
      <c r="W183" s="155"/>
      <c r="X183" s="266">
        <f>X148+X182</f>
        <v>187301800</v>
      </c>
      <c r="Y183" s="248">
        <f>Y148+Y182</f>
        <v>0</v>
      </c>
      <c r="Z183" s="565"/>
      <c r="AA183" s="159"/>
      <c r="AB183" s="155"/>
      <c r="AC183" s="266">
        <f>AC148+AC182</f>
        <v>187301800</v>
      </c>
      <c r="AD183" s="248">
        <f>AD148+AD182</f>
        <v>0</v>
      </c>
      <c r="AE183" s="572"/>
      <c r="AF183" s="159"/>
      <c r="AG183" s="155"/>
      <c r="AH183" s="266">
        <f>AH148+AH182</f>
        <v>187193400</v>
      </c>
      <c r="AI183" s="248">
        <f>AI148+AI182</f>
        <v>-108400</v>
      </c>
      <c r="AJ183" s="205"/>
      <c r="AK183" s="57"/>
    </row>
    <row r="184" spans="2:37" ht="30.2" customHeight="1">
      <c r="B184" s="86" t="s">
        <v>325</v>
      </c>
      <c r="C184" s="77" t="s">
        <v>493</v>
      </c>
      <c r="D184" s="49" t="s">
        <v>184</v>
      </c>
      <c r="E184" s="43" t="s">
        <v>185</v>
      </c>
      <c r="F184" s="45" t="s">
        <v>186</v>
      </c>
      <c r="G184" s="162">
        <v>1</v>
      </c>
      <c r="H184" s="164" t="s">
        <v>187</v>
      </c>
      <c r="I184" s="165">
        <v>1500000</v>
      </c>
      <c r="J184" s="166">
        <f>G184*I184</f>
        <v>1500000</v>
      </c>
      <c r="K184" s="236">
        <v>1</v>
      </c>
      <c r="L184" s="46" t="s">
        <v>38</v>
      </c>
      <c r="M184" s="48">
        <v>1500000</v>
      </c>
      <c r="N184" s="265">
        <f>K184*M184</f>
        <v>1500000</v>
      </c>
      <c r="O184" s="257">
        <f>N184-J184</f>
        <v>0</v>
      </c>
      <c r="P184" s="236">
        <v>1</v>
      </c>
      <c r="Q184" s="46" t="s">
        <v>38</v>
      </c>
      <c r="R184" s="48">
        <v>1500000</v>
      </c>
      <c r="S184" s="265">
        <f>P184*R184</f>
        <v>1500000</v>
      </c>
      <c r="T184" s="251">
        <f t="shared" si="62"/>
        <v>0</v>
      </c>
      <c r="U184" s="236">
        <v>1</v>
      </c>
      <c r="V184" s="46" t="s">
        <v>38</v>
      </c>
      <c r="W184" s="48">
        <v>1500000</v>
      </c>
      <c r="X184" s="265">
        <f>U184*W184</f>
        <v>1500000</v>
      </c>
      <c r="Y184" s="257">
        <f>X184-S184</f>
        <v>0</v>
      </c>
      <c r="Z184" s="236">
        <v>1</v>
      </c>
      <c r="AA184" s="46" t="s">
        <v>38</v>
      </c>
      <c r="AB184" s="48">
        <v>1500000</v>
      </c>
      <c r="AC184" s="265">
        <f>Z184*AB184</f>
        <v>1500000</v>
      </c>
      <c r="AD184" s="257">
        <f>AC184-X184</f>
        <v>0</v>
      </c>
      <c r="AE184" s="236">
        <v>1</v>
      </c>
      <c r="AF184" s="46" t="s">
        <v>38</v>
      </c>
      <c r="AG184" s="48">
        <v>1500000</v>
      </c>
      <c r="AH184" s="265">
        <f>AE184*AG184</f>
        <v>1500000</v>
      </c>
      <c r="AI184" s="257">
        <f>AH184-AC184</f>
        <v>0</v>
      </c>
      <c r="AJ184" s="18"/>
      <c r="AK184" s="23"/>
    </row>
    <row r="185" spans="2:37" ht="30.2" customHeight="1">
      <c r="B185" s="86"/>
      <c r="C185" s="707" t="s">
        <v>188</v>
      </c>
      <c r="D185" s="708"/>
      <c r="E185" s="708"/>
      <c r="F185" s="708"/>
      <c r="G185" s="708"/>
      <c r="H185" s="708"/>
      <c r="I185" s="709"/>
      <c r="J185" s="167">
        <f>SUM(J184:J184)</f>
        <v>1500000</v>
      </c>
      <c r="K185" s="713"/>
      <c r="L185" s="714"/>
      <c r="M185" s="715"/>
      <c r="N185" s="272">
        <f>SUM(N184)</f>
        <v>1500000</v>
      </c>
      <c r="O185" s="255">
        <f>SUM(O184)</f>
        <v>0</v>
      </c>
      <c r="P185" s="713"/>
      <c r="Q185" s="714"/>
      <c r="R185" s="715"/>
      <c r="S185" s="272">
        <f>SUM(S184)</f>
        <v>1500000</v>
      </c>
      <c r="T185" s="543">
        <f t="shared" si="62"/>
        <v>0</v>
      </c>
      <c r="U185" s="713"/>
      <c r="V185" s="714"/>
      <c r="W185" s="715"/>
      <c r="X185" s="272">
        <f>SUM(X184)</f>
        <v>1500000</v>
      </c>
      <c r="Y185" s="255">
        <f>SUM(Y184)</f>
        <v>0</v>
      </c>
      <c r="Z185" s="713"/>
      <c r="AA185" s="714"/>
      <c r="AB185" s="715"/>
      <c r="AC185" s="272">
        <f>SUM(AC184)</f>
        <v>1500000</v>
      </c>
      <c r="AD185" s="255">
        <f>SUM(AD184)</f>
        <v>0</v>
      </c>
      <c r="AE185" s="713"/>
      <c r="AF185" s="714"/>
      <c r="AG185" s="715"/>
      <c r="AH185" s="272">
        <f>SUM(AH184)</f>
        <v>1500000</v>
      </c>
      <c r="AI185" s="255">
        <f>SUM(AI184)</f>
        <v>0</v>
      </c>
      <c r="AJ185" s="207"/>
      <c r="AK185" s="33"/>
    </row>
    <row r="186" spans="2:37" ht="30.2" customHeight="1">
      <c r="B186" s="86"/>
      <c r="C186" s="753" t="s">
        <v>189</v>
      </c>
      <c r="D186" s="753" t="s">
        <v>191</v>
      </c>
      <c r="E186" s="753" t="s">
        <v>347</v>
      </c>
      <c r="F186" s="305" t="s">
        <v>484</v>
      </c>
      <c r="G186" s="179">
        <v>1</v>
      </c>
      <c r="H186" s="179" t="s">
        <v>192</v>
      </c>
      <c r="I186" s="185">
        <v>12000000</v>
      </c>
      <c r="J186" s="182">
        <f>G186*I186</f>
        <v>12000000</v>
      </c>
      <c r="K186" s="225"/>
      <c r="L186" s="187"/>
      <c r="M186" s="188"/>
      <c r="N186" s="271">
        <f t="shared" ref="N186:N191" si="74">K186*M186</f>
        <v>0</v>
      </c>
      <c r="O186" s="258">
        <f t="shared" ref="O186:O191" si="75">N186-J186</f>
        <v>-12000000</v>
      </c>
      <c r="P186" s="225"/>
      <c r="Q186" s="187"/>
      <c r="R186" s="188"/>
      <c r="S186" s="271">
        <f>P186*R186</f>
        <v>0</v>
      </c>
      <c r="T186" s="256">
        <f t="shared" si="62"/>
        <v>0</v>
      </c>
      <c r="U186" s="225"/>
      <c r="V186" s="187"/>
      <c r="W186" s="188"/>
      <c r="X186" s="271">
        <f>U186*W186</f>
        <v>0</v>
      </c>
      <c r="Y186" s="258">
        <f>X186-T186</f>
        <v>0</v>
      </c>
      <c r="Z186" s="225"/>
      <c r="AA186" s="187"/>
      <c r="AB186" s="188"/>
      <c r="AC186" s="271">
        <f>Z186*AB186</f>
        <v>0</v>
      </c>
      <c r="AD186" s="258">
        <f>AC186-Y186</f>
        <v>0</v>
      </c>
      <c r="AE186" s="225"/>
      <c r="AF186" s="187"/>
      <c r="AG186" s="188"/>
      <c r="AH186" s="271">
        <f>AE186*AG186</f>
        <v>0</v>
      </c>
      <c r="AI186" s="258">
        <f>AH186-AD186</f>
        <v>0</v>
      </c>
      <c r="AJ186" s="206"/>
      <c r="AK186" s="106"/>
    </row>
    <row r="187" spans="2:37" ht="30.2" customHeight="1">
      <c r="B187" s="86"/>
      <c r="C187" s="753"/>
      <c r="D187" s="753"/>
      <c r="E187" s="753"/>
      <c r="F187" s="305" t="s">
        <v>483</v>
      </c>
      <c r="G187" s="179"/>
      <c r="H187" s="179"/>
      <c r="I187" s="185"/>
      <c r="J187" s="182">
        <f>G187*I187</f>
        <v>0</v>
      </c>
      <c r="K187" s="225">
        <v>1</v>
      </c>
      <c r="L187" s="187" t="s">
        <v>485</v>
      </c>
      <c r="M187" s="188">
        <v>13600000</v>
      </c>
      <c r="N187" s="271">
        <f t="shared" si="74"/>
        <v>13600000</v>
      </c>
      <c r="O187" s="279">
        <f t="shared" si="75"/>
        <v>13600000</v>
      </c>
      <c r="P187" s="225">
        <v>1</v>
      </c>
      <c r="Q187" s="187" t="s">
        <v>485</v>
      </c>
      <c r="R187" s="188">
        <v>13600000</v>
      </c>
      <c r="S187" s="271">
        <f>P187*R187</f>
        <v>13600000</v>
      </c>
      <c r="T187" s="256">
        <f t="shared" si="62"/>
        <v>0</v>
      </c>
      <c r="U187" s="225">
        <v>1</v>
      </c>
      <c r="V187" s="187" t="s">
        <v>485</v>
      </c>
      <c r="W187" s="188">
        <v>13600000</v>
      </c>
      <c r="X187" s="271">
        <f>U187*W187</f>
        <v>13600000</v>
      </c>
      <c r="Y187" s="279">
        <f>X187-S187</f>
        <v>0</v>
      </c>
      <c r="Z187" s="225">
        <v>1</v>
      </c>
      <c r="AA187" s="187" t="s">
        <v>485</v>
      </c>
      <c r="AB187" s="188">
        <v>13600000</v>
      </c>
      <c r="AC187" s="271">
        <f>Z187*AB187</f>
        <v>13600000</v>
      </c>
      <c r="AD187" s="279">
        <f>AC187-X187</f>
        <v>0</v>
      </c>
      <c r="AE187" s="225">
        <v>1</v>
      </c>
      <c r="AF187" s="187" t="s">
        <v>485</v>
      </c>
      <c r="AG187" s="188">
        <v>13600000</v>
      </c>
      <c r="AH187" s="271">
        <f>AE187*AG187</f>
        <v>13600000</v>
      </c>
      <c r="AI187" s="279">
        <f>AH187-AC187</f>
        <v>0</v>
      </c>
      <c r="AJ187" s="206"/>
      <c r="AK187" s="106" t="s">
        <v>348</v>
      </c>
    </row>
    <row r="188" spans="2:37" ht="30.2" customHeight="1">
      <c r="B188" s="86"/>
      <c r="C188" s="753"/>
      <c r="D188" s="753"/>
      <c r="E188" s="753"/>
      <c r="F188" s="413" t="s">
        <v>615</v>
      </c>
      <c r="G188" s="385"/>
      <c r="H188" s="385"/>
      <c r="I188" s="393"/>
      <c r="J188" s="387"/>
      <c r="K188" s="388">
        <v>1</v>
      </c>
      <c r="L188" s="414" t="s">
        <v>616</v>
      </c>
      <c r="M188" s="415">
        <v>7000000</v>
      </c>
      <c r="N188" s="391">
        <f t="shared" si="74"/>
        <v>7000000</v>
      </c>
      <c r="O188" s="397">
        <f t="shared" si="75"/>
        <v>7000000</v>
      </c>
      <c r="P188" s="388">
        <v>1</v>
      </c>
      <c r="Q188" s="414" t="s">
        <v>38</v>
      </c>
      <c r="R188" s="415">
        <v>7000000</v>
      </c>
      <c r="S188" s="391">
        <f>P188*R188</f>
        <v>7000000</v>
      </c>
      <c r="T188" s="544">
        <f t="shared" si="62"/>
        <v>0</v>
      </c>
      <c r="U188" s="388">
        <v>1</v>
      </c>
      <c r="V188" s="414" t="s">
        <v>38</v>
      </c>
      <c r="W188" s="415">
        <v>7000000</v>
      </c>
      <c r="X188" s="391">
        <f>U188*W188</f>
        <v>7000000</v>
      </c>
      <c r="Y188" s="397">
        <f>X188-S188</f>
        <v>0</v>
      </c>
      <c r="Z188" s="388">
        <v>1</v>
      </c>
      <c r="AA188" s="414" t="s">
        <v>38</v>
      </c>
      <c r="AB188" s="415">
        <v>7000000</v>
      </c>
      <c r="AC188" s="391">
        <f>Z188*AB188</f>
        <v>7000000</v>
      </c>
      <c r="AD188" s="397">
        <f>AC188-X188</f>
        <v>0</v>
      </c>
      <c r="AE188" s="388">
        <v>1</v>
      </c>
      <c r="AF188" s="414" t="s">
        <v>38</v>
      </c>
      <c r="AG188" s="415">
        <v>7000000</v>
      </c>
      <c r="AH188" s="391">
        <f>AE188*AG188</f>
        <v>7000000</v>
      </c>
      <c r="AI188" s="397">
        <f>AH188-AC188</f>
        <v>0</v>
      </c>
      <c r="AJ188" s="392"/>
      <c r="AK188" s="383"/>
    </row>
    <row r="189" spans="2:37" ht="30.2" customHeight="1">
      <c r="B189" s="86"/>
      <c r="C189" s="753"/>
      <c r="D189" s="753"/>
      <c r="E189" s="753"/>
      <c r="F189" s="482" t="s">
        <v>641</v>
      </c>
      <c r="G189" s="457"/>
      <c r="H189" s="457"/>
      <c r="I189" s="458"/>
      <c r="J189" s="450"/>
      <c r="K189" s="478">
        <v>6</v>
      </c>
      <c r="L189" s="483" t="s">
        <v>642</v>
      </c>
      <c r="M189" s="484">
        <v>1000000</v>
      </c>
      <c r="N189" s="453">
        <f t="shared" si="74"/>
        <v>6000000</v>
      </c>
      <c r="O189" s="479">
        <f t="shared" si="75"/>
        <v>6000000</v>
      </c>
      <c r="P189" s="528">
        <v>6</v>
      </c>
      <c r="Q189" s="529" t="s">
        <v>38</v>
      </c>
      <c r="R189" s="530">
        <v>1000000</v>
      </c>
      <c r="S189" s="527">
        <v>550000</v>
      </c>
      <c r="T189" s="545">
        <f t="shared" si="62"/>
        <v>-5450000</v>
      </c>
      <c r="U189" s="528">
        <v>6</v>
      </c>
      <c r="V189" s="529" t="s">
        <v>38</v>
      </c>
      <c r="W189" s="530">
        <v>1000000</v>
      </c>
      <c r="X189" s="527">
        <v>550000</v>
      </c>
      <c r="Y189" s="531">
        <f>X189-S189</f>
        <v>0</v>
      </c>
      <c r="Z189" s="528">
        <v>6</v>
      </c>
      <c r="AA189" s="529" t="s">
        <v>38</v>
      </c>
      <c r="AB189" s="530">
        <v>1000000</v>
      </c>
      <c r="AC189" s="527">
        <v>550000</v>
      </c>
      <c r="AD189" s="531">
        <f>AC189-X189</f>
        <v>0</v>
      </c>
      <c r="AE189" s="528">
        <v>6</v>
      </c>
      <c r="AF189" s="529" t="s">
        <v>38</v>
      </c>
      <c r="AG189" s="530">
        <v>1000000</v>
      </c>
      <c r="AH189" s="527">
        <v>550000</v>
      </c>
      <c r="AI189" s="531">
        <f>AH189-AC189</f>
        <v>0</v>
      </c>
      <c r="AJ189" s="532"/>
      <c r="AK189" s="520" t="s">
        <v>695</v>
      </c>
    </row>
    <row r="190" spans="2:37" ht="30.2" customHeight="1">
      <c r="B190" s="86"/>
      <c r="C190" s="753"/>
      <c r="D190" s="753"/>
      <c r="E190" s="753"/>
      <c r="F190" s="482" t="s">
        <v>643</v>
      </c>
      <c r="G190" s="457"/>
      <c r="H190" s="457"/>
      <c r="I190" s="458"/>
      <c r="J190" s="450"/>
      <c r="K190" s="478">
        <v>1</v>
      </c>
      <c r="L190" s="483" t="s">
        <v>642</v>
      </c>
      <c r="M190" s="484">
        <v>1000000</v>
      </c>
      <c r="N190" s="453">
        <f t="shared" si="74"/>
        <v>1000000</v>
      </c>
      <c r="O190" s="479">
        <f t="shared" si="75"/>
        <v>1000000</v>
      </c>
      <c r="P190" s="528">
        <v>1</v>
      </c>
      <c r="Q190" s="529" t="s">
        <v>38</v>
      </c>
      <c r="R190" s="530">
        <v>1000000</v>
      </c>
      <c r="S190" s="527"/>
      <c r="T190" s="545">
        <f t="shared" si="62"/>
        <v>-1000000</v>
      </c>
      <c r="U190" s="528">
        <v>1</v>
      </c>
      <c r="V190" s="529" t="s">
        <v>38</v>
      </c>
      <c r="W190" s="530">
        <v>1000000</v>
      </c>
      <c r="X190" s="527"/>
      <c r="Y190" s="531">
        <f>X190-S190</f>
        <v>0</v>
      </c>
      <c r="Z190" s="528">
        <v>1</v>
      </c>
      <c r="AA190" s="529" t="s">
        <v>38</v>
      </c>
      <c r="AB190" s="530">
        <v>1000000</v>
      </c>
      <c r="AC190" s="527"/>
      <c r="AD190" s="531">
        <f>AC190-X190</f>
        <v>0</v>
      </c>
      <c r="AE190" s="528">
        <v>1</v>
      </c>
      <c r="AF190" s="529" t="s">
        <v>38</v>
      </c>
      <c r="AG190" s="530">
        <v>1000000</v>
      </c>
      <c r="AH190" s="527"/>
      <c r="AI190" s="531">
        <f>AH190-AC190</f>
        <v>0</v>
      </c>
      <c r="AJ190" s="532"/>
      <c r="AK190" s="520"/>
    </row>
    <row r="191" spans="2:37" ht="30.2" customHeight="1">
      <c r="B191" s="86"/>
      <c r="C191" s="753"/>
      <c r="D191" s="753"/>
      <c r="E191" s="753"/>
      <c r="F191" s="482" t="s">
        <v>644</v>
      </c>
      <c r="G191" s="457">
        <v>12</v>
      </c>
      <c r="H191" s="457"/>
      <c r="I191" s="458">
        <v>150000</v>
      </c>
      <c r="J191" s="450">
        <f>G191*I191</f>
        <v>1800000</v>
      </c>
      <c r="K191" s="478">
        <v>10</v>
      </c>
      <c r="L191" s="485" t="s">
        <v>645</v>
      </c>
      <c r="M191" s="486">
        <v>150000</v>
      </c>
      <c r="N191" s="453">
        <f t="shared" si="74"/>
        <v>1500000</v>
      </c>
      <c r="O191" s="487">
        <f t="shared" si="75"/>
        <v>-300000</v>
      </c>
      <c r="P191" s="528">
        <v>4</v>
      </c>
      <c r="Q191" s="533" t="s">
        <v>76</v>
      </c>
      <c r="R191" s="534">
        <v>150000</v>
      </c>
      <c r="S191" s="527">
        <f>P191*R191</f>
        <v>600000</v>
      </c>
      <c r="T191" s="545">
        <f t="shared" si="62"/>
        <v>-900000</v>
      </c>
      <c r="U191" s="528">
        <v>4</v>
      </c>
      <c r="V191" s="533" t="s">
        <v>76</v>
      </c>
      <c r="W191" s="534">
        <v>150000</v>
      </c>
      <c r="X191" s="527">
        <f>U191*W191</f>
        <v>600000</v>
      </c>
      <c r="Y191" s="531">
        <f>X191-S191</f>
        <v>0</v>
      </c>
      <c r="Z191" s="528">
        <v>4</v>
      </c>
      <c r="AA191" s="533" t="s">
        <v>76</v>
      </c>
      <c r="AB191" s="534">
        <v>150000</v>
      </c>
      <c r="AC191" s="527">
        <f>Z191*AB191</f>
        <v>600000</v>
      </c>
      <c r="AD191" s="531">
        <f>AC191-X191</f>
        <v>0</v>
      </c>
      <c r="AE191" s="528">
        <v>4</v>
      </c>
      <c r="AF191" s="533" t="s">
        <v>76</v>
      </c>
      <c r="AG191" s="534">
        <v>150000</v>
      </c>
      <c r="AH191" s="527">
        <f>AE191*AG191</f>
        <v>600000</v>
      </c>
      <c r="AI191" s="531">
        <f>AH191-AC191</f>
        <v>0</v>
      </c>
      <c r="AJ191" s="532"/>
      <c r="AK191" s="520" t="s">
        <v>646</v>
      </c>
    </row>
    <row r="192" spans="2:37" ht="30.2" customHeight="1">
      <c r="B192" s="86"/>
      <c r="C192" s="707" t="s">
        <v>195</v>
      </c>
      <c r="D192" s="708"/>
      <c r="E192" s="708"/>
      <c r="F192" s="708"/>
      <c r="G192" s="708"/>
      <c r="H192" s="708"/>
      <c r="I192" s="708"/>
      <c r="J192" s="167">
        <f>SUM(J186:J191)</f>
        <v>13800000</v>
      </c>
      <c r="K192" s="713"/>
      <c r="L192" s="714"/>
      <c r="M192" s="715"/>
      <c r="N192" s="272">
        <f>SUM(N186:N191)</f>
        <v>29100000</v>
      </c>
      <c r="O192" s="255">
        <f>SUM(O186:O191)</f>
        <v>15300000</v>
      </c>
      <c r="P192" s="713"/>
      <c r="Q192" s="714"/>
      <c r="R192" s="715"/>
      <c r="S192" s="272">
        <f>SUM(S186:S191)</f>
        <v>21750000</v>
      </c>
      <c r="T192" s="543">
        <f t="shared" si="62"/>
        <v>-7350000</v>
      </c>
      <c r="U192" s="713"/>
      <c r="V192" s="714"/>
      <c r="W192" s="715"/>
      <c r="X192" s="272">
        <f>SUM(X186:X191)</f>
        <v>21750000</v>
      </c>
      <c r="Y192" s="255">
        <f>SUM(Y186:Y191)</f>
        <v>0</v>
      </c>
      <c r="Z192" s="713"/>
      <c r="AA192" s="714"/>
      <c r="AB192" s="715"/>
      <c r="AC192" s="272">
        <f>SUM(AC186:AC191)</f>
        <v>21750000</v>
      </c>
      <c r="AD192" s="255">
        <f>SUM(AD186:AD191)</f>
        <v>0</v>
      </c>
      <c r="AE192" s="713"/>
      <c r="AF192" s="714"/>
      <c r="AG192" s="715"/>
      <c r="AH192" s="272">
        <f>SUM(AH186:AH191)</f>
        <v>21750000</v>
      </c>
      <c r="AI192" s="255">
        <f>SUM(AI186:AI191)</f>
        <v>0</v>
      </c>
      <c r="AJ192" s="207"/>
      <c r="AK192" s="33"/>
    </row>
    <row r="193" spans="2:37" ht="30.2" customHeight="1">
      <c r="B193" s="86"/>
      <c r="C193" s="703" t="s">
        <v>353</v>
      </c>
      <c r="D193" s="703" t="s">
        <v>191</v>
      </c>
      <c r="E193" s="173" t="s">
        <v>487</v>
      </c>
      <c r="F193" s="174" t="s">
        <v>488</v>
      </c>
      <c r="G193" s="179">
        <v>1</v>
      </c>
      <c r="H193" s="180" t="s">
        <v>192</v>
      </c>
      <c r="I193" s="181">
        <v>3500000</v>
      </c>
      <c r="J193" s="182">
        <f>G193*I193</f>
        <v>3500000</v>
      </c>
      <c r="K193" s="225"/>
      <c r="L193" s="187"/>
      <c r="M193" s="188"/>
      <c r="N193" s="271">
        <f t="shared" ref="N193:N198" si="76">K193*M193</f>
        <v>0</v>
      </c>
      <c r="O193" s="258">
        <f t="shared" ref="O193:O198" si="77">N193-J193</f>
        <v>-3500000</v>
      </c>
      <c r="P193" s="225"/>
      <c r="Q193" s="187"/>
      <c r="R193" s="188"/>
      <c r="S193" s="271">
        <f>P193*R193</f>
        <v>0</v>
      </c>
      <c r="T193" s="256">
        <f t="shared" si="62"/>
        <v>0</v>
      </c>
      <c r="U193" s="225"/>
      <c r="V193" s="187"/>
      <c r="W193" s="188"/>
      <c r="X193" s="271">
        <f>U193*W193</f>
        <v>0</v>
      </c>
      <c r="Y193" s="258">
        <f t="shared" ref="Y193:Y198" si="78">X193-S193</f>
        <v>0</v>
      </c>
      <c r="Z193" s="225"/>
      <c r="AA193" s="187"/>
      <c r="AB193" s="188"/>
      <c r="AC193" s="271">
        <f>Z193*AB193</f>
        <v>0</v>
      </c>
      <c r="AD193" s="258">
        <f t="shared" ref="AD193:AD198" si="79">AC193-X193</f>
        <v>0</v>
      </c>
      <c r="AE193" s="225"/>
      <c r="AF193" s="187"/>
      <c r="AG193" s="188"/>
      <c r="AH193" s="271">
        <f>AE193*AG193</f>
        <v>0</v>
      </c>
      <c r="AI193" s="258">
        <f t="shared" ref="AI193:AI198" si="80">AH193-AC193</f>
        <v>0</v>
      </c>
      <c r="AJ193" s="206"/>
      <c r="AK193" s="703" t="s">
        <v>489</v>
      </c>
    </row>
    <row r="194" spans="2:37" ht="30.2" customHeight="1">
      <c r="B194" s="86"/>
      <c r="C194" s="705"/>
      <c r="D194" s="704"/>
      <c r="E194" s="173" t="s">
        <v>349</v>
      </c>
      <c r="F194" s="174" t="s">
        <v>350</v>
      </c>
      <c r="G194" s="179"/>
      <c r="H194" s="180"/>
      <c r="I194" s="181"/>
      <c r="J194" s="182">
        <f>G194*I194</f>
        <v>0</v>
      </c>
      <c r="K194" s="225">
        <v>3</v>
      </c>
      <c r="L194" s="175" t="s">
        <v>38</v>
      </c>
      <c r="M194" s="177">
        <v>2950000</v>
      </c>
      <c r="N194" s="271">
        <f t="shared" si="76"/>
        <v>8850000</v>
      </c>
      <c r="O194" s="279">
        <f t="shared" si="77"/>
        <v>8850000</v>
      </c>
      <c r="P194" s="225">
        <v>3</v>
      </c>
      <c r="Q194" s="175" t="s">
        <v>38</v>
      </c>
      <c r="R194" s="177">
        <v>2950000</v>
      </c>
      <c r="S194" s="271">
        <f>P194*R194</f>
        <v>8850000</v>
      </c>
      <c r="T194" s="256">
        <f t="shared" si="62"/>
        <v>0</v>
      </c>
      <c r="U194" s="225">
        <v>3</v>
      </c>
      <c r="V194" s="175" t="s">
        <v>38</v>
      </c>
      <c r="W194" s="177">
        <v>2950000</v>
      </c>
      <c r="X194" s="271">
        <f>U194*W194</f>
        <v>8850000</v>
      </c>
      <c r="Y194" s="279">
        <f t="shared" si="78"/>
        <v>0</v>
      </c>
      <c r="Z194" s="225">
        <v>3</v>
      </c>
      <c r="AA194" s="175" t="s">
        <v>38</v>
      </c>
      <c r="AB194" s="177">
        <v>2950000</v>
      </c>
      <c r="AC194" s="271">
        <f>Z194*AB194</f>
        <v>8850000</v>
      </c>
      <c r="AD194" s="279">
        <f t="shared" si="79"/>
        <v>0</v>
      </c>
      <c r="AE194" s="225">
        <v>3</v>
      </c>
      <c r="AF194" s="175" t="s">
        <v>38</v>
      </c>
      <c r="AG194" s="177">
        <v>2950000</v>
      </c>
      <c r="AH194" s="271">
        <f>AE194*AG194</f>
        <v>8850000</v>
      </c>
      <c r="AI194" s="279">
        <f t="shared" si="80"/>
        <v>0</v>
      </c>
      <c r="AJ194" s="206"/>
      <c r="AK194" s="704"/>
    </row>
    <row r="195" spans="2:37" ht="50.25" customHeight="1">
      <c r="B195" s="86"/>
      <c r="C195" s="705"/>
      <c r="D195" s="339"/>
      <c r="E195" s="173"/>
      <c r="F195" s="428" t="s">
        <v>617</v>
      </c>
      <c r="G195" s="385"/>
      <c r="H195" s="417"/>
      <c r="I195" s="418"/>
      <c r="J195" s="387"/>
      <c r="K195" s="388">
        <v>1</v>
      </c>
      <c r="L195" s="429" t="s">
        <v>616</v>
      </c>
      <c r="M195" s="419">
        <v>6000000</v>
      </c>
      <c r="N195" s="391">
        <f t="shared" si="76"/>
        <v>6000000</v>
      </c>
      <c r="O195" s="397">
        <f t="shared" si="77"/>
        <v>6000000</v>
      </c>
      <c r="P195" s="388">
        <v>1</v>
      </c>
      <c r="Q195" s="429" t="s">
        <v>38</v>
      </c>
      <c r="R195" s="419">
        <v>6000000</v>
      </c>
      <c r="S195" s="391">
        <f>P195*R195</f>
        <v>6000000</v>
      </c>
      <c r="T195" s="544">
        <f t="shared" si="62"/>
        <v>0</v>
      </c>
      <c r="U195" s="388">
        <v>1</v>
      </c>
      <c r="V195" s="429" t="s">
        <v>38</v>
      </c>
      <c r="W195" s="419">
        <v>6000000</v>
      </c>
      <c r="X195" s="391">
        <f>U195*W195</f>
        <v>6000000</v>
      </c>
      <c r="Y195" s="397">
        <f t="shared" si="78"/>
        <v>0</v>
      </c>
      <c r="Z195" s="388">
        <v>1</v>
      </c>
      <c r="AA195" s="429" t="s">
        <v>38</v>
      </c>
      <c r="AB195" s="419">
        <v>6000000</v>
      </c>
      <c r="AC195" s="391">
        <f>Z195*AB195</f>
        <v>6000000</v>
      </c>
      <c r="AD195" s="397">
        <f t="shared" si="79"/>
        <v>0</v>
      </c>
      <c r="AE195" s="388">
        <v>1</v>
      </c>
      <c r="AF195" s="429" t="s">
        <v>38</v>
      </c>
      <c r="AG195" s="419">
        <v>6000000</v>
      </c>
      <c r="AH195" s="391">
        <f>AE195*AG195</f>
        <v>6000000</v>
      </c>
      <c r="AI195" s="397">
        <f t="shared" si="80"/>
        <v>0</v>
      </c>
      <c r="AJ195" s="392"/>
      <c r="AK195" s="430"/>
    </row>
    <row r="196" spans="2:37" ht="30.2" customHeight="1">
      <c r="B196" s="86"/>
      <c r="C196" s="705"/>
      <c r="D196" s="198" t="s">
        <v>490</v>
      </c>
      <c r="E196" s="173" t="s">
        <v>491</v>
      </c>
      <c r="F196" s="330" t="s">
        <v>492</v>
      </c>
      <c r="G196" s="315">
        <v>1</v>
      </c>
      <c r="H196" s="331" t="s">
        <v>680</v>
      </c>
      <c r="I196" s="332">
        <v>5000000</v>
      </c>
      <c r="J196" s="317">
        <f>G196*I196</f>
        <v>5000000</v>
      </c>
      <c r="K196" s="318">
        <v>1</v>
      </c>
      <c r="L196" s="333" t="s">
        <v>557</v>
      </c>
      <c r="M196" s="334">
        <v>5000000</v>
      </c>
      <c r="N196" s="321">
        <f t="shared" si="76"/>
        <v>5000000</v>
      </c>
      <c r="O196" s="322">
        <f t="shared" si="77"/>
        <v>0</v>
      </c>
      <c r="P196" s="528">
        <v>1</v>
      </c>
      <c r="Q196" s="529" t="s">
        <v>38</v>
      </c>
      <c r="R196" s="530">
        <v>27000000</v>
      </c>
      <c r="S196" s="527">
        <v>2700000</v>
      </c>
      <c r="T196" s="545">
        <f t="shared" si="62"/>
        <v>-2300000</v>
      </c>
      <c r="U196" s="528">
        <v>1</v>
      </c>
      <c r="V196" s="529" t="s">
        <v>38</v>
      </c>
      <c r="W196" s="530">
        <v>27000000</v>
      </c>
      <c r="X196" s="527">
        <v>2700000</v>
      </c>
      <c r="Y196" s="531">
        <f t="shared" si="78"/>
        <v>0</v>
      </c>
      <c r="Z196" s="528">
        <v>1</v>
      </c>
      <c r="AA196" s="529" t="s">
        <v>38</v>
      </c>
      <c r="AB196" s="530">
        <v>27000000</v>
      </c>
      <c r="AC196" s="527">
        <v>2700000</v>
      </c>
      <c r="AD196" s="531">
        <f t="shared" si="79"/>
        <v>0</v>
      </c>
      <c r="AE196" s="528">
        <v>1</v>
      </c>
      <c r="AF196" s="529" t="s">
        <v>38</v>
      </c>
      <c r="AG196" s="530">
        <v>27000000</v>
      </c>
      <c r="AH196" s="527">
        <v>2700000</v>
      </c>
      <c r="AI196" s="531">
        <f t="shared" si="80"/>
        <v>0</v>
      </c>
      <c r="AJ196" s="532"/>
      <c r="AK196" s="520"/>
    </row>
    <row r="197" spans="2:37" ht="30.2" customHeight="1">
      <c r="B197" s="86"/>
      <c r="C197" s="705"/>
      <c r="D197" s="703" t="s">
        <v>193</v>
      </c>
      <c r="E197" s="173" t="s">
        <v>351</v>
      </c>
      <c r="F197" s="174" t="s">
        <v>352</v>
      </c>
      <c r="G197" s="179"/>
      <c r="H197" s="180"/>
      <c r="I197" s="181"/>
      <c r="J197" s="182">
        <f>G197*I197</f>
        <v>0</v>
      </c>
      <c r="K197" s="225">
        <v>1</v>
      </c>
      <c r="L197" s="175" t="s">
        <v>38</v>
      </c>
      <c r="M197" s="183">
        <v>250000</v>
      </c>
      <c r="N197" s="271">
        <f t="shared" si="76"/>
        <v>250000</v>
      </c>
      <c r="O197" s="279">
        <f t="shared" si="77"/>
        <v>250000</v>
      </c>
      <c r="P197" s="225">
        <v>1</v>
      </c>
      <c r="Q197" s="175" t="s">
        <v>38</v>
      </c>
      <c r="R197" s="183">
        <v>250000</v>
      </c>
      <c r="S197" s="271">
        <f>P197*R197</f>
        <v>250000</v>
      </c>
      <c r="T197" s="256">
        <f t="shared" si="62"/>
        <v>0</v>
      </c>
      <c r="U197" s="225">
        <v>1</v>
      </c>
      <c r="V197" s="175" t="s">
        <v>38</v>
      </c>
      <c r="W197" s="183">
        <v>250000</v>
      </c>
      <c r="X197" s="271">
        <f>U197*W197</f>
        <v>250000</v>
      </c>
      <c r="Y197" s="279">
        <f t="shared" si="78"/>
        <v>0</v>
      </c>
      <c r="Z197" s="225">
        <v>1</v>
      </c>
      <c r="AA197" s="175" t="s">
        <v>38</v>
      </c>
      <c r="AB197" s="183">
        <v>250000</v>
      </c>
      <c r="AC197" s="271">
        <f>Z197*AB197</f>
        <v>250000</v>
      </c>
      <c r="AD197" s="279">
        <f t="shared" si="79"/>
        <v>0</v>
      </c>
      <c r="AE197" s="225">
        <v>1</v>
      </c>
      <c r="AF197" s="175" t="s">
        <v>38</v>
      </c>
      <c r="AG197" s="183">
        <v>250000</v>
      </c>
      <c r="AH197" s="271">
        <f>AE197*AG197</f>
        <v>250000</v>
      </c>
      <c r="AI197" s="279">
        <f t="shared" si="80"/>
        <v>0</v>
      </c>
      <c r="AJ197" s="206"/>
      <c r="AK197" s="106"/>
    </row>
    <row r="198" spans="2:37" ht="30.2" customHeight="1">
      <c r="B198" s="86"/>
      <c r="C198" s="704"/>
      <c r="D198" s="704"/>
      <c r="E198" s="173" t="s">
        <v>196</v>
      </c>
      <c r="F198" s="174" t="s">
        <v>684</v>
      </c>
      <c r="G198" s="179">
        <v>6</v>
      </c>
      <c r="H198" s="180" t="s">
        <v>197</v>
      </c>
      <c r="I198" s="181">
        <v>150000</v>
      </c>
      <c r="J198" s="182">
        <f>G198*I198</f>
        <v>900000</v>
      </c>
      <c r="K198" s="225">
        <v>2</v>
      </c>
      <c r="L198" s="187" t="s">
        <v>486</v>
      </c>
      <c r="M198" s="188">
        <v>150000</v>
      </c>
      <c r="N198" s="271">
        <f t="shared" si="76"/>
        <v>300000</v>
      </c>
      <c r="O198" s="258">
        <f t="shared" si="77"/>
        <v>-600000</v>
      </c>
      <c r="P198" s="528">
        <v>4</v>
      </c>
      <c r="Q198" s="529" t="s">
        <v>486</v>
      </c>
      <c r="R198" s="530">
        <v>150000</v>
      </c>
      <c r="S198" s="527">
        <f>P198*R198</f>
        <v>600000</v>
      </c>
      <c r="T198" s="514">
        <f t="shared" si="62"/>
        <v>300000</v>
      </c>
      <c r="U198" s="528">
        <v>4</v>
      </c>
      <c r="V198" s="529" t="s">
        <v>486</v>
      </c>
      <c r="W198" s="530">
        <v>150000</v>
      </c>
      <c r="X198" s="527">
        <f>U198*W198</f>
        <v>600000</v>
      </c>
      <c r="Y198" s="535">
        <f t="shared" si="78"/>
        <v>0</v>
      </c>
      <c r="Z198" s="528">
        <v>4</v>
      </c>
      <c r="AA198" s="529" t="s">
        <v>486</v>
      </c>
      <c r="AB198" s="530">
        <v>150000</v>
      </c>
      <c r="AC198" s="527">
        <f>Z198*AB198</f>
        <v>600000</v>
      </c>
      <c r="AD198" s="535">
        <f t="shared" si="79"/>
        <v>0</v>
      </c>
      <c r="AE198" s="528">
        <v>4</v>
      </c>
      <c r="AF198" s="529" t="s">
        <v>76</v>
      </c>
      <c r="AG198" s="530">
        <v>150000</v>
      </c>
      <c r="AH198" s="527">
        <f>AE198*AG198</f>
        <v>600000</v>
      </c>
      <c r="AI198" s="535">
        <f t="shared" si="80"/>
        <v>0</v>
      </c>
      <c r="AJ198" s="532"/>
      <c r="AK198" s="520" t="s">
        <v>696</v>
      </c>
    </row>
    <row r="199" spans="2:37" ht="30.2" customHeight="1">
      <c r="B199" s="86"/>
      <c r="C199" s="707" t="s">
        <v>188</v>
      </c>
      <c r="D199" s="708"/>
      <c r="E199" s="708"/>
      <c r="F199" s="708"/>
      <c r="G199" s="708"/>
      <c r="H199" s="708"/>
      <c r="I199" s="709"/>
      <c r="J199" s="167">
        <f>SUM(J193:J198)</f>
        <v>9400000</v>
      </c>
      <c r="K199" s="713"/>
      <c r="L199" s="714"/>
      <c r="M199" s="715"/>
      <c r="N199" s="272">
        <f>SUM(N193:N198)</f>
        <v>20400000</v>
      </c>
      <c r="O199" s="255">
        <f>SUM(O193:O198)</f>
        <v>11000000</v>
      </c>
      <c r="P199" s="713"/>
      <c r="Q199" s="714"/>
      <c r="R199" s="715"/>
      <c r="S199" s="272">
        <f>SUM(S193:S198)</f>
        <v>18400000</v>
      </c>
      <c r="T199" s="543">
        <f t="shared" si="62"/>
        <v>-2000000</v>
      </c>
      <c r="U199" s="713"/>
      <c r="V199" s="714"/>
      <c r="W199" s="715"/>
      <c r="X199" s="272">
        <f>SUM(X193:X198)</f>
        <v>18400000</v>
      </c>
      <c r="Y199" s="255">
        <f>SUM(Y193:Y198)</f>
        <v>0</v>
      </c>
      <c r="Z199" s="713"/>
      <c r="AA199" s="714"/>
      <c r="AB199" s="715"/>
      <c r="AC199" s="272">
        <f>SUM(AC193:AC198)</f>
        <v>18400000</v>
      </c>
      <c r="AD199" s="255">
        <f>SUM(AD193:AD198)</f>
        <v>0</v>
      </c>
      <c r="AE199" s="713"/>
      <c r="AF199" s="714"/>
      <c r="AG199" s="715"/>
      <c r="AH199" s="272">
        <f>SUM(AH193:AH198)</f>
        <v>18400000</v>
      </c>
      <c r="AI199" s="255">
        <f>SUM(AI193:AI198)</f>
        <v>0</v>
      </c>
      <c r="AJ199" s="207"/>
      <c r="AK199" s="33"/>
    </row>
    <row r="200" spans="2:37" ht="30.2" customHeight="1">
      <c r="B200" s="86"/>
      <c r="C200" s="706" t="s">
        <v>354</v>
      </c>
      <c r="D200" s="106" t="s">
        <v>190</v>
      </c>
      <c r="E200" s="173" t="s">
        <v>355</v>
      </c>
      <c r="F200" s="174" t="s">
        <v>356</v>
      </c>
      <c r="G200" s="179"/>
      <c r="H200" s="180"/>
      <c r="I200" s="181"/>
      <c r="J200" s="182">
        <f>G200*I200</f>
        <v>0</v>
      </c>
      <c r="K200" s="225">
        <v>1</v>
      </c>
      <c r="L200" s="175" t="s">
        <v>38</v>
      </c>
      <c r="M200" s="183">
        <v>12700000</v>
      </c>
      <c r="N200" s="271">
        <f>K200*M200</f>
        <v>12700000</v>
      </c>
      <c r="O200" s="279">
        <f>N200-J200</f>
        <v>12700000</v>
      </c>
      <c r="P200" s="225">
        <v>1</v>
      </c>
      <c r="Q200" s="175" t="s">
        <v>38</v>
      </c>
      <c r="R200" s="183">
        <v>12700000</v>
      </c>
      <c r="S200" s="271">
        <f>P200*R200</f>
        <v>12700000</v>
      </c>
      <c r="T200" s="256">
        <f t="shared" si="62"/>
        <v>0</v>
      </c>
      <c r="U200" s="225">
        <v>1</v>
      </c>
      <c r="V200" s="175" t="s">
        <v>38</v>
      </c>
      <c r="W200" s="183">
        <v>12700000</v>
      </c>
      <c r="X200" s="271">
        <f>U200*W200</f>
        <v>12700000</v>
      </c>
      <c r="Y200" s="279">
        <f>X200-S200</f>
        <v>0</v>
      </c>
      <c r="Z200" s="225">
        <v>1</v>
      </c>
      <c r="AA200" s="175" t="s">
        <v>38</v>
      </c>
      <c r="AB200" s="183">
        <v>12700000</v>
      </c>
      <c r="AC200" s="271">
        <f>Z200*AB200</f>
        <v>12700000</v>
      </c>
      <c r="AD200" s="279">
        <f>AC200-X200</f>
        <v>0</v>
      </c>
      <c r="AE200" s="225">
        <v>1</v>
      </c>
      <c r="AF200" s="175" t="s">
        <v>38</v>
      </c>
      <c r="AG200" s="183">
        <v>12700000</v>
      </c>
      <c r="AH200" s="271">
        <f>AE200*AG200</f>
        <v>12700000</v>
      </c>
      <c r="AI200" s="279">
        <f>AH200-AC200</f>
        <v>0</v>
      </c>
      <c r="AJ200" s="206"/>
      <c r="AK200" s="420" t="s">
        <v>442</v>
      </c>
    </row>
    <row r="201" spans="2:37" ht="30.2" customHeight="1">
      <c r="B201" s="86"/>
      <c r="C201" s="818"/>
      <c r="D201" s="338"/>
      <c r="E201" s="173"/>
      <c r="F201" s="416" t="s">
        <v>618</v>
      </c>
      <c r="G201" s="385"/>
      <c r="H201" s="417"/>
      <c r="I201" s="418"/>
      <c r="J201" s="387"/>
      <c r="K201" s="388">
        <v>1</v>
      </c>
      <c r="L201" s="389" t="s">
        <v>616</v>
      </c>
      <c r="M201" s="419">
        <v>1500000</v>
      </c>
      <c r="N201" s="391">
        <f>K201*M201</f>
        <v>1500000</v>
      </c>
      <c r="O201" s="397">
        <f>N201-J201</f>
        <v>1500000</v>
      </c>
      <c r="P201" s="388">
        <v>1</v>
      </c>
      <c r="Q201" s="389" t="s">
        <v>38</v>
      </c>
      <c r="R201" s="419">
        <v>1500000</v>
      </c>
      <c r="S201" s="391">
        <f>P201*R201</f>
        <v>1500000</v>
      </c>
      <c r="T201" s="544">
        <f t="shared" si="62"/>
        <v>0</v>
      </c>
      <c r="U201" s="388">
        <v>1</v>
      </c>
      <c r="V201" s="389" t="s">
        <v>38</v>
      </c>
      <c r="W201" s="419">
        <v>1500000</v>
      </c>
      <c r="X201" s="391">
        <f>U201*W201</f>
        <v>1500000</v>
      </c>
      <c r="Y201" s="397">
        <f>X201-S201</f>
        <v>0</v>
      </c>
      <c r="Z201" s="388">
        <v>1</v>
      </c>
      <c r="AA201" s="389" t="s">
        <v>38</v>
      </c>
      <c r="AB201" s="419">
        <v>1500000</v>
      </c>
      <c r="AC201" s="391">
        <f>Z201*AB201</f>
        <v>1500000</v>
      </c>
      <c r="AD201" s="397">
        <f>AC201-X201</f>
        <v>0</v>
      </c>
      <c r="AE201" s="388">
        <v>1</v>
      </c>
      <c r="AF201" s="389" t="s">
        <v>38</v>
      </c>
      <c r="AG201" s="419">
        <v>1500000</v>
      </c>
      <c r="AH201" s="391">
        <f>AE201*AG201</f>
        <v>1500000</v>
      </c>
      <c r="AI201" s="397">
        <f>AH201-AC201</f>
        <v>0</v>
      </c>
      <c r="AJ201" s="392"/>
      <c r="AK201" s="423"/>
    </row>
    <row r="202" spans="2:37" ht="30.2" customHeight="1">
      <c r="B202" s="86"/>
      <c r="C202" s="704"/>
      <c r="D202" s="200" t="s">
        <v>357</v>
      </c>
      <c r="E202" s="173" t="s">
        <v>196</v>
      </c>
      <c r="F202" s="174" t="s">
        <v>494</v>
      </c>
      <c r="G202" s="179"/>
      <c r="H202" s="180"/>
      <c r="I202" s="181"/>
      <c r="J202" s="182">
        <f>G202*I202</f>
        <v>0</v>
      </c>
      <c r="K202" s="225">
        <v>2</v>
      </c>
      <c r="L202" s="175" t="s">
        <v>76</v>
      </c>
      <c r="M202" s="183">
        <v>150000</v>
      </c>
      <c r="N202" s="271">
        <f>K202*M202</f>
        <v>300000</v>
      </c>
      <c r="O202" s="279">
        <f>N202-J202</f>
        <v>300000</v>
      </c>
      <c r="P202" s="225">
        <v>2</v>
      </c>
      <c r="Q202" s="175" t="s">
        <v>76</v>
      </c>
      <c r="R202" s="183">
        <v>150000</v>
      </c>
      <c r="S202" s="271">
        <f>P202*R202</f>
        <v>300000</v>
      </c>
      <c r="T202" s="256">
        <f t="shared" si="62"/>
        <v>0</v>
      </c>
      <c r="U202" s="225">
        <v>2</v>
      </c>
      <c r="V202" s="175" t="s">
        <v>76</v>
      </c>
      <c r="W202" s="183">
        <v>150000</v>
      </c>
      <c r="X202" s="271">
        <f>U202*W202</f>
        <v>300000</v>
      </c>
      <c r="Y202" s="279">
        <f>X202-S202</f>
        <v>0</v>
      </c>
      <c r="Z202" s="225">
        <v>2</v>
      </c>
      <c r="AA202" s="175" t="s">
        <v>76</v>
      </c>
      <c r="AB202" s="183">
        <v>150000</v>
      </c>
      <c r="AC202" s="271">
        <f>Z202*AB202</f>
        <v>300000</v>
      </c>
      <c r="AD202" s="279">
        <f>AC202-X202</f>
        <v>0</v>
      </c>
      <c r="AE202" s="225">
        <v>2</v>
      </c>
      <c r="AF202" s="175" t="s">
        <v>76</v>
      </c>
      <c r="AG202" s="183">
        <v>150000</v>
      </c>
      <c r="AH202" s="271">
        <f>AE202*AG202</f>
        <v>300000</v>
      </c>
      <c r="AI202" s="279">
        <f>AH202-AC202</f>
        <v>0</v>
      </c>
      <c r="AJ202" s="206"/>
      <c r="AK202" s="422"/>
    </row>
    <row r="203" spans="2:37" ht="30.2" customHeight="1">
      <c r="B203" s="86"/>
      <c r="C203" s="707" t="s">
        <v>683</v>
      </c>
      <c r="D203" s="708"/>
      <c r="E203" s="708"/>
      <c r="F203" s="708"/>
      <c r="G203" s="708"/>
      <c r="H203" s="708"/>
      <c r="I203" s="709"/>
      <c r="J203" s="167">
        <f>SUM(J200:J202)</f>
        <v>0</v>
      </c>
      <c r="K203" s="713"/>
      <c r="L203" s="714"/>
      <c r="M203" s="715"/>
      <c r="N203" s="272">
        <f>SUM(N200:N202)</f>
        <v>14500000</v>
      </c>
      <c r="O203" s="278">
        <f>SUM(O200:O202)</f>
        <v>14500000</v>
      </c>
      <c r="P203" s="713"/>
      <c r="Q203" s="714"/>
      <c r="R203" s="715"/>
      <c r="S203" s="272">
        <f>SUM(S200:S202)</f>
        <v>14500000</v>
      </c>
      <c r="T203" s="543">
        <f t="shared" si="62"/>
        <v>0</v>
      </c>
      <c r="U203" s="713"/>
      <c r="V203" s="714"/>
      <c r="W203" s="715"/>
      <c r="X203" s="272">
        <f>SUM(X200:X202)</f>
        <v>14500000</v>
      </c>
      <c r="Y203" s="278">
        <f>SUM(Y200:Y202)</f>
        <v>0</v>
      </c>
      <c r="Z203" s="713"/>
      <c r="AA203" s="714"/>
      <c r="AB203" s="715"/>
      <c r="AC203" s="272">
        <f>SUM(AC200:AC202)</f>
        <v>14500000</v>
      </c>
      <c r="AD203" s="278">
        <f>SUM(AD200:AD202)</f>
        <v>0</v>
      </c>
      <c r="AE203" s="713"/>
      <c r="AF203" s="714"/>
      <c r="AG203" s="715"/>
      <c r="AH203" s="272">
        <f>SUM(AH200:AH202)</f>
        <v>14500000</v>
      </c>
      <c r="AI203" s="278">
        <f>SUM(AI200:AI202)</f>
        <v>0</v>
      </c>
      <c r="AJ203" s="207"/>
      <c r="AK203" s="33"/>
    </row>
    <row r="204" spans="2:37" ht="30.2" customHeight="1">
      <c r="B204" s="86"/>
      <c r="C204" s="752" t="s">
        <v>358</v>
      </c>
      <c r="D204" s="753" t="s">
        <v>190</v>
      </c>
      <c r="E204" s="758" t="s">
        <v>359</v>
      </c>
      <c r="F204" s="191" t="s">
        <v>360</v>
      </c>
      <c r="G204" s="179"/>
      <c r="H204" s="179"/>
      <c r="I204" s="185"/>
      <c r="J204" s="182">
        <f>I204*G204</f>
        <v>0</v>
      </c>
      <c r="K204" s="225">
        <v>1</v>
      </c>
      <c r="L204" s="175" t="s">
        <v>38</v>
      </c>
      <c r="M204" s="183">
        <v>11500000</v>
      </c>
      <c r="N204" s="271">
        <f t="shared" ref="N204:N212" si="81">K204*M204</f>
        <v>11500000</v>
      </c>
      <c r="O204" s="279">
        <f t="shared" ref="O204:O212" si="82">N204-J204</f>
        <v>11500000</v>
      </c>
      <c r="P204" s="225">
        <v>1</v>
      </c>
      <c r="Q204" s="175" t="s">
        <v>38</v>
      </c>
      <c r="R204" s="183">
        <v>11500000</v>
      </c>
      <c r="S204" s="271">
        <f>P204*R204</f>
        <v>11500000</v>
      </c>
      <c r="T204" s="256">
        <f t="shared" si="62"/>
        <v>0</v>
      </c>
      <c r="U204" s="225">
        <v>1</v>
      </c>
      <c r="V204" s="175" t="s">
        <v>38</v>
      </c>
      <c r="W204" s="183">
        <v>11500000</v>
      </c>
      <c r="X204" s="271">
        <f>U204*W204</f>
        <v>11500000</v>
      </c>
      <c r="Y204" s="279">
        <f>X204-S204</f>
        <v>0</v>
      </c>
      <c r="Z204" s="225">
        <v>1</v>
      </c>
      <c r="AA204" s="175" t="s">
        <v>38</v>
      </c>
      <c r="AB204" s="183">
        <v>11500000</v>
      </c>
      <c r="AC204" s="271">
        <f>Z204*AB204</f>
        <v>11500000</v>
      </c>
      <c r="AD204" s="279">
        <f>AC204-X204</f>
        <v>0</v>
      </c>
      <c r="AE204" s="225">
        <v>1</v>
      </c>
      <c r="AF204" s="175" t="s">
        <v>38</v>
      </c>
      <c r="AG204" s="183">
        <v>11500000</v>
      </c>
      <c r="AH204" s="271">
        <f>AE204*AG204</f>
        <v>11500000</v>
      </c>
      <c r="AI204" s="279">
        <f t="shared" ref="AI204:AI212" si="83">AH204-AC204</f>
        <v>0</v>
      </c>
      <c r="AJ204" s="206"/>
      <c r="AK204" s="554" t="s">
        <v>545</v>
      </c>
    </row>
    <row r="205" spans="2:37" ht="30.2" customHeight="1">
      <c r="B205" s="86"/>
      <c r="C205" s="752"/>
      <c r="D205" s="753"/>
      <c r="E205" s="756"/>
      <c r="F205" s="314" t="s">
        <v>546</v>
      </c>
      <c r="G205" s="315"/>
      <c r="H205" s="315"/>
      <c r="I205" s="316"/>
      <c r="J205" s="317"/>
      <c r="K205" s="318">
        <v>1</v>
      </c>
      <c r="L205" s="319" t="s">
        <v>547</v>
      </c>
      <c r="M205" s="320">
        <v>2000000</v>
      </c>
      <c r="N205" s="321">
        <f t="shared" si="81"/>
        <v>2000000</v>
      </c>
      <c r="O205" s="322">
        <f t="shared" si="82"/>
        <v>2000000</v>
      </c>
      <c r="P205" s="318">
        <v>1</v>
      </c>
      <c r="Q205" s="319" t="s">
        <v>38</v>
      </c>
      <c r="R205" s="320">
        <v>2000000</v>
      </c>
      <c r="S205" s="321">
        <f>P205*R205</f>
        <v>2000000</v>
      </c>
      <c r="T205" s="508">
        <f t="shared" si="62"/>
        <v>0</v>
      </c>
      <c r="U205" s="318">
        <v>1</v>
      </c>
      <c r="V205" s="319" t="s">
        <v>38</v>
      </c>
      <c r="W205" s="320">
        <v>2000000</v>
      </c>
      <c r="X205" s="321">
        <f>U205*W205</f>
        <v>2000000</v>
      </c>
      <c r="Y205" s="322">
        <f>X205-S205</f>
        <v>0</v>
      </c>
      <c r="Z205" s="318">
        <v>1</v>
      </c>
      <c r="AA205" s="319" t="s">
        <v>38</v>
      </c>
      <c r="AB205" s="320">
        <v>2000000</v>
      </c>
      <c r="AC205" s="321">
        <f>Z205*AB205</f>
        <v>2000000</v>
      </c>
      <c r="AD205" s="322">
        <f>AC205-X205</f>
        <v>0</v>
      </c>
      <c r="AE205" s="318">
        <v>1</v>
      </c>
      <c r="AF205" s="319" t="s">
        <v>38</v>
      </c>
      <c r="AG205" s="320">
        <v>2000000</v>
      </c>
      <c r="AH205" s="321">
        <f>AE205*AG205</f>
        <v>2000000</v>
      </c>
      <c r="AI205" s="322">
        <f t="shared" si="83"/>
        <v>0</v>
      </c>
      <c r="AJ205" s="323"/>
      <c r="AK205" s="555"/>
    </row>
    <row r="206" spans="2:37" ht="30.2" customHeight="1">
      <c r="B206" s="86"/>
      <c r="C206" s="752"/>
      <c r="D206" s="753"/>
      <c r="E206" s="756"/>
      <c r="F206" s="456" t="s">
        <v>648</v>
      </c>
      <c r="G206" s="457"/>
      <c r="H206" s="457"/>
      <c r="I206" s="458"/>
      <c r="J206" s="450"/>
      <c r="K206" s="478">
        <v>1</v>
      </c>
      <c r="L206" s="460" t="s">
        <v>642</v>
      </c>
      <c r="M206" s="489">
        <v>900000</v>
      </c>
      <c r="N206" s="453">
        <f t="shared" si="81"/>
        <v>900000</v>
      </c>
      <c r="O206" s="479">
        <f t="shared" si="82"/>
        <v>900000</v>
      </c>
      <c r="P206" s="478">
        <v>1</v>
      </c>
      <c r="Q206" s="460" t="s">
        <v>38</v>
      </c>
      <c r="R206" s="489">
        <v>900000</v>
      </c>
      <c r="S206" s="453">
        <f t="shared" ref="S206:S212" si="84">P206*R206</f>
        <v>900000</v>
      </c>
      <c r="T206" s="509">
        <f t="shared" si="62"/>
        <v>0</v>
      </c>
      <c r="U206" s="478">
        <v>1</v>
      </c>
      <c r="V206" s="460" t="s">
        <v>38</v>
      </c>
      <c r="W206" s="489">
        <v>900000</v>
      </c>
      <c r="X206" s="453">
        <f>U206*W206</f>
        <v>900000</v>
      </c>
      <c r="Y206" s="479">
        <f>X206-S206</f>
        <v>0</v>
      </c>
      <c r="Z206" s="478">
        <v>1</v>
      </c>
      <c r="AA206" s="460" t="s">
        <v>38</v>
      </c>
      <c r="AB206" s="489">
        <v>900000</v>
      </c>
      <c r="AC206" s="453">
        <f>Z206*AB206</f>
        <v>900000</v>
      </c>
      <c r="AD206" s="479">
        <f>AC206-X206</f>
        <v>0</v>
      </c>
      <c r="AE206" s="478">
        <v>1</v>
      </c>
      <c r="AF206" s="460" t="s">
        <v>38</v>
      </c>
      <c r="AG206" s="489">
        <v>900000</v>
      </c>
      <c r="AH206" s="453">
        <f>AE206*AG206</f>
        <v>900000</v>
      </c>
      <c r="AI206" s="479">
        <f t="shared" si="83"/>
        <v>0</v>
      </c>
      <c r="AJ206" s="463"/>
      <c r="AK206" s="555"/>
    </row>
    <row r="207" spans="2:37" ht="58.5" customHeight="1">
      <c r="B207" s="86"/>
      <c r="C207" s="752"/>
      <c r="D207" s="753"/>
      <c r="E207" s="757"/>
      <c r="F207" s="490" t="s">
        <v>649</v>
      </c>
      <c r="G207" s="457"/>
      <c r="H207" s="457"/>
      <c r="I207" s="458"/>
      <c r="J207" s="450"/>
      <c r="K207" s="478">
        <v>1</v>
      </c>
      <c r="L207" s="460" t="s">
        <v>38</v>
      </c>
      <c r="M207" s="489">
        <v>1200000</v>
      </c>
      <c r="N207" s="453">
        <f t="shared" si="81"/>
        <v>1200000</v>
      </c>
      <c r="O207" s="479">
        <f t="shared" si="82"/>
        <v>1200000</v>
      </c>
      <c r="P207" s="528">
        <v>1</v>
      </c>
      <c r="Q207" s="536" t="s">
        <v>38</v>
      </c>
      <c r="R207" s="526"/>
      <c r="S207" s="527">
        <f t="shared" si="84"/>
        <v>0</v>
      </c>
      <c r="T207" s="545">
        <f t="shared" si="62"/>
        <v>-1200000</v>
      </c>
      <c r="U207" s="528">
        <v>1</v>
      </c>
      <c r="V207" s="536" t="s">
        <v>38</v>
      </c>
      <c r="W207" s="526"/>
      <c r="X207" s="527">
        <f>U207*W207</f>
        <v>0</v>
      </c>
      <c r="Y207" s="531">
        <f>X207-S207</f>
        <v>0</v>
      </c>
      <c r="Z207" s="528">
        <v>1</v>
      </c>
      <c r="AA207" s="536" t="s">
        <v>38</v>
      </c>
      <c r="AB207" s="526"/>
      <c r="AC207" s="527">
        <f>Z207*AB207</f>
        <v>0</v>
      </c>
      <c r="AD207" s="531">
        <f>AC207-X207</f>
        <v>0</v>
      </c>
      <c r="AE207" s="528">
        <v>1</v>
      </c>
      <c r="AF207" s="536" t="s">
        <v>38</v>
      </c>
      <c r="AG207" s="526"/>
      <c r="AH207" s="527">
        <f>AE207*AG207</f>
        <v>0</v>
      </c>
      <c r="AI207" s="531">
        <f t="shared" si="83"/>
        <v>0</v>
      </c>
      <c r="AJ207" s="532"/>
      <c r="AK207" s="556"/>
    </row>
    <row r="208" spans="2:37" ht="30.2" customHeight="1">
      <c r="B208" s="86"/>
      <c r="C208" s="752"/>
      <c r="D208" s="753"/>
      <c r="E208" s="105" t="s">
        <v>361</v>
      </c>
      <c r="F208" s="191" t="s">
        <v>362</v>
      </c>
      <c r="G208" s="179"/>
      <c r="H208" s="179"/>
      <c r="I208" s="185"/>
      <c r="J208" s="182">
        <f>I208*G208</f>
        <v>0</v>
      </c>
      <c r="K208" s="225">
        <v>1</v>
      </c>
      <c r="L208" s="175" t="s">
        <v>363</v>
      </c>
      <c r="M208" s="183">
        <v>7000000</v>
      </c>
      <c r="N208" s="271">
        <f t="shared" si="81"/>
        <v>7000000</v>
      </c>
      <c r="O208" s="279">
        <f t="shared" si="82"/>
        <v>7000000</v>
      </c>
      <c r="P208" s="225">
        <v>1</v>
      </c>
      <c r="Q208" s="175" t="s">
        <v>38</v>
      </c>
      <c r="R208" s="183">
        <v>7000000</v>
      </c>
      <c r="S208" s="271">
        <f t="shared" si="84"/>
        <v>7000000</v>
      </c>
      <c r="T208" s="256">
        <f t="shared" si="62"/>
        <v>0</v>
      </c>
      <c r="U208" s="225">
        <v>1</v>
      </c>
      <c r="V208" s="175" t="s">
        <v>38</v>
      </c>
      <c r="W208" s="183">
        <v>7000000</v>
      </c>
      <c r="X208" s="271">
        <f t="shared" ref="X208:X212" si="85">U208*W208</f>
        <v>7000000</v>
      </c>
      <c r="Y208" s="279">
        <f>X208-S208</f>
        <v>0</v>
      </c>
      <c r="Z208" s="225">
        <v>1</v>
      </c>
      <c r="AA208" s="175" t="s">
        <v>38</v>
      </c>
      <c r="AB208" s="183">
        <v>7000000</v>
      </c>
      <c r="AC208" s="271">
        <f t="shared" ref="AC208:AC210" si="86">Z208*AB208</f>
        <v>7000000</v>
      </c>
      <c r="AD208" s="279">
        <f>AC208-X208</f>
        <v>0</v>
      </c>
      <c r="AE208" s="225">
        <v>1</v>
      </c>
      <c r="AF208" s="175" t="s">
        <v>38</v>
      </c>
      <c r="AG208" s="183">
        <v>7000000</v>
      </c>
      <c r="AH208" s="271">
        <f t="shared" ref="AH208:AH210" si="87">AE208*AG208</f>
        <v>7000000</v>
      </c>
      <c r="AI208" s="279">
        <f t="shared" si="83"/>
        <v>0</v>
      </c>
      <c r="AJ208" s="206"/>
      <c r="AK208" s="421"/>
    </row>
    <row r="209" spans="2:37" ht="30.2" customHeight="1">
      <c r="B209" s="86"/>
      <c r="C209" s="752"/>
      <c r="D209" s="753"/>
      <c r="E209" s="105" t="s">
        <v>364</v>
      </c>
      <c r="F209" s="191"/>
      <c r="G209" s="179"/>
      <c r="H209" s="179"/>
      <c r="I209" s="185"/>
      <c r="J209" s="182">
        <f>I209*G209</f>
        <v>0</v>
      </c>
      <c r="K209" s="225">
        <v>1</v>
      </c>
      <c r="L209" s="175" t="s">
        <v>38</v>
      </c>
      <c r="M209" s="183">
        <v>3500000</v>
      </c>
      <c r="N209" s="271">
        <f t="shared" si="81"/>
        <v>3500000</v>
      </c>
      <c r="O209" s="279">
        <f t="shared" si="82"/>
        <v>3500000</v>
      </c>
      <c r="P209" s="225">
        <v>1</v>
      </c>
      <c r="Q209" s="175" t="s">
        <v>38</v>
      </c>
      <c r="R209" s="183">
        <v>3500000</v>
      </c>
      <c r="S209" s="271">
        <f t="shared" si="84"/>
        <v>3500000</v>
      </c>
      <c r="T209" s="256">
        <f t="shared" si="62"/>
        <v>0</v>
      </c>
      <c r="U209" s="225">
        <v>1</v>
      </c>
      <c r="V209" s="175" t="s">
        <v>38</v>
      </c>
      <c r="W209" s="183">
        <v>3500000</v>
      </c>
      <c r="X209" s="271">
        <f t="shared" si="85"/>
        <v>3500000</v>
      </c>
      <c r="Y209" s="279">
        <f t="shared" ref="Y209:Y217" si="88">X209-S209</f>
        <v>0</v>
      </c>
      <c r="Z209" s="225">
        <v>1</v>
      </c>
      <c r="AA209" s="175" t="s">
        <v>38</v>
      </c>
      <c r="AB209" s="183">
        <v>3500000</v>
      </c>
      <c r="AC209" s="271">
        <f t="shared" si="86"/>
        <v>3500000</v>
      </c>
      <c r="AD209" s="279">
        <f t="shared" ref="AD209:AD212" si="89">AC209-X209</f>
        <v>0</v>
      </c>
      <c r="AE209" s="225">
        <v>1</v>
      </c>
      <c r="AF209" s="175" t="s">
        <v>38</v>
      </c>
      <c r="AG209" s="183">
        <v>3500000</v>
      </c>
      <c r="AH209" s="271">
        <f t="shared" si="87"/>
        <v>3500000</v>
      </c>
      <c r="AI209" s="279">
        <f t="shared" si="83"/>
        <v>0</v>
      </c>
      <c r="AJ209" s="206"/>
      <c r="AK209" s="421"/>
    </row>
    <row r="210" spans="2:37" ht="30.2" customHeight="1">
      <c r="B210" s="86"/>
      <c r="C210" s="752"/>
      <c r="D210" s="753"/>
      <c r="E210" s="105" t="s">
        <v>365</v>
      </c>
      <c r="F210" s="191" t="s">
        <v>366</v>
      </c>
      <c r="G210" s="179"/>
      <c r="H210" s="179"/>
      <c r="I210" s="185"/>
      <c r="J210" s="182">
        <f>I210*G210</f>
        <v>0</v>
      </c>
      <c r="K210" s="225">
        <v>1</v>
      </c>
      <c r="L210" s="175" t="s">
        <v>38</v>
      </c>
      <c r="M210" s="183">
        <v>8000000</v>
      </c>
      <c r="N210" s="271">
        <f t="shared" si="81"/>
        <v>8000000</v>
      </c>
      <c r="O210" s="279">
        <f t="shared" si="82"/>
        <v>8000000</v>
      </c>
      <c r="P210" s="225">
        <v>1</v>
      </c>
      <c r="Q210" s="175" t="s">
        <v>38</v>
      </c>
      <c r="R210" s="183">
        <v>8000000</v>
      </c>
      <c r="S210" s="271">
        <f t="shared" si="84"/>
        <v>8000000</v>
      </c>
      <c r="T210" s="256">
        <f t="shared" si="62"/>
        <v>0</v>
      </c>
      <c r="U210" s="225">
        <v>1</v>
      </c>
      <c r="V210" s="175" t="s">
        <v>38</v>
      </c>
      <c r="W210" s="183">
        <v>8000000</v>
      </c>
      <c r="X210" s="271">
        <f t="shared" si="85"/>
        <v>8000000</v>
      </c>
      <c r="Y210" s="279">
        <f t="shared" si="88"/>
        <v>0</v>
      </c>
      <c r="Z210" s="225">
        <v>1</v>
      </c>
      <c r="AA210" s="175" t="s">
        <v>38</v>
      </c>
      <c r="AB210" s="183">
        <v>8000000</v>
      </c>
      <c r="AC210" s="271">
        <f t="shared" si="86"/>
        <v>8000000</v>
      </c>
      <c r="AD210" s="279">
        <f t="shared" si="89"/>
        <v>0</v>
      </c>
      <c r="AE210" s="225">
        <v>1</v>
      </c>
      <c r="AF210" s="175" t="s">
        <v>38</v>
      </c>
      <c r="AG210" s="183">
        <v>8000000</v>
      </c>
      <c r="AH210" s="271">
        <f t="shared" si="87"/>
        <v>8000000</v>
      </c>
      <c r="AI210" s="279">
        <f t="shared" si="83"/>
        <v>0</v>
      </c>
      <c r="AJ210" s="206"/>
      <c r="AK210" s="421"/>
    </row>
    <row r="211" spans="2:37" ht="30.2" customHeight="1">
      <c r="B211" s="86"/>
      <c r="C211" s="752"/>
      <c r="D211" s="753"/>
      <c r="E211" s="105" t="s">
        <v>367</v>
      </c>
      <c r="F211" s="191" t="s">
        <v>368</v>
      </c>
      <c r="G211" s="179"/>
      <c r="H211" s="179"/>
      <c r="I211" s="185"/>
      <c r="J211" s="182">
        <f>I211*G211</f>
        <v>0</v>
      </c>
      <c r="K211" s="225">
        <v>1</v>
      </c>
      <c r="L211" s="175" t="s">
        <v>38</v>
      </c>
      <c r="M211" s="183">
        <v>7500000</v>
      </c>
      <c r="N211" s="271">
        <f t="shared" si="81"/>
        <v>7500000</v>
      </c>
      <c r="O211" s="279">
        <f t="shared" si="82"/>
        <v>7500000</v>
      </c>
      <c r="P211" s="225">
        <v>1</v>
      </c>
      <c r="Q211" s="175" t="s">
        <v>38</v>
      </c>
      <c r="R211" s="183">
        <v>7500000</v>
      </c>
      <c r="S211" s="271">
        <f t="shared" si="84"/>
        <v>7500000</v>
      </c>
      <c r="T211" s="256">
        <f t="shared" si="62"/>
        <v>0</v>
      </c>
      <c r="U211" s="225">
        <v>1</v>
      </c>
      <c r="V211" s="175" t="s">
        <v>38</v>
      </c>
      <c r="W211" s="183">
        <v>7500000</v>
      </c>
      <c r="X211" s="271"/>
      <c r="Y211" s="279">
        <f t="shared" si="88"/>
        <v>-7500000</v>
      </c>
      <c r="Z211" s="225">
        <v>1</v>
      </c>
      <c r="AA211" s="175" t="s">
        <v>38</v>
      </c>
      <c r="AB211" s="183">
        <v>7500000</v>
      </c>
      <c r="AC211" s="271"/>
      <c r="AD211" s="279">
        <f t="shared" si="89"/>
        <v>0</v>
      </c>
      <c r="AE211" s="225">
        <v>1</v>
      </c>
      <c r="AF211" s="175" t="s">
        <v>38</v>
      </c>
      <c r="AG211" s="183">
        <v>7500000</v>
      </c>
      <c r="AH211" s="271"/>
      <c r="AI211" s="279">
        <f t="shared" si="83"/>
        <v>0</v>
      </c>
      <c r="AJ211" s="206"/>
      <c r="AK211" s="421"/>
    </row>
    <row r="212" spans="2:37" ht="30.2" customHeight="1">
      <c r="B212" s="86"/>
      <c r="C212" s="752"/>
      <c r="D212" s="753"/>
      <c r="E212" s="105" t="s">
        <v>495</v>
      </c>
      <c r="F212" s="191" t="s">
        <v>398</v>
      </c>
      <c r="G212" s="179"/>
      <c r="H212" s="179"/>
      <c r="I212" s="185"/>
      <c r="J212" s="182"/>
      <c r="K212" s="225">
        <v>2</v>
      </c>
      <c r="L212" s="288" t="s">
        <v>496</v>
      </c>
      <c r="M212" s="183">
        <v>150000</v>
      </c>
      <c r="N212" s="271">
        <f t="shared" si="81"/>
        <v>300000</v>
      </c>
      <c r="O212" s="279">
        <f t="shared" si="82"/>
        <v>300000</v>
      </c>
      <c r="P212" s="225">
        <v>2</v>
      </c>
      <c r="Q212" s="288" t="s">
        <v>76</v>
      </c>
      <c r="R212" s="183">
        <v>150000</v>
      </c>
      <c r="S212" s="271">
        <f t="shared" si="84"/>
        <v>300000</v>
      </c>
      <c r="T212" s="256">
        <f t="shared" si="62"/>
        <v>0</v>
      </c>
      <c r="U212" s="225">
        <v>2</v>
      </c>
      <c r="V212" s="288" t="s">
        <v>76</v>
      </c>
      <c r="W212" s="183">
        <v>150000</v>
      </c>
      <c r="X212" s="271">
        <f t="shared" si="85"/>
        <v>300000</v>
      </c>
      <c r="Y212" s="279">
        <f t="shared" si="88"/>
        <v>0</v>
      </c>
      <c r="Z212" s="225">
        <v>2</v>
      </c>
      <c r="AA212" s="288" t="s">
        <v>76</v>
      </c>
      <c r="AB212" s="183">
        <v>150000</v>
      </c>
      <c r="AC212" s="271">
        <f t="shared" ref="AC212" si="90">Z212*AB212</f>
        <v>300000</v>
      </c>
      <c r="AD212" s="279">
        <f t="shared" si="89"/>
        <v>0</v>
      </c>
      <c r="AE212" s="225">
        <v>2</v>
      </c>
      <c r="AF212" s="288" t="s">
        <v>76</v>
      </c>
      <c r="AG212" s="183">
        <v>150000</v>
      </c>
      <c r="AH212" s="271">
        <f t="shared" ref="AH212" si="91">AE212*AG212</f>
        <v>300000</v>
      </c>
      <c r="AI212" s="279">
        <f t="shared" si="83"/>
        <v>0</v>
      </c>
      <c r="AJ212" s="206"/>
      <c r="AK212" s="422"/>
    </row>
    <row r="213" spans="2:37" ht="30.2" customHeight="1">
      <c r="B213" s="86"/>
      <c r="C213" s="707" t="s">
        <v>188</v>
      </c>
      <c r="D213" s="708"/>
      <c r="E213" s="708"/>
      <c r="F213" s="708"/>
      <c r="G213" s="708"/>
      <c r="H213" s="708"/>
      <c r="I213" s="709"/>
      <c r="J213" s="167">
        <f>SUM(J204:J212)</f>
        <v>0</v>
      </c>
      <c r="K213" s="713"/>
      <c r="L213" s="714"/>
      <c r="M213" s="715"/>
      <c r="N213" s="272">
        <f>SUM(N204:N212)</f>
        <v>41900000</v>
      </c>
      <c r="O213" s="247">
        <f>SUM(O204:O212)</f>
        <v>41900000</v>
      </c>
      <c r="P213" s="713"/>
      <c r="Q213" s="714"/>
      <c r="R213" s="715"/>
      <c r="S213" s="272">
        <f>SUM(S204:S212)</f>
        <v>40700000</v>
      </c>
      <c r="T213" s="543">
        <f t="shared" si="62"/>
        <v>-1200000</v>
      </c>
      <c r="U213" s="713"/>
      <c r="V213" s="714"/>
      <c r="W213" s="715"/>
      <c r="X213" s="272">
        <f>SUM(X204:X212)</f>
        <v>33200000</v>
      </c>
      <c r="Y213" s="247">
        <f>SUM(Y204:Y212)</f>
        <v>-7500000</v>
      </c>
      <c r="Z213" s="713"/>
      <c r="AA213" s="714"/>
      <c r="AB213" s="715"/>
      <c r="AC213" s="272">
        <f>SUM(AC204:AC212)</f>
        <v>33200000</v>
      </c>
      <c r="AD213" s="247">
        <f>SUM(AD204:AD212)</f>
        <v>0</v>
      </c>
      <c r="AE213" s="713"/>
      <c r="AF213" s="714"/>
      <c r="AG213" s="715"/>
      <c r="AH213" s="272">
        <f>SUM(AH204:AH212)</f>
        <v>33200000</v>
      </c>
      <c r="AI213" s="247">
        <f>SUM(AI204:AI212)</f>
        <v>0</v>
      </c>
      <c r="AJ213" s="207"/>
      <c r="AK213" s="33"/>
    </row>
    <row r="214" spans="2:37" ht="30.2" customHeight="1">
      <c r="B214" s="86"/>
      <c r="C214" s="703" t="s">
        <v>198</v>
      </c>
      <c r="D214" s="753" t="s">
        <v>199</v>
      </c>
      <c r="E214" s="105" t="s">
        <v>200</v>
      </c>
      <c r="F214" s="191" t="s">
        <v>201</v>
      </c>
      <c r="G214" s="179">
        <v>1</v>
      </c>
      <c r="H214" s="179" t="s">
        <v>192</v>
      </c>
      <c r="I214" s="185">
        <v>2500000</v>
      </c>
      <c r="J214" s="182">
        <f>G214*I214</f>
        <v>2500000</v>
      </c>
      <c r="K214" s="225">
        <v>1</v>
      </c>
      <c r="L214" s="175" t="s">
        <v>38</v>
      </c>
      <c r="M214" s="177">
        <v>2500000</v>
      </c>
      <c r="N214" s="271">
        <f t="shared" ref="N214:N219" si="92">K214*M214</f>
        <v>2500000</v>
      </c>
      <c r="O214" s="254">
        <f t="shared" ref="O214:O219" si="93">N214-J214</f>
        <v>0</v>
      </c>
      <c r="P214" s="225">
        <v>1</v>
      </c>
      <c r="Q214" s="175" t="s">
        <v>38</v>
      </c>
      <c r="R214" s="177">
        <v>2500000</v>
      </c>
      <c r="S214" s="271">
        <f t="shared" ref="S214:S219" si="94">P214*R214</f>
        <v>2500000</v>
      </c>
      <c r="T214" s="256">
        <f t="shared" si="62"/>
        <v>0</v>
      </c>
      <c r="U214" s="225">
        <v>1</v>
      </c>
      <c r="V214" s="175" t="s">
        <v>38</v>
      </c>
      <c r="W214" s="177">
        <v>2500000</v>
      </c>
      <c r="X214" s="271">
        <f t="shared" ref="X214:X219" si="95">U214*W214</f>
        <v>2500000</v>
      </c>
      <c r="Y214" s="279">
        <f t="shared" si="88"/>
        <v>0</v>
      </c>
      <c r="Z214" s="225">
        <v>1</v>
      </c>
      <c r="AA214" s="175" t="s">
        <v>38</v>
      </c>
      <c r="AB214" s="177">
        <v>2500000</v>
      </c>
      <c r="AC214" s="271">
        <f t="shared" ref="AC214:AC219" si="96">Z214*AB214</f>
        <v>2500000</v>
      </c>
      <c r="AD214" s="279">
        <f t="shared" ref="AD214:AD215" si="97">AC214-X214</f>
        <v>0</v>
      </c>
      <c r="AE214" s="225">
        <v>1</v>
      </c>
      <c r="AF214" s="175" t="s">
        <v>38</v>
      </c>
      <c r="AG214" s="177">
        <v>2500000</v>
      </c>
      <c r="AH214" s="271">
        <f t="shared" ref="AH214:AH219" si="98">AE214*AG214</f>
        <v>2500000</v>
      </c>
      <c r="AI214" s="279">
        <f>AH214-AC214</f>
        <v>0</v>
      </c>
      <c r="AJ214" s="206"/>
      <c r="AK214" s="290"/>
    </row>
    <row r="215" spans="2:37" ht="30.2" customHeight="1">
      <c r="B215" s="86"/>
      <c r="C215" s="705"/>
      <c r="D215" s="753"/>
      <c r="E215" s="105" t="s">
        <v>202</v>
      </c>
      <c r="F215" s="191" t="s">
        <v>203</v>
      </c>
      <c r="G215" s="179">
        <v>10</v>
      </c>
      <c r="H215" s="179" t="s">
        <v>204</v>
      </c>
      <c r="I215" s="185">
        <v>1000000</v>
      </c>
      <c r="J215" s="182">
        <f>G215*I215</f>
        <v>10000000</v>
      </c>
      <c r="K215" s="225">
        <v>10</v>
      </c>
      <c r="L215" s="175" t="s">
        <v>204</v>
      </c>
      <c r="M215" s="177">
        <v>1000000</v>
      </c>
      <c r="N215" s="271">
        <f t="shared" si="92"/>
        <v>10000000</v>
      </c>
      <c r="O215" s="254">
        <f t="shared" si="93"/>
        <v>0</v>
      </c>
      <c r="P215" s="225">
        <v>10</v>
      </c>
      <c r="Q215" s="175" t="s">
        <v>204</v>
      </c>
      <c r="R215" s="177">
        <v>1000000</v>
      </c>
      <c r="S215" s="271">
        <f t="shared" si="94"/>
        <v>10000000</v>
      </c>
      <c r="T215" s="256">
        <f t="shared" si="62"/>
        <v>0</v>
      </c>
      <c r="U215" s="225">
        <v>10</v>
      </c>
      <c r="V215" s="175" t="s">
        <v>204</v>
      </c>
      <c r="W215" s="177">
        <v>1000000</v>
      </c>
      <c r="X215" s="271">
        <f t="shared" si="95"/>
        <v>10000000</v>
      </c>
      <c r="Y215" s="279">
        <f t="shared" si="88"/>
        <v>0</v>
      </c>
      <c r="Z215" s="225">
        <v>10</v>
      </c>
      <c r="AA215" s="175" t="s">
        <v>204</v>
      </c>
      <c r="AB215" s="177">
        <v>1000000</v>
      </c>
      <c r="AC215" s="271">
        <f t="shared" si="96"/>
        <v>10000000</v>
      </c>
      <c r="AD215" s="279">
        <f t="shared" si="97"/>
        <v>0</v>
      </c>
      <c r="AE215" s="225">
        <v>10</v>
      </c>
      <c r="AF215" s="175" t="s">
        <v>204</v>
      </c>
      <c r="AG215" s="177">
        <v>1000000</v>
      </c>
      <c r="AH215" s="271">
        <f t="shared" si="98"/>
        <v>10000000</v>
      </c>
      <c r="AI215" s="279">
        <f>AH215-AC215</f>
        <v>0</v>
      </c>
      <c r="AJ215" s="206"/>
      <c r="AK215" s="290" t="s">
        <v>497</v>
      </c>
    </row>
    <row r="216" spans="2:37" ht="25.5" customHeight="1">
      <c r="B216" s="86"/>
      <c r="C216" s="705"/>
      <c r="D216" s="106" t="s">
        <v>205</v>
      </c>
      <c r="E216" s="105" t="s">
        <v>206</v>
      </c>
      <c r="F216" s="456" t="s">
        <v>650</v>
      </c>
      <c r="G216" s="457">
        <v>6</v>
      </c>
      <c r="H216" s="457" t="s">
        <v>651</v>
      </c>
      <c r="I216" s="458">
        <v>150000</v>
      </c>
      <c r="J216" s="450">
        <f>G216*I216</f>
        <v>900000</v>
      </c>
      <c r="K216" s="478">
        <v>8</v>
      </c>
      <c r="L216" s="483" t="s">
        <v>651</v>
      </c>
      <c r="M216" s="484">
        <v>150000</v>
      </c>
      <c r="N216" s="453">
        <f t="shared" si="92"/>
        <v>1200000</v>
      </c>
      <c r="O216" s="479">
        <f t="shared" si="93"/>
        <v>300000</v>
      </c>
      <c r="P216" s="478">
        <v>8</v>
      </c>
      <c r="Q216" s="483" t="s">
        <v>76</v>
      </c>
      <c r="R216" s="484">
        <v>150000</v>
      </c>
      <c r="S216" s="453">
        <f t="shared" si="94"/>
        <v>1200000</v>
      </c>
      <c r="T216" s="509">
        <f t="shared" si="62"/>
        <v>0</v>
      </c>
      <c r="U216" s="478">
        <v>8</v>
      </c>
      <c r="V216" s="483" t="s">
        <v>76</v>
      </c>
      <c r="W216" s="484">
        <v>150000</v>
      </c>
      <c r="X216" s="453">
        <f t="shared" si="95"/>
        <v>1200000</v>
      </c>
      <c r="Y216" s="479">
        <f>X216-T216</f>
        <v>1200000</v>
      </c>
      <c r="Z216" s="478">
        <v>8</v>
      </c>
      <c r="AA216" s="483" t="s">
        <v>76</v>
      </c>
      <c r="AB216" s="484">
        <v>150000</v>
      </c>
      <c r="AC216" s="453">
        <f t="shared" si="96"/>
        <v>1200000</v>
      </c>
      <c r="AD216" s="479">
        <f>AC216-Y216</f>
        <v>0</v>
      </c>
      <c r="AE216" s="478">
        <v>8</v>
      </c>
      <c r="AF216" s="483" t="s">
        <v>76</v>
      </c>
      <c r="AG216" s="484">
        <v>150000</v>
      </c>
      <c r="AH216" s="453">
        <f t="shared" si="98"/>
        <v>1200000</v>
      </c>
      <c r="AI216" s="479">
        <f>AH216-AD216</f>
        <v>1200000</v>
      </c>
      <c r="AJ216" s="463"/>
      <c r="AK216" s="491" t="s">
        <v>652</v>
      </c>
    </row>
    <row r="217" spans="2:37" ht="30.2" customHeight="1">
      <c r="B217" s="86"/>
      <c r="C217" s="705"/>
      <c r="D217" s="703" t="s">
        <v>371</v>
      </c>
      <c r="E217" s="703" t="s">
        <v>372</v>
      </c>
      <c r="F217" s="191" t="s">
        <v>373</v>
      </c>
      <c r="G217" s="179"/>
      <c r="H217" s="179"/>
      <c r="I217" s="185"/>
      <c r="J217" s="182">
        <f>G217*I217</f>
        <v>0</v>
      </c>
      <c r="K217" s="225">
        <v>1</v>
      </c>
      <c r="L217" s="175" t="s">
        <v>38</v>
      </c>
      <c r="M217" s="177">
        <v>9500000</v>
      </c>
      <c r="N217" s="271">
        <f t="shared" si="92"/>
        <v>9500000</v>
      </c>
      <c r="O217" s="279">
        <f t="shared" si="93"/>
        <v>9500000</v>
      </c>
      <c r="P217" s="225">
        <v>1</v>
      </c>
      <c r="Q217" s="175" t="s">
        <v>38</v>
      </c>
      <c r="R217" s="177">
        <v>9500000</v>
      </c>
      <c r="S217" s="271">
        <f t="shared" si="94"/>
        <v>9500000</v>
      </c>
      <c r="T217" s="256">
        <f t="shared" ref="T217:T280" si="99">S217-N217</f>
        <v>0</v>
      </c>
      <c r="U217" s="225">
        <v>1</v>
      </c>
      <c r="V217" s="175" t="s">
        <v>38</v>
      </c>
      <c r="W217" s="177">
        <v>9500000</v>
      </c>
      <c r="X217" s="271">
        <f t="shared" si="95"/>
        <v>9500000</v>
      </c>
      <c r="Y217" s="279">
        <f t="shared" si="88"/>
        <v>0</v>
      </c>
      <c r="Z217" s="225">
        <v>1</v>
      </c>
      <c r="AA217" s="175" t="s">
        <v>38</v>
      </c>
      <c r="AB217" s="177">
        <v>9500000</v>
      </c>
      <c r="AC217" s="271">
        <f t="shared" si="96"/>
        <v>9500000</v>
      </c>
      <c r="AD217" s="279">
        <f t="shared" ref="AD217" si="100">AC217-X217</f>
        <v>0</v>
      </c>
      <c r="AE217" s="225">
        <v>1</v>
      </c>
      <c r="AF217" s="175" t="s">
        <v>38</v>
      </c>
      <c r="AG217" s="177">
        <v>9500000</v>
      </c>
      <c r="AH217" s="271">
        <f t="shared" si="98"/>
        <v>9500000</v>
      </c>
      <c r="AI217" s="279">
        <f>AH217-AC217</f>
        <v>0</v>
      </c>
      <c r="AJ217" s="206"/>
      <c r="AK217" s="105"/>
    </row>
    <row r="218" spans="2:37" ht="30.2" customHeight="1">
      <c r="B218" s="86"/>
      <c r="C218" s="705"/>
      <c r="D218" s="705"/>
      <c r="E218" s="705"/>
      <c r="F218" s="314" t="s">
        <v>548</v>
      </c>
      <c r="G218" s="315"/>
      <c r="H218" s="315"/>
      <c r="I218" s="316"/>
      <c r="J218" s="317"/>
      <c r="K218" s="318">
        <v>1</v>
      </c>
      <c r="L218" s="319" t="s">
        <v>77</v>
      </c>
      <c r="M218" s="324">
        <v>2000000</v>
      </c>
      <c r="N218" s="321">
        <f t="shared" si="92"/>
        <v>2000000</v>
      </c>
      <c r="O218" s="322">
        <f t="shared" si="93"/>
        <v>2000000</v>
      </c>
      <c r="P218" s="318">
        <v>1</v>
      </c>
      <c r="Q218" s="319" t="s">
        <v>38</v>
      </c>
      <c r="R218" s="324">
        <v>2000000</v>
      </c>
      <c r="S218" s="321">
        <f t="shared" si="94"/>
        <v>2000000</v>
      </c>
      <c r="T218" s="508">
        <f t="shared" si="99"/>
        <v>0</v>
      </c>
      <c r="U218" s="318">
        <v>1</v>
      </c>
      <c r="V218" s="319" t="s">
        <v>38</v>
      </c>
      <c r="W218" s="324">
        <v>2000000</v>
      </c>
      <c r="X218" s="321">
        <f t="shared" si="95"/>
        <v>2000000</v>
      </c>
      <c r="Y218" s="322">
        <f>X218-S218</f>
        <v>0</v>
      </c>
      <c r="Z218" s="318">
        <v>1</v>
      </c>
      <c r="AA218" s="319" t="s">
        <v>38</v>
      </c>
      <c r="AB218" s="324">
        <v>2000000</v>
      </c>
      <c r="AC218" s="321">
        <f t="shared" si="96"/>
        <v>2000000</v>
      </c>
      <c r="AD218" s="322">
        <f>AC218-X218</f>
        <v>0</v>
      </c>
      <c r="AE218" s="318">
        <v>1</v>
      </c>
      <c r="AF218" s="319" t="s">
        <v>38</v>
      </c>
      <c r="AG218" s="324">
        <v>2000000</v>
      </c>
      <c r="AH218" s="321">
        <f t="shared" si="98"/>
        <v>2000000</v>
      </c>
      <c r="AI218" s="322">
        <f>AH218-AC218</f>
        <v>0</v>
      </c>
      <c r="AJ218" s="323"/>
      <c r="AK218" s="105"/>
    </row>
    <row r="219" spans="2:37" ht="30.2" customHeight="1">
      <c r="B219" s="86"/>
      <c r="C219" s="704"/>
      <c r="D219" s="704"/>
      <c r="E219" s="704"/>
      <c r="F219" s="314" t="s">
        <v>549</v>
      </c>
      <c r="G219" s="315"/>
      <c r="H219" s="315"/>
      <c r="I219" s="316"/>
      <c r="J219" s="317"/>
      <c r="K219" s="318">
        <v>1</v>
      </c>
      <c r="L219" s="319" t="s">
        <v>77</v>
      </c>
      <c r="M219" s="324">
        <v>2500000</v>
      </c>
      <c r="N219" s="321">
        <f t="shared" si="92"/>
        <v>2500000</v>
      </c>
      <c r="O219" s="322">
        <f t="shared" si="93"/>
        <v>2500000</v>
      </c>
      <c r="P219" s="318">
        <v>1</v>
      </c>
      <c r="Q219" s="319" t="s">
        <v>38</v>
      </c>
      <c r="R219" s="324">
        <v>2500000</v>
      </c>
      <c r="S219" s="321">
        <f t="shared" si="94"/>
        <v>2500000</v>
      </c>
      <c r="T219" s="508">
        <f t="shared" si="99"/>
        <v>0</v>
      </c>
      <c r="U219" s="318">
        <v>1</v>
      </c>
      <c r="V219" s="319" t="s">
        <v>38</v>
      </c>
      <c r="W219" s="324">
        <v>2500000</v>
      </c>
      <c r="X219" s="321">
        <f t="shared" si="95"/>
        <v>2500000</v>
      </c>
      <c r="Y219" s="322">
        <f>X219-S219</f>
        <v>0</v>
      </c>
      <c r="Z219" s="318">
        <v>1</v>
      </c>
      <c r="AA219" s="319" t="s">
        <v>38</v>
      </c>
      <c r="AB219" s="324">
        <v>2500000</v>
      </c>
      <c r="AC219" s="321">
        <f t="shared" si="96"/>
        <v>2500000</v>
      </c>
      <c r="AD219" s="322">
        <f>AC219-X219</f>
        <v>0</v>
      </c>
      <c r="AE219" s="318">
        <v>1</v>
      </c>
      <c r="AF219" s="319" t="s">
        <v>38</v>
      </c>
      <c r="AG219" s="324">
        <v>2500000</v>
      </c>
      <c r="AH219" s="321">
        <f t="shared" si="98"/>
        <v>2500000</v>
      </c>
      <c r="AI219" s="322">
        <f>AH219-AC219</f>
        <v>0</v>
      </c>
      <c r="AJ219" s="323"/>
      <c r="AK219" s="105"/>
    </row>
    <row r="220" spans="2:37" ht="30.2" customHeight="1">
      <c r="B220" s="86"/>
      <c r="C220" s="874" t="s">
        <v>208</v>
      </c>
      <c r="D220" s="874"/>
      <c r="E220" s="874"/>
      <c r="F220" s="874"/>
      <c r="G220" s="874"/>
      <c r="H220" s="874"/>
      <c r="I220" s="874"/>
      <c r="J220" s="167">
        <f>SUM(J214:J217)</f>
        <v>13400000</v>
      </c>
      <c r="K220" s="713"/>
      <c r="L220" s="714"/>
      <c r="M220" s="715"/>
      <c r="N220" s="272">
        <f>SUM(N214:N219)</f>
        <v>27700000</v>
      </c>
      <c r="O220" s="255">
        <f>SUM(O214:O219)</f>
        <v>14300000</v>
      </c>
      <c r="P220" s="713"/>
      <c r="Q220" s="714"/>
      <c r="R220" s="715"/>
      <c r="S220" s="272">
        <f>SUM(S214:S219)</f>
        <v>27700000</v>
      </c>
      <c r="T220" s="543">
        <f t="shared" si="99"/>
        <v>0</v>
      </c>
      <c r="U220" s="713"/>
      <c r="V220" s="714"/>
      <c r="W220" s="715"/>
      <c r="X220" s="272">
        <f>SUM(X214:X219)</f>
        <v>27700000</v>
      </c>
      <c r="Y220" s="255">
        <f>SUM(Y214:Y219)</f>
        <v>1200000</v>
      </c>
      <c r="Z220" s="713"/>
      <c r="AA220" s="714"/>
      <c r="AB220" s="715"/>
      <c r="AC220" s="272">
        <f>SUM(AC214:AC219)</f>
        <v>27700000</v>
      </c>
      <c r="AD220" s="255">
        <f>SUM(AD214:AD219)</f>
        <v>0</v>
      </c>
      <c r="AE220" s="713"/>
      <c r="AF220" s="714"/>
      <c r="AG220" s="715"/>
      <c r="AH220" s="272">
        <f>SUM(AH214:AH219)</f>
        <v>27700000</v>
      </c>
      <c r="AI220" s="255">
        <f>SUM(AI214:AI219)</f>
        <v>1200000</v>
      </c>
      <c r="AJ220" s="207"/>
      <c r="AK220" s="60"/>
    </row>
    <row r="221" spans="2:37" ht="30.2" customHeight="1">
      <c r="B221" s="86"/>
      <c r="C221" s="703" t="s">
        <v>506</v>
      </c>
      <c r="D221" s="706" t="s">
        <v>507</v>
      </c>
      <c r="E221" s="173" t="s">
        <v>508</v>
      </c>
      <c r="F221" s="174" t="s">
        <v>509</v>
      </c>
      <c r="G221" s="179">
        <v>2000</v>
      </c>
      <c r="H221" s="180" t="s">
        <v>510</v>
      </c>
      <c r="I221" s="181">
        <v>4000</v>
      </c>
      <c r="J221" s="186">
        <f t="shared" ref="J221:J226" si="101">G221*I221</f>
        <v>8000000</v>
      </c>
      <c r="K221" s="225"/>
      <c r="L221" s="187"/>
      <c r="M221" s="188"/>
      <c r="N221" s="271">
        <f t="shared" ref="N221:N226" si="102">K221*M221</f>
        <v>0</v>
      </c>
      <c r="O221" s="258">
        <f t="shared" ref="O221:O226" si="103">N221-J221</f>
        <v>-8000000</v>
      </c>
      <c r="P221" s="225"/>
      <c r="Q221" s="187"/>
      <c r="R221" s="188"/>
      <c r="S221" s="271">
        <f t="shared" ref="S221:S226" si="104">P221*R221</f>
        <v>0</v>
      </c>
      <c r="T221" s="256">
        <f t="shared" si="99"/>
        <v>0</v>
      </c>
      <c r="U221" s="225"/>
      <c r="V221" s="187"/>
      <c r="W221" s="188"/>
      <c r="X221" s="271">
        <f t="shared" ref="X221:X226" si="105">U221*W221</f>
        <v>0</v>
      </c>
      <c r="Y221" s="258">
        <f t="shared" ref="Y221:Y233" si="106">X221-S221</f>
        <v>0</v>
      </c>
      <c r="Z221" s="225"/>
      <c r="AA221" s="187"/>
      <c r="AB221" s="188"/>
      <c r="AC221" s="271">
        <f t="shared" ref="AC221:AC226" si="107">Z221*AB221</f>
        <v>0</v>
      </c>
      <c r="AD221" s="258">
        <f t="shared" ref="AD221:AD233" si="108">AC221-X221</f>
        <v>0</v>
      </c>
      <c r="AE221" s="225"/>
      <c r="AF221" s="187"/>
      <c r="AG221" s="188"/>
      <c r="AH221" s="271">
        <f t="shared" ref="AH221:AH226" si="109">AE221*AG221</f>
        <v>0</v>
      </c>
      <c r="AI221" s="258">
        <f t="shared" ref="AI221:AI233" si="110">AH221-AC221</f>
        <v>0</v>
      </c>
      <c r="AJ221" s="208"/>
      <c r="AK221" s="710" t="s">
        <v>525</v>
      </c>
    </row>
    <row r="222" spans="2:37" ht="30.2" customHeight="1">
      <c r="B222" s="86"/>
      <c r="C222" s="705"/>
      <c r="D222" s="705"/>
      <c r="E222" s="173" t="s">
        <v>124</v>
      </c>
      <c r="F222" s="174" t="s">
        <v>511</v>
      </c>
      <c r="G222" s="179">
        <v>6</v>
      </c>
      <c r="H222" s="180" t="s">
        <v>38</v>
      </c>
      <c r="I222" s="181">
        <v>300000</v>
      </c>
      <c r="J222" s="186">
        <f t="shared" si="101"/>
        <v>1800000</v>
      </c>
      <c r="K222" s="225"/>
      <c r="L222" s="187"/>
      <c r="M222" s="188"/>
      <c r="N222" s="271">
        <f t="shared" si="102"/>
        <v>0</v>
      </c>
      <c r="O222" s="258">
        <f t="shared" si="103"/>
        <v>-1800000</v>
      </c>
      <c r="P222" s="225"/>
      <c r="Q222" s="187"/>
      <c r="R222" s="188"/>
      <c r="S222" s="271">
        <f t="shared" si="104"/>
        <v>0</v>
      </c>
      <c r="T222" s="256">
        <f t="shared" si="99"/>
        <v>0</v>
      </c>
      <c r="U222" s="225"/>
      <c r="V222" s="187"/>
      <c r="W222" s="188"/>
      <c r="X222" s="271">
        <f t="shared" si="105"/>
        <v>0</v>
      </c>
      <c r="Y222" s="258">
        <f t="shared" si="106"/>
        <v>0</v>
      </c>
      <c r="Z222" s="225"/>
      <c r="AA222" s="187"/>
      <c r="AB222" s="188"/>
      <c r="AC222" s="271">
        <f t="shared" si="107"/>
        <v>0</v>
      </c>
      <c r="AD222" s="258">
        <f t="shared" si="108"/>
        <v>0</v>
      </c>
      <c r="AE222" s="225"/>
      <c r="AF222" s="187"/>
      <c r="AG222" s="188"/>
      <c r="AH222" s="271">
        <f t="shared" si="109"/>
        <v>0</v>
      </c>
      <c r="AI222" s="258">
        <f t="shared" si="110"/>
        <v>0</v>
      </c>
      <c r="AJ222" s="208"/>
      <c r="AK222" s="711"/>
    </row>
    <row r="223" spans="2:37" ht="30.2" customHeight="1">
      <c r="B223" s="86"/>
      <c r="C223" s="705"/>
      <c r="D223" s="704"/>
      <c r="E223" s="173" t="s">
        <v>512</v>
      </c>
      <c r="F223" s="174" t="s">
        <v>513</v>
      </c>
      <c r="G223" s="179">
        <v>1</v>
      </c>
      <c r="H223" s="180" t="s">
        <v>514</v>
      </c>
      <c r="I223" s="181">
        <v>2500000</v>
      </c>
      <c r="J223" s="186">
        <f t="shared" si="101"/>
        <v>2500000</v>
      </c>
      <c r="K223" s="225"/>
      <c r="L223" s="187"/>
      <c r="M223" s="188"/>
      <c r="N223" s="271">
        <f t="shared" si="102"/>
        <v>0</v>
      </c>
      <c r="O223" s="258">
        <f t="shared" si="103"/>
        <v>-2500000</v>
      </c>
      <c r="P223" s="225"/>
      <c r="Q223" s="187"/>
      <c r="R223" s="188"/>
      <c r="S223" s="271">
        <f t="shared" si="104"/>
        <v>0</v>
      </c>
      <c r="T223" s="256">
        <f t="shared" si="99"/>
        <v>0</v>
      </c>
      <c r="U223" s="225"/>
      <c r="V223" s="187"/>
      <c r="W223" s="188"/>
      <c r="X223" s="271">
        <f t="shared" si="105"/>
        <v>0</v>
      </c>
      <c r="Y223" s="258">
        <f t="shared" si="106"/>
        <v>0</v>
      </c>
      <c r="Z223" s="225"/>
      <c r="AA223" s="187"/>
      <c r="AB223" s="188"/>
      <c r="AC223" s="271">
        <f t="shared" si="107"/>
        <v>0</v>
      </c>
      <c r="AD223" s="258">
        <f t="shared" si="108"/>
        <v>0</v>
      </c>
      <c r="AE223" s="225"/>
      <c r="AF223" s="187"/>
      <c r="AG223" s="188"/>
      <c r="AH223" s="271">
        <f t="shared" si="109"/>
        <v>0</v>
      </c>
      <c r="AI223" s="258">
        <f t="shared" si="110"/>
        <v>0</v>
      </c>
      <c r="AJ223" s="208"/>
      <c r="AK223" s="711"/>
    </row>
    <row r="224" spans="2:37" ht="30.2" customHeight="1">
      <c r="B224" s="86"/>
      <c r="C224" s="705"/>
      <c r="D224" s="106" t="s">
        <v>515</v>
      </c>
      <c r="E224" s="173" t="s">
        <v>516</v>
      </c>
      <c r="F224" s="174" t="s">
        <v>517</v>
      </c>
      <c r="G224" s="179">
        <v>1</v>
      </c>
      <c r="H224" s="180" t="s">
        <v>518</v>
      </c>
      <c r="I224" s="181">
        <v>5000000</v>
      </c>
      <c r="J224" s="186">
        <f t="shared" si="101"/>
        <v>5000000</v>
      </c>
      <c r="K224" s="225"/>
      <c r="L224" s="187"/>
      <c r="M224" s="188"/>
      <c r="N224" s="271">
        <f t="shared" si="102"/>
        <v>0</v>
      </c>
      <c r="O224" s="258">
        <f t="shared" si="103"/>
        <v>-5000000</v>
      </c>
      <c r="P224" s="225"/>
      <c r="Q224" s="187"/>
      <c r="R224" s="188"/>
      <c r="S224" s="271">
        <f t="shared" si="104"/>
        <v>0</v>
      </c>
      <c r="T224" s="256">
        <f t="shared" si="99"/>
        <v>0</v>
      </c>
      <c r="U224" s="225"/>
      <c r="V224" s="187"/>
      <c r="W224" s="188"/>
      <c r="X224" s="271">
        <f t="shared" si="105"/>
        <v>0</v>
      </c>
      <c r="Y224" s="258">
        <f t="shared" si="106"/>
        <v>0</v>
      </c>
      <c r="Z224" s="225"/>
      <c r="AA224" s="187"/>
      <c r="AB224" s="188"/>
      <c r="AC224" s="271">
        <f t="shared" si="107"/>
        <v>0</v>
      </c>
      <c r="AD224" s="258">
        <f t="shared" si="108"/>
        <v>0</v>
      </c>
      <c r="AE224" s="225"/>
      <c r="AF224" s="187"/>
      <c r="AG224" s="188"/>
      <c r="AH224" s="271">
        <f t="shared" si="109"/>
        <v>0</v>
      </c>
      <c r="AI224" s="258">
        <f t="shared" si="110"/>
        <v>0</v>
      </c>
      <c r="AJ224" s="208"/>
      <c r="AK224" s="711"/>
    </row>
    <row r="225" spans="2:37" ht="30.2" customHeight="1">
      <c r="B225" s="86"/>
      <c r="C225" s="705"/>
      <c r="D225" s="106" t="s">
        <v>190</v>
      </c>
      <c r="E225" s="173" t="s">
        <v>519</v>
      </c>
      <c r="F225" s="174" t="s">
        <v>520</v>
      </c>
      <c r="G225" s="179">
        <v>1</v>
      </c>
      <c r="H225" s="180" t="s">
        <v>38</v>
      </c>
      <c r="I225" s="181">
        <v>8000000</v>
      </c>
      <c r="J225" s="186">
        <f t="shared" si="101"/>
        <v>8000000</v>
      </c>
      <c r="K225" s="225"/>
      <c r="L225" s="187"/>
      <c r="M225" s="188"/>
      <c r="N225" s="271">
        <f t="shared" si="102"/>
        <v>0</v>
      </c>
      <c r="O225" s="258">
        <f t="shared" si="103"/>
        <v>-8000000</v>
      </c>
      <c r="P225" s="225"/>
      <c r="Q225" s="187"/>
      <c r="R225" s="188"/>
      <c r="S225" s="271">
        <f t="shared" si="104"/>
        <v>0</v>
      </c>
      <c r="T225" s="256">
        <f t="shared" si="99"/>
        <v>0</v>
      </c>
      <c r="U225" s="225"/>
      <c r="V225" s="187"/>
      <c r="W225" s="188"/>
      <c r="X225" s="271">
        <f t="shared" si="105"/>
        <v>0</v>
      </c>
      <c r="Y225" s="258">
        <f t="shared" si="106"/>
        <v>0</v>
      </c>
      <c r="Z225" s="225"/>
      <c r="AA225" s="187"/>
      <c r="AB225" s="188"/>
      <c r="AC225" s="271">
        <f t="shared" si="107"/>
        <v>0</v>
      </c>
      <c r="AD225" s="258">
        <f t="shared" si="108"/>
        <v>0</v>
      </c>
      <c r="AE225" s="225"/>
      <c r="AF225" s="187"/>
      <c r="AG225" s="188"/>
      <c r="AH225" s="271">
        <f t="shared" si="109"/>
        <v>0</v>
      </c>
      <c r="AI225" s="258">
        <f t="shared" si="110"/>
        <v>0</v>
      </c>
      <c r="AJ225" s="208"/>
      <c r="AK225" s="711"/>
    </row>
    <row r="226" spans="2:37" ht="30.2" customHeight="1">
      <c r="B226" s="86"/>
      <c r="C226" s="705"/>
      <c r="D226" s="106" t="s">
        <v>521</v>
      </c>
      <c r="E226" s="173" t="s">
        <v>196</v>
      </c>
      <c r="F226" s="174" t="s">
        <v>522</v>
      </c>
      <c r="G226" s="179">
        <v>8</v>
      </c>
      <c r="H226" s="180" t="s">
        <v>523</v>
      </c>
      <c r="I226" s="181">
        <v>150000</v>
      </c>
      <c r="J226" s="186">
        <f t="shared" si="101"/>
        <v>1200000</v>
      </c>
      <c r="K226" s="225"/>
      <c r="L226" s="187"/>
      <c r="M226" s="188"/>
      <c r="N226" s="271">
        <f t="shared" si="102"/>
        <v>0</v>
      </c>
      <c r="O226" s="258">
        <f t="shared" si="103"/>
        <v>-1200000</v>
      </c>
      <c r="P226" s="225"/>
      <c r="Q226" s="187"/>
      <c r="R226" s="188"/>
      <c r="S226" s="271">
        <f t="shared" si="104"/>
        <v>0</v>
      </c>
      <c r="T226" s="256">
        <f t="shared" si="99"/>
        <v>0</v>
      </c>
      <c r="U226" s="225"/>
      <c r="V226" s="187"/>
      <c r="W226" s="188"/>
      <c r="X226" s="271">
        <f t="shared" si="105"/>
        <v>0</v>
      </c>
      <c r="Y226" s="258">
        <f t="shared" si="106"/>
        <v>0</v>
      </c>
      <c r="Z226" s="225"/>
      <c r="AA226" s="187"/>
      <c r="AB226" s="188"/>
      <c r="AC226" s="271">
        <f t="shared" si="107"/>
        <v>0</v>
      </c>
      <c r="AD226" s="258">
        <f t="shared" si="108"/>
        <v>0</v>
      </c>
      <c r="AE226" s="225"/>
      <c r="AF226" s="187"/>
      <c r="AG226" s="188"/>
      <c r="AH226" s="271">
        <f t="shared" si="109"/>
        <v>0</v>
      </c>
      <c r="AI226" s="258">
        <f t="shared" si="110"/>
        <v>0</v>
      </c>
      <c r="AJ226" s="208"/>
      <c r="AK226" s="712"/>
    </row>
    <row r="227" spans="2:37" ht="30.2" customHeight="1">
      <c r="B227" s="86"/>
      <c r="C227" s="707" t="s">
        <v>524</v>
      </c>
      <c r="D227" s="708"/>
      <c r="E227" s="708"/>
      <c r="F227" s="708"/>
      <c r="G227" s="708"/>
      <c r="H227" s="708"/>
      <c r="I227" s="709"/>
      <c r="J227" s="168">
        <f>SUM(J221:J226)</f>
        <v>26500000</v>
      </c>
      <c r="K227" s="713"/>
      <c r="L227" s="714"/>
      <c r="M227" s="715"/>
      <c r="N227" s="272">
        <f>SUM(N221:N226)</f>
        <v>0</v>
      </c>
      <c r="O227" s="260">
        <f>SUM(O221:O226)</f>
        <v>-26500000</v>
      </c>
      <c r="P227" s="713"/>
      <c r="Q227" s="714"/>
      <c r="R227" s="715"/>
      <c r="S227" s="272">
        <f>SUM(S221:S226)</f>
        <v>0</v>
      </c>
      <c r="T227" s="543">
        <f t="shared" si="99"/>
        <v>0</v>
      </c>
      <c r="U227" s="713"/>
      <c r="V227" s="714"/>
      <c r="W227" s="715"/>
      <c r="X227" s="272">
        <f>SUM(X221:X226)</f>
        <v>0</v>
      </c>
      <c r="Y227" s="260">
        <f t="shared" si="106"/>
        <v>0</v>
      </c>
      <c r="Z227" s="713"/>
      <c r="AA227" s="714"/>
      <c r="AB227" s="715"/>
      <c r="AC227" s="272">
        <f>SUM(AC221:AC226)</f>
        <v>0</v>
      </c>
      <c r="AD227" s="260">
        <f t="shared" si="108"/>
        <v>0</v>
      </c>
      <c r="AE227" s="713"/>
      <c r="AF227" s="714"/>
      <c r="AG227" s="715"/>
      <c r="AH227" s="272">
        <f>SUM(AH221:AH226)</f>
        <v>0</v>
      </c>
      <c r="AI227" s="260">
        <f t="shared" si="110"/>
        <v>0</v>
      </c>
      <c r="AJ227" s="207"/>
      <c r="AK227" s="60"/>
    </row>
    <row r="228" spans="2:37" ht="30.2" customHeight="1">
      <c r="B228" s="86"/>
      <c r="C228" s="753" t="s">
        <v>369</v>
      </c>
      <c r="D228" s="106" t="s">
        <v>209</v>
      </c>
      <c r="E228" s="105" t="s">
        <v>190</v>
      </c>
      <c r="F228" s="191" t="s">
        <v>370</v>
      </c>
      <c r="G228" s="179">
        <v>1</v>
      </c>
      <c r="H228" s="179" t="s">
        <v>192</v>
      </c>
      <c r="I228" s="185">
        <v>7500000</v>
      </c>
      <c r="J228" s="182">
        <f t="shared" ref="J228:J233" si="111">G228*I228</f>
        <v>7500000</v>
      </c>
      <c r="K228" s="225">
        <v>1</v>
      </c>
      <c r="L228" s="175" t="s">
        <v>38</v>
      </c>
      <c r="M228" s="177">
        <v>12500000</v>
      </c>
      <c r="N228" s="271">
        <f t="shared" ref="N228:N233" si="112">K228*M228</f>
        <v>12500000</v>
      </c>
      <c r="O228" s="279">
        <f t="shared" ref="O228:O233" si="113">N228-J228</f>
        <v>5000000</v>
      </c>
      <c r="P228" s="225">
        <v>1</v>
      </c>
      <c r="Q228" s="175" t="s">
        <v>38</v>
      </c>
      <c r="R228" s="177">
        <v>12500000</v>
      </c>
      <c r="S228" s="271">
        <f t="shared" ref="S228:S233" si="114">P228*R228</f>
        <v>12500000</v>
      </c>
      <c r="T228" s="256">
        <f t="shared" si="99"/>
        <v>0</v>
      </c>
      <c r="U228" s="225">
        <v>1</v>
      </c>
      <c r="V228" s="175" t="s">
        <v>38</v>
      </c>
      <c r="W228" s="177">
        <v>12500000</v>
      </c>
      <c r="X228" s="271">
        <f t="shared" ref="X228:X233" si="115">U228*W228</f>
        <v>12500000</v>
      </c>
      <c r="Y228" s="279">
        <f t="shared" si="106"/>
        <v>0</v>
      </c>
      <c r="Z228" s="225">
        <v>1</v>
      </c>
      <c r="AA228" s="175" t="s">
        <v>38</v>
      </c>
      <c r="AB228" s="177">
        <v>12500000</v>
      </c>
      <c r="AC228" s="271">
        <f t="shared" ref="AC228:AC233" si="116">Z228*AB228</f>
        <v>12500000</v>
      </c>
      <c r="AD228" s="279">
        <f t="shared" si="108"/>
        <v>0</v>
      </c>
      <c r="AE228" s="225">
        <v>1</v>
      </c>
      <c r="AF228" s="175" t="s">
        <v>38</v>
      </c>
      <c r="AG228" s="177">
        <v>12500000</v>
      </c>
      <c r="AH228" s="271">
        <f t="shared" ref="AH228:AH233" si="117">AE228*AG228</f>
        <v>12500000</v>
      </c>
      <c r="AI228" s="279">
        <f t="shared" si="110"/>
        <v>0</v>
      </c>
      <c r="AJ228" s="206"/>
      <c r="AK228" s="106" t="s">
        <v>503</v>
      </c>
    </row>
    <row r="229" spans="2:37" ht="30.2" customHeight="1">
      <c r="B229" s="86"/>
      <c r="C229" s="753"/>
      <c r="D229" s="703" t="s">
        <v>498</v>
      </c>
      <c r="E229" s="754" t="s">
        <v>499</v>
      </c>
      <c r="F229" s="174" t="s">
        <v>500</v>
      </c>
      <c r="G229" s="179">
        <v>1</v>
      </c>
      <c r="H229" s="180" t="s">
        <v>38</v>
      </c>
      <c r="I229" s="185">
        <v>2000000</v>
      </c>
      <c r="J229" s="182">
        <f t="shared" si="111"/>
        <v>2000000</v>
      </c>
      <c r="K229" s="225"/>
      <c r="L229" s="175"/>
      <c r="M229" s="177"/>
      <c r="N229" s="271">
        <f t="shared" si="112"/>
        <v>0</v>
      </c>
      <c r="O229" s="258">
        <f t="shared" si="113"/>
        <v>-2000000</v>
      </c>
      <c r="P229" s="225"/>
      <c r="Q229" s="175"/>
      <c r="R229" s="177"/>
      <c r="S229" s="271">
        <f t="shared" si="114"/>
        <v>0</v>
      </c>
      <c r="T229" s="256">
        <f t="shared" si="99"/>
        <v>0</v>
      </c>
      <c r="U229" s="225"/>
      <c r="V229" s="175"/>
      <c r="W229" s="177"/>
      <c r="X229" s="271">
        <f t="shared" si="115"/>
        <v>0</v>
      </c>
      <c r="Y229" s="279">
        <f t="shared" si="106"/>
        <v>0</v>
      </c>
      <c r="Z229" s="225"/>
      <c r="AA229" s="175"/>
      <c r="AB229" s="177"/>
      <c r="AC229" s="271">
        <f t="shared" si="116"/>
        <v>0</v>
      </c>
      <c r="AD229" s="279">
        <f t="shared" si="108"/>
        <v>0</v>
      </c>
      <c r="AE229" s="225"/>
      <c r="AF229" s="175"/>
      <c r="AG229" s="177"/>
      <c r="AH229" s="271">
        <f t="shared" si="117"/>
        <v>0</v>
      </c>
      <c r="AI229" s="279">
        <f t="shared" si="110"/>
        <v>0</v>
      </c>
      <c r="AJ229" s="206"/>
      <c r="AK229" s="703" t="s">
        <v>504</v>
      </c>
    </row>
    <row r="230" spans="2:37" ht="30.2" customHeight="1">
      <c r="B230" s="86"/>
      <c r="C230" s="753"/>
      <c r="D230" s="704"/>
      <c r="E230" s="755"/>
      <c r="F230" s="174" t="s">
        <v>501</v>
      </c>
      <c r="G230" s="179">
        <v>1</v>
      </c>
      <c r="H230" s="180" t="s">
        <v>502</v>
      </c>
      <c r="I230" s="185">
        <v>3000000</v>
      </c>
      <c r="J230" s="182">
        <f t="shared" si="111"/>
        <v>3000000</v>
      </c>
      <c r="K230" s="225"/>
      <c r="L230" s="175"/>
      <c r="M230" s="177"/>
      <c r="N230" s="271">
        <f t="shared" si="112"/>
        <v>0</v>
      </c>
      <c r="O230" s="258">
        <f t="shared" si="113"/>
        <v>-3000000</v>
      </c>
      <c r="P230" s="225"/>
      <c r="Q230" s="175"/>
      <c r="R230" s="177"/>
      <c r="S230" s="271">
        <f t="shared" si="114"/>
        <v>0</v>
      </c>
      <c r="T230" s="256">
        <f t="shared" si="99"/>
        <v>0</v>
      </c>
      <c r="U230" s="225"/>
      <c r="V230" s="175"/>
      <c r="W230" s="177"/>
      <c r="X230" s="271">
        <f t="shared" si="115"/>
        <v>0</v>
      </c>
      <c r="Y230" s="279">
        <f t="shared" si="106"/>
        <v>0</v>
      </c>
      <c r="Z230" s="225"/>
      <c r="AA230" s="175"/>
      <c r="AB230" s="177"/>
      <c r="AC230" s="271">
        <f t="shared" si="116"/>
        <v>0</v>
      </c>
      <c r="AD230" s="279">
        <f t="shared" si="108"/>
        <v>0</v>
      </c>
      <c r="AE230" s="225"/>
      <c r="AF230" s="175"/>
      <c r="AG230" s="177"/>
      <c r="AH230" s="271">
        <f t="shared" si="117"/>
        <v>0</v>
      </c>
      <c r="AI230" s="279">
        <f t="shared" si="110"/>
        <v>0</v>
      </c>
      <c r="AJ230" s="206"/>
      <c r="AK230" s="704"/>
    </row>
    <row r="231" spans="2:37" ht="58.5" customHeight="1">
      <c r="B231" s="86"/>
      <c r="C231" s="753"/>
      <c r="D231" s="753" t="s">
        <v>210</v>
      </c>
      <c r="E231" s="105" t="s">
        <v>211</v>
      </c>
      <c r="F231" s="191" t="s">
        <v>212</v>
      </c>
      <c r="G231" s="179">
        <v>8</v>
      </c>
      <c r="H231" s="179" t="s">
        <v>194</v>
      </c>
      <c r="I231" s="185">
        <v>500000</v>
      </c>
      <c r="J231" s="182">
        <f t="shared" si="111"/>
        <v>4000000</v>
      </c>
      <c r="K231" s="225">
        <v>16</v>
      </c>
      <c r="L231" s="175" t="s">
        <v>76</v>
      </c>
      <c r="M231" s="177">
        <v>250000</v>
      </c>
      <c r="N231" s="271">
        <f t="shared" si="112"/>
        <v>4000000</v>
      </c>
      <c r="O231" s="254">
        <f t="shared" si="113"/>
        <v>0</v>
      </c>
      <c r="P231" s="225">
        <v>16</v>
      </c>
      <c r="Q231" s="175" t="s">
        <v>76</v>
      </c>
      <c r="R231" s="177">
        <v>250000</v>
      </c>
      <c r="S231" s="271">
        <f t="shared" si="114"/>
        <v>4000000</v>
      </c>
      <c r="T231" s="256">
        <f t="shared" si="99"/>
        <v>0</v>
      </c>
      <c r="U231" s="225">
        <v>16</v>
      </c>
      <c r="V231" s="175" t="s">
        <v>76</v>
      </c>
      <c r="W231" s="177">
        <v>250000</v>
      </c>
      <c r="X231" s="271">
        <f t="shared" si="115"/>
        <v>4000000</v>
      </c>
      <c r="Y231" s="279">
        <f t="shared" si="106"/>
        <v>0</v>
      </c>
      <c r="Z231" s="225">
        <v>16</v>
      </c>
      <c r="AA231" s="175" t="s">
        <v>76</v>
      </c>
      <c r="AB231" s="177">
        <v>250000</v>
      </c>
      <c r="AC231" s="271">
        <f t="shared" si="116"/>
        <v>4000000</v>
      </c>
      <c r="AD231" s="279">
        <f t="shared" si="108"/>
        <v>0</v>
      </c>
      <c r="AE231" s="225">
        <v>16</v>
      </c>
      <c r="AF231" s="175" t="s">
        <v>76</v>
      </c>
      <c r="AG231" s="177">
        <v>250000</v>
      </c>
      <c r="AH231" s="271">
        <f t="shared" si="117"/>
        <v>4000000</v>
      </c>
      <c r="AI231" s="279">
        <f t="shared" si="110"/>
        <v>0</v>
      </c>
      <c r="AJ231" s="206"/>
      <c r="AK231" s="197" t="s">
        <v>505</v>
      </c>
    </row>
    <row r="232" spans="2:37" ht="35.25" customHeight="1">
      <c r="B232" s="86"/>
      <c r="C232" s="753"/>
      <c r="D232" s="753"/>
      <c r="E232" s="433" t="s">
        <v>653</v>
      </c>
      <c r="F232" s="456" t="s">
        <v>654</v>
      </c>
      <c r="G232" s="457"/>
      <c r="H232" s="457"/>
      <c r="I232" s="458"/>
      <c r="J232" s="450"/>
      <c r="K232" s="478">
        <v>1</v>
      </c>
      <c r="L232" s="460" t="s">
        <v>38</v>
      </c>
      <c r="M232" s="461">
        <v>2500000</v>
      </c>
      <c r="N232" s="453">
        <f t="shared" si="112"/>
        <v>2500000</v>
      </c>
      <c r="O232" s="454">
        <f t="shared" si="113"/>
        <v>2500000</v>
      </c>
      <c r="P232" s="478">
        <v>1</v>
      </c>
      <c r="Q232" s="460" t="s">
        <v>38</v>
      </c>
      <c r="R232" s="461">
        <v>2500000</v>
      </c>
      <c r="S232" s="453">
        <f t="shared" si="114"/>
        <v>2500000</v>
      </c>
      <c r="T232" s="509">
        <f t="shared" si="99"/>
        <v>0</v>
      </c>
      <c r="U232" s="478">
        <v>1</v>
      </c>
      <c r="V232" s="460" t="s">
        <v>38</v>
      </c>
      <c r="W232" s="461">
        <v>2500000</v>
      </c>
      <c r="X232" s="453">
        <f t="shared" si="115"/>
        <v>2500000</v>
      </c>
      <c r="Y232" s="454">
        <f t="shared" si="106"/>
        <v>0</v>
      </c>
      <c r="Z232" s="478">
        <v>1</v>
      </c>
      <c r="AA232" s="460" t="s">
        <v>38</v>
      </c>
      <c r="AB232" s="461">
        <v>2500000</v>
      </c>
      <c r="AC232" s="453">
        <f t="shared" si="116"/>
        <v>2500000</v>
      </c>
      <c r="AD232" s="454">
        <f t="shared" si="108"/>
        <v>0</v>
      </c>
      <c r="AE232" s="478">
        <v>1</v>
      </c>
      <c r="AF232" s="460" t="s">
        <v>38</v>
      </c>
      <c r="AG232" s="461">
        <v>2500000</v>
      </c>
      <c r="AH232" s="453">
        <f t="shared" si="117"/>
        <v>2500000</v>
      </c>
      <c r="AI232" s="454">
        <f t="shared" si="110"/>
        <v>0</v>
      </c>
      <c r="AJ232" s="463"/>
      <c r="AK232" s="481" t="s">
        <v>671</v>
      </c>
    </row>
    <row r="233" spans="2:37" ht="30.2" customHeight="1">
      <c r="B233" s="86"/>
      <c r="C233" s="753"/>
      <c r="D233" s="753"/>
      <c r="E233" s="105" t="s">
        <v>206</v>
      </c>
      <c r="F233" s="191" t="s">
        <v>207</v>
      </c>
      <c r="G233" s="179">
        <v>6</v>
      </c>
      <c r="H233" s="179" t="s">
        <v>213</v>
      </c>
      <c r="I233" s="185">
        <v>150000</v>
      </c>
      <c r="J233" s="182">
        <f t="shared" si="111"/>
        <v>900000</v>
      </c>
      <c r="K233" s="225">
        <v>6</v>
      </c>
      <c r="L233" s="175" t="s">
        <v>76</v>
      </c>
      <c r="M233" s="177">
        <v>150000</v>
      </c>
      <c r="N233" s="271">
        <f t="shared" si="112"/>
        <v>900000</v>
      </c>
      <c r="O233" s="254">
        <f t="shared" si="113"/>
        <v>0</v>
      </c>
      <c r="P233" s="225">
        <v>6</v>
      </c>
      <c r="Q233" s="175" t="s">
        <v>76</v>
      </c>
      <c r="R233" s="177">
        <v>150000</v>
      </c>
      <c r="S233" s="271">
        <f t="shared" si="114"/>
        <v>900000</v>
      </c>
      <c r="T233" s="256">
        <f t="shared" si="99"/>
        <v>0</v>
      </c>
      <c r="U233" s="225">
        <v>6</v>
      </c>
      <c r="V233" s="175" t="s">
        <v>76</v>
      </c>
      <c r="W233" s="177">
        <v>150000</v>
      </c>
      <c r="X233" s="271">
        <f t="shared" si="115"/>
        <v>900000</v>
      </c>
      <c r="Y233" s="254">
        <f t="shared" si="106"/>
        <v>0</v>
      </c>
      <c r="Z233" s="225">
        <v>6</v>
      </c>
      <c r="AA233" s="175" t="s">
        <v>76</v>
      </c>
      <c r="AB233" s="177">
        <v>150000</v>
      </c>
      <c r="AC233" s="271">
        <f t="shared" si="116"/>
        <v>900000</v>
      </c>
      <c r="AD233" s="254">
        <f t="shared" si="108"/>
        <v>0</v>
      </c>
      <c r="AE233" s="225">
        <v>6</v>
      </c>
      <c r="AF233" s="175" t="s">
        <v>76</v>
      </c>
      <c r="AG233" s="177">
        <v>150000</v>
      </c>
      <c r="AH233" s="271">
        <f t="shared" si="117"/>
        <v>900000</v>
      </c>
      <c r="AI233" s="254">
        <f t="shared" si="110"/>
        <v>0</v>
      </c>
      <c r="AJ233" s="206"/>
      <c r="AK233" s="105"/>
    </row>
    <row r="234" spans="2:37" ht="30.2" customHeight="1">
      <c r="B234" s="86"/>
      <c r="C234" s="707" t="s">
        <v>208</v>
      </c>
      <c r="D234" s="708"/>
      <c r="E234" s="708"/>
      <c r="F234" s="708"/>
      <c r="G234" s="708"/>
      <c r="H234" s="708"/>
      <c r="I234" s="709"/>
      <c r="J234" s="167">
        <f>SUM(J228:J233)</f>
        <v>17400000</v>
      </c>
      <c r="K234" s="713"/>
      <c r="L234" s="714"/>
      <c r="M234" s="715"/>
      <c r="N234" s="272">
        <f>SUM(N228:N233)</f>
        <v>19900000</v>
      </c>
      <c r="O234" s="255">
        <f>SUM(O228:O233)</f>
        <v>2500000</v>
      </c>
      <c r="P234" s="713"/>
      <c r="Q234" s="714"/>
      <c r="R234" s="715"/>
      <c r="S234" s="272">
        <f>SUM(S228:S233)</f>
        <v>19900000</v>
      </c>
      <c r="T234" s="543">
        <f t="shared" si="99"/>
        <v>0</v>
      </c>
      <c r="U234" s="713"/>
      <c r="V234" s="714"/>
      <c r="W234" s="715"/>
      <c r="X234" s="272">
        <f>SUM(X228:X233)</f>
        <v>19900000</v>
      </c>
      <c r="Y234" s="255">
        <f>SUM(Y228:Y233)</f>
        <v>0</v>
      </c>
      <c r="Z234" s="713"/>
      <c r="AA234" s="714"/>
      <c r="AB234" s="715"/>
      <c r="AC234" s="272">
        <f>SUM(AC228:AC233)</f>
        <v>19900000</v>
      </c>
      <c r="AD234" s="255">
        <f>SUM(AD228:AD233)</f>
        <v>0</v>
      </c>
      <c r="AE234" s="713"/>
      <c r="AF234" s="714"/>
      <c r="AG234" s="715"/>
      <c r="AH234" s="272">
        <f>SUM(AH228:AH233)</f>
        <v>19900000</v>
      </c>
      <c r="AI234" s="255">
        <f>SUM(AI228:AI233)</f>
        <v>0</v>
      </c>
      <c r="AJ234" s="207"/>
      <c r="AK234" s="60"/>
    </row>
    <row r="235" spans="2:37" ht="30.2" customHeight="1">
      <c r="B235" s="86"/>
      <c r="C235" s="703" t="s">
        <v>526</v>
      </c>
      <c r="D235" s="291" t="s">
        <v>527</v>
      </c>
      <c r="E235" s="173" t="s">
        <v>528</v>
      </c>
      <c r="F235" s="174" t="s">
        <v>529</v>
      </c>
      <c r="G235" s="179">
        <v>2</v>
      </c>
      <c r="H235" s="180" t="s">
        <v>38</v>
      </c>
      <c r="I235" s="181">
        <v>4000000</v>
      </c>
      <c r="J235" s="182">
        <f>G235*I235</f>
        <v>8000000</v>
      </c>
      <c r="K235" s="225"/>
      <c r="L235" s="187"/>
      <c r="M235" s="188"/>
      <c r="N235" s="271">
        <f>K235*M235</f>
        <v>0</v>
      </c>
      <c r="O235" s="258">
        <f>N235-J235</f>
        <v>-8000000</v>
      </c>
      <c r="P235" s="225"/>
      <c r="Q235" s="187"/>
      <c r="R235" s="188"/>
      <c r="S235" s="271">
        <f>P235*R235</f>
        <v>0</v>
      </c>
      <c r="T235" s="256">
        <f t="shared" si="99"/>
        <v>0</v>
      </c>
      <c r="U235" s="225"/>
      <c r="V235" s="187"/>
      <c r="W235" s="188"/>
      <c r="X235" s="271">
        <f>U235*W235</f>
        <v>0</v>
      </c>
      <c r="Y235" s="279">
        <f>X235-S235</f>
        <v>0</v>
      </c>
      <c r="Z235" s="225"/>
      <c r="AA235" s="187"/>
      <c r="AB235" s="188"/>
      <c r="AC235" s="271">
        <f>Z235*AB235</f>
        <v>0</v>
      </c>
      <c r="AD235" s="279">
        <f>AC235-X235</f>
        <v>0</v>
      </c>
      <c r="AE235" s="225"/>
      <c r="AF235" s="187"/>
      <c r="AG235" s="188"/>
      <c r="AH235" s="271">
        <f>AE235*AG235</f>
        <v>0</v>
      </c>
      <c r="AI235" s="279">
        <f>AH235-AC235</f>
        <v>0</v>
      </c>
      <c r="AJ235" s="208"/>
      <c r="AK235" s="710" t="s">
        <v>542</v>
      </c>
    </row>
    <row r="236" spans="2:37" ht="30.2" customHeight="1">
      <c r="B236" s="86"/>
      <c r="C236" s="705"/>
      <c r="D236" s="703" t="s">
        <v>190</v>
      </c>
      <c r="E236" s="173" t="s">
        <v>530</v>
      </c>
      <c r="F236" s="174" t="s">
        <v>531</v>
      </c>
      <c r="G236" s="179">
        <v>2</v>
      </c>
      <c r="H236" s="180" t="s">
        <v>38</v>
      </c>
      <c r="I236" s="181">
        <v>2500000</v>
      </c>
      <c r="J236" s="182">
        <f>G236*I236</f>
        <v>5000000</v>
      </c>
      <c r="K236" s="225"/>
      <c r="L236" s="187"/>
      <c r="M236" s="188"/>
      <c r="N236" s="271">
        <f>K236*M236</f>
        <v>0</v>
      </c>
      <c r="O236" s="258">
        <f>N236-J236</f>
        <v>-5000000</v>
      </c>
      <c r="P236" s="225"/>
      <c r="Q236" s="187"/>
      <c r="R236" s="188"/>
      <c r="S236" s="271">
        <f>P236*R236</f>
        <v>0</v>
      </c>
      <c r="T236" s="256">
        <f t="shared" si="99"/>
        <v>0</v>
      </c>
      <c r="U236" s="225"/>
      <c r="V236" s="187"/>
      <c r="W236" s="188"/>
      <c r="X236" s="271">
        <f>U236*W236</f>
        <v>0</v>
      </c>
      <c r="Y236" s="279">
        <f>X236-S236</f>
        <v>0</v>
      </c>
      <c r="Z236" s="225"/>
      <c r="AA236" s="187"/>
      <c r="AB236" s="188"/>
      <c r="AC236" s="271">
        <f>Z236*AB236</f>
        <v>0</v>
      </c>
      <c r="AD236" s="279">
        <f>AC236-X236</f>
        <v>0</v>
      </c>
      <c r="AE236" s="225"/>
      <c r="AF236" s="187"/>
      <c r="AG236" s="188"/>
      <c r="AH236" s="271">
        <f>AE236*AG236</f>
        <v>0</v>
      </c>
      <c r="AI236" s="279">
        <f>AH236-AC236</f>
        <v>0</v>
      </c>
      <c r="AJ236" s="208"/>
      <c r="AK236" s="711"/>
    </row>
    <row r="237" spans="2:37" ht="30.2" customHeight="1">
      <c r="B237" s="86"/>
      <c r="C237" s="705"/>
      <c r="D237" s="704"/>
      <c r="E237" s="173" t="s">
        <v>532</v>
      </c>
      <c r="F237" s="174" t="s">
        <v>533</v>
      </c>
      <c r="G237" s="179">
        <v>2</v>
      </c>
      <c r="H237" s="180" t="s">
        <v>534</v>
      </c>
      <c r="I237" s="181">
        <v>1000000</v>
      </c>
      <c r="J237" s="182">
        <f>G237*I237</f>
        <v>2000000</v>
      </c>
      <c r="K237" s="225"/>
      <c r="L237" s="187"/>
      <c r="M237" s="188"/>
      <c r="N237" s="271">
        <f>K237*M237</f>
        <v>0</v>
      </c>
      <c r="O237" s="258">
        <f>N237-J237</f>
        <v>-2000000</v>
      </c>
      <c r="P237" s="225"/>
      <c r="Q237" s="187"/>
      <c r="R237" s="188"/>
      <c r="S237" s="271">
        <f>P237*R237</f>
        <v>0</v>
      </c>
      <c r="T237" s="256">
        <f t="shared" si="99"/>
        <v>0</v>
      </c>
      <c r="U237" s="225"/>
      <c r="V237" s="187"/>
      <c r="W237" s="188"/>
      <c r="X237" s="271">
        <f>U237*W237</f>
        <v>0</v>
      </c>
      <c r="Y237" s="279">
        <f>X237-S237</f>
        <v>0</v>
      </c>
      <c r="Z237" s="225"/>
      <c r="AA237" s="187"/>
      <c r="AB237" s="188"/>
      <c r="AC237" s="271">
        <f>Z237*AB237</f>
        <v>0</v>
      </c>
      <c r="AD237" s="279">
        <f>AC237-X237</f>
        <v>0</v>
      </c>
      <c r="AE237" s="225"/>
      <c r="AF237" s="187"/>
      <c r="AG237" s="188"/>
      <c r="AH237" s="271">
        <f>AE237*AG237</f>
        <v>0</v>
      </c>
      <c r="AI237" s="279">
        <f>AH237-AC237</f>
        <v>0</v>
      </c>
      <c r="AJ237" s="208"/>
      <c r="AK237" s="711"/>
    </row>
    <row r="238" spans="2:37" ht="30.2" customHeight="1">
      <c r="B238" s="86"/>
      <c r="C238" s="705"/>
      <c r="D238" s="703" t="s">
        <v>535</v>
      </c>
      <c r="E238" s="173" t="s">
        <v>536</v>
      </c>
      <c r="F238" s="174" t="s">
        <v>537</v>
      </c>
      <c r="G238" s="179">
        <v>8</v>
      </c>
      <c r="H238" s="180" t="s">
        <v>538</v>
      </c>
      <c r="I238" s="181">
        <v>150000</v>
      </c>
      <c r="J238" s="182">
        <f>G238*I238</f>
        <v>1200000</v>
      </c>
      <c r="K238" s="225"/>
      <c r="L238" s="187"/>
      <c r="M238" s="188"/>
      <c r="N238" s="271">
        <f>K238*M238</f>
        <v>0</v>
      </c>
      <c r="O238" s="258">
        <f>N238-J238</f>
        <v>-1200000</v>
      </c>
      <c r="P238" s="225"/>
      <c r="Q238" s="187"/>
      <c r="R238" s="188"/>
      <c r="S238" s="271">
        <f>P238*R238</f>
        <v>0</v>
      </c>
      <c r="T238" s="256">
        <f t="shared" si="99"/>
        <v>0</v>
      </c>
      <c r="U238" s="225"/>
      <c r="V238" s="187"/>
      <c r="W238" s="188"/>
      <c r="X238" s="271">
        <f>U238*W238</f>
        <v>0</v>
      </c>
      <c r="Y238" s="279">
        <f>X238-S238</f>
        <v>0</v>
      </c>
      <c r="Z238" s="225"/>
      <c r="AA238" s="187"/>
      <c r="AB238" s="188"/>
      <c r="AC238" s="271">
        <f>Z238*AB238</f>
        <v>0</v>
      </c>
      <c r="AD238" s="279">
        <f>AC238-X238</f>
        <v>0</v>
      </c>
      <c r="AE238" s="225"/>
      <c r="AF238" s="187"/>
      <c r="AG238" s="188"/>
      <c r="AH238" s="271">
        <f>AE238*AG238</f>
        <v>0</v>
      </c>
      <c r="AI238" s="279">
        <f>AH238-AC238</f>
        <v>0</v>
      </c>
      <c r="AJ238" s="208"/>
      <c r="AK238" s="711"/>
    </row>
    <row r="239" spans="2:37" ht="30.2" customHeight="1">
      <c r="B239" s="86"/>
      <c r="C239" s="704"/>
      <c r="D239" s="704"/>
      <c r="E239" s="105" t="s">
        <v>539</v>
      </c>
      <c r="F239" s="191" t="s">
        <v>540</v>
      </c>
      <c r="G239" s="179">
        <v>4</v>
      </c>
      <c r="H239" s="179" t="s">
        <v>538</v>
      </c>
      <c r="I239" s="181">
        <v>300000</v>
      </c>
      <c r="J239" s="182">
        <f>G239*I239</f>
        <v>1200000</v>
      </c>
      <c r="K239" s="225"/>
      <c r="L239" s="187"/>
      <c r="M239" s="188"/>
      <c r="N239" s="271">
        <f>K239*M239</f>
        <v>0</v>
      </c>
      <c r="O239" s="258">
        <f>N239-J239</f>
        <v>-1200000</v>
      </c>
      <c r="P239" s="225"/>
      <c r="Q239" s="187"/>
      <c r="R239" s="188"/>
      <c r="S239" s="271">
        <f>P239*R239</f>
        <v>0</v>
      </c>
      <c r="T239" s="256">
        <f t="shared" si="99"/>
        <v>0</v>
      </c>
      <c r="U239" s="225"/>
      <c r="V239" s="187"/>
      <c r="W239" s="188"/>
      <c r="X239" s="271">
        <f>U239*W239</f>
        <v>0</v>
      </c>
      <c r="Y239" s="279">
        <f>X239-S239</f>
        <v>0</v>
      </c>
      <c r="Z239" s="225"/>
      <c r="AA239" s="187"/>
      <c r="AB239" s="188"/>
      <c r="AC239" s="271">
        <f>Z239*AB239</f>
        <v>0</v>
      </c>
      <c r="AD239" s="279">
        <f>AC239-X239</f>
        <v>0</v>
      </c>
      <c r="AE239" s="225"/>
      <c r="AF239" s="187"/>
      <c r="AG239" s="188"/>
      <c r="AH239" s="271">
        <f>AE239*AG239</f>
        <v>0</v>
      </c>
      <c r="AI239" s="279">
        <f>AH239-AC239</f>
        <v>0</v>
      </c>
      <c r="AJ239" s="208"/>
      <c r="AK239" s="712"/>
    </row>
    <row r="240" spans="2:37" ht="30.2" customHeight="1">
      <c r="B240" s="86"/>
      <c r="C240" s="707" t="s">
        <v>541</v>
      </c>
      <c r="D240" s="708"/>
      <c r="E240" s="708"/>
      <c r="F240" s="708"/>
      <c r="G240" s="708"/>
      <c r="H240" s="708"/>
      <c r="I240" s="709"/>
      <c r="J240" s="167">
        <f>SUM(J235:J239)</f>
        <v>17400000</v>
      </c>
      <c r="K240" s="713"/>
      <c r="L240" s="714"/>
      <c r="M240" s="715"/>
      <c r="N240" s="272">
        <f>SUM(N235:N239)</f>
        <v>0</v>
      </c>
      <c r="O240" s="260">
        <f>SUM(O235:O239)</f>
        <v>-17400000</v>
      </c>
      <c r="P240" s="713"/>
      <c r="Q240" s="714"/>
      <c r="R240" s="715"/>
      <c r="S240" s="272">
        <f>SUM(S235:S239)</f>
        <v>0</v>
      </c>
      <c r="T240" s="543">
        <f t="shared" si="99"/>
        <v>0</v>
      </c>
      <c r="U240" s="713"/>
      <c r="V240" s="714"/>
      <c r="W240" s="715"/>
      <c r="X240" s="272">
        <f>SUM(X235:X239)</f>
        <v>0</v>
      </c>
      <c r="Y240" s="260">
        <f>SUM(Y235:Y239)</f>
        <v>0</v>
      </c>
      <c r="Z240" s="713"/>
      <c r="AA240" s="714"/>
      <c r="AB240" s="715"/>
      <c r="AC240" s="272">
        <f>SUM(AC235:AC239)</f>
        <v>0</v>
      </c>
      <c r="AD240" s="260">
        <f>SUM(AD235:AD239)</f>
        <v>0</v>
      </c>
      <c r="AE240" s="713"/>
      <c r="AF240" s="714"/>
      <c r="AG240" s="715"/>
      <c r="AH240" s="272">
        <f>SUM(AH235:AH239)</f>
        <v>0</v>
      </c>
      <c r="AI240" s="260">
        <f>SUM(AI235:AI239)</f>
        <v>0</v>
      </c>
      <c r="AJ240" s="207"/>
      <c r="AK240" s="289"/>
    </row>
    <row r="241" spans="2:37" s="1" customFormat="1" ht="30.2" customHeight="1">
      <c r="B241" s="86"/>
      <c r="C241" s="753" t="s">
        <v>374</v>
      </c>
      <c r="D241" s="106" t="s">
        <v>375</v>
      </c>
      <c r="E241" s="105" t="s">
        <v>376</v>
      </c>
      <c r="F241" s="191" t="s">
        <v>380</v>
      </c>
      <c r="G241" s="175"/>
      <c r="H241" s="175"/>
      <c r="I241" s="177"/>
      <c r="J241" s="182">
        <f>G241*I241</f>
        <v>0</v>
      </c>
      <c r="K241" s="225">
        <v>1</v>
      </c>
      <c r="L241" s="175" t="s">
        <v>38</v>
      </c>
      <c r="M241" s="177">
        <v>3900000</v>
      </c>
      <c r="N241" s="271">
        <f>K241*M241</f>
        <v>3900000</v>
      </c>
      <c r="O241" s="279">
        <f>N241-J241</f>
        <v>3900000</v>
      </c>
      <c r="P241" s="225">
        <v>1</v>
      </c>
      <c r="Q241" s="175" t="s">
        <v>38</v>
      </c>
      <c r="R241" s="177">
        <v>3900000</v>
      </c>
      <c r="S241" s="271">
        <f>P241*R241</f>
        <v>3900000</v>
      </c>
      <c r="T241" s="256">
        <f t="shared" si="99"/>
        <v>0</v>
      </c>
      <c r="U241" s="225">
        <v>1</v>
      </c>
      <c r="V241" s="175" t="s">
        <v>38</v>
      </c>
      <c r="W241" s="177">
        <v>3900000</v>
      </c>
      <c r="X241" s="271">
        <f>U241*W241</f>
        <v>3900000</v>
      </c>
      <c r="Y241" s="279">
        <f>X241-S241</f>
        <v>0</v>
      </c>
      <c r="Z241" s="225">
        <v>1</v>
      </c>
      <c r="AA241" s="175" t="s">
        <v>38</v>
      </c>
      <c r="AB241" s="177">
        <v>3900000</v>
      </c>
      <c r="AC241" s="271">
        <f>Z241*AB241</f>
        <v>3900000</v>
      </c>
      <c r="AD241" s="279">
        <f>AC241-X241</f>
        <v>0</v>
      </c>
      <c r="AE241" s="225">
        <v>1</v>
      </c>
      <c r="AF241" s="175" t="s">
        <v>38</v>
      </c>
      <c r="AG241" s="177">
        <v>3900000</v>
      </c>
      <c r="AH241" s="271">
        <f>AE241*AG241</f>
        <v>3900000</v>
      </c>
      <c r="AI241" s="279">
        <f>AH241-AC241</f>
        <v>0</v>
      </c>
      <c r="AJ241" s="206"/>
      <c r="AK241" s="703" t="s">
        <v>442</v>
      </c>
    </row>
    <row r="242" spans="2:37" s="1" customFormat="1" ht="27.75" customHeight="1">
      <c r="B242" s="86"/>
      <c r="C242" s="753"/>
      <c r="D242" s="753" t="s">
        <v>377</v>
      </c>
      <c r="E242" s="105" t="s">
        <v>378</v>
      </c>
      <c r="F242" s="191" t="s">
        <v>379</v>
      </c>
      <c r="G242" s="175"/>
      <c r="H242" s="175"/>
      <c r="I242" s="177"/>
      <c r="J242" s="182">
        <f>G242*I242</f>
        <v>0</v>
      </c>
      <c r="K242" s="225">
        <v>1</v>
      </c>
      <c r="L242" s="175" t="s">
        <v>389</v>
      </c>
      <c r="M242" s="177">
        <v>500000</v>
      </c>
      <c r="N242" s="271">
        <f>K242*M242</f>
        <v>500000</v>
      </c>
      <c r="O242" s="279">
        <f>N242-J242</f>
        <v>500000</v>
      </c>
      <c r="P242" s="225">
        <v>1</v>
      </c>
      <c r="Q242" s="175" t="s">
        <v>389</v>
      </c>
      <c r="R242" s="177">
        <v>500000</v>
      </c>
      <c r="S242" s="271">
        <f t="shared" ref="S242:S253" si="118">P242*R242</f>
        <v>500000</v>
      </c>
      <c r="T242" s="256">
        <f t="shared" si="99"/>
        <v>0</v>
      </c>
      <c r="U242" s="225">
        <v>1</v>
      </c>
      <c r="V242" s="175" t="s">
        <v>389</v>
      </c>
      <c r="W242" s="177">
        <v>500000</v>
      </c>
      <c r="X242" s="271">
        <f>U242*W242</f>
        <v>500000</v>
      </c>
      <c r="Y242" s="279">
        <f>X242-S242</f>
        <v>0</v>
      </c>
      <c r="Z242" s="225">
        <v>1</v>
      </c>
      <c r="AA242" s="175" t="s">
        <v>389</v>
      </c>
      <c r="AB242" s="177">
        <v>500000</v>
      </c>
      <c r="AC242" s="271">
        <f>Z242*AB242</f>
        <v>500000</v>
      </c>
      <c r="AD242" s="279">
        <f>AC242-X242</f>
        <v>0</v>
      </c>
      <c r="AE242" s="225">
        <v>1</v>
      </c>
      <c r="AF242" s="175" t="s">
        <v>76</v>
      </c>
      <c r="AG242" s="177">
        <v>500000</v>
      </c>
      <c r="AH242" s="271">
        <f>AE242*AG242</f>
        <v>500000</v>
      </c>
      <c r="AI242" s="279">
        <f>AH242-AC242</f>
        <v>0</v>
      </c>
      <c r="AJ242" s="206"/>
      <c r="AK242" s="705"/>
    </row>
    <row r="243" spans="2:37" s="1" customFormat="1" ht="29.25" customHeight="1">
      <c r="B243" s="86"/>
      <c r="C243" s="753"/>
      <c r="D243" s="753"/>
      <c r="E243" s="105" t="s">
        <v>381</v>
      </c>
      <c r="F243" s="191" t="s">
        <v>382</v>
      </c>
      <c r="G243" s="175"/>
      <c r="H243" s="175"/>
      <c r="I243" s="177"/>
      <c r="J243" s="182">
        <f>G243*I243</f>
        <v>0</v>
      </c>
      <c r="K243" s="225">
        <v>4</v>
      </c>
      <c r="L243" s="175" t="s">
        <v>76</v>
      </c>
      <c r="M243" s="177">
        <v>150000</v>
      </c>
      <c r="N243" s="271">
        <f>K243*M243</f>
        <v>600000</v>
      </c>
      <c r="O243" s="279">
        <f>N243-J243</f>
        <v>600000</v>
      </c>
      <c r="P243" s="225">
        <v>4</v>
      </c>
      <c r="Q243" s="175" t="s">
        <v>76</v>
      </c>
      <c r="R243" s="177">
        <v>150000</v>
      </c>
      <c r="S243" s="271">
        <f t="shared" si="118"/>
        <v>600000</v>
      </c>
      <c r="T243" s="256">
        <f t="shared" si="99"/>
        <v>0</v>
      </c>
      <c r="U243" s="225">
        <v>4</v>
      </c>
      <c r="V243" s="175" t="s">
        <v>76</v>
      </c>
      <c r="W243" s="177">
        <v>150000</v>
      </c>
      <c r="X243" s="271">
        <f>U243*W243</f>
        <v>600000</v>
      </c>
      <c r="Y243" s="279">
        <f>X243-S243</f>
        <v>0</v>
      </c>
      <c r="Z243" s="225">
        <v>4</v>
      </c>
      <c r="AA243" s="175" t="s">
        <v>76</v>
      </c>
      <c r="AB243" s="177">
        <v>150000</v>
      </c>
      <c r="AC243" s="271">
        <f>Z243*AB243</f>
        <v>600000</v>
      </c>
      <c r="AD243" s="279">
        <f>AC243-X243</f>
        <v>0</v>
      </c>
      <c r="AE243" s="225">
        <v>4</v>
      </c>
      <c r="AF243" s="175" t="s">
        <v>76</v>
      </c>
      <c r="AG243" s="177">
        <v>150000</v>
      </c>
      <c r="AH243" s="271">
        <f>AE243*AG243</f>
        <v>600000</v>
      </c>
      <c r="AI243" s="279">
        <f>AH243-AC243</f>
        <v>0</v>
      </c>
      <c r="AJ243" s="206"/>
      <c r="AK243" s="704"/>
    </row>
    <row r="244" spans="2:37" s="1" customFormat="1" ht="30" customHeight="1">
      <c r="B244" s="86"/>
      <c r="C244" s="707" t="s">
        <v>188</v>
      </c>
      <c r="D244" s="708"/>
      <c r="E244" s="708"/>
      <c r="F244" s="708"/>
      <c r="G244" s="708"/>
      <c r="H244" s="708"/>
      <c r="I244" s="709"/>
      <c r="J244" s="167">
        <f>SUM(J241:J243)</f>
        <v>0</v>
      </c>
      <c r="K244" s="713"/>
      <c r="L244" s="714"/>
      <c r="M244" s="715"/>
      <c r="N244" s="272">
        <f>SUM(N241:N243)</f>
        <v>5000000</v>
      </c>
      <c r="O244" s="278">
        <f>SUM(O241:O243)</f>
        <v>5000000</v>
      </c>
      <c r="P244" s="713"/>
      <c r="Q244" s="714"/>
      <c r="R244" s="715"/>
      <c r="S244" s="272">
        <f>SUM(S241:S243)</f>
        <v>5000000</v>
      </c>
      <c r="T244" s="543">
        <f t="shared" si="99"/>
        <v>0</v>
      </c>
      <c r="U244" s="713"/>
      <c r="V244" s="714"/>
      <c r="W244" s="715"/>
      <c r="X244" s="272">
        <f>SUM(X241:X243)</f>
        <v>5000000</v>
      </c>
      <c r="Y244" s="278">
        <f>SUM(Y241:Y243)</f>
        <v>0</v>
      </c>
      <c r="Z244" s="713"/>
      <c r="AA244" s="714"/>
      <c r="AB244" s="715"/>
      <c r="AC244" s="272">
        <f>SUM(AC241:AC243)</f>
        <v>5000000</v>
      </c>
      <c r="AD244" s="278">
        <f>SUM(AD241:AD243)</f>
        <v>0</v>
      </c>
      <c r="AE244" s="713"/>
      <c r="AF244" s="714"/>
      <c r="AG244" s="715"/>
      <c r="AH244" s="272">
        <f>SUM(AH241:AH243)</f>
        <v>5000000</v>
      </c>
      <c r="AI244" s="278">
        <f>SUM(AI241:AI243)</f>
        <v>0</v>
      </c>
      <c r="AJ244" s="207"/>
      <c r="AK244" s="60"/>
    </row>
    <row r="245" spans="2:37" s="1" customFormat="1" ht="30" customHeight="1">
      <c r="B245" s="86"/>
      <c r="C245" s="753" t="s">
        <v>383</v>
      </c>
      <c r="D245" s="106" t="s">
        <v>384</v>
      </c>
      <c r="E245" s="105" t="s">
        <v>385</v>
      </c>
      <c r="F245" s="191" t="s">
        <v>386</v>
      </c>
      <c r="G245" s="175"/>
      <c r="H245" s="175"/>
      <c r="I245" s="177"/>
      <c r="J245" s="182">
        <f>G245*I245</f>
        <v>0</v>
      </c>
      <c r="K245" s="225">
        <v>1</v>
      </c>
      <c r="L245" s="175" t="s">
        <v>387</v>
      </c>
      <c r="M245" s="177">
        <v>200000</v>
      </c>
      <c r="N245" s="271">
        <f>K245*M245</f>
        <v>200000</v>
      </c>
      <c r="O245" s="279">
        <f>N245-J245</f>
        <v>200000</v>
      </c>
      <c r="P245" s="225">
        <v>1</v>
      </c>
      <c r="Q245" s="175" t="s">
        <v>387</v>
      </c>
      <c r="R245" s="177">
        <v>200000</v>
      </c>
      <c r="S245" s="271">
        <f t="shared" si="118"/>
        <v>200000</v>
      </c>
      <c r="T245" s="256">
        <f t="shared" si="99"/>
        <v>0</v>
      </c>
      <c r="U245" s="225">
        <v>1</v>
      </c>
      <c r="V245" s="175" t="s">
        <v>387</v>
      </c>
      <c r="W245" s="177">
        <v>200000</v>
      </c>
      <c r="X245" s="271">
        <f>U245*W245</f>
        <v>200000</v>
      </c>
      <c r="Y245" s="279">
        <f>W245-S245</f>
        <v>0</v>
      </c>
      <c r="Z245" s="225">
        <v>1</v>
      </c>
      <c r="AA245" s="175" t="s">
        <v>387</v>
      </c>
      <c r="AB245" s="177">
        <v>200000</v>
      </c>
      <c r="AC245" s="271">
        <f>Z245*AB245</f>
        <v>200000</v>
      </c>
      <c r="AD245" s="279">
        <f>AB245-X245</f>
        <v>0</v>
      </c>
      <c r="AE245" s="225">
        <v>1</v>
      </c>
      <c r="AF245" s="175" t="s">
        <v>38</v>
      </c>
      <c r="AG245" s="177">
        <v>200000</v>
      </c>
      <c r="AH245" s="271">
        <f>AE245*AG245</f>
        <v>200000</v>
      </c>
      <c r="AI245" s="279">
        <f>AG245-AC245</f>
        <v>0</v>
      </c>
      <c r="AJ245" s="206"/>
      <c r="AK245" s="756"/>
    </row>
    <row r="246" spans="2:37" s="1" customFormat="1" ht="30" customHeight="1">
      <c r="B246" s="86"/>
      <c r="C246" s="753"/>
      <c r="D246" s="753" t="s">
        <v>377</v>
      </c>
      <c r="E246" s="105" t="s">
        <v>388</v>
      </c>
      <c r="F246" s="191" t="s">
        <v>379</v>
      </c>
      <c r="G246" s="175"/>
      <c r="H246" s="175"/>
      <c r="I246" s="177"/>
      <c r="J246" s="182">
        <f>G246*I246</f>
        <v>0</v>
      </c>
      <c r="K246" s="225">
        <v>1</v>
      </c>
      <c r="L246" s="175" t="s">
        <v>76</v>
      </c>
      <c r="M246" s="177">
        <v>500000</v>
      </c>
      <c r="N246" s="271">
        <f>K246*M246</f>
        <v>500000</v>
      </c>
      <c r="O246" s="279">
        <f>N246-J246</f>
        <v>500000</v>
      </c>
      <c r="P246" s="225">
        <v>1</v>
      </c>
      <c r="Q246" s="175" t="s">
        <v>76</v>
      </c>
      <c r="R246" s="177">
        <v>500000</v>
      </c>
      <c r="S246" s="271">
        <f t="shared" si="118"/>
        <v>500000</v>
      </c>
      <c r="T246" s="256">
        <f t="shared" si="99"/>
        <v>0</v>
      </c>
      <c r="U246" s="225">
        <v>1</v>
      </c>
      <c r="V246" s="175" t="s">
        <v>76</v>
      </c>
      <c r="W246" s="177">
        <v>500000</v>
      </c>
      <c r="X246" s="271">
        <f>U246*W246</f>
        <v>500000</v>
      </c>
      <c r="Y246" s="279">
        <f>W246-S246</f>
        <v>0</v>
      </c>
      <c r="Z246" s="225">
        <v>1</v>
      </c>
      <c r="AA246" s="175" t="s">
        <v>76</v>
      </c>
      <c r="AB246" s="177">
        <v>500000</v>
      </c>
      <c r="AC246" s="271">
        <f>Z246*AB246</f>
        <v>500000</v>
      </c>
      <c r="AD246" s="279">
        <f>AB246-X246</f>
        <v>0</v>
      </c>
      <c r="AE246" s="225">
        <v>1</v>
      </c>
      <c r="AF246" s="175" t="s">
        <v>76</v>
      </c>
      <c r="AG246" s="177">
        <v>500000</v>
      </c>
      <c r="AH246" s="271">
        <f>AE246*AG246</f>
        <v>500000</v>
      </c>
      <c r="AI246" s="279">
        <f>AG246-AC246</f>
        <v>0</v>
      </c>
      <c r="AJ246" s="206"/>
      <c r="AK246" s="756"/>
    </row>
    <row r="247" spans="2:37" s="1" customFormat="1" ht="32.25" customHeight="1">
      <c r="B247" s="86"/>
      <c r="C247" s="753"/>
      <c r="D247" s="753"/>
      <c r="E247" s="105" t="s">
        <v>390</v>
      </c>
      <c r="F247" s="191" t="s">
        <v>207</v>
      </c>
      <c r="G247" s="175"/>
      <c r="H247" s="175"/>
      <c r="I247" s="177"/>
      <c r="J247" s="182">
        <f>G247*I247</f>
        <v>0</v>
      </c>
      <c r="K247" s="225">
        <v>2</v>
      </c>
      <c r="L247" s="175" t="s">
        <v>76</v>
      </c>
      <c r="M247" s="177">
        <v>150000</v>
      </c>
      <c r="N247" s="271">
        <f>K247*M247</f>
        <v>300000</v>
      </c>
      <c r="O247" s="279">
        <f>N247-J247</f>
        <v>300000</v>
      </c>
      <c r="P247" s="225">
        <v>2</v>
      </c>
      <c r="Q247" s="175" t="s">
        <v>76</v>
      </c>
      <c r="R247" s="177">
        <v>150000</v>
      </c>
      <c r="S247" s="271">
        <f t="shared" si="118"/>
        <v>300000</v>
      </c>
      <c r="T247" s="256">
        <f t="shared" si="99"/>
        <v>0</v>
      </c>
      <c r="U247" s="225">
        <v>2</v>
      </c>
      <c r="V247" s="175" t="s">
        <v>76</v>
      </c>
      <c r="W247" s="177">
        <v>150000</v>
      </c>
      <c r="X247" s="271">
        <f>U247*W247</f>
        <v>300000</v>
      </c>
      <c r="Y247" s="279">
        <f>X247-S247</f>
        <v>0</v>
      </c>
      <c r="Z247" s="225">
        <v>2</v>
      </c>
      <c r="AA247" s="175" t="s">
        <v>76</v>
      </c>
      <c r="AB247" s="177">
        <v>150000</v>
      </c>
      <c r="AC247" s="271">
        <f>Z247*AB247</f>
        <v>300000</v>
      </c>
      <c r="AD247" s="279">
        <f>AC247-X247</f>
        <v>0</v>
      </c>
      <c r="AE247" s="225">
        <v>2</v>
      </c>
      <c r="AF247" s="175" t="s">
        <v>76</v>
      </c>
      <c r="AG247" s="177">
        <v>150000</v>
      </c>
      <c r="AH247" s="271">
        <f>AE247*AG247</f>
        <v>300000</v>
      </c>
      <c r="AI247" s="279">
        <f>AH247-AC247</f>
        <v>0</v>
      </c>
      <c r="AJ247" s="206"/>
      <c r="AK247" s="757"/>
    </row>
    <row r="248" spans="2:37" s="1" customFormat="1" ht="30.2" customHeight="1">
      <c r="B248" s="86"/>
      <c r="C248" s="707" t="s">
        <v>188</v>
      </c>
      <c r="D248" s="708"/>
      <c r="E248" s="708"/>
      <c r="F248" s="708"/>
      <c r="G248" s="708"/>
      <c r="H248" s="708"/>
      <c r="I248" s="709"/>
      <c r="J248" s="167">
        <f>SUM(J245:J247)</f>
        <v>0</v>
      </c>
      <c r="K248" s="713"/>
      <c r="L248" s="714"/>
      <c r="M248" s="715"/>
      <c r="N248" s="272">
        <f>SUM(N245:N247)</f>
        <v>1000000</v>
      </c>
      <c r="O248" s="278">
        <f>SUM(O245:O247)</f>
        <v>1000000</v>
      </c>
      <c r="P248" s="713"/>
      <c r="Q248" s="714"/>
      <c r="R248" s="715"/>
      <c r="S248" s="272">
        <f>SUM(S245:S247)</f>
        <v>1000000</v>
      </c>
      <c r="T248" s="543">
        <f t="shared" si="99"/>
        <v>0</v>
      </c>
      <c r="U248" s="713"/>
      <c r="V248" s="714"/>
      <c r="W248" s="715"/>
      <c r="X248" s="272">
        <f>SUM(X245:X247)</f>
        <v>1000000</v>
      </c>
      <c r="Y248" s="278">
        <f>SUM(Y245:Y247)</f>
        <v>0</v>
      </c>
      <c r="Z248" s="713"/>
      <c r="AA248" s="714"/>
      <c r="AB248" s="715"/>
      <c r="AC248" s="272">
        <f>SUM(AC245:AC247)</f>
        <v>1000000</v>
      </c>
      <c r="AD248" s="278">
        <f>SUM(AD245:AD247)</f>
        <v>0</v>
      </c>
      <c r="AE248" s="713"/>
      <c r="AF248" s="714"/>
      <c r="AG248" s="715"/>
      <c r="AH248" s="272">
        <f>SUM(AH245:AH247)</f>
        <v>1000000</v>
      </c>
      <c r="AI248" s="278">
        <f>SUM(AI245:AI247)</f>
        <v>0</v>
      </c>
      <c r="AJ248" s="207"/>
      <c r="AK248" s="60"/>
    </row>
    <row r="249" spans="2:37" s="1" customFormat="1" ht="30.2" customHeight="1">
      <c r="B249" s="86"/>
      <c r="C249" s="753" t="s">
        <v>391</v>
      </c>
      <c r="D249" s="703" t="s">
        <v>392</v>
      </c>
      <c r="E249" s="758" t="s">
        <v>393</v>
      </c>
      <c r="F249" s="191" t="s">
        <v>394</v>
      </c>
      <c r="G249" s="175"/>
      <c r="H249" s="175"/>
      <c r="I249" s="177"/>
      <c r="J249" s="182">
        <f t="shared" ref="J249:J254" si="119">G249*I249</f>
        <v>0</v>
      </c>
      <c r="K249" s="225">
        <v>1</v>
      </c>
      <c r="L249" s="175" t="s">
        <v>335</v>
      </c>
      <c r="M249" s="177">
        <v>15000000</v>
      </c>
      <c r="N249" s="271">
        <f t="shared" ref="N249:N254" si="120">K249*M249</f>
        <v>15000000</v>
      </c>
      <c r="O249" s="279">
        <f>N249-J249</f>
        <v>15000000</v>
      </c>
      <c r="P249" s="528">
        <v>1</v>
      </c>
      <c r="Q249" s="536" t="s">
        <v>38</v>
      </c>
      <c r="R249" s="537"/>
      <c r="S249" s="527">
        <f t="shared" si="118"/>
        <v>0</v>
      </c>
      <c r="T249" s="545">
        <f t="shared" si="99"/>
        <v>-15000000</v>
      </c>
      <c r="U249" s="528">
        <v>1</v>
      </c>
      <c r="V249" s="536" t="s">
        <v>38</v>
      </c>
      <c r="W249" s="537"/>
      <c r="X249" s="527">
        <f>U249*W249</f>
        <v>0</v>
      </c>
      <c r="Y249" s="531">
        <f t="shared" ref="Y249:Y254" si="121">X249-S249</f>
        <v>0</v>
      </c>
      <c r="Z249" s="528">
        <v>1</v>
      </c>
      <c r="AA249" s="536" t="s">
        <v>38</v>
      </c>
      <c r="AB249" s="537"/>
      <c r="AC249" s="527">
        <f>Z249*AB249</f>
        <v>0</v>
      </c>
      <c r="AD249" s="531">
        <f t="shared" ref="AD249:AD254" si="122">AC249-X249</f>
        <v>0</v>
      </c>
      <c r="AE249" s="528">
        <v>1</v>
      </c>
      <c r="AF249" s="536" t="s">
        <v>38</v>
      </c>
      <c r="AG249" s="537"/>
      <c r="AH249" s="527">
        <f>AE249*AG249</f>
        <v>0</v>
      </c>
      <c r="AI249" s="531">
        <f t="shared" ref="AI249:AI254" si="123">AH249-AC249</f>
        <v>0</v>
      </c>
      <c r="AJ249" s="532"/>
      <c r="AK249" s="561"/>
    </row>
    <row r="250" spans="2:37" s="1" customFormat="1" ht="30.2" customHeight="1">
      <c r="B250" s="86"/>
      <c r="C250" s="753"/>
      <c r="D250" s="704"/>
      <c r="E250" s="757"/>
      <c r="F250" s="314" t="s">
        <v>550</v>
      </c>
      <c r="G250" s="319"/>
      <c r="H250" s="319"/>
      <c r="I250" s="324"/>
      <c r="J250" s="317"/>
      <c r="K250" s="318">
        <v>1</v>
      </c>
      <c r="L250" s="319" t="s">
        <v>551</v>
      </c>
      <c r="M250" s="324">
        <v>2000000</v>
      </c>
      <c r="N250" s="321">
        <f t="shared" si="120"/>
        <v>2000000</v>
      </c>
      <c r="O250" s="322">
        <f>N250-J250</f>
        <v>2000000</v>
      </c>
      <c r="P250" s="528">
        <v>1</v>
      </c>
      <c r="Q250" s="536" t="s">
        <v>551</v>
      </c>
      <c r="R250" s="537"/>
      <c r="S250" s="527">
        <f t="shared" si="118"/>
        <v>0</v>
      </c>
      <c r="T250" s="545">
        <f t="shared" si="99"/>
        <v>-2000000</v>
      </c>
      <c r="U250" s="528">
        <v>1</v>
      </c>
      <c r="V250" s="536" t="s">
        <v>551</v>
      </c>
      <c r="W250" s="537"/>
      <c r="X250" s="527">
        <f>U250*W250</f>
        <v>0</v>
      </c>
      <c r="Y250" s="531">
        <f t="shared" si="121"/>
        <v>0</v>
      </c>
      <c r="Z250" s="528">
        <v>1</v>
      </c>
      <c r="AA250" s="536" t="s">
        <v>551</v>
      </c>
      <c r="AB250" s="537"/>
      <c r="AC250" s="527">
        <f>Z250*AB250</f>
        <v>0</v>
      </c>
      <c r="AD250" s="531">
        <f t="shared" si="122"/>
        <v>0</v>
      </c>
      <c r="AE250" s="528">
        <v>1</v>
      </c>
      <c r="AF250" s="536" t="s">
        <v>38</v>
      </c>
      <c r="AG250" s="537"/>
      <c r="AH250" s="527">
        <f>AE250*AG250</f>
        <v>0</v>
      </c>
      <c r="AI250" s="531">
        <f t="shared" si="123"/>
        <v>0</v>
      </c>
      <c r="AJ250" s="532"/>
      <c r="AK250" s="562"/>
    </row>
    <row r="251" spans="2:37" s="1" customFormat="1" ht="30.2" customHeight="1">
      <c r="B251" s="86"/>
      <c r="C251" s="753"/>
      <c r="D251" s="338"/>
      <c r="E251" s="340"/>
      <c r="F251" s="400" t="s">
        <v>619</v>
      </c>
      <c r="G251" s="389"/>
      <c r="H251" s="389"/>
      <c r="I251" s="394"/>
      <c r="J251" s="387"/>
      <c r="K251" s="388">
        <v>1</v>
      </c>
      <c r="L251" s="389" t="s">
        <v>616</v>
      </c>
      <c r="M251" s="394">
        <v>3500000</v>
      </c>
      <c r="N251" s="391">
        <f t="shared" si="120"/>
        <v>3500000</v>
      </c>
      <c r="O251" s="397">
        <f>N251-J251</f>
        <v>3500000</v>
      </c>
      <c r="P251" s="528">
        <v>1</v>
      </c>
      <c r="Q251" s="536" t="s">
        <v>38</v>
      </c>
      <c r="R251" s="537"/>
      <c r="S251" s="527">
        <f t="shared" si="118"/>
        <v>0</v>
      </c>
      <c r="T251" s="545">
        <f t="shared" si="99"/>
        <v>-3500000</v>
      </c>
      <c r="U251" s="528">
        <v>1</v>
      </c>
      <c r="V251" s="536" t="s">
        <v>38</v>
      </c>
      <c r="W251" s="537"/>
      <c r="X251" s="527">
        <f>U251*W251</f>
        <v>0</v>
      </c>
      <c r="Y251" s="531">
        <f t="shared" si="121"/>
        <v>0</v>
      </c>
      <c r="Z251" s="528">
        <v>1</v>
      </c>
      <c r="AA251" s="536" t="s">
        <v>38</v>
      </c>
      <c r="AB251" s="537"/>
      <c r="AC251" s="527">
        <f>Z251*AB251</f>
        <v>0</v>
      </c>
      <c r="AD251" s="531">
        <f t="shared" si="122"/>
        <v>0</v>
      </c>
      <c r="AE251" s="528">
        <v>1</v>
      </c>
      <c r="AF251" s="536" t="s">
        <v>38</v>
      </c>
      <c r="AG251" s="537"/>
      <c r="AH251" s="527">
        <f>AE251*AG251</f>
        <v>0</v>
      </c>
      <c r="AI251" s="531">
        <f t="shared" si="123"/>
        <v>0</v>
      </c>
      <c r="AJ251" s="532"/>
      <c r="AK251" s="562"/>
    </row>
    <row r="252" spans="2:37" s="1" customFormat="1" ht="49.5" customHeight="1">
      <c r="B252" s="86"/>
      <c r="C252" s="753"/>
      <c r="D252" s="753" t="s">
        <v>395</v>
      </c>
      <c r="E252" s="105" t="s">
        <v>396</v>
      </c>
      <c r="F252" s="191" t="s">
        <v>397</v>
      </c>
      <c r="G252" s="175"/>
      <c r="H252" s="175"/>
      <c r="I252" s="177"/>
      <c r="J252" s="182">
        <f t="shared" si="119"/>
        <v>0</v>
      </c>
      <c r="K252" s="225">
        <v>1</v>
      </c>
      <c r="L252" s="175" t="s">
        <v>38</v>
      </c>
      <c r="M252" s="177">
        <v>30000000</v>
      </c>
      <c r="N252" s="271">
        <f t="shared" si="120"/>
        <v>30000000</v>
      </c>
      <c r="O252" s="279">
        <f>N252-J252</f>
        <v>30000000</v>
      </c>
      <c r="P252" s="528">
        <v>1</v>
      </c>
      <c r="Q252" s="536" t="s">
        <v>38</v>
      </c>
      <c r="R252" s="537">
        <v>6000000</v>
      </c>
      <c r="S252" s="527">
        <f t="shared" si="118"/>
        <v>6000000</v>
      </c>
      <c r="T252" s="545">
        <f t="shared" si="99"/>
        <v>-24000000</v>
      </c>
      <c r="U252" s="528">
        <v>1</v>
      </c>
      <c r="V252" s="536" t="s">
        <v>38</v>
      </c>
      <c r="W252" s="537">
        <v>6000000</v>
      </c>
      <c r="X252" s="527">
        <f>U252*W252</f>
        <v>6000000</v>
      </c>
      <c r="Y252" s="531">
        <f t="shared" si="121"/>
        <v>0</v>
      </c>
      <c r="Z252" s="528">
        <v>1</v>
      </c>
      <c r="AA252" s="536" t="s">
        <v>38</v>
      </c>
      <c r="AB252" s="537">
        <v>6000000</v>
      </c>
      <c r="AC252" s="527">
        <f>Z252*AB252</f>
        <v>6000000</v>
      </c>
      <c r="AD252" s="531">
        <f t="shared" si="122"/>
        <v>0</v>
      </c>
      <c r="AE252" s="528">
        <v>1</v>
      </c>
      <c r="AF252" s="536" t="s">
        <v>38</v>
      </c>
      <c r="AG252" s="537">
        <v>6000000</v>
      </c>
      <c r="AH252" s="527">
        <f>AE252*AG252</f>
        <v>6000000</v>
      </c>
      <c r="AI252" s="531">
        <f t="shared" si="123"/>
        <v>0</v>
      </c>
      <c r="AJ252" s="532"/>
      <c r="AK252" s="562" t="s">
        <v>685</v>
      </c>
    </row>
    <row r="253" spans="2:37" s="1" customFormat="1" ht="30.2" customHeight="1">
      <c r="B253" s="86"/>
      <c r="C253" s="753"/>
      <c r="D253" s="753"/>
      <c r="E253" s="105" t="s">
        <v>390</v>
      </c>
      <c r="F253" s="191" t="s">
        <v>398</v>
      </c>
      <c r="G253" s="175"/>
      <c r="H253" s="175"/>
      <c r="I253" s="177"/>
      <c r="J253" s="182">
        <f t="shared" si="119"/>
        <v>0</v>
      </c>
      <c r="K253" s="225">
        <v>4</v>
      </c>
      <c r="L253" s="175" t="s">
        <v>76</v>
      </c>
      <c r="M253" s="177">
        <v>150000</v>
      </c>
      <c r="N253" s="271">
        <f t="shared" si="120"/>
        <v>600000</v>
      </c>
      <c r="O253" s="279">
        <f>N253-J253</f>
        <v>600000</v>
      </c>
      <c r="P253" s="528">
        <v>4</v>
      </c>
      <c r="Q253" s="536" t="s">
        <v>76</v>
      </c>
      <c r="R253" s="537"/>
      <c r="S253" s="527">
        <f t="shared" si="118"/>
        <v>0</v>
      </c>
      <c r="T253" s="545">
        <f t="shared" si="99"/>
        <v>-600000</v>
      </c>
      <c r="U253" s="528">
        <v>4</v>
      </c>
      <c r="V253" s="536" t="s">
        <v>76</v>
      </c>
      <c r="W253" s="537"/>
      <c r="X253" s="527">
        <f>U253*W253</f>
        <v>0</v>
      </c>
      <c r="Y253" s="531">
        <f t="shared" si="121"/>
        <v>0</v>
      </c>
      <c r="Z253" s="528">
        <v>4</v>
      </c>
      <c r="AA253" s="536" t="s">
        <v>76</v>
      </c>
      <c r="AB253" s="537"/>
      <c r="AC253" s="527">
        <f>Z253*AB253</f>
        <v>0</v>
      </c>
      <c r="AD253" s="531">
        <f t="shared" si="122"/>
        <v>0</v>
      </c>
      <c r="AE253" s="528">
        <v>4</v>
      </c>
      <c r="AF253" s="536" t="s">
        <v>76</v>
      </c>
      <c r="AG253" s="537"/>
      <c r="AH253" s="527">
        <f>AE253*AG253</f>
        <v>0</v>
      </c>
      <c r="AI253" s="531">
        <f t="shared" si="123"/>
        <v>0</v>
      </c>
      <c r="AJ253" s="532"/>
      <c r="AK253" s="557"/>
    </row>
    <row r="254" spans="2:37" s="1" customFormat="1" ht="30.2" customHeight="1">
      <c r="B254" s="86"/>
      <c r="C254" s="917" t="s">
        <v>686</v>
      </c>
      <c r="D254" s="918"/>
      <c r="E254" s="918"/>
      <c r="F254" s="546" t="s">
        <v>694</v>
      </c>
      <c r="G254" s="536"/>
      <c r="H254" s="536"/>
      <c r="I254" s="537"/>
      <c r="J254" s="547">
        <f t="shared" si="119"/>
        <v>0</v>
      </c>
      <c r="K254" s="528"/>
      <c r="L254" s="538"/>
      <c r="M254" s="539"/>
      <c r="N254" s="547">
        <f t="shared" si="120"/>
        <v>0</v>
      </c>
      <c r="O254" s="531"/>
      <c r="P254" s="528">
        <v>1</v>
      </c>
      <c r="Q254" s="536" t="s">
        <v>76</v>
      </c>
      <c r="R254" s="537">
        <v>8600000</v>
      </c>
      <c r="S254" s="527">
        <f>P254*R254</f>
        <v>8600000</v>
      </c>
      <c r="T254" s="514">
        <f t="shared" si="99"/>
        <v>8600000</v>
      </c>
      <c r="U254" s="528">
        <v>1</v>
      </c>
      <c r="V254" s="536" t="s">
        <v>76</v>
      </c>
      <c r="W254" s="537">
        <v>8600000</v>
      </c>
      <c r="X254" s="527">
        <v>8600000</v>
      </c>
      <c r="Y254" s="531">
        <f t="shared" si="121"/>
        <v>0</v>
      </c>
      <c r="Z254" s="528">
        <v>1</v>
      </c>
      <c r="AA254" s="536" t="s">
        <v>76</v>
      </c>
      <c r="AB254" s="537">
        <v>8600000</v>
      </c>
      <c r="AC254" s="527">
        <v>8600000</v>
      </c>
      <c r="AD254" s="531">
        <f t="shared" si="122"/>
        <v>0</v>
      </c>
      <c r="AE254" s="528">
        <v>1</v>
      </c>
      <c r="AF254" s="536" t="s">
        <v>76</v>
      </c>
      <c r="AG254" s="537">
        <v>8600000</v>
      </c>
      <c r="AH254" s="527">
        <v>8600000</v>
      </c>
      <c r="AI254" s="531">
        <f t="shared" si="123"/>
        <v>0</v>
      </c>
      <c r="AJ254" s="532"/>
      <c r="AK254" s="557" t="s">
        <v>688</v>
      </c>
    </row>
    <row r="255" spans="2:37" s="1" customFormat="1" ht="32.25" customHeight="1">
      <c r="B255" s="86"/>
      <c r="C255" s="707" t="s">
        <v>188</v>
      </c>
      <c r="D255" s="708"/>
      <c r="E255" s="708"/>
      <c r="F255" s="708"/>
      <c r="G255" s="708"/>
      <c r="H255" s="708"/>
      <c r="I255" s="709"/>
      <c r="J255" s="167">
        <f>SUM(J249:J253)</f>
        <v>0</v>
      </c>
      <c r="K255" s="713"/>
      <c r="L255" s="714"/>
      <c r="M255" s="715"/>
      <c r="N255" s="272">
        <f>SUM(N249:N253)</f>
        <v>51100000</v>
      </c>
      <c r="O255" s="278">
        <f>SUM(O249:O253)</f>
        <v>51100000</v>
      </c>
      <c r="P255" s="713"/>
      <c r="Q255" s="714"/>
      <c r="R255" s="715"/>
      <c r="S255" s="272">
        <f>SUM(S249:S254)</f>
        <v>14600000</v>
      </c>
      <c r="T255" s="543">
        <f t="shared" si="99"/>
        <v>-36500000</v>
      </c>
      <c r="U255" s="713"/>
      <c r="V255" s="714"/>
      <c r="W255" s="715"/>
      <c r="X255" s="272">
        <f>SUM(X249:X254)</f>
        <v>14600000</v>
      </c>
      <c r="Y255" s="278">
        <f>SUM(Y249:Y253)</f>
        <v>0</v>
      </c>
      <c r="Z255" s="713"/>
      <c r="AA255" s="714"/>
      <c r="AB255" s="715"/>
      <c r="AC255" s="272">
        <f>SUM(AC249:AC254)</f>
        <v>14600000</v>
      </c>
      <c r="AD255" s="278">
        <f>SUM(AD249:AD253)</f>
        <v>0</v>
      </c>
      <c r="AE255" s="713"/>
      <c r="AF255" s="714"/>
      <c r="AG255" s="715"/>
      <c r="AH255" s="272">
        <f>SUM(AH249:AH254)</f>
        <v>14600000</v>
      </c>
      <c r="AI255" s="278">
        <f>SUM(AI249:AI253)</f>
        <v>0</v>
      </c>
      <c r="AJ255" s="207"/>
      <c r="AK255" s="60"/>
    </row>
    <row r="256" spans="2:37" ht="30.2" customHeight="1">
      <c r="B256" s="86"/>
      <c r="C256" s="752" t="s">
        <v>544</v>
      </c>
      <c r="D256" s="703" t="s">
        <v>453</v>
      </c>
      <c r="E256" s="703" t="s">
        <v>454</v>
      </c>
      <c r="F256" s="191" t="s">
        <v>455</v>
      </c>
      <c r="G256" s="179">
        <v>6</v>
      </c>
      <c r="H256" s="179" t="s">
        <v>456</v>
      </c>
      <c r="I256" s="185">
        <v>3000000</v>
      </c>
      <c r="J256" s="139">
        <f t="shared" ref="J256:J267" si="124">G256*I256</f>
        <v>18000000</v>
      </c>
      <c r="K256" s="230">
        <v>4</v>
      </c>
      <c r="L256" s="175" t="s">
        <v>434</v>
      </c>
      <c r="M256" s="177">
        <v>3000000</v>
      </c>
      <c r="N256" s="108">
        <f t="shared" ref="N256:N268" si="125">K256*M256</f>
        <v>12000000</v>
      </c>
      <c r="O256" s="307">
        <f t="shared" ref="O256:O269" si="126">N256-J256</f>
        <v>-6000000</v>
      </c>
      <c r="P256" s="230">
        <v>4</v>
      </c>
      <c r="Q256" s="175" t="s">
        <v>387</v>
      </c>
      <c r="R256" s="177">
        <v>3000000</v>
      </c>
      <c r="S256" s="108">
        <f t="shared" ref="S256:S271" si="127">P256*R256</f>
        <v>12000000</v>
      </c>
      <c r="T256" s="256">
        <f t="shared" si="99"/>
        <v>0</v>
      </c>
      <c r="U256" s="230">
        <v>4</v>
      </c>
      <c r="V256" s="175" t="s">
        <v>387</v>
      </c>
      <c r="W256" s="177">
        <v>3000000</v>
      </c>
      <c r="X256" s="108">
        <f t="shared" ref="X256:X268" si="128">U256*W256</f>
        <v>12000000</v>
      </c>
      <c r="Y256" s="307">
        <f>X256-S256</f>
        <v>0</v>
      </c>
      <c r="Z256" s="230">
        <v>4</v>
      </c>
      <c r="AA256" s="175" t="s">
        <v>387</v>
      </c>
      <c r="AB256" s="177">
        <v>3000000</v>
      </c>
      <c r="AC256" s="108">
        <f t="shared" ref="AC256:AC268" si="129">Z256*AB256</f>
        <v>12000000</v>
      </c>
      <c r="AD256" s="307">
        <f>AC256-X256</f>
        <v>0</v>
      </c>
      <c r="AE256" s="230">
        <v>4</v>
      </c>
      <c r="AF256" s="175" t="s">
        <v>38</v>
      </c>
      <c r="AG256" s="177">
        <v>3000000</v>
      </c>
      <c r="AH256" s="108">
        <f t="shared" ref="AH256:AH268" si="130">AE256*AG256</f>
        <v>12000000</v>
      </c>
      <c r="AI256" s="307">
        <f t="shared" ref="AI256:AI278" si="131">AH256-AC256</f>
        <v>0</v>
      </c>
      <c r="AJ256" s="206"/>
      <c r="AK256" s="106"/>
    </row>
    <row r="257" spans="2:37" s="1" customFormat="1" ht="30.2" customHeight="1">
      <c r="B257" s="86"/>
      <c r="C257" s="753"/>
      <c r="D257" s="705"/>
      <c r="E257" s="704"/>
      <c r="F257" s="191" t="s">
        <v>457</v>
      </c>
      <c r="G257" s="179"/>
      <c r="H257" s="179"/>
      <c r="I257" s="185"/>
      <c r="J257" s="139">
        <f t="shared" si="124"/>
        <v>0</v>
      </c>
      <c r="K257" s="230">
        <v>4</v>
      </c>
      <c r="L257" s="175" t="s">
        <v>443</v>
      </c>
      <c r="M257" s="177">
        <v>1000000</v>
      </c>
      <c r="N257" s="108">
        <f t="shared" si="125"/>
        <v>4000000</v>
      </c>
      <c r="O257" s="262">
        <f t="shared" si="126"/>
        <v>4000000</v>
      </c>
      <c r="P257" s="230">
        <v>4</v>
      </c>
      <c r="Q257" s="175" t="s">
        <v>38</v>
      </c>
      <c r="R257" s="177">
        <v>1000000</v>
      </c>
      <c r="S257" s="108">
        <f t="shared" si="127"/>
        <v>4000000</v>
      </c>
      <c r="T257" s="256">
        <f t="shared" si="99"/>
        <v>0</v>
      </c>
      <c r="U257" s="230">
        <v>4</v>
      </c>
      <c r="V257" s="175" t="s">
        <v>38</v>
      </c>
      <c r="W257" s="177">
        <v>1000000</v>
      </c>
      <c r="X257" s="108">
        <f t="shared" si="128"/>
        <v>4000000</v>
      </c>
      <c r="Y257" s="307">
        <f t="shared" ref="Y257:Y262" si="132">X257-S257</f>
        <v>0</v>
      </c>
      <c r="Z257" s="230">
        <v>4</v>
      </c>
      <c r="AA257" s="175" t="s">
        <v>38</v>
      </c>
      <c r="AB257" s="177">
        <v>1000000</v>
      </c>
      <c r="AC257" s="108">
        <f t="shared" si="129"/>
        <v>4000000</v>
      </c>
      <c r="AD257" s="307">
        <f t="shared" ref="AD257:AD278" si="133">AC257-X257</f>
        <v>0</v>
      </c>
      <c r="AE257" s="230">
        <v>4</v>
      </c>
      <c r="AF257" s="175" t="s">
        <v>38</v>
      </c>
      <c r="AG257" s="177">
        <v>1000000</v>
      </c>
      <c r="AH257" s="108">
        <f t="shared" si="130"/>
        <v>4000000</v>
      </c>
      <c r="AI257" s="307">
        <f t="shared" si="131"/>
        <v>0</v>
      </c>
      <c r="AJ257" s="206"/>
      <c r="AK257" s="703" t="s">
        <v>543</v>
      </c>
    </row>
    <row r="258" spans="2:37" s="1" customFormat="1" ht="30.2" customHeight="1">
      <c r="B258" s="86"/>
      <c r="C258" s="753"/>
      <c r="D258" s="705"/>
      <c r="E258" s="703" t="s">
        <v>458</v>
      </c>
      <c r="F258" s="191" t="s">
        <v>459</v>
      </c>
      <c r="G258" s="179"/>
      <c r="H258" s="179"/>
      <c r="I258" s="185"/>
      <c r="J258" s="139">
        <f t="shared" si="124"/>
        <v>0</v>
      </c>
      <c r="K258" s="230">
        <v>1</v>
      </c>
      <c r="L258" s="175" t="s">
        <v>443</v>
      </c>
      <c r="M258" s="177">
        <v>4500000</v>
      </c>
      <c r="N258" s="108">
        <f t="shared" si="125"/>
        <v>4500000</v>
      </c>
      <c r="O258" s="262">
        <f t="shared" si="126"/>
        <v>4500000</v>
      </c>
      <c r="P258" s="230">
        <v>1</v>
      </c>
      <c r="Q258" s="175" t="s">
        <v>38</v>
      </c>
      <c r="R258" s="177">
        <v>4500000</v>
      </c>
      <c r="S258" s="108">
        <f t="shared" si="127"/>
        <v>4500000</v>
      </c>
      <c r="T258" s="256">
        <f t="shared" si="99"/>
        <v>0</v>
      </c>
      <c r="U258" s="230">
        <v>1</v>
      </c>
      <c r="V258" s="175" t="s">
        <v>38</v>
      </c>
      <c r="W258" s="177">
        <v>4500000</v>
      </c>
      <c r="X258" s="108">
        <f t="shared" si="128"/>
        <v>4500000</v>
      </c>
      <c r="Y258" s="307">
        <f t="shared" si="132"/>
        <v>0</v>
      </c>
      <c r="Z258" s="230">
        <v>1</v>
      </c>
      <c r="AA258" s="175" t="s">
        <v>38</v>
      </c>
      <c r="AB258" s="177">
        <v>4500000</v>
      </c>
      <c r="AC258" s="108">
        <f t="shared" si="129"/>
        <v>4500000</v>
      </c>
      <c r="AD258" s="307">
        <f t="shared" si="133"/>
        <v>0</v>
      </c>
      <c r="AE258" s="230">
        <v>1</v>
      </c>
      <c r="AF258" s="175" t="s">
        <v>38</v>
      </c>
      <c r="AG258" s="177">
        <v>4500000</v>
      </c>
      <c r="AH258" s="108">
        <f t="shared" si="130"/>
        <v>4500000</v>
      </c>
      <c r="AI258" s="307">
        <f t="shared" si="131"/>
        <v>0</v>
      </c>
      <c r="AJ258" s="206"/>
      <c r="AK258" s="705"/>
    </row>
    <row r="259" spans="2:37" s="1" customFormat="1" ht="30.2" customHeight="1">
      <c r="B259" s="86"/>
      <c r="C259" s="753"/>
      <c r="D259" s="705"/>
      <c r="E259" s="705"/>
      <c r="F259" s="191" t="s">
        <v>460</v>
      </c>
      <c r="G259" s="179"/>
      <c r="H259" s="179"/>
      <c r="I259" s="185"/>
      <c r="J259" s="139">
        <f t="shared" si="124"/>
        <v>0</v>
      </c>
      <c r="K259" s="230">
        <v>1</v>
      </c>
      <c r="L259" s="175" t="s">
        <v>443</v>
      </c>
      <c r="M259" s="177">
        <v>2000000</v>
      </c>
      <c r="N259" s="108">
        <f t="shared" si="125"/>
        <v>2000000</v>
      </c>
      <c r="O259" s="262">
        <f t="shared" si="126"/>
        <v>2000000</v>
      </c>
      <c r="P259" s="230">
        <v>1</v>
      </c>
      <c r="Q259" s="175" t="s">
        <v>38</v>
      </c>
      <c r="R259" s="177">
        <v>2000000</v>
      </c>
      <c r="S259" s="108">
        <f t="shared" si="127"/>
        <v>2000000</v>
      </c>
      <c r="T259" s="256">
        <f t="shared" si="99"/>
        <v>0</v>
      </c>
      <c r="U259" s="230">
        <v>1</v>
      </c>
      <c r="V259" s="175" t="s">
        <v>38</v>
      </c>
      <c r="W259" s="177">
        <v>2000000</v>
      </c>
      <c r="X259" s="108">
        <f t="shared" si="128"/>
        <v>2000000</v>
      </c>
      <c r="Y259" s="307">
        <f t="shared" si="132"/>
        <v>0</v>
      </c>
      <c r="Z259" s="230">
        <v>1</v>
      </c>
      <c r="AA259" s="175" t="s">
        <v>38</v>
      </c>
      <c r="AB259" s="177">
        <v>2000000</v>
      </c>
      <c r="AC259" s="108">
        <f t="shared" si="129"/>
        <v>2000000</v>
      </c>
      <c r="AD259" s="307">
        <f t="shared" si="133"/>
        <v>0</v>
      </c>
      <c r="AE259" s="230">
        <v>1</v>
      </c>
      <c r="AF259" s="175" t="s">
        <v>38</v>
      </c>
      <c r="AG259" s="177">
        <v>2000000</v>
      </c>
      <c r="AH259" s="108">
        <f t="shared" si="130"/>
        <v>2000000</v>
      </c>
      <c r="AI259" s="307">
        <f t="shared" si="131"/>
        <v>0</v>
      </c>
      <c r="AJ259" s="206"/>
      <c r="AK259" s="705"/>
    </row>
    <row r="260" spans="2:37" s="1" customFormat="1" ht="30.2" customHeight="1">
      <c r="B260" s="86"/>
      <c r="C260" s="753"/>
      <c r="D260" s="705"/>
      <c r="E260" s="705"/>
      <c r="F260" s="191" t="s">
        <v>461</v>
      </c>
      <c r="G260" s="179"/>
      <c r="H260" s="179"/>
      <c r="I260" s="185"/>
      <c r="J260" s="139">
        <f t="shared" si="124"/>
        <v>0</v>
      </c>
      <c r="K260" s="230">
        <v>1</v>
      </c>
      <c r="L260" s="175" t="s">
        <v>472</v>
      </c>
      <c r="M260" s="177">
        <v>6600000</v>
      </c>
      <c r="N260" s="108">
        <f t="shared" si="125"/>
        <v>6600000</v>
      </c>
      <c r="O260" s="262">
        <f t="shared" si="126"/>
        <v>6600000</v>
      </c>
      <c r="P260" s="230">
        <v>1</v>
      </c>
      <c r="Q260" s="175" t="s">
        <v>38</v>
      </c>
      <c r="R260" s="177">
        <v>6600000</v>
      </c>
      <c r="S260" s="108">
        <f t="shared" si="127"/>
        <v>6600000</v>
      </c>
      <c r="T260" s="256">
        <f t="shared" si="99"/>
        <v>0</v>
      </c>
      <c r="U260" s="230">
        <v>1</v>
      </c>
      <c r="V260" s="175" t="s">
        <v>38</v>
      </c>
      <c r="W260" s="177">
        <v>6600000</v>
      </c>
      <c r="X260" s="108">
        <f t="shared" si="128"/>
        <v>6600000</v>
      </c>
      <c r="Y260" s="307">
        <f t="shared" si="132"/>
        <v>0</v>
      </c>
      <c r="Z260" s="230">
        <v>1</v>
      </c>
      <c r="AA260" s="175" t="s">
        <v>38</v>
      </c>
      <c r="AB260" s="177">
        <v>6600000</v>
      </c>
      <c r="AC260" s="108">
        <f t="shared" si="129"/>
        <v>6600000</v>
      </c>
      <c r="AD260" s="307">
        <f t="shared" si="133"/>
        <v>0</v>
      </c>
      <c r="AE260" s="230">
        <v>1</v>
      </c>
      <c r="AF260" s="175" t="s">
        <v>38</v>
      </c>
      <c r="AG260" s="177">
        <v>6600000</v>
      </c>
      <c r="AH260" s="108">
        <f t="shared" si="130"/>
        <v>6600000</v>
      </c>
      <c r="AI260" s="307">
        <f t="shared" si="131"/>
        <v>0</v>
      </c>
      <c r="AJ260" s="206"/>
      <c r="AK260" s="705"/>
    </row>
    <row r="261" spans="2:37" s="1" customFormat="1" ht="30.2" customHeight="1">
      <c r="B261" s="86"/>
      <c r="C261" s="753"/>
      <c r="D261" s="705"/>
      <c r="E261" s="705"/>
      <c r="F261" s="191" t="s">
        <v>462</v>
      </c>
      <c r="G261" s="179"/>
      <c r="H261" s="179"/>
      <c r="I261" s="185"/>
      <c r="J261" s="139">
        <f t="shared" si="124"/>
        <v>0</v>
      </c>
      <c r="K261" s="230">
        <v>1</v>
      </c>
      <c r="L261" s="175" t="s">
        <v>443</v>
      </c>
      <c r="M261" s="177">
        <v>1200000</v>
      </c>
      <c r="N261" s="108">
        <f t="shared" si="125"/>
        <v>1200000</v>
      </c>
      <c r="O261" s="262">
        <f t="shared" si="126"/>
        <v>1200000</v>
      </c>
      <c r="P261" s="230">
        <v>1</v>
      </c>
      <c r="Q261" s="175" t="s">
        <v>38</v>
      </c>
      <c r="R261" s="177">
        <v>1200000</v>
      </c>
      <c r="S261" s="108">
        <f t="shared" si="127"/>
        <v>1200000</v>
      </c>
      <c r="T261" s="256">
        <f t="shared" si="99"/>
        <v>0</v>
      </c>
      <c r="U261" s="230">
        <v>1</v>
      </c>
      <c r="V261" s="175" t="s">
        <v>38</v>
      </c>
      <c r="W261" s="177">
        <v>1200000</v>
      </c>
      <c r="X261" s="108">
        <f t="shared" si="128"/>
        <v>1200000</v>
      </c>
      <c r="Y261" s="307">
        <f t="shared" si="132"/>
        <v>0</v>
      </c>
      <c r="Z261" s="230">
        <v>1</v>
      </c>
      <c r="AA261" s="175" t="s">
        <v>38</v>
      </c>
      <c r="AB261" s="177">
        <v>1200000</v>
      </c>
      <c r="AC261" s="108">
        <f t="shared" si="129"/>
        <v>1200000</v>
      </c>
      <c r="AD261" s="307">
        <f t="shared" si="133"/>
        <v>0</v>
      </c>
      <c r="AE261" s="230">
        <v>1</v>
      </c>
      <c r="AF261" s="175" t="s">
        <v>38</v>
      </c>
      <c r="AG261" s="177">
        <v>1200000</v>
      </c>
      <c r="AH261" s="108">
        <f t="shared" si="130"/>
        <v>1200000</v>
      </c>
      <c r="AI261" s="307">
        <f t="shared" si="131"/>
        <v>0</v>
      </c>
      <c r="AJ261" s="206"/>
      <c r="AK261" s="705"/>
    </row>
    <row r="262" spans="2:37" s="1" customFormat="1" ht="30.2" customHeight="1">
      <c r="B262" s="86"/>
      <c r="C262" s="753"/>
      <c r="D262" s="705"/>
      <c r="E262" s="705"/>
      <c r="F262" s="191" t="s">
        <v>463</v>
      </c>
      <c r="G262" s="179"/>
      <c r="H262" s="179"/>
      <c r="I262" s="185"/>
      <c r="J262" s="139">
        <f t="shared" si="124"/>
        <v>0</v>
      </c>
      <c r="K262" s="230">
        <v>1</v>
      </c>
      <c r="L262" s="175" t="s">
        <v>456</v>
      </c>
      <c r="M262" s="177">
        <v>5000000</v>
      </c>
      <c r="N262" s="108">
        <f t="shared" si="125"/>
        <v>5000000</v>
      </c>
      <c r="O262" s="262">
        <f t="shared" si="126"/>
        <v>5000000</v>
      </c>
      <c r="P262" s="230">
        <v>1</v>
      </c>
      <c r="Q262" s="175" t="s">
        <v>38</v>
      </c>
      <c r="R262" s="177">
        <v>5000000</v>
      </c>
      <c r="S262" s="108">
        <f t="shared" si="127"/>
        <v>5000000</v>
      </c>
      <c r="T262" s="256">
        <f t="shared" si="99"/>
        <v>0</v>
      </c>
      <c r="U262" s="230">
        <v>1</v>
      </c>
      <c r="V262" s="175" t="s">
        <v>38</v>
      </c>
      <c r="W262" s="177">
        <v>5000000</v>
      </c>
      <c r="X262" s="108">
        <f t="shared" si="128"/>
        <v>5000000</v>
      </c>
      <c r="Y262" s="307">
        <f t="shared" si="132"/>
        <v>0</v>
      </c>
      <c r="Z262" s="230">
        <v>1</v>
      </c>
      <c r="AA262" s="175" t="s">
        <v>38</v>
      </c>
      <c r="AB262" s="177">
        <v>5000000</v>
      </c>
      <c r="AC262" s="108">
        <f t="shared" si="129"/>
        <v>5000000</v>
      </c>
      <c r="AD262" s="307">
        <f t="shared" si="133"/>
        <v>0</v>
      </c>
      <c r="AE262" s="230">
        <v>1</v>
      </c>
      <c r="AF262" s="175" t="s">
        <v>38</v>
      </c>
      <c r="AG262" s="177">
        <v>5000000</v>
      </c>
      <c r="AH262" s="108">
        <f t="shared" si="130"/>
        <v>5000000</v>
      </c>
      <c r="AI262" s="307">
        <f t="shared" si="131"/>
        <v>0</v>
      </c>
      <c r="AJ262" s="206"/>
      <c r="AK262" s="705"/>
    </row>
    <row r="263" spans="2:37" s="1" customFormat="1" ht="30.2" customHeight="1">
      <c r="B263" s="86"/>
      <c r="C263" s="753"/>
      <c r="D263" s="704"/>
      <c r="E263" s="704"/>
      <c r="F263" s="314" t="s">
        <v>552</v>
      </c>
      <c r="G263" s="315"/>
      <c r="H263" s="315"/>
      <c r="I263" s="316"/>
      <c r="J263" s="325"/>
      <c r="K263" s="326">
        <v>1</v>
      </c>
      <c r="L263" s="319" t="s">
        <v>77</v>
      </c>
      <c r="M263" s="324">
        <v>7000000</v>
      </c>
      <c r="N263" s="327">
        <f t="shared" si="125"/>
        <v>7000000</v>
      </c>
      <c r="O263" s="328">
        <f t="shared" si="126"/>
        <v>7000000</v>
      </c>
      <c r="P263" s="326">
        <v>1</v>
      </c>
      <c r="Q263" s="319" t="s">
        <v>38</v>
      </c>
      <c r="R263" s="324">
        <v>7000000</v>
      </c>
      <c r="S263" s="327">
        <f t="shared" si="127"/>
        <v>7000000</v>
      </c>
      <c r="T263" s="508">
        <f t="shared" si="99"/>
        <v>0</v>
      </c>
      <c r="U263" s="326">
        <v>1</v>
      </c>
      <c r="V263" s="319" t="s">
        <v>38</v>
      </c>
      <c r="W263" s="324">
        <v>7000000</v>
      </c>
      <c r="X263" s="327">
        <f t="shared" si="128"/>
        <v>7000000</v>
      </c>
      <c r="Y263" s="328">
        <f t="shared" ref="Y263:Y278" si="134">X263-S263</f>
        <v>0</v>
      </c>
      <c r="Z263" s="326">
        <v>1</v>
      </c>
      <c r="AA263" s="319" t="s">
        <v>38</v>
      </c>
      <c r="AB263" s="324">
        <v>7000000</v>
      </c>
      <c r="AC263" s="327">
        <f t="shared" si="129"/>
        <v>7000000</v>
      </c>
      <c r="AD263" s="328">
        <f t="shared" si="133"/>
        <v>0</v>
      </c>
      <c r="AE263" s="326">
        <v>1</v>
      </c>
      <c r="AF263" s="319" t="s">
        <v>38</v>
      </c>
      <c r="AG263" s="324">
        <v>7000000</v>
      </c>
      <c r="AH263" s="327">
        <f t="shared" si="130"/>
        <v>7000000</v>
      </c>
      <c r="AI263" s="328">
        <f t="shared" si="131"/>
        <v>0</v>
      </c>
      <c r="AJ263" s="323"/>
      <c r="AK263" s="705"/>
    </row>
    <row r="264" spans="2:37" s="1" customFormat="1" ht="30.2" customHeight="1">
      <c r="B264" s="86"/>
      <c r="C264" s="753"/>
      <c r="D264" s="703" t="s">
        <v>464</v>
      </c>
      <c r="E264" s="703" t="s">
        <v>465</v>
      </c>
      <c r="F264" s="191" t="s">
        <v>466</v>
      </c>
      <c r="G264" s="179"/>
      <c r="H264" s="179"/>
      <c r="I264" s="185"/>
      <c r="J264" s="139">
        <f t="shared" si="124"/>
        <v>0</v>
      </c>
      <c r="K264" s="230">
        <v>1</v>
      </c>
      <c r="L264" s="175" t="s">
        <v>443</v>
      </c>
      <c r="M264" s="177">
        <v>5000000</v>
      </c>
      <c r="N264" s="108">
        <f t="shared" si="125"/>
        <v>5000000</v>
      </c>
      <c r="O264" s="262">
        <f t="shared" si="126"/>
        <v>5000000</v>
      </c>
      <c r="P264" s="230">
        <v>1</v>
      </c>
      <c r="Q264" s="175" t="s">
        <v>38</v>
      </c>
      <c r="R264" s="177">
        <v>5000000</v>
      </c>
      <c r="S264" s="108">
        <f t="shared" si="127"/>
        <v>5000000</v>
      </c>
      <c r="T264" s="256">
        <f t="shared" si="99"/>
        <v>0</v>
      </c>
      <c r="U264" s="230">
        <v>1</v>
      </c>
      <c r="V264" s="175" t="s">
        <v>38</v>
      </c>
      <c r="W264" s="177">
        <v>5000000</v>
      </c>
      <c r="X264" s="108">
        <f t="shared" si="128"/>
        <v>5000000</v>
      </c>
      <c r="Y264" s="262">
        <f t="shared" si="134"/>
        <v>0</v>
      </c>
      <c r="Z264" s="230">
        <v>1</v>
      </c>
      <c r="AA264" s="175" t="s">
        <v>38</v>
      </c>
      <c r="AB264" s="177">
        <v>5000000</v>
      </c>
      <c r="AC264" s="108">
        <f t="shared" si="129"/>
        <v>5000000</v>
      </c>
      <c r="AD264" s="262">
        <f t="shared" si="133"/>
        <v>0</v>
      </c>
      <c r="AE264" s="230">
        <v>1</v>
      </c>
      <c r="AF264" s="175" t="s">
        <v>38</v>
      </c>
      <c r="AG264" s="177">
        <v>5000000</v>
      </c>
      <c r="AH264" s="108">
        <f t="shared" si="130"/>
        <v>5000000</v>
      </c>
      <c r="AI264" s="262">
        <f t="shared" si="131"/>
        <v>0</v>
      </c>
      <c r="AJ264" s="206"/>
      <c r="AK264" s="705"/>
    </row>
    <row r="265" spans="2:37" s="1" customFormat="1" ht="30.2" customHeight="1">
      <c r="B265" s="86"/>
      <c r="C265" s="753"/>
      <c r="D265" s="704"/>
      <c r="E265" s="704"/>
      <c r="F265" s="191" t="s">
        <v>467</v>
      </c>
      <c r="G265" s="179"/>
      <c r="H265" s="179"/>
      <c r="I265" s="185"/>
      <c r="J265" s="139">
        <f t="shared" si="124"/>
        <v>0</v>
      </c>
      <c r="K265" s="230">
        <v>1</v>
      </c>
      <c r="L265" s="175" t="s">
        <v>443</v>
      </c>
      <c r="M265" s="177">
        <v>11000000</v>
      </c>
      <c r="N265" s="108">
        <f t="shared" si="125"/>
        <v>11000000</v>
      </c>
      <c r="O265" s="262">
        <f t="shared" si="126"/>
        <v>11000000</v>
      </c>
      <c r="P265" s="230">
        <v>1</v>
      </c>
      <c r="Q265" s="175" t="s">
        <v>38</v>
      </c>
      <c r="R265" s="177">
        <v>11000000</v>
      </c>
      <c r="S265" s="108">
        <f t="shared" si="127"/>
        <v>11000000</v>
      </c>
      <c r="T265" s="256">
        <f t="shared" si="99"/>
        <v>0</v>
      </c>
      <c r="U265" s="230">
        <v>1</v>
      </c>
      <c r="V265" s="175" t="s">
        <v>38</v>
      </c>
      <c r="W265" s="177">
        <v>11000000</v>
      </c>
      <c r="X265" s="108">
        <f t="shared" si="128"/>
        <v>11000000</v>
      </c>
      <c r="Y265" s="262">
        <f t="shared" si="134"/>
        <v>0</v>
      </c>
      <c r="Z265" s="230">
        <v>1</v>
      </c>
      <c r="AA265" s="175" t="s">
        <v>38</v>
      </c>
      <c r="AB265" s="177">
        <v>11000000</v>
      </c>
      <c r="AC265" s="108">
        <f t="shared" si="129"/>
        <v>11000000</v>
      </c>
      <c r="AD265" s="262">
        <f t="shared" si="133"/>
        <v>0</v>
      </c>
      <c r="AE265" s="230">
        <v>1</v>
      </c>
      <c r="AF265" s="175" t="s">
        <v>38</v>
      </c>
      <c r="AG265" s="177">
        <v>11000000</v>
      </c>
      <c r="AH265" s="108">
        <f t="shared" si="130"/>
        <v>11000000</v>
      </c>
      <c r="AI265" s="262">
        <f t="shared" si="131"/>
        <v>0</v>
      </c>
      <c r="AJ265" s="206"/>
      <c r="AK265" s="704"/>
    </row>
    <row r="266" spans="2:37" s="1" customFormat="1" ht="30.2" customHeight="1">
      <c r="B266" s="86"/>
      <c r="C266" s="753"/>
      <c r="D266" s="431"/>
      <c r="E266" s="431"/>
      <c r="F266" s="456" t="s">
        <v>679</v>
      </c>
      <c r="G266" s="457"/>
      <c r="H266" s="457"/>
      <c r="I266" s="458"/>
      <c r="J266" s="436"/>
      <c r="K266" s="459">
        <v>2</v>
      </c>
      <c r="L266" s="460" t="s">
        <v>38</v>
      </c>
      <c r="M266" s="461">
        <v>1000000</v>
      </c>
      <c r="N266" s="440">
        <f t="shared" si="125"/>
        <v>2000000</v>
      </c>
      <c r="O266" s="462">
        <f t="shared" si="126"/>
        <v>2000000</v>
      </c>
      <c r="P266" s="459">
        <v>2</v>
      </c>
      <c r="Q266" s="460" t="s">
        <v>38</v>
      </c>
      <c r="R266" s="461">
        <v>1000000</v>
      </c>
      <c r="S266" s="440">
        <f t="shared" si="127"/>
        <v>2000000</v>
      </c>
      <c r="T266" s="509">
        <f t="shared" si="99"/>
        <v>0</v>
      </c>
      <c r="U266" s="459">
        <v>2</v>
      </c>
      <c r="V266" s="460" t="s">
        <v>38</v>
      </c>
      <c r="W266" s="461">
        <v>1000000</v>
      </c>
      <c r="X266" s="440">
        <f t="shared" si="128"/>
        <v>2000000</v>
      </c>
      <c r="Y266" s="462">
        <f t="shared" si="134"/>
        <v>0</v>
      </c>
      <c r="Z266" s="459">
        <v>2</v>
      </c>
      <c r="AA266" s="460" t="s">
        <v>38</v>
      </c>
      <c r="AB266" s="461">
        <v>1000000</v>
      </c>
      <c r="AC266" s="440">
        <f t="shared" si="129"/>
        <v>2000000</v>
      </c>
      <c r="AD266" s="462">
        <f t="shared" si="133"/>
        <v>0</v>
      </c>
      <c r="AE266" s="459">
        <v>2</v>
      </c>
      <c r="AF266" s="460" t="s">
        <v>38</v>
      </c>
      <c r="AG266" s="461">
        <v>1000000</v>
      </c>
      <c r="AH266" s="440">
        <f t="shared" si="130"/>
        <v>2000000</v>
      </c>
      <c r="AI266" s="462">
        <f t="shared" si="131"/>
        <v>0</v>
      </c>
      <c r="AJ266" s="463"/>
      <c r="AK266" s="488"/>
    </row>
    <row r="267" spans="2:37" s="1" customFormat="1" ht="30.2" customHeight="1">
      <c r="B267" s="86"/>
      <c r="C267" s="753"/>
      <c r="D267" s="106" t="s">
        <v>468</v>
      </c>
      <c r="E267" s="105" t="s">
        <v>469</v>
      </c>
      <c r="F267" s="191" t="s">
        <v>470</v>
      </c>
      <c r="G267" s="179"/>
      <c r="H267" s="179"/>
      <c r="I267" s="185"/>
      <c r="J267" s="139">
        <f t="shared" si="124"/>
        <v>0</v>
      </c>
      <c r="K267" s="230">
        <v>6</v>
      </c>
      <c r="L267" s="175" t="s">
        <v>434</v>
      </c>
      <c r="M267" s="177">
        <v>1100000</v>
      </c>
      <c r="N267" s="108">
        <f t="shared" si="125"/>
        <v>6600000</v>
      </c>
      <c r="O267" s="262">
        <f t="shared" si="126"/>
        <v>6600000</v>
      </c>
      <c r="P267" s="230">
        <v>6</v>
      </c>
      <c r="Q267" s="175" t="s">
        <v>387</v>
      </c>
      <c r="R267" s="177">
        <v>1100000</v>
      </c>
      <c r="S267" s="108">
        <f t="shared" si="127"/>
        <v>6600000</v>
      </c>
      <c r="T267" s="256">
        <f t="shared" si="99"/>
        <v>0</v>
      </c>
      <c r="U267" s="230">
        <v>6</v>
      </c>
      <c r="V267" s="175" t="s">
        <v>387</v>
      </c>
      <c r="W267" s="177">
        <v>1100000</v>
      </c>
      <c r="X267" s="108">
        <f t="shared" si="128"/>
        <v>6600000</v>
      </c>
      <c r="Y267" s="262">
        <f t="shared" si="134"/>
        <v>0</v>
      </c>
      <c r="Z267" s="230">
        <v>6</v>
      </c>
      <c r="AA267" s="175" t="s">
        <v>387</v>
      </c>
      <c r="AB267" s="177">
        <v>1100000</v>
      </c>
      <c r="AC267" s="108">
        <f t="shared" si="129"/>
        <v>6600000</v>
      </c>
      <c r="AD267" s="262">
        <f t="shared" si="133"/>
        <v>0</v>
      </c>
      <c r="AE267" s="230">
        <v>6</v>
      </c>
      <c r="AF267" s="175" t="s">
        <v>38</v>
      </c>
      <c r="AG267" s="177">
        <v>1100000</v>
      </c>
      <c r="AH267" s="108">
        <f t="shared" si="130"/>
        <v>6600000</v>
      </c>
      <c r="AI267" s="262">
        <f t="shared" si="131"/>
        <v>0</v>
      </c>
      <c r="AJ267" s="206"/>
      <c r="AK267" s="106" t="s">
        <v>471</v>
      </c>
    </row>
    <row r="268" spans="2:37" s="1" customFormat="1" ht="30.2" customHeight="1">
      <c r="B268" s="86"/>
      <c r="C268" s="753"/>
      <c r="D268" s="106" t="s">
        <v>399</v>
      </c>
      <c r="E268" s="105" t="s">
        <v>400</v>
      </c>
      <c r="F268" s="191" t="s">
        <v>401</v>
      </c>
      <c r="G268" s="175"/>
      <c r="H268" s="175"/>
      <c r="I268" s="177"/>
      <c r="J268" s="182">
        <f>G268*I268</f>
        <v>0</v>
      </c>
      <c r="K268" s="230">
        <v>1</v>
      </c>
      <c r="L268" s="175" t="s">
        <v>38</v>
      </c>
      <c r="M268" s="177">
        <v>3000000</v>
      </c>
      <c r="N268" s="108">
        <f t="shared" si="125"/>
        <v>3000000</v>
      </c>
      <c r="O268" s="262">
        <f t="shared" si="126"/>
        <v>3000000</v>
      </c>
      <c r="P268" s="230">
        <v>1</v>
      </c>
      <c r="Q268" s="175" t="s">
        <v>38</v>
      </c>
      <c r="R268" s="177">
        <v>3000000</v>
      </c>
      <c r="S268" s="108">
        <f t="shared" si="127"/>
        <v>3000000</v>
      </c>
      <c r="T268" s="256">
        <f t="shared" si="99"/>
        <v>0</v>
      </c>
      <c r="U268" s="230">
        <v>1</v>
      </c>
      <c r="V268" s="175" t="s">
        <v>38</v>
      </c>
      <c r="W268" s="177">
        <v>3000000</v>
      </c>
      <c r="X268" s="108">
        <f t="shared" si="128"/>
        <v>3000000</v>
      </c>
      <c r="Y268" s="262">
        <f t="shared" si="134"/>
        <v>0</v>
      </c>
      <c r="Z268" s="230">
        <v>1</v>
      </c>
      <c r="AA268" s="175" t="s">
        <v>38</v>
      </c>
      <c r="AB268" s="177">
        <v>3000000</v>
      </c>
      <c r="AC268" s="108">
        <f t="shared" si="129"/>
        <v>3000000</v>
      </c>
      <c r="AD268" s="262">
        <f t="shared" si="133"/>
        <v>0</v>
      </c>
      <c r="AE268" s="230">
        <v>1</v>
      </c>
      <c r="AF268" s="175" t="s">
        <v>38</v>
      </c>
      <c r="AG268" s="177">
        <v>3000000</v>
      </c>
      <c r="AH268" s="108">
        <f t="shared" si="130"/>
        <v>3000000</v>
      </c>
      <c r="AI268" s="262">
        <f t="shared" si="131"/>
        <v>0</v>
      </c>
      <c r="AJ268" s="206"/>
      <c r="AK268" s="199" t="s">
        <v>441</v>
      </c>
    </row>
    <row r="269" spans="2:37" s="1" customFormat="1" ht="32.25" customHeight="1">
      <c r="B269" s="86"/>
      <c r="C269" s="707" t="s">
        <v>188</v>
      </c>
      <c r="D269" s="708"/>
      <c r="E269" s="708"/>
      <c r="F269" s="708"/>
      <c r="G269" s="708"/>
      <c r="H269" s="708"/>
      <c r="I269" s="709"/>
      <c r="J269" s="167">
        <f>SUM(J256:J268)</f>
        <v>18000000</v>
      </c>
      <c r="K269" s="713"/>
      <c r="L269" s="714"/>
      <c r="M269" s="715"/>
      <c r="N269" s="272">
        <f>SUM(N256:N268)</f>
        <v>69900000</v>
      </c>
      <c r="O269" s="278">
        <f t="shared" si="126"/>
        <v>51900000</v>
      </c>
      <c r="P269" s="713"/>
      <c r="Q269" s="714"/>
      <c r="R269" s="715"/>
      <c r="S269" s="272">
        <f>SUM(S256:S268)</f>
        <v>69900000</v>
      </c>
      <c r="T269" s="543">
        <f t="shared" si="99"/>
        <v>0</v>
      </c>
      <c r="U269" s="713"/>
      <c r="V269" s="714"/>
      <c r="W269" s="715"/>
      <c r="X269" s="272">
        <f>SUM(X256:X268)</f>
        <v>69900000</v>
      </c>
      <c r="Y269" s="278">
        <f t="shared" si="134"/>
        <v>0</v>
      </c>
      <c r="Z269" s="713"/>
      <c r="AA269" s="714"/>
      <c r="AB269" s="715"/>
      <c r="AC269" s="272">
        <f>SUM(AC256:AC268)</f>
        <v>69900000</v>
      </c>
      <c r="AD269" s="278">
        <f t="shared" si="133"/>
        <v>0</v>
      </c>
      <c r="AE269" s="713"/>
      <c r="AF269" s="714"/>
      <c r="AG269" s="715"/>
      <c r="AH269" s="272">
        <f>SUM(AH256:AH268)</f>
        <v>69900000</v>
      </c>
      <c r="AI269" s="278">
        <f t="shared" si="131"/>
        <v>0</v>
      </c>
      <c r="AJ269" s="207"/>
      <c r="AK269" s="33"/>
    </row>
    <row r="270" spans="2:37" s="1" customFormat="1" ht="32.25" customHeight="1">
      <c r="B270" s="86"/>
      <c r="C270" s="742" t="s">
        <v>655</v>
      </c>
      <c r="D270" s="703" t="s">
        <v>656</v>
      </c>
      <c r="E270" s="433" t="s">
        <v>657</v>
      </c>
      <c r="F270" s="456" t="s">
        <v>658</v>
      </c>
      <c r="G270" s="460"/>
      <c r="H270" s="460"/>
      <c r="I270" s="461"/>
      <c r="J270" s="450">
        <f>G270*I270</f>
        <v>0</v>
      </c>
      <c r="K270" s="478">
        <v>200</v>
      </c>
      <c r="L270" s="460" t="s">
        <v>623</v>
      </c>
      <c r="M270" s="461">
        <v>5000</v>
      </c>
      <c r="N270" s="453">
        <f>K270*M270</f>
        <v>1000000</v>
      </c>
      <c r="O270" s="479">
        <f>N270-J270</f>
        <v>1000000</v>
      </c>
      <c r="P270" s="478">
        <v>300</v>
      </c>
      <c r="Q270" s="460" t="s">
        <v>623</v>
      </c>
      <c r="R270" s="461">
        <v>3000</v>
      </c>
      <c r="S270" s="440">
        <f t="shared" si="127"/>
        <v>900000</v>
      </c>
      <c r="T270" s="509">
        <f t="shared" si="99"/>
        <v>-100000</v>
      </c>
      <c r="U270" s="528">
        <v>300</v>
      </c>
      <c r="V270" s="536" t="s">
        <v>623</v>
      </c>
      <c r="W270" s="537">
        <v>3000</v>
      </c>
      <c r="X270" s="513">
        <v>900000</v>
      </c>
      <c r="Y270" s="531">
        <f t="shared" si="134"/>
        <v>0</v>
      </c>
      <c r="Z270" s="528">
        <v>300</v>
      </c>
      <c r="AA270" s="536" t="s">
        <v>623</v>
      </c>
      <c r="AB270" s="537">
        <v>3000</v>
      </c>
      <c r="AC270" s="513">
        <v>900000</v>
      </c>
      <c r="AD270" s="531">
        <f t="shared" si="133"/>
        <v>0</v>
      </c>
      <c r="AE270" s="528">
        <v>300</v>
      </c>
      <c r="AF270" s="536" t="s">
        <v>204</v>
      </c>
      <c r="AG270" s="537">
        <v>3000</v>
      </c>
      <c r="AH270" s="513">
        <v>900000</v>
      </c>
      <c r="AI270" s="531">
        <f t="shared" si="131"/>
        <v>0</v>
      </c>
      <c r="AJ270" s="463"/>
      <c r="AK270" s="433" t="s">
        <v>659</v>
      </c>
    </row>
    <row r="271" spans="2:37" s="1" customFormat="1" ht="32.25" customHeight="1">
      <c r="B271" s="86"/>
      <c r="C271" s="743"/>
      <c r="D271" s="704"/>
      <c r="E271" s="480" t="s">
        <v>660</v>
      </c>
      <c r="F271" s="456" t="s">
        <v>661</v>
      </c>
      <c r="G271" s="460"/>
      <c r="H271" s="460"/>
      <c r="I271" s="461"/>
      <c r="J271" s="450"/>
      <c r="K271" s="478">
        <v>75</v>
      </c>
      <c r="L271" s="460" t="s">
        <v>623</v>
      </c>
      <c r="M271" s="461">
        <v>20000</v>
      </c>
      <c r="N271" s="453">
        <f>K271*M271</f>
        <v>1500000</v>
      </c>
      <c r="O271" s="479">
        <f>N271-J271</f>
        <v>1500000</v>
      </c>
      <c r="P271" s="528">
        <v>75</v>
      </c>
      <c r="Q271" s="536" t="s">
        <v>623</v>
      </c>
      <c r="R271" s="537"/>
      <c r="S271" s="513">
        <f t="shared" si="127"/>
        <v>0</v>
      </c>
      <c r="T271" s="545">
        <f t="shared" si="99"/>
        <v>-1500000</v>
      </c>
      <c r="U271" s="528">
        <v>75</v>
      </c>
      <c r="V271" s="536" t="s">
        <v>623</v>
      </c>
      <c r="W271" s="537"/>
      <c r="X271" s="513"/>
      <c r="Y271" s="531">
        <f t="shared" si="134"/>
        <v>0</v>
      </c>
      <c r="Z271" s="528">
        <v>75</v>
      </c>
      <c r="AA271" s="536" t="s">
        <v>623</v>
      </c>
      <c r="AB271" s="537"/>
      <c r="AC271" s="513"/>
      <c r="AD271" s="531">
        <f t="shared" si="133"/>
        <v>0</v>
      </c>
      <c r="AE271" s="528">
        <v>75</v>
      </c>
      <c r="AF271" s="536" t="s">
        <v>204</v>
      </c>
      <c r="AG271" s="537"/>
      <c r="AH271" s="513"/>
      <c r="AI271" s="531">
        <f t="shared" si="131"/>
        <v>0</v>
      </c>
      <c r="AJ271" s="532"/>
      <c r="AK271" s="558" t="s">
        <v>662</v>
      </c>
    </row>
    <row r="272" spans="2:37" s="1" customFormat="1" ht="32.25" customHeight="1">
      <c r="B272" s="86"/>
      <c r="C272" s="707" t="s">
        <v>55</v>
      </c>
      <c r="D272" s="708"/>
      <c r="E272" s="708"/>
      <c r="F272" s="708"/>
      <c r="G272" s="708"/>
      <c r="H272" s="708"/>
      <c r="I272" s="709"/>
      <c r="J272" s="167">
        <f>SUM(J270:J271)</f>
        <v>0</v>
      </c>
      <c r="K272" s="713"/>
      <c r="L272" s="714"/>
      <c r="M272" s="715"/>
      <c r="N272" s="272">
        <f>SUM(N270:N271)</f>
        <v>2500000</v>
      </c>
      <c r="O272" s="278">
        <f>SUM(O270:O271)</f>
        <v>2500000</v>
      </c>
      <c r="P272" s="713"/>
      <c r="Q272" s="714"/>
      <c r="R272" s="715"/>
      <c r="S272" s="272">
        <f>SUM(S270:S271)</f>
        <v>900000</v>
      </c>
      <c r="T272" s="543">
        <f t="shared" si="99"/>
        <v>-1600000</v>
      </c>
      <c r="U272" s="713"/>
      <c r="V272" s="714"/>
      <c r="W272" s="715"/>
      <c r="X272" s="272">
        <f>SUM(X270:X271)</f>
        <v>900000</v>
      </c>
      <c r="Y272" s="278">
        <f t="shared" si="134"/>
        <v>0</v>
      </c>
      <c r="Z272" s="713"/>
      <c r="AA272" s="714"/>
      <c r="AB272" s="715"/>
      <c r="AC272" s="272">
        <f>SUM(AC270:AC271)</f>
        <v>900000</v>
      </c>
      <c r="AD272" s="278">
        <f t="shared" si="133"/>
        <v>0</v>
      </c>
      <c r="AE272" s="713"/>
      <c r="AF272" s="714"/>
      <c r="AG272" s="715"/>
      <c r="AH272" s="272">
        <f>SUM(AH270:AH271)</f>
        <v>900000</v>
      </c>
      <c r="AI272" s="278">
        <f t="shared" si="131"/>
        <v>0</v>
      </c>
      <c r="AJ272" s="207"/>
      <c r="AK272" s="60"/>
    </row>
    <row r="273" spans="2:37" s="1" customFormat="1" ht="30.2" customHeight="1">
      <c r="B273" s="86"/>
      <c r="C273" s="753" t="s">
        <v>402</v>
      </c>
      <c r="D273" s="703" t="s">
        <v>392</v>
      </c>
      <c r="E273" s="703" t="s">
        <v>403</v>
      </c>
      <c r="F273" s="191" t="s">
        <v>404</v>
      </c>
      <c r="G273" s="175"/>
      <c r="H273" s="175"/>
      <c r="I273" s="177"/>
      <c r="J273" s="182">
        <f>G273*I273</f>
        <v>0</v>
      </c>
      <c r="K273" s="225">
        <v>1</v>
      </c>
      <c r="L273" s="175" t="s">
        <v>38</v>
      </c>
      <c r="M273" s="177">
        <v>38000000</v>
      </c>
      <c r="N273" s="271">
        <f>K273*M273</f>
        <v>38000000</v>
      </c>
      <c r="O273" s="279">
        <f>N273-J273</f>
        <v>38000000</v>
      </c>
      <c r="P273" s="225">
        <v>1</v>
      </c>
      <c r="Q273" s="175" t="s">
        <v>38</v>
      </c>
      <c r="R273" s="177">
        <v>38000000</v>
      </c>
      <c r="S273" s="271">
        <f>P273*R273</f>
        <v>38000000</v>
      </c>
      <c r="T273" s="256">
        <f t="shared" si="99"/>
        <v>0</v>
      </c>
      <c r="U273" s="225">
        <v>1</v>
      </c>
      <c r="V273" s="175" t="s">
        <v>38</v>
      </c>
      <c r="W273" s="177">
        <v>38000000</v>
      </c>
      <c r="X273" s="271">
        <f>U273*W273</f>
        <v>38000000</v>
      </c>
      <c r="Y273" s="279">
        <f t="shared" si="134"/>
        <v>0</v>
      </c>
      <c r="Z273" s="225">
        <v>1</v>
      </c>
      <c r="AA273" s="175" t="s">
        <v>38</v>
      </c>
      <c r="AB273" s="177">
        <v>38000000</v>
      </c>
      <c r="AC273" s="271">
        <f>Z273*AB273</f>
        <v>38000000</v>
      </c>
      <c r="AD273" s="279">
        <f t="shared" si="133"/>
        <v>0</v>
      </c>
      <c r="AE273" s="225">
        <v>1</v>
      </c>
      <c r="AF273" s="175" t="s">
        <v>38</v>
      </c>
      <c r="AG273" s="177">
        <v>38000000</v>
      </c>
      <c r="AH273" s="271">
        <f>AE273*AG273</f>
        <v>38000000</v>
      </c>
      <c r="AI273" s="279">
        <f t="shared" si="131"/>
        <v>0</v>
      </c>
      <c r="AJ273" s="206"/>
      <c r="AK273" s="105" t="s">
        <v>405</v>
      </c>
    </row>
    <row r="274" spans="2:37" s="1" customFormat="1" ht="30.2" customHeight="1">
      <c r="B274" s="86"/>
      <c r="C274" s="753"/>
      <c r="D274" s="704"/>
      <c r="E274" s="704"/>
      <c r="F274" s="456" t="s">
        <v>647</v>
      </c>
      <c r="G274" s="460"/>
      <c r="H274" s="460"/>
      <c r="I274" s="461"/>
      <c r="J274" s="450"/>
      <c r="K274" s="478">
        <v>2</v>
      </c>
      <c r="L274" s="460" t="s">
        <v>38</v>
      </c>
      <c r="M274" s="461">
        <v>900000</v>
      </c>
      <c r="N274" s="453">
        <f>K274*M274</f>
        <v>1800000</v>
      </c>
      <c r="O274" s="479">
        <f>N274-J274</f>
        <v>1800000</v>
      </c>
      <c r="P274" s="478">
        <v>2</v>
      </c>
      <c r="Q274" s="460" t="s">
        <v>38</v>
      </c>
      <c r="R274" s="461">
        <v>900000</v>
      </c>
      <c r="S274" s="453">
        <f>P274*R274</f>
        <v>1800000</v>
      </c>
      <c r="T274" s="509">
        <f t="shared" si="99"/>
        <v>0</v>
      </c>
      <c r="U274" s="478">
        <v>2</v>
      </c>
      <c r="V274" s="460" t="s">
        <v>38</v>
      </c>
      <c r="W274" s="461">
        <v>900000</v>
      </c>
      <c r="X274" s="453">
        <f>U274*W274</f>
        <v>1800000</v>
      </c>
      <c r="Y274" s="479">
        <f t="shared" si="134"/>
        <v>0</v>
      </c>
      <c r="Z274" s="478">
        <v>2</v>
      </c>
      <c r="AA274" s="460" t="s">
        <v>38</v>
      </c>
      <c r="AB274" s="461">
        <v>900000</v>
      </c>
      <c r="AC274" s="453">
        <f>Z274*AB274</f>
        <v>1800000</v>
      </c>
      <c r="AD274" s="479">
        <f t="shared" si="133"/>
        <v>0</v>
      </c>
      <c r="AE274" s="478">
        <v>2</v>
      </c>
      <c r="AF274" s="460" t="s">
        <v>38</v>
      </c>
      <c r="AG274" s="461">
        <v>900000</v>
      </c>
      <c r="AH274" s="453">
        <f>AE274*AG274</f>
        <v>1800000</v>
      </c>
      <c r="AI274" s="479">
        <f t="shared" si="131"/>
        <v>0</v>
      </c>
      <c r="AJ274" s="463"/>
      <c r="AK274" s="433"/>
    </row>
    <row r="275" spans="2:37" s="1" customFormat="1" ht="30.2" customHeight="1">
      <c r="B275" s="86"/>
      <c r="C275" s="753"/>
      <c r="D275" s="106" t="s">
        <v>406</v>
      </c>
      <c r="E275" s="105" t="s">
        <v>407</v>
      </c>
      <c r="F275" s="191" t="s">
        <v>408</v>
      </c>
      <c r="G275" s="175"/>
      <c r="H275" s="175"/>
      <c r="I275" s="177"/>
      <c r="J275" s="182">
        <f>G275*I275</f>
        <v>0</v>
      </c>
      <c r="K275" s="225">
        <v>8</v>
      </c>
      <c r="L275" s="175" t="s">
        <v>76</v>
      </c>
      <c r="M275" s="177">
        <v>150000</v>
      </c>
      <c r="N275" s="271">
        <f>K275*M275</f>
        <v>1200000</v>
      </c>
      <c r="O275" s="279">
        <f>N275-J275</f>
        <v>1200000</v>
      </c>
      <c r="P275" s="225">
        <v>6</v>
      </c>
      <c r="Q275" s="175" t="s">
        <v>76</v>
      </c>
      <c r="R275" s="177">
        <v>150000</v>
      </c>
      <c r="S275" s="527">
        <f>P275*R275</f>
        <v>900000</v>
      </c>
      <c r="T275" s="545">
        <f t="shared" si="99"/>
        <v>-300000</v>
      </c>
      <c r="U275" s="528">
        <v>6</v>
      </c>
      <c r="V275" s="536" t="s">
        <v>76</v>
      </c>
      <c r="W275" s="537">
        <v>150000</v>
      </c>
      <c r="X275" s="527">
        <f>U275*W275</f>
        <v>900000</v>
      </c>
      <c r="Y275" s="531">
        <f t="shared" si="134"/>
        <v>0</v>
      </c>
      <c r="Z275" s="528">
        <v>6</v>
      </c>
      <c r="AA275" s="536" t="s">
        <v>76</v>
      </c>
      <c r="AB275" s="537">
        <v>150000</v>
      </c>
      <c r="AC275" s="527">
        <f>Z275*AB275</f>
        <v>900000</v>
      </c>
      <c r="AD275" s="531">
        <f t="shared" si="133"/>
        <v>0</v>
      </c>
      <c r="AE275" s="528">
        <v>6</v>
      </c>
      <c r="AF275" s="536" t="s">
        <v>76</v>
      </c>
      <c r="AG275" s="537">
        <v>150000</v>
      </c>
      <c r="AH275" s="527">
        <f>AE275*AG275</f>
        <v>900000</v>
      </c>
      <c r="AI275" s="531">
        <f t="shared" si="131"/>
        <v>0</v>
      </c>
      <c r="AJ275" s="532"/>
      <c r="AK275" s="558"/>
    </row>
    <row r="276" spans="2:37" s="1" customFormat="1" ht="30.2" customHeight="1">
      <c r="B276" s="86"/>
      <c r="C276" s="707" t="s">
        <v>188</v>
      </c>
      <c r="D276" s="708"/>
      <c r="E276" s="708"/>
      <c r="F276" s="708"/>
      <c r="G276" s="708"/>
      <c r="H276" s="708"/>
      <c r="I276" s="709"/>
      <c r="J276" s="167">
        <f>SUM(J273:J275)</f>
        <v>0</v>
      </c>
      <c r="K276" s="713"/>
      <c r="L276" s="714"/>
      <c r="M276" s="715"/>
      <c r="N276" s="272">
        <f>SUM(N273:N275)</f>
        <v>41000000</v>
      </c>
      <c r="O276" s="278">
        <f>SUM(O273:O275)</f>
        <v>41000000</v>
      </c>
      <c r="P276" s="713"/>
      <c r="Q276" s="714"/>
      <c r="R276" s="715"/>
      <c r="S276" s="272">
        <f>SUM(S273:S275)</f>
        <v>40700000</v>
      </c>
      <c r="T276" s="543">
        <f t="shared" si="99"/>
        <v>-300000</v>
      </c>
      <c r="U276" s="713"/>
      <c r="V276" s="714"/>
      <c r="W276" s="715"/>
      <c r="X276" s="272">
        <f>SUM(X273:X275)</f>
        <v>40700000</v>
      </c>
      <c r="Y276" s="278">
        <f t="shared" si="134"/>
        <v>0</v>
      </c>
      <c r="Z276" s="713"/>
      <c r="AA276" s="714"/>
      <c r="AB276" s="715"/>
      <c r="AC276" s="272">
        <f>SUM(AC273:AC275)</f>
        <v>40700000</v>
      </c>
      <c r="AD276" s="278">
        <f t="shared" si="133"/>
        <v>0</v>
      </c>
      <c r="AE276" s="713"/>
      <c r="AF276" s="714"/>
      <c r="AG276" s="715"/>
      <c r="AH276" s="272">
        <f>SUM(AH273:AH275)</f>
        <v>40700000</v>
      </c>
      <c r="AI276" s="278">
        <f t="shared" si="131"/>
        <v>0</v>
      </c>
      <c r="AJ276" s="207"/>
      <c r="AK276" s="60"/>
    </row>
    <row r="277" spans="2:37" s="1" customFormat="1" ht="30.2" customHeight="1">
      <c r="B277" s="86"/>
      <c r="C277" s="703" t="s">
        <v>409</v>
      </c>
      <c r="D277" s="106" t="s">
        <v>410</v>
      </c>
      <c r="E277" s="105" t="s">
        <v>411</v>
      </c>
      <c r="F277" s="191" t="s">
        <v>412</v>
      </c>
      <c r="G277" s="175"/>
      <c r="H277" s="175"/>
      <c r="I277" s="177"/>
      <c r="J277" s="182">
        <f>G277*I277</f>
        <v>0</v>
      </c>
      <c r="K277" s="225">
        <v>1</v>
      </c>
      <c r="L277" s="175" t="s">
        <v>38</v>
      </c>
      <c r="M277" s="177">
        <v>8000000</v>
      </c>
      <c r="N277" s="271">
        <f>K277*M277</f>
        <v>8000000</v>
      </c>
      <c r="O277" s="279">
        <f>N277-J277</f>
        <v>8000000</v>
      </c>
      <c r="P277" s="225">
        <v>1</v>
      </c>
      <c r="Q277" s="175" t="s">
        <v>38</v>
      </c>
      <c r="R277" s="177">
        <v>8000000</v>
      </c>
      <c r="S277" s="271">
        <f>P277*R277</f>
        <v>8000000</v>
      </c>
      <c r="T277" s="256">
        <f t="shared" si="99"/>
        <v>0</v>
      </c>
      <c r="U277" s="225">
        <v>1</v>
      </c>
      <c r="V277" s="175" t="s">
        <v>38</v>
      </c>
      <c r="W277" s="177">
        <v>8000000</v>
      </c>
      <c r="X277" s="271">
        <f>U277*W277</f>
        <v>8000000</v>
      </c>
      <c r="Y277" s="279">
        <f t="shared" si="134"/>
        <v>0</v>
      </c>
      <c r="Z277" s="225">
        <v>1</v>
      </c>
      <c r="AA277" s="175" t="s">
        <v>38</v>
      </c>
      <c r="AB277" s="177">
        <v>8000000</v>
      </c>
      <c r="AC277" s="271">
        <f>Z277*AB277</f>
        <v>8000000</v>
      </c>
      <c r="AD277" s="279">
        <f t="shared" si="133"/>
        <v>0</v>
      </c>
      <c r="AE277" s="225">
        <v>1</v>
      </c>
      <c r="AF277" s="175" t="s">
        <v>38</v>
      </c>
      <c r="AG277" s="177">
        <v>8000000</v>
      </c>
      <c r="AH277" s="271">
        <f>AE277*AG277</f>
        <v>8000000</v>
      </c>
      <c r="AI277" s="279">
        <f t="shared" si="131"/>
        <v>0</v>
      </c>
      <c r="AJ277" s="206"/>
      <c r="AK277" s="280"/>
    </row>
    <row r="278" spans="2:37" s="1" customFormat="1" ht="30.2" customHeight="1">
      <c r="B278" s="86"/>
      <c r="C278" s="704"/>
      <c r="D278" s="438" t="s">
        <v>663</v>
      </c>
      <c r="E278" s="433" t="s">
        <v>664</v>
      </c>
      <c r="F278" s="456" t="s">
        <v>665</v>
      </c>
      <c r="G278" s="460"/>
      <c r="H278" s="460"/>
      <c r="I278" s="492"/>
      <c r="J278" s="450"/>
      <c r="K278" s="478">
        <v>3</v>
      </c>
      <c r="L278" s="460" t="s">
        <v>38</v>
      </c>
      <c r="M278" s="493">
        <v>900000</v>
      </c>
      <c r="N278" s="453">
        <f>K278*M278</f>
        <v>2700000</v>
      </c>
      <c r="O278" s="479">
        <f>N278-J278</f>
        <v>2700000</v>
      </c>
      <c r="P278" s="478">
        <v>4</v>
      </c>
      <c r="Q278" s="460" t="s">
        <v>38</v>
      </c>
      <c r="R278" s="493">
        <v>900000</v>
      </c>
      <c r="S278" s="453">
        <f>P278*R278</f>
        <v>3600000</v>
      </c>
      <c r="T278" s="509">
        <f t="shared" si="99"/>
        <v>900000</v>
      </c>
      <c r="U278" s="478">
        <v>4</v>
      </c>
      <c r="V278" s="460" t="s">
        <v>38</v>
      </c>
      <c r="W278" s="493">
        <v>900000</v>
      </c>
      <c r="X278" s="453">
        <f>U278*W278</f>
        <v>3600000</v>
      </c>
      <c r="Y278" s="479">
        <f t="shared" si="134"/>
        <v>0</v>
      </c>
      <c r="Z278" s="478">
        <v>4</v>
      </c>
      <c r="AA278" s="460" t="s">
        <v>38</v>
      </c>
      <c r="AB278" s="493">
        <v>900000</v>
      </c>
      <c r="AC278" s="453">
        <f>Z278*AB278</f>
        <v>3600000</v>
      </c>
      <c r="AD278" s="479">
        <f t="shared" si="133"/>
        <v>0</v>
      </c>
      <c r="AE278" s="478">
        <v>4</v>
      </c>
      <c r="AF278" s="460" t="s">
        <v>38</v>
      </c>
      <c r="AG278" s="493">
        <v>900000</v>
      </c>
      <c r="AH278" s="453">
        <f>AE278*AG278</f>
        <v>3600000</v>
      </c>
      <c r="AI278" s="479">
        <f t="shared" si="131"/>
        <v>0</v>
      </c>
      <c r="AJ278" s="463"/>
      <c r="AK278" s="494"/>
    </row>
    <row r="279" spans="2:37" s="1" customFormat="1" ht="32.25" customHeight="1">
      <c r="B279" s="86"/>
      <c r="C279" s="707" t="s">
        <v>188</v>
      </c>
      <c r="D279" s="708"/>
      <c r="E279" s="708"/>
      <c r="F279" s="708"/>
      <c r="G279" s="708"/>
      <c r="H279" s="708"/>
      <c r="I279" s="709"/>
      <c r="J279" s="167">
        <f>SUM(J277:J277)</f>
        <v>0</v>
      </c>
      <c r="K279" s="713"/>
      <c r="L279" s="714"/>
      <c r="M279" s="715"/>
      <c r="N279" s="272">
        <f>SUM(N277:N278)</f>
        <v>10700000</v>
      </c>
      <c r="O279" s="278">
        <f>SUM(O277:O278)</f>
        <v>10700000</v>
      </c>
      <c r="P279" s="713"/>
      <c r="Q279" s="714"/>
      <c r="R279" s="715"/>
      <c r="S279" s="272">
        <f>SUM(S277:S278)</f>
        <v>11600000</v>
      </c>
      <c r="T279" s="543">
        <f t="shared" si="99"/>
        <v>900000</v>
      </c>
      <c r="U279" s="713"/>
      <c r="V279" s="714"/>
      <c r="W279" s="715"/>
      <c r="X279" s="272">
        <f>SUM(X277:X278)</f>
        <v>11600000</v>
      </c>
      <c r="Y279" s="278">
        <f>SUM(Y277:Y278)</f>
        <v>0</v>
      </c>
      <c r="Z279" s="713"/>
      <c r="AA279" s="714"/>
      <c r="AB279" s="715"/>
      <c r="AC279" s="272">
        <f>SUM(AC277:AC278)</f>
        <v>11600000</v>
      </c>
      <c r="AD279" s="278">
        <f>SUM(AD277:AD278)</f>
        <v>0</v>
      </c>
      <c r="AE279" s="713"/>
      <c r="AF279" s="714"/>
      <c r="AG279" s="715"/>
      <c r="AH279" s="272">
        <f>SUM(AH277:AH278)</f>
        <v>11600000</v>
      </c>
      <c r="AI279" s="278">
        <f>SUM(AI277:AI278)</f>
        <v>0</v>
      </c>
      <c r="AJ279" s="207"/>
      <c r="AK279" s="60"/>
    </row>
    <row r="280" spans="2:37" ht="30.2" customHeight="1">
      <c r="B280" s="749" t="s">
        <v>65</v>
      </c>
      <c r="C280" s="750"/>
      <c r="D280" s="750"/>
      <c r="E280" s="750"/>
      <c r="F280" s="750"/>
      <c r="G280" s="750"/>
      <c r="H280" s="750"/>
      <c r="I280" s="751"/>
      <c r="J280" s="161">
        <f>SUM(J279+J276+J269+J255+J248+J244+J240+J234+J227+J220+J213+J203+J199+J192+J185)</f>
        <v>117400000</v>
      </c>
      <c r="K280" s="736"/>
      <c r="L280" s="737"/>
      <c r="M280" s="738"/>
      <c r="N280" s="266">
        <f>N185+N192+N199+N203+N213+N220+N227+N234+N240+N244+N248+N255+N269+N276+N279+N272</f>
        <v>336200000</v>
      </c>
      <c r="O280" s="246">
        <f>O185+O192+O199+O203+O213+O220+O227+O234+O240+O244+O248+O255+O269+O276+O279+O272</f>
        <v>218800000</v>
      </c>
      <c r="P280" s="736"/>
      <c r="Q280" s="737"/>
      <c r="R280" s="738"/>
      <c r="S280" s="266">
        <f>S185+S192+S199+S203+S213+S220+S227+S234+S240+S244+S248+S255+S269+S276+S279+S272</f>
        <v>288150000</v>
      </c>
      <c r="T280" s="244">
        <f t="shared" si="99"/>
        <v>-48050000</v>
      </c>
      <c r="U280" s="736"/>
      <c r="V280" s="737"/>
      <c r="W280" s="738"/>
      <c r="X280" s="266">
        <f>X185+X192+X199+X203+X213+X220+X227+X234+X240+X244+X248+X255+X269+X276+X279+X272</f>
        <v>280650000</v>
      </c>
      <c r="Y280" s="246">
        <f>X280-S280</f>
        <v>-7500000</v>
      </c>
      <c r="Z280" s="736"/>
      <c r="AA280" s="737"/>
      <c r="AB280" s="738"/>
      <c r="AC280" s="266">
        <f>AC185+AC192+AC199+AC203+AC213+AC220+AC227+AC234+AC240+AC244+AC248+AC255+AC269+AC276+AC279+AC272</f>
        <v>280650000</v>
      </c>
      <c r="AD280" s="246">
        <f>AC280-X280</f>
        <v>0</v>
      </c>
      <c r="AE280" s="736"/>
      <c r="AF280" s="737"/>
      <c r="AG280" s="738"/>
      <c r="AH280" s="266">
        <f>AH185+AH192+AH199+AH203+AH213+AH220+AH227+AH234+AH240+AH244+AH248+AH255+AH269+AH276+AH279+AH272</f>
        <v>280650000</v>
      </c>
      <c r="AI280" s="246">
        <f t="shared" ref="AI280:AI292" si="135">AH280-AC280</f>
        <v>0</v>
      </c>
      <c r="AJ280" s="205"/>
      <c r="AK280" s="57"/>
    </row>
    <row r="281" spans="2:37" s="1" customFormat="1" ht="30.2" customHeight="1">
      <c r="B281" s="819" t="s">
        <v>66</v>
      </c>
      <c r="C281" s="823" t="s">
        <v>67</v>
      </c>
      <c r="D281" s="823" t="s">
        <v>130</v>
      </c>
      <c r="E281" s="822" t="s">
        <v>131</v>
      </c>
      <c r="F281" s="58" t="s">
        <v>132</v>
      </c>
      <c r="G281" s="162">
        <v>30</v>
      </c>
      <c r="H281" s="162" t="s">
        <v>133</v>
      </c>
      <c r="I281" s="163">
        <v>150000</v>
      </c>
      <c r="J281" s="166">
        <f t="shared" ref="J281:J287" si="136">G281*I281</f>
        <v>4500000</v>
      </c>
      <c r="K281" s="229">
        <v>30</v>
      </c>
      <c r="L281" s="24" t="s">
        <v>133</v>
      </c>
      <c r="M281" s="25">
        <v>150000</v>
      </c>
      <c r="N281" s="265">
        <f>K281*M281</f>
        <v>4500000</v>
      </c>
      <c r="O281" s="257">
        <f>N281-J281</f>
        <v>0</v>
      </c>
      <c r="P281" s="229">
        <v>30</v>
      </c>
      <c r="Q281" s="24" t="s">
        <v>133</v>
      </c>
      <c r="R281" s="25">
        <v>150000</v>
      </c>
      <c r="S281" s="265">
        <f>P281*R281</f>
        <v>4500000</v>
      </c>
      <c r="T281" s="251">
        <f t="shared" ref="T281:T366" si="137">S281-N281</f>
        <v>0</v>
      </c>
      <c r="U281" s="229">
        <v>30</v>
      </c>
      <c r="V281" s="24" t="s">
        <v>133</v>
      </c>
      <c r="W281" s="25">
        <v>150000</v>
      </c>
      <c r="X281" s="265">
        <f>U281*W281</f>
        <v>4500000</v>
      </c>
      <c r="Y281" s="257">
        <f>X281-S281</f>
        <v>0</v>
      </c>
      <c r="Z281" s="229">
        <v>30</v>
      </c>
      <c r="AA281" s="24" t="s">
        <v>133</v>
      </c>
      <c r="AB281" s="25">
        <v>150000</v>
      </c>
      <c r="AC281" s="265">
        <f>Z281*AB281</f>
        <v>4500000</v>
      </c>
      <c r="AD281" s="257">
        <f>AC281-X281</f>
        <v>0</v>
      </c>
      <c r="AE281" s="229">
        <v>30</v>
      </c>
      <c r="AF281" s="24" t="s">
        <v>76</v>
      </c>
      <c r="AG281" s="25">
        <v>150000</v>
      </c>
      <c r="AH281" s="265">
        <f>AE281*AG281</f>
        <v>4500000</v>
      </c>
      <c r="AI281" s="257">
        <f t="shared" si="135"/>
        <v>0</v>
      </c>
      <c r="AJ281" s="18"/>
      <c r="AK281" s="49"/>
    </row>
    <row r="282" spans="2:37" s="1" customFormat="1" ht="30.2" customHeight="1">
      <c r="B282" s="820"/>
      <c r="C282" s="823"/>
      <c r="D282" s="823"/>
      <c r="E282" s="822"/>
      <c r="F282" s="58" t="s">
        <v>134</v>
      </c>
      <c r="G282" s="162">
        <v>30</v>
      </c>
      <c r="H282" s="162" t="s">
        <v>133</v>
      </c>
      <c r="I282" s="163">
        <v>150000</v>
      </c>
      <c r="J282" s="166">
        <f t="shared" si="136"/>
        <v>4500000</v>
      </c>
      <c r="K282" s="229">
        <v>30</v>
      </c>
      <c r="L282" s="24" t="s">
        <v>133</v>
      </c>
      <c r="M282" s="25">
        <v>150000</v>
      </c>
      <c r="N282" s="265">
        <f t="shared" ref="N282:N292" si="138">K282*M282</f>
        <v>4500000</v>
      </c>
      <c r="O282" s="257">
        <f t="shared" ref="O282:O292" si="139">N282-J282</f>
        <v>0</v>
      </c>
      <c r="P282" s="229">
        <v>30</v>
      </c>
      <c r="Q282" s="24" t="s">
        <v>133</v>
      </c>
      <c r="R282" s="25">
        <v>150000</v>
      </c>
      <c r="S282" s="265">
        <f t="shared" ref="S282:S292" si="140">P282*R282</f>
        <v>4500000</v>
      </c>
      <c r="T282" s="251">
        <f t="shared" si="137"/>
        <v>0</v>
      </c>
      <c r="U282" s="229">
        <v>30</v>
      </c>
      <c r="V282" s="24" t="s">
        <v>133</v>
      </c>
      <c r="W282" s="25">
        <v>150000</v>
      </c>
      <c r="X282" s="265">
        <f t="shared" ref="X282:X292" si="141">U282*W282</f>
        <v>4500000</v>
      </c>
      <c r="Y282" s="257">
        <f t="shared" ref="Y282:Y294" si="142">X282-S282</f>
        <v>0</v>
      </c>
      <c r="Z282" s="229">
        <v>30</v>
      </c>
      <c r="AA282" s="24" t="s">
        <v>133</v>
      </c>
      <c r="AB282" s="25">
        <v>150000</v>
      </c>
      <c r="AC282" s="265">
        <f t="shared" ref="AC282:AC292" si="143">Z282*AB282</f>
        <v>4500000</v>
      </c>
      <c r="AD282" s="257">
        <f t="shared" ref="AD282:AD292" si="144">AC282-X282</f>
        <v>0</v>
      </c>
      <c r="AE282" s="229">
        <v>30</v>
      </c>
      <c r="AF282" s="24" t="s">
        <v>76</v>
      </c>
      <c r="AG282" s="25">
        <v>150000</v>
      </c>
      <c r="AH282" s="265">
        <f t="shared" ref="AH282:AH292" si="145">AE282*AG282</f>
        <v>4500000</v>
      </c>
      <c r="AI282" s="257">
        <f t="shared" si="135"/>
        <v>0</v>
      </c>
      <c r="AJ282" s="18"/>
      <c r="AK282" s="49"/>
    </row>
    <row r="283" spans="2:37" s="1" customFormat="1" ht="30.2" customHeight="1">
      <c r="B283" s="820"/>
      <c r="C283" s="823"/>
      <c r="D283" s="823" t="s">
        <v>135</v>
      </c>
      <c r="E283" s="90" t="s">
        <v>136</v>
      </c>
      <c r="F283" s="58" t="s">
        <v>140</v>
      </c>
      <c r="G283" s="162">
        <v>1</v>
      </c>
      <c r="H283" s="162" t="s">
        <v>77</v>
      </c>
      <c r="I283" s="163">
        <v>35000000</v>
      </c>
      <c r="J283" s="166">
        <f t="shared" si="136"/>
        <v>35000000</v>
      </c>
      <c r="K283" s="229">
        <v>1</v>
      </c>
      <c r="L283" s="24" t="s">
        <v>77</v>
      </c>
      <c r="M283" s="25">
        <v>35000000</v>
      </c>
      <c r="N283" s="265">
        <f t="shared" si="138"/>
        <v>35000000</v>
      </c>
      <c r="O283" s="257">
        <f t="shared" si="139"/>
        <v>0</v>
      </c>
      <c r="P283" s="229">
        <v>1</v>
      </c>
      <c r="Q283" s="24" t="s">
        <v>38</v>
      </c>
      <c r="R283" s="25">
        <v>35000000</v>
      </c>
      <c r="S283" s="265">
        <f t="shared" si="140"/>
        <v>35000000</v>
      </c>
      <c r="T283" s="251">
        <f t="shared" si="137"/>
        <v>0</v>
      </c>
      <c r="U283" s="229">
        <v>1</v>
      </c>
      <c r="V283" s="24" t="s">
        <v>38</v>
      </c>
      <c r="W283" s="25">
        <v>35000000</v>
      </c>
      <c r="X283" s="265">
        <f t="shared" si="141"/>
        <v>35000000</v>
      </c>
      <c r="Y283" s="257">
        <f t="shared" si="142"/>
        <v>0</v>
      </c>
      <c r="Z283" s="229">
        <v>1</v>
      </c>
      <c r="AA283" s="24" t="s">
        <v>38</v>
      </c>
      <c r="AB283" s="25">
        <v>35000000</v>
      </c>
      <c r="AC283" s="265">
        <f t="shared" si="143"/>
        <v>35000000</v>
      </c>
      <c r="AD283" s="257">
        <f t="shared" si="144"/>
        <v>0</v>
      </c>
      <c r="AE283" s="229">
        <v>1</v>
      </c>
      <c r="AF283" s="24" t="s">
        <v>38</v>
      </c>
      <c r="AG283" s="25">
        <v>35000000</v>
      </c>
      <c r="AH283" s="265">
        <f t="shared" si="145"/>
        <v>35000000</v>
      </c>
      <c r="AI283" s="257">
        <f t="shared" si="135"/>
        <v>0</v>
      </c>
      <c r="AJ283" s="18"/>
      <c r="AK283" s="49"/>
    </row>
    <row r="284" spans="2:37" s="1" customFormat="1" ht="26.25" customHeight="1">
      <c r="B284" s="820"/>
      <c r="C284" s="823"/>
      <c r="D284" s="823"/>
      <c r="E284" s="90" t="s">
        <v>137</v>
      </c>
      <c r="F284" s="58" t="s">
        <v>141</v>
      </c>
      <c r="G284" s="162">
        <v>1</v>
      </c>
      <c r="H284" s="162" t="s">
        <v>77</v>
      </c>
      <c r="I284" s="163">
        <v>50000000</v>
      </c>
      <c r="J284" s="166">
        <f t="shared" si="136"/>
        <v>50000000</v>
      </c>
      <c r="K284" s="229">
        <v>1</v>
      </c>
      <c r="L284" s="24" t="s">
        <v>77</v>
      </c>
      <c r="M284" s="25">
        <v>50000000</v>
      </c>
      <c r="N284" s="265">
        <f t="shared" si="138"/>
        <v>50000000</v>
      </c>
      <c r="O284" s="257">
        <f t="shared" si="139"/>
        <v>0</v>
      </c>
      <c r="P284" s="229">
        <v>1</v>
      </c>
      <c r="Q284" s="24" t="s">
        <v>38</v>
      </c>
      <c r="R284" s="25">
        <v>50000000</v>
      </c>
      <c r="S284" s="265">
        <f t="shared" si="140"/>
        <v>50000000</v>
      </c>
      <c r="T284" s="251">
        <f t="shared" si="137"/>
        <v>0</v>
      </c>
      <c r="U284" s="229">
        <v>1</v>
      </c>
      <c r="V284" s="24" t="s">
        <v>38</v>
      </c>
      <c r="W284" s="25">
        <v>50000000</v>
      </c>
      <c r="X284" s="265">
        <f t="shared" si="141"/>
        <v>50000000</v>
      </c>
      <c r="Y284" s="257">
        <f t="shared" si="142"/>
        <v>0</v>
      </c>
      <c r="Z284" s="229">
        <v>1</v>
      </c>
      <c r="AA284" s="24" t="s">
        <v>38</v>
      </c>
      <c r="AB284" s="25">
        <v>50000000</v>
      </c>
      <c r="AC284" s="265">
        <f t="shared" si="143"/>
        <v>50000000</v>
      </c>
      <c r="AD284" s="257">
        <f t="shared" si="144"/>
        <v>0</v>
      </c>
      <c r="AE284" s="229">
        <v>1</v>
      </c>
      <c r="AF284" s="24" t="s">
        <v>38</v>
      </c>
      <c r="AG284" s="25">
        <v>50000000</v>
      </c>
      <c r="AH284" s="265">
        <f t="shared" si="145"/>
        <v>50000000</v>
      </c>
      <c r="AI284" s="257">
        <f t="shared" si="135"/>
        <v>0</v>
      </c>
      <c r="AJ284" s="18"/>
      <c r="AK284" s="49"/>
    </row>
    <row r="285" spans="2:37" s="40" customFormat="1">
      <c r="B285" s="820"/>
      <c r="C285" s="823"/>
      <c r="D285" s="823"/>
      <c r="E285" s="90" t="s">
        <v>138</v>
      </c>
      <c r="F285" s="58" t="s">
        <v>142</v>
      </c>
      <c r="G285" s="162">
        <v>1</v>
      </c>
      <c r="H285" s="162" t="s">
        <v>77</v>
      </c>
      <c r="I285" s="163">
        <v>5000000</v>
      </c>
      <c r="J285" s="166">
        <f t="shared" si="136"/>
        <v>5000000</v>
      </c>
      <c r="K285" s="229">
        <v>1</v>
      </c>
      <c r="L285" s="24" t="s">
        <v>77</v>
      </c>
      <c r="M285" s="25">
        <v>5000000</v>
      </c>
      <c r="N285" s="265">
        <f t="shared" si="138"/>
        <v>5000000</v>
      </c>
      <c r="O285" s="257">
        <f t="shared" si="139"/>
        <v>0</v>
      </c>
      <c r="P285" s="229">
        <v>1</v>
      </c>
      <c r="Q285" s="24" t="s">
        <v>38</v>
      </c>
      <c r="R285" s="25">
        <v>5000000</v>
      </c>
      <c r="S285" s="265">
        <f t="shared" si="140"/>
        <v>5000000</v>
      </c>
      <c r="T285" s="251">
        <f t="shared" si="137"/>
        <v>0</v>
      </c>
      <c r="U285" s="229">
        <v>1</v>
      </c>
      <c r="V285" s="24" t="s">
        <v>38</v>
      </c>
      <c r="W285" s="25">
        <v>5000000</v>
      </c>
      <c r="X285" s="265">
        <f t="shared" si="141"/>
        <v>5000000</v>
      </c>
      <c r="Y285" s="257">
        <f t="shared" si="142"/>
        <v>0</v>
      </c>
      <c r="Z285" s="229">
        <v>1</v>
      </c>
      <c r="AA285" s="24" t="s">
        <v>38</v>
      </c>
      <c r="AB285" s="25">
        <v>5000000</v>
      </c>
      <c r="AC285" s="265">
        <f t="shared" si="143"/>
        <v>5000000</v>
      </c>
      <c r="AD285" s="257">
        <f t="shared" si="144"/>
        <v>0</v>
      </c>
      <c r="AE285" s="229">
        <v>1</v>
      </c>
      <c r="AF285" s="24" t="s">
        <v>38</v>
      </c>
      <c r="AG285" s="25">
        <v>5000000</v>
      </c>
      <c r="AH285" s="265">
        <f t="shared" si="145"/>
        <v>5000000</v>
      </c>
      <c r="AI285" s="257">
        <f t="shared" si="135"/>
        <v>0</v>
      </c>
      <c r="AJ285" s="18"/>
      <c r="AK285" s="49"/>
    </row>
    <row r="286" spans="2:37" ht="30.2" customHeight="1">
      <c r="B286" s="820"/>
      <c r="C286" s="823"/>
      <c r="D286" s="823"/>
      <c r="E286" s="822" t="s">
        <v>143</v>
      </c>
      <c r="F286" s="58" t="s">
        <v>144</v>
      </c>
      <c r="G286" s="162">
        <v>5</v>
      </c>
      <c r="H286" s="162" t="s">
        <v>76</v>
      </c>
      <c r="I286" s="163">
        <v>1500000</v>
      </c>
      <c r="J286" s="166">
        <f t="shared" si="136"/>
        <v>7500000</v>
      </c>
      <c r="K286" s="229">
        <v>5</v>
      </c>
      <c r="L286" s="24" t="s">
        <v>76</v>
      </c>
      <c r="M286" s="25">
        <v>1500000</v>
      </c>
      <c r="N286" s="265">
        <f t="shared" si="138"/>
        <v>7500000</v>
      </c>
      <c r="O286" s="257">
        <f t="shared" si="139"/>
        <v>0</v>
      </c>
      <c r="P286" s="229">
        <v>5</v>
      </c>
      <c r="Q286" s="24" t="s">
        <v>76</v>
      </c>
      <c r="R286" s="25">
        <v>1500000</v>
      </c>
      <c r="S286" s="265">
        <f t="shared" si="140"/>
        <v>7500000</v>
      </c>
      <c r="T286" s="251">
        <f t="shared" si="137"/>
        <v>0</v>
      </c>
      <c r="U286" s="229">
        <v>5</v>
      </c>
      <c r="V286" s="24" t="s">
        <v>76</v>
      </c>
      <c r="W286" s="25">
        <v>1500000</v>
      </c>
      <c r="X286" s="265">
        <f t="shared" si="141"/>
        <v>7500000</v>
      </c>
      <c r="Y286" s="257">
        <f t="shared" si="142"/>
        <v>0</v>
      </c>
      <c r="Z286" s="229">
        <v>5</v>
      </c>
      <c r="AA286" s="24" t="s">
        <v>76</v>
      </c>
      <c r="AB286" s="25">
        <v>1500000</v>
      </c>
      <c r="AC286" s="265">
        <f t="shared" si="143"/>
        <v>7500000</v>
      </c>
      <c r="AD286" s="257">
        <f t="shared" si="144"/>
        <v>0</v>
      </c>
      <c r="AE286" s="229">
        <v>5</v>
      </c>
      <c r="AF286" s="24" t="s">
        <v>76</v>
      </c>
      <c r="AG286" s="25">
        <v>1500000</v>
      </c>
      <c r="AH286" s="265">
        <f t="shared" si="145"/>
        <v>7500000</v>
      </c>
      <c r="AI286" s="257">
        <f t="shared" si="135"/>
        <v>0</v>
      </c>
      <c r="AJ286" s="18"/>
      <c r="AK286" s="49"/>
    </row>
    <row r="287" spans="2:37" ht="30.2" customHeight="1">
      <c r="B287" s="820"/>
      <c r="C287" s="823"/>
      <c r="D287" s="823"/>
      <c r="E287" s="822"/>
      <c r="F287" s="58" t="s">
        <v>145</v>
      </c>
      <c r="G287" s="162">
        <v>1</v>
      </c>
      <c r="H287" s="162" t="s">
        <v>77</v>
      </c>
      <c r="I287" s="163">
        <v>20000000</v>
      </c>
      <c r="J287" s="166">
        <f t="shared" si="136"/>
        <v>20000000</v>
      </c>
      <c r="K287" s="229">
        <v>1</v>
      </c>
      <c r="L287" s="24" t="s">
        <v>77</v>
      </c>
      <c r="M287" s="25">
        <v>20000000</v>
      </c>
      <c r="N287" s="265">
        <f t="shared" si="138"/>
        <v>20000000</v>
      </c>
      <c r="O287" s="257">
        <f t="shared" si="139"/>
        <v>0</v>
      </c>
      <c r="P287" s="229">
        <v>1</v>
      </c>
      <c r="Q287" s="24" t="s">
        <v>38</v>
      </c>
      <c r="R287" s="25">
        <v>20000000</v>
      </c>
      <c r="S287" s="265">
        <f t="shared" si="140"/>
        <v>20000000</v>
      </c>
      <c r="T287" s="251">
        <f t="shared" si="137"/>
        <v>0</v>
      </c>
      <c r="U287" s="229">
        <v>1</v>
      </c>
      <c r="V287" s="24" t="s">
        <v>38</v>
      </c>
      <c r="W287" s="25">
        <v>20000000</v>
      </c>
      <c r="X287" s="265">
        <f t="shared" si="141"/>
        <v>20000000</v>
      </c>
      <c r="Y287" s="257">
        <f t="shared" si="142"/>
        <v>0</v>
      </c>
      <c r="Z287" s="229">
        <v>1</v>
      </c>
      <c r="AA287" s="24" t="s">
        <v>38</v>
      </c>
      <c r="AB287" s="25">
        <v>20000000</v>
      </c>
      <c r="AC287" s="265">
        <f t="shared" si="143"/>
        <v>20000000</v>
      </c>
      <c r="AD287" s="257">
        <f t="shared" si="144"/>
        <v>0</v>
      </c>
      <c r="AE287" s="229">
        <v>1</v>
      </c>
      <c r="AF287" s="24" t="s">
        <v>38</v>
      </c>
      <c r="AG287" s="25">
        <v>20000000</v>
      </c>
      <c r="AH287" s="265">
        <f t="shared" si="145"/>
        <v>20000000</v>
      </c>
      <c r="AI287" s="257">
        <f t="shared" si="135"/>
        <v>0</v>
      </c>
      <c r="AJ287" s="18"/>
      <c r="AK287" s="49"/>
    </row>
    <row r="288" spans="2:37" s="1" customFormat="1" ht="42.75" customHeight="1">
      <c r="B288" s="820"/>
      <c r="C288" s="823"/>
      <c r="D288" s="823"/>
      <c r="E288" s="822" t="s">
        <v>139</v>
      </c>
      <c r="F288" s="73" t="s">
        <v>146</v>
      </c>
      <c r="G288" s="162">
        <v>1</v>
      </c>
      <c r="H288" s="162" t="s">
        <v>147</v>
      </c>
      <c r="I288" s="163">
        <v>10000000</v>
      </c>
      <c r="J288" s="166">
        <v>10000000</v>
      </c>
      <c r="K288" s="229">
        <v>1</v>
      </c>
      <c r="L288" s="24" t="s">
        <v>147</v>
      </c>
      <c r="M288" s="25">
        <v>10000000</v>
      </c>
      <c r="N288" s="265">
        <f t="shared" si="138"/>
        <v>10000000</v>
      </c>
      <c r="O288" s="257">
        <f t="shared" si="139"/>
        <v>0</v>
      </c>
      <c r="P288" s="229">
        <v>1</v>
      </c>
      <c r="Q288" s="24" t="s">
        <v>147</v>
      </c>
      <c r="R288" s="25">
        <v>10000000</v>
      </c>
      <c r="S288" s="265">
        <f t="shared" si="140"/>
        <v>10000000</v>
      </c>
      <c r="T288" s="251">
        <f t="shared" si="137"/>
        <v>0</v>
      </c>
      <c r="U288" s="229">
        <v>1</v>
      </c>
      <c r="V288" s="24" t="s">
        <v>147</v>
      </c>
      <c r="W288" s="25">
        <v>10000000</v>
      </c>
      <c r="X288" s="265">
        <f t="shared" si="141"/>
        <v>10000000</v>
      </c>
      <c r="Y288" s="257">
        <f t="shared" si="142"/>
        <v>0</v>
      </c>
      <c r="Z288" s="229">
        <v>1</v>
      </c>
      <c r="AA288" s="24" t="s">
        <v>147</v>
      </c>
      <c r="AB288" s="25">
        <v>10000000</v>
      </c>
      <c r="AC288" s="265">
        <f t="shared" si="143"/>
        <v>10000000</v>
      </c>
      <c r="AD288" s="257">
        <f t="shared" si="144"/>
        <v>0</v>
      </c>
      <c r="AE288" s="229">
        <v>1</v>
      </c>
      <c r="AF288" s="24" t="s">
        <v>147</v>
      </c>
      <c r="AG288" s="25">
        <v>10000000</v>
      </c>
      <c r="AH288" s="265">
        <f t="shared" si="145"/>
        <v>10000000</v>
      </c>
      <c r="AI288" s="257">
        <f t="shared" si="135"/>
        <v>0</v>
      </c>
      <c r="AJ288" s="18"/>
      <c r="AK288" s="49"/>
    </row>
    <row r="289" spans="2:37" s="1" customFormat="1" ht="45.75" customHeight="1">
      <c r="B289" s="820"/>
      <c r="C289" s="823"/>
      <c r="D289" s="823"/>
      <c r="E289" s="822"/>
      <c r="F289" s="72" t="s">
        <v>149</v>
      </c>
      <c r="G289" s="129">
        <v>1</v>
      </c>
      <c r="H289" s="128" t="s">
        <v>148</v>
      </c>
      <c r="I289" s="122">
        <v>5000000</v>
      </c>
      <c r="J289" s="166">
        <f>G289*I289</f>
        <v>5000000</v>
      </c>
      <c r="K289" s="218">
        <v>1</v>
      </c>
      <c r="L289" s="71" t="s">
        <v>148</v>
      </c>
      <c r="M289" s="81">
        <v>5000000</v>
      </c>
      <c r="N289" s="265">
        <f t="shared" si="138"/>
        <v>5000000</v>
      </c>
      <c r="O289" s="257">
        <f t="shared" si="139"/>
        <v>0</v>
      </c>
      <c r="P289" s="218">
        <v>1</v>
      </c>
      <c r="Q289" s="71" t="s">
        <v>148</v>
      </c>
      <c r="R289" s="81">
        <v>5000000</v>
      </c>
      <c r="S289" s="265">
        <f t="shared" si="140"/>
        <v>5000000</v>
      </c>
      <c r="T289" s="251">
        <f t="shared" si="137"/>
        <v>0</v>
      </c>
      <c r="U289" s="218">
        <v>1</v>
      </c>
      <c r="V289" s="71" t="s">
        <v>148</v>
      </c>
      <c r="W289" s="81">
        <v>5000000</v>
      </c>
      <c r="X289" s="265">
        <f t="shared" si="141"/>
        <v>5000000</v>
      </c>
      <c r="Y289" s="257">
        <f t="shared" si="142"/>
        <v>0</v>
      </c>
      <c r="Z289" s="218">
        <v>1</v>
      </c>
      <c r="AA289" s="71" t="s">
        <v>148</v>
      </c>
      <c r="AB289" s="81">
        <v>5000000</v>
      </c>
      <c r="AC289" s="265">
        <f t="shared" si="143"/>
        <v>5000000</v>
      </c>
      <c r="AD289" s="257">
        <f t="shared" si="144"/>
        <v>0</v>
      </c>
      <c r="AE289" s="218">
        <v>1</v>
      </c>
      <c r="AF289" s="71" t="s">
        <v>148</v>
      </c>
      <c r="AG289" s="81">
        <v>5000000</v>
      </c>
      <c r="AH289" s="265">
        <f t="shared" si="145"/>
        <v>5000000</v>
      </c>
      <c r="AI289" s="257">
        <f t="shared" si="135"/>
        <v>0</v>
      </c>
      <c r="AJ289" s="18"/>
      <c r="AK289" s="49"/>
    </row>
    <row r="290" spans="2:37" s="1" customFormat="1" ht="30.2" customHeight="1">
      <c r="B290" s="820"/>
      <c r="C290" s="823"/>
      <c r="D290" s="823"/>
      <c r="E290" s="822"/>
      <c r="F290" s="66" t="s">
        <v>150</v>
      </c>
      <c r="G290" s="121">
        <v>2</v>
      </c>
      <c r="H290" s="128" t="s">
        <v>34</v>
      </c>
      <c r="I290" s="122">
        <v>3000000</v>
      </c>
      <c r="J290" s="166">
        <f>G290*I290</f>
        <v>6000000</v>
      </c>
      <c r="K290" s="215">
        <v>2</v>
      </c>
      <c r="L290" s="71" t="s">
        <v>34</v>
      </c>
      <c r="M290" s="81">
        <v>3000000</v>
      </c>
      <c r="N290" s="265">
        <f t="shared" si="138"/>
        <v>6000000</v>
      </c>
      <c r="O290" s="257">
        <f t="shared" si="139"/>
        <v>0</v>
      </c>
      <c r="P290" s="215">
        <v>2</v>
      </c>
      <c r="Q290" s="71" t="s">
        <v>34</v>
      </c>
      <c r="R290" s="81">
        <v>3000000</v>
      </c>
      <c r="S290" s="265">
        <f t="shared" si="140"/>
        <v>6000000</v>
      </c>
      <c r="T290" s="251">
        <f t="shared" si="137"/>
        <v>0</v>
      </c>
      <c r="U290" s="215">
        <v>2</v>
      </c>
      <c r="V290" s="71" t="s">
        <v>34</v>
      </c>
      <c r="W290" s="81">
        <v>3000000</v>
      </c>
      <c r="X290" s="265">
        <f t="shared" si="141"/>
        <v>6000000</v>
      </c>
      <c r="Y290" s="257">
        <f t="shared" si="142"/>
        <v>0</v>
      </c>
      <c r="Z290" s="215">
        <v>2</v>
      </c>
      <c r="AA290" s="71" t="s">
        <v>34</v>
      </c>
      <c r="AB290" s="81">
        <v>3000000</v>
      </c>
      <c r="AC290" s="265">
        <f t="shared" si="143"/>
        <v>6000000</v>
      </c>
      <c r="AD290" s="257">
        <f t="shared" si="144"/>
        <v>0</v>
      </c>
      <c r="AE290" s="215">
        <v>2</v>
      </c>
      <c r="AF290" s="71" t="s">
        <v>34</v>
      </c>
      <c r="AG290" s="81">
        <v>3000000</v>
      </c>
      <c r="AH290" s="265">
        <f t="shared" si="145"/>
        <v>6000000</v>
      </c>
      <c r="AI290" s="257">
        <f t="shared" si="135"/>
        <v>0</v>
      </c>
      <c r="AJ290" s="18"/>
      <c r="AK290" s="49"/>
    </row>
    <row r="291" spans="2:37" s="1" customFormat="1" ht="30.2" customHeight="1">
      <c r="B291" s="820"/>
      <c r="C291" s="823"/>
      <c r="D291" s="823"/>
      <c r="E291" s="822"/>
      <c r="F291" s="66" t="s">
        <v>151</v>
      </c>
      <c r="G291" s="292">
        <v>1</v>
      </c>
      <c r="H291" s="293" t="s">
        <v>35</v>
      </c>
      <c r="I291" s="122">
        <v>3000000</v>
      </c>
      <c r="J291" s="166">
        <f>G291*I291</f>
        <v>3000000</v>
      </c>
      <c r="K291" s="238">
        <v>1</v>
      </c>
      <c r="L291" s="74" t="s">
        <v>35</v>
      </c>
      <c r="M291" s="81">
        <v>3000000</v>
      </c>
      <c r="N291" s="265">
        <f t="shared" si="138"/>
        <v>3000000</v>
      </c>
      <c r="O291" s="257">
        <f t="shared" si="139"/>
        <v>0</v>
      </c>
      <c r="P291" s="238">
        <v>1</v>
      </c>
      <c r="Q291" s="74" t="s">
        <v>35</v>
      </c>
      <c r="R291" s="81">
        <v>3000000</v>
      </c>
      <c r="S291" s="265">
        <f t="shared" si="140"/>
        <v>3000000</v>
      </c>
      <c r="T291" s="251">
        <f t="shared" si="137"/>
        <v>0</v>
      </c>
      <c r="U291" s="238">
        <v>1</v>
      </c>
      <c r="V291" s="74" t="s">
        <v>35</v>
      </c>
      <c r="W291" s="81">
        <v>3000000</v>
      </c>
      <c r="X291" s="265">
        <f t="shared" si="141"/>
        <v>3000000</v>
      </c>
      <c r="Y291" s="257">
        <f t="shared" si="142"/>
        <v>0</v>
      </c>
      <c r="Z291" s="238">
        <v>1</v>
      </c>
      <c r="AA291" s="74" t="s">
        <v>35</v>
      </c>
      <c r="AB291" s="81">
        <v>3000000</v>
      </c>
      <c r="AC291" s="265">
        <f t="shared" si="143"/>
        <v>3000000</v>
      </c>
      <c r="AD291" s="257">
        <f t="shared" si="144"/>
        <v>0</v>
      </c>
      <c r="AE291" s="238">
        <v>1</v>
      </c>
      <c r="AF291" s="74" t="s">
        <v>35</v>
      </c>
      <c r="AG291" s="81">
        <v>3000000</v>
      </c>
      <c r="AH291" s="265">
        <f t="shared" si="145"/>
        <v>3000000</v>
      </c>
      <c r="AI291" s="257">
        <f t="shared" si="135"/>
        <v>0</v>
      </c>
      <c r="AJ291" s="18"/>
      <c r="AK291" s="49"/>
    </row>
    <row r="292" spans="2:37" s="1" customFormat="1" ht="30.2" customHeight="1">
      <c r="B292" s="820"/>
      <c r="C292" s="823"/>
      <c r="D292" s="823"/>
      <c r="E292" s="822"/>
      <c r="F292" s="66" t="s">
        <v>152</v>
      </c>
      <c r="G292" s="121">
        <v>1</v>
      </c>
      <c r="H292" s="123" t="s">
        <v>148</v>
      </c>
      <c r="I292" s="122">
        <v>5000000</v>
      </c>
      <c r="J292" s="166">
        <f>G292*I292</f>
        <v>5000000</v>
      </c>
      <c r="K292" s="215">
        <v>1</v>
      </c>
      <c r="L292" s="67" t="s">
        <v>148</v>
      </c>
      <c r="M292" s="81">
        <v>5000000</v>
      </c>
      <c r="N292" s="265">
        <f t="shared" si="138"/>
        <v>5000000</v>
      </c>
      <c r="O292" s="257">
        <f t="shared" si="139"/>
        <v>0</v>
      </c>
      <c r="P292" s="215">
        <v>1</v>
      </c>
      <c r="Q292" s="67" t="s">
        <v>148</v>
      </c>
      <c r="R292" s="81">
        <v>5000000</v>
      </c>
      <c r="S292" s="265">
        <f t="shared" si="140"/>
        <v>5000000</v>
      </c>
      <c r="T292" s="251">
        <f t="shared" si="137"/>
        <v>0</v>
      </c>
      <c r="U292" s="215">
        <v>1</v>
      </c>
      <c r="V292" s="67" t="s">
        <v>148</v>
      </c>
      <c r="W292" s="81">
        <v>5000000</v>
      </c>
      <c r="X292" s="265">
        <f t="shared" si="141"/>
        <v>5000000</v>
      </c>
      <c r="Y292" s="257">
        <f t="shared" si="142"/>
        <v>0</v>
      </c>
      <c r="Z292" s="215">
        <v>1</v>
      </c>
      <c r="AA292" s="67" t="s">
        <v>148</v>
      </c>
      <c r="AB292" s="81">
        <v>5000000</v>
      </c>
      <c r="AC292" s="265">
        <f t="shared" si="143"/>
        <v>5000000</v>
      </c>
      <c r="AD292" s="257">
        <f t="shared" si="144"/>
        <v>0</v>
      </c>
      <c r="AE292" s="215">
        <v>1</v>
      </c>
      <c r="AF292" s="67" t="s">
        <v>148</v>
      </c>
      <c r="AG292" s="81">
        <v>5000000</v>
      </c>
      <c r="AH292" s="265">
        <f t="shared" si="145"/>
        <v>5000000</v>
      </c>
      <c r="AI292" s="257">
        <f t="shared" si="135"/>
        <v>0</v>
      </c>
      <c r="AJ292" s="18"/>
      <c r="AK292" s="49"/>
    </row>
    <row r="293" spans="2:37" s="1" customFormat="1" ht="30.2" customHeight="1">
      <c r="B293" s="820"/>
      <c r="C293" s="874" t="s">
        <v>55</v>
      </c>
      <c r="D293" s="874"/>
      <c r="E293" s="874"/>
      <c r="F293" s="874"/>
      <c r="G293" s="874"/>
      <c r="H293" s="874"/>
      <c r="I293" s="874"/>
      <c r="J293" s="167">
        <f>SUM(J281:J292)</f>
        <v>155500000</v>
      </c>
      <c r="K293" s="713"/>
      <c r="L293" s="714"/>
      <c r="M293" s="715"/>
      <c r="N293" s="272">
        <f>SUM(N281:N292)</f>
        <v>155500000</v>
      </c>
      <c r="O293" s="255">
        <f>SUM(O281:O292)</f>
        <v>0</v>
      </c>
      <c r="P293" s="713"/>
      <c r="Q293" s="714"/>
      <c r="R293" s="715"/>
      <c r="S293" s="272">
        <f>SUM(S281:S292)</f>
        <v>155500000</v>
      </c>
      <c r="T293" s="543">
        <f t="shared" si="137"/>
        <v>0</v>
      </c>
      <c r="U293" s="713"/>
      <c r="V293" s="714"/>
      <c r="W293" s="715"/>
      <c r="X293" s="272">
        <f>SUM(X281:X292)</f>
        <v>155500000</v>
      </c>
      <c r="Y293" s="255">
        <f>SUM(Y281:Y292)</f>
        <v>0</v>
      </c>
      <c r="Z293" s="713"/>
      <c r="AA293" s="714"/>
      <c r="AB293" s="715"/>
      <c r="AC293" s="272">
        <f>SUM(AC281:AC292)</f>
        <v>155500000</v>
      </c>
      <c r="AD293" s="255">
        <f>SUM(AD281:AD292)</f>
        <v>0</v>
      </c>
      <c r="AE293" s="713"/>
      <c r="AF293" s="714"/>
      <c r="AG293" s="715"/>
      <c r="AH293" s="272">
        <f>SUM(AH281:AH292)</f>
        <v>155500000</v>
      </c>
      <c r="AI293" s="255">
        <f>SUM(AI281:AI292)</f>
        <v>0</v>
      </c>
      <c r="AJ293" s="207"/>
      <c r="AK293" s="33"/>
    </row>
    <row r="294" spans="2:37" s="1" customFormat="1" ht="30.2" customHeight="1">
      <c r="B294" s="820"/>
      <c r="C294" s="744" t="s">
        <v>68</v>
      </c>
      <c r="D294" s="823" t="s">
        <v>153</v>
      </c>
      <c r="E294" s="23" t="s">
        <v>154</v>
      </c>
      <c r="F294" s="58" t="s">
        <v>155</v>
      </c>
      <c r="G294" s="162">
        <v>1</v>
      </c>
      <c r="H294" s="162" t="s">
        <v>156</v>
      </c>
      <c r="I294" s="163">
        <v>35000000</v>
      </c>
      <c r="J294" s="166">
        <f t="shared" ref="J294:J299" si="146">G294*I294</f>
        <v>35000000</v>
      </c>
      <c r="K294" s="229">
        <v>1</v>
      </c>
      <c r="L294" s="24" t="s">
        <v>38</v>
      </c>
      <c r="M294" s="25">
        <v>35000000</v>
      </c>
      <c r="N294" s="265">
        <f>K294*M294</f>
        <v>35000000</v>
      </c>
      <c r="O294" s="257">
        <f>N294-J294</f>
        <v>0</v>
      </c>
      <c r="P294" s="229">
        <v>1</v>
      </c>
      <c r="Q294" s="24" t="s">
        <v>38</v>
      </c>
      <c r="R294" s="25">
        <v>35000000</v>
      </c>
      <c r="S294" s="265">
        <f>P294*R294</f>
        <v>35000000</v>
      </c>
      <c r="T294" s="251">
        <f t="shared" si="137"/>
        <v>0</v>
      </c>
      <c r="U294" s="229">
        <v>1</v>
      </c>
      <c r="V294" s="24" t="s">
        <v>38</v>
      </c>
      <c r="W294" s="25">
        <v>35000000</v>
      </c>
      <c r="X294" s="265">
        <f>U294*W294</f>
        <v>35000000</v>
      </c>
      <c r="Y294" s="257">
        <f t="shared" si="142"/>
        <v>0</v>
      </c>
      <c r="Z294" s="229">
        <v>1</v>
      </c>
      <c r="AA294" s="24" t="s">
        <v>38</v>
      </c>
      <c r="AB294" s="25">
        <v>35000000</v>
      </c>
      <c r="AC294" s="265">
        <f>Z294*AB294</f>
        <v>35000000</v>
      </c>
      <c r="AD294" s="257">
        <f t="shared" ref="AD294" si="147">AC294-X294</f>
        <v>0</v>
      </c>
      <c r="AE294" s="229">
        <v>1</v>
      </c>
      <c r="AF294" s="24" t="s">
        <v>38</v>
      </c>
      <c r="AG294" s="25">
        <v>35000000</v>
      </c>
      <c r="AH294" s="265">
        <f>AE294*AG294</f>
        <v>35000000</v>
      </c>
      <c r="AI294" s="257">
        <f>AH294-AC294</f>
        <v>0</v>
      </c>
      <c r="AJ294" s="47"/>
      <c r="AK294" s="49"/>
    </row>
    <row r="295" spans="2:37" s="1" customFormat="1" ht="30.2" customHeight="1">
      <c r="B295" s="820"/>
      <c r="C295" s="745"/>
      <c r="D295" s="823"/>
      <c r="E295" s="105" t="s">
        <v>419</v>
      </c>
      <c r="F295" s="191" t="s">
        <v>420</v>
      </c>
      <c r="G295" s="179"/>
      <c r="H295" s="179"/>
      <c r="I295" s="185"/>
      <c r="J295" s="182">
        <f t="shared" si="146"/>
        <v>0</v>
      </c>
      <c r="K295" s="230">
        <v>1</v>
      </c>
      <c r="L295" s="175" t="s">
        <v>38</v>
      </c>
      <c r="M295" s="177">
        <v>5000000</v>
      </c>
      <c r="N295" s="271">
        <f t="shared" ref="N295:N300" si="148">K295*M295</f>
        <v>5000000</v>
      </c>
      <c r="O295" s="279">
        <f t="shared" ref="O295:O300" si="149">N295-J295</f>
        <v>5000000</v>
      </c>
      <c r="P295" s="230">
        <v>1</v>
      </c>
      <c r="Q295" s="175" t="s">
        <v>38</v>
      </c>
      <c r="R295" s="177">
        <v>5000000</v>
      </c>
      <c r="S295" s="271">
        <f t="shared" ref="S295:S300" si="150">P295*R295</f>
        <v>5000000</v>
      </c>
      <c r="T295" s="256">
        <f t="shared" si="137"/>
        <v>0</v>
      </c>
      <c r="U295" s="230">
        <v>1</v>
      </c>
      <c r="V295" s="175" t="s">
        <v>38</v>
      </c>
      <c r="W295" s="177">
        <v>5000000</v>
      </c>
      <c r="X295" s="271">
        <f t="shared" ref="X295:X300" si="151">U295*W295</f>
        <v>5000000</v>
      </c>
      <c r="Y295" s="279">
        <f>X295-T295</f>
        <v>5000000</v>
      </c>
      <c r="Z295" s="230">
        <v>1</v>
      </c>
      <c r="AA295" s="175" t="s">
        <v>38</v>
      </c>
      <c r="AB295" s="177">
        <v>5000000</v>
      </c>
      <c r="AC295" s="271">
        <f t="shared" ref="AC295:AC300" si="152">Z295*AB295</f>
        <v>5000000</v>
      </c>
      <c r="AD295" s="279">
        <f>AC295-Y295</f>
        <v>0</v>
      </c>
      <c r="AE295" s="230">
        <v>1</v>
      </c>
      <c r="AF295" s="175" t="s">
        <v>38</v>
      </c>
      <c r="AG295" s="177">
        <v>5000000</v>
      </c>
      <c r="AH295" s="271">
        <f t="shared" ref="AH295:AH300" si="153">AE295*AG295</f>
        <v>5000000</v>
      </c>
      <c r="AI295" s="279">
        <f>AH295-AD295</f>
        <v>5000000</v>
      </c>
      <c r="AJ295" s="178"/>
      <c r="AK295" s="106" t="s">
        <v>441</v>
      </c>
    </row>
    <row r="296" spans="2:37" s="1" customFormat="1" ht="30.2" customHeight="1">
      <c r="B296" s="820"/>
      <c r="C296" s="745"/>
      <c r="D296" s="823"/>
      <c r="E296" s="23" t="s">
        <v>157</v>
      </c>
      <c r="F296" s="58" t="s">
        <v>418</v>
      </c>
      <c r="G296" s="162">
        <v>1</v>
      </c>
      <c r="H296" s="162" t="s">
        <v>156</v>
      </c>
      <c r="I296" s="163">
        <v>25000000</v>
      </c>
      <c r="J296" s="166">
        <f t="shared" si="146"/>
        <v>25000000</v>
      </c>
      <c r="K296" s="229">
        <v>1</v>
      </c>
      <c r="L296" s="24" t="s">
        <v>38</v>
      </c>
      <c r="M296" s="25">
        <v>25000000</v>
      </c>
      <c r="N296" s="265">
        <f t="shared" si="148"/>
        <v>25000000</v>
      </c>
      <c r="O296" s="257">
        <f t="shared" si="149"/>
        <v>0</v>
      </c>
      <c r="P296" s="229">
        <v>1</v>
      </c>
      <c r="Q296" s="24" t="s">
        <v>38</v>
      </c>
      <c r="R296" s="25">
        <v>25000000</v>
      </c>
      <c r="S296" s="265">
        <f t="shared" si="150"/>
        <v>25000000</v>
      </c>
      <c r="T296" s="251">
        <f t="shared" si="137"/>
        <v>0</v>
      </c>
      <c r="U296" s="229">
        <v>1</v>
      </c>
      <c r="V296" s="24" t="s">
        <v>38</v>
      </c>
      <c r="W296" s="25">
        <v>25000000</v>
      </c>
      <c r="X296" s="265">
        <f t="shared" si="151"/>
        <v>25000000</v>
      </c>
      <c r="Y296" s="257">
        <f t="shared" ref="Y296:Y302" si="154">X296-S296</f>
        <v>0</v>
      </c>
      <c r="Z296" s="229">
        <v>1</v>
      </c>
      <c r="AA296" s="24" t="s">
        <v>38</v>
      </c>
      <c r="AB296" s="25">
        <v>25000000</v>
      </c>
      <c r="AC296" s="265">
        <f t="shared" si="152"/>
        <v>25000000</v>
      </c>
      <c r="AD296" s="257">
        <f t="shared" ref="AD296:AD302" si="155">AC296-X296</f>
        <v>0</v>
      </c>
      <c r="AE296" s="229">
        <v>1</v>
      </c>
      <c r="AF296" s="24" t="s">
        <v>38</v>
      </c>
      <c r="AG296" s="25">
        <v>25000000</v>
      </c>
      <c r="AH296" s="265">
        <f t="shared" si="153"/>
        <v>25000000</v>
      </c>
      <c r="AI296" s="257">
        <f t="shared" ref="AI296:AI302" si="156">AH296-AC296</f>
        <v>0</v>
      </c>
      <c r="AJ296" s="47"/>
      <c r="AK296" s="49"/>
    </row>
    <row r="297" spans="2:37" s="1" customFormat="1" ht="38.25" customHeight="1">
      <c r="B297" s="820"/>
      <c r="C297" s="745"/>
      <c r="D297" s="823"/>
      <c r="E297" s="23" t="s">
        <v>158</v>
      </c>
      <c r="F297" s="73" t="s">
        <v>159</v>
      </c>
      <c r="G297" s="294">
        <v>16</v>
      </c>
      <c r="H297" s="128" t="s">
        <v>160</v>
      </c>
      <c r="I297" s="131">
        <v>1500000</v>
      </c>
      <c r="J297" s="166">
        <f t="shared" si="146"/>
        <v>24000000</v>
      </c>
      <c r="K297" s="239">
        <v>16</v>
      </c>
      <c r="L297" s="71" t="s">
        <v>160</v>
      </c>
      <c r="M297" s="82">
        <v>1500000</v>
      </c>
      <c r="N297" s="265">
        <f t="shared" si="148"/>
        <v>24000000</v>
      </c>
      <c r="O297" s="257">
        <f t="shared" si="149"/>
        <v>0</v>
      </c>
      <c r="P297" s="239">
        <v>16</v>
      </c>
      <c r="Q297" s="71" t="s">
        <v>160</v>
      </c>
      <c r="R297" s="82">
        <v>1500000</v>
      </c>
      <c r="S297" s="265">
        <f t="shared" si="150"/>
        <v>24000000</v>
      </c>
      <c r="T297" s="251">
        <f t="shared" si="137"/>
        <v>0</v>
      </c>
      <c r="U297" s="239">
        <v>16</v>
      </c>
      <c r="V297" s="71" t="s">
        <v>160</v>
      </c>
      <c r="W297" s="82">
        <v>1500000</v>
      </c>
      <c r="X297" s="265">
        <f t="shared" si="151"/>
        <v>24000000</v>
      </c>
      <c r="Y297" s="257">
        <f t="shared" si="154"/>
        <v>0</v>
      </c>
      <c r="Z297" s="239">
        <v>16</v>
      </c>
      <c r="AA297" s="71" t="s">
        <v>160</v>
      </c>
      <c r="AB297" s="82">
        <v>1500000</v>
      </c>
      <c r="AC297" s="265">
        <f t="shared" si="152"/>
        <v>24000000</v>
      </c>
      <c r="AD297" s="257">
        <f t="shared" si="155"/>
        <v>0</v>
      </c>
      <c r="AE297" s="239">
        <v>16</v>
      </c>
      <c r="AF297" s="71" t="s">
        <v>160</v>
      </c>
      <c r="AG297" s="82">
        <v>1500000</v>
      </c>
      <c r="AH297" s="265">
        <f t="shared" si="153"/>
        <v>24000000</v>
      </c>
      <c r="AI297" s="257">
        <f t="shared" si="156"/>
        <v>0</v>
      </c>
      <c r="AJ297" s="47"/>
      <c r="AK297" s="49"/>
    </row>
    <row r="298" spans="2:37" s="1" customFormat="1" ht="38.25" customHeight="1">
      <c r="B298" s="820"/>
      <c r="C298" s="745"/>
      <c r="D298" s="823"/>
      <c r="E298" s="105" t="s">
        <v>421</v>
      </c>
      <c r="F298" s="201" t="s">
        <v>422</v>
      </c>
      <c r="G298" s="295"/>
      <c r="H298" s="296"/>
      <c r="I298" s="297"/>
      <c r="J298" s="182">
        <f t="shared" si="146"/>
        <v>0</v>
      </c>
      <c r="K298" s="240">
        <v>1</v>
      </c>
      <c r="L298" s="202" t="s">
        <v>204</v>
      </c>
      <c r="M298" s="203">
        <v>1500000</v>
      </c>
      <c r="N298" s="271">
        <f t="shared" si="148"/>
        <v>1500000</v>
      </c>
      <c r="O298" s="279">
        <f t="shared" si="149"/>
        <v>1500000</v>
      </c>
      <c r="P298" s="240">
        <v>1</v>
      </c>
      <c r="Q298" s="202" t="s">
        <v>204</v>
      </c>
      <c r="R298" s="203">
        <v>1500000</v>
      </c>
      <c r="S298" s="271">
        <f t="shared" si="150"/>
        <v>1500000</v>
      </c>
      <c r="T298" s="256">
        <f t="shared" si="137"/>
        <v>0</v>
      </c>
      <c r="U298" s="240">
        <v>1</v>
      </c>
      <c r="V298" s="202" t="s">
        <v>204</v>
      </c>
      <c r="W298" s="203">
        <v>1500000</v>
      </c>
      <c r="X298" s="271">
        <f t="shared" si="151"/>
        <v>1500000</v>
      </c>
      <c r="Y298" s="279">
        <f t="shared" si="154"/>
        <v>0</v>
      </c>
      <c r="Z298" s="240">
        <v>1</v>
      </c>
      <c r="AA298" s="202" t="s">
        <v>204</v>
      </c>
      <c r="AB298" s="203">
        <v>1500000</v>
      </c>
      <c r="AC298" s="271">
        <f t="shared" si="152"/>
        <v>1500000</v>
      </c>
      <c r="AD298" s="279">
        <f t="shared" si="155"/>
        <v>0</v>
      </c>
      <c r="AE298" s="240">
        <v>1</v>
      </c>
      <c r="AF298" s="202" t="s">
        <v>204</v>
      </c>
      <c r="AG298" s="203">
        <v>1500000</v>
      </c>
      <c r="AH298" s="271">
        <f t="shared" si="153"/>
        <v>1500000</v>
      </c>
      <c r="AI298" s="279">
        <f t="shared" si="156"/>
        <v>0</v>
      </c>
      <c r="AJ298" s="178"/>
      <c r="AK298" s="106" t="s">
        <v>442</v>
      </c>
    </row>
    <row r="299" spans="2:37" s="1" customFormat="1" ht="30.2" customHeight="1">
      <c r="B299" s="820"/>
      <c r="C299" s="745"/>
      <c r="D299" s="744" t="s">
        <v>161</v>
      </c>
      <c r="E299" s="747" t="s">
        <v>162</v>
      </c>
      <c r="F299" s="58" t="s">
        <v>163</v>
      </c>
      <c r="G299" s="162">
        <v>1</v>
      </c>
      <c r="H299" s="162" t="s">
        <v>156</v>
      </c>
      <c r="I299" s="163">
        <v>80000000</v>
      </c>
      <c r="J299" s="166">
        <f t="shared" si="146"/>
        <v>80000000</v>
      </c>
      <c r="K299" s="229">
        <v>1</v>
      </c>
      <c r="L299" s="24" t="s">
        <v>38</v>
      </c>
      <c r="M299" s="25">
        <v>80000000</v>
      </c>
      <c r="N299" s="265">
        <f t="shared" si="148"/>
        <v>80000000</v>
      </c>
      <c r="O299" s="257">
        <f t="shared" si="149"/>
        <v>0</v>
      </c>
      <c r="P299" s="229">
        <v>1</v>
      </c>
      <c r="Q299" s="24" t="s">
        <v>38</v>
      </c>
      <c r="R299" s="25">
        <v>80000000</v>
      </c>
      <c r="S299" s="265">
        <f t="shared" si="150"/>
        <v>80000000</v>
      </c>
      <c r="T299" s="251">
        <f t="shared" si="137"/>
        <v>0</v>
      </c>
      <c r="U299" s="229">
        <v>1</v>
      </c>
      <c r="V299" s="24" t="s">
        <v>38</v>
      </c>
      <c r="W299" s="25">
        <v>80000000</v>
      </c>
      <c r="X299" s="265">
        <f t="shared" si="151"/>
        <v>80000000</v>
      </c>
      <c r="Y299" s="257">
        <f t="shared" si="154"/>
        <v>0</v>
      </c>
      <c r="Z299" s="229">
        <v>1</v>
      </c>
      <c r="AA299" s="24" t="s">
        <v>38</v>
      </c>
      <c r="AB299" s="25">
        <v>80000000</v>
      </c>
      <c r="AC299" s="265">
        <f t="shared" si="152"/>
        <v>80000000</v>
      </c>
      <c r="AD299" s="257">
        <f t="shared" si="155"/>
        <v>0</v>
      </c>
      <c r="AE299" s="229">
        <v>1</v>
      </c>
      <c r="AF299" s="24" t="s">
        <v>38</v>
      </c>
      <c r="AG299" s="25">
        <v>80000000</v>
      </c>
      <c r="AH299" s="265">
        <f t="shared" si="153"/>
        <v>80000000</v>
      </c>
      <c r="AI299" s="257">
        <f t="shared" si="156"/>
        <v>0</v>
      </c>
      <c r="AJ299" s="47"/>
      <c r="AK299" s="600" t="s">
        <v>753</v>
      </c>
    </row>
    <row r="300" spans="2:37" s="1" customFormat="1" ht="30.2" customHeight="1">
      <c r="B300" s="820"/>
      <c r="C300" s="746"/>
      <c r="D300" s="746"/>
      <c r="E300" s="748"/>
      <c r="F300" s="456" t="s">
        <v>666</v>
      </c>
      <c r="G300" s="457"/>
      <c r="H300" s="457"/>
      <c r="I300" s="495"/>
      <c r="J300" s="450"/>
      <c r="K300" s="496">
        <v>1</v>
      </c>
      <c r="L300" s="460" t="s">
        <v>667</v>
      </c>
      <c r="M300" s="493">
        <v>12000000</v>
      </c>
      <c r="N300" s="453">
        <f t="shared" si="148"/>
        <v>12000000</v>
      </c>
      <c r="O300" s="454">
        <f t="shared" si="149"/>
        <v>12000000</v>
      </c>
      <c r="P300" s="496">
        <v>1</v>
      </c>
      <c r="Q300" s="460" t="s">
        <v>38</v>
      </c>
      <c r="R300" s="493">
        <v>12000000</v>
      </c>
      <c r="S300" s="453">
        <f t="shared" si="150"/>
        <v>12000000</v>
      </c>
      <c r="T300" s="509">
        <f t="shared" si="137"/>
        <v>0</v>
      </c>
      <c r="U300" s="496">
        <v>1</v>
      </c>
      <c r="V300" s="460" t="s">
        <v>38</v>
      </c>
      <c r="W300" s="493">
        <v>12000000</v>
      </c>
      <c r="X300" s="453">
        <f t="shared" si="151"/>
        <v>12000000</v>
      </c>
      <c r="Y300" s="454">
        <f t="shared" si="154"/>
        <v>0</v>
      </c>
      <c r="Z300" s="496">
        <v>1</v>
      </c>
      <c r="AA300" s="460" t="s">
        <v>38</v>
      </c>
      <c r="AB300" s="493">
        <v>12000000</v>
      </c>
      <c r="AC300" s="453">
        <f t="shared" si="152"/>
        <v>12000000</v>
      </c>
      <c r="AD300" s="454">
        <f t="shared" si="155"/>
        <v>0</v>
      </c>
      <c r="AE300" s="496">
        <v>1</v>
      </c>
      <c r="AF300" s="460" t="s">
        <v>38</v>
      </c>
      <c r="AG300" s="493">
        <v>12000000</v>
      </c>
      <c r="AH300" s="453">
        <f t="shared" si="153"/>
        <v>12000000</v>
      </c>
      <c r="AI300" s="454">
        <f t="shared" si="156"/>
        <v>0</v>
      </c>
      <c r="AJ300" s="497"/>
      <c r="AK300" s="438" t="s">
        <v>681</v>
      </c>
    </row>
    <row r="301" spans="2:37" ht="30.2" customHeight="1">
      <c r="B301" s="820"/>
      <c r="C301" s="424" t="s">
        <v>624</v>
      </c>
      <c r="D301" s="396" t="s">
        <v>620</v>
      </c>
      <c r="E301" s="384" t="s">
        <v>621</v>
      </c>
      <c r="F301" s="384" t="s">
        <v>622</v>
      </c>
      <c r="G301" s="396"/>
      <c r="H301" s="396"/>
      <c r="I301" s="396"/>
      <c r="J301" s="387"/>
      <c r="K301" s="425">
        <v>20</v>
      </c>
      <c r="L301" s="426" t="s">
        <v>623</v>
      </c>
      <c r="M301" s="426">
        <v>400000</v>
      </c>
      <c r="N301" s="391">
        <f>K301*M301</f>
        <v>8000000</v>
      </c>
      <c r="O301" s="427">
        <f>N301-J301</f>
        <v>8000000</v>
      </c>
      <c r="P301" s="540">
        <v>8</v>
      </c>
      <c r="Q301" s="541" t="s">
        <v>623</v>
      </c>
      <c r="R301" s="541">
        <v>400000</v>
      </c>
      <c r="S301" s="527">
        <f>P301*R301</f>
        <v>3200000</v>
      </c>
      <c r="T301" s="545">
        <f t="shared" si="137"/>
        <v>-4800000</v>
      </c>
      <c r="U301" s="540">
        <v>8</v>
      </c>
      <c r="V301" s="541" t="s">
        <v>623</v>
      </c>
      <c r="W301" s="541">
        <v>400000</v>
      </c>
      <c r="X301" s="527">
        <f>U301*W301</f>
        <v>3200000</v>
      </c>
      <c r="Y301" s="542">
        <f t="shared" si="154"/>
        <v>0</v>
      </c>
      <c r="Z301" s="540">
        <v>8</v>
      </c>
      <c r="AA301" s="541" t="s">
        <v>623</v>
      </c>
      <c r="AB301" s="541">
        <v>400000</v>
      </c>
      <c r="AC301" s="527">
        <f>Z301*AB301</f>
        <v>3200000</v>
      </c>
      <c r="AD301" s="542">
        <f t="shared" si="155"/>
        <v>0</v>
      </c>
      <c r="AE301" s="540">
        <v>8</v>
      </c>
      <c r="AF301" s="541" t="s">
        <v>204</v>
      </c>
      <c r="AG301" s="541">
        <v>400000</v>
      </c>
      <c r="AH301" s="527">
        <f>AE301*AG301</f>
        <v>3200000</v>
      </c>
      <c r="AI301" s="542">
        <f t="shared" si="156"/>
        <v>0</v>
      </c>
      <c r="AJ301" s="559"/>
      <c r="AK301" s="560"/>
    </row>
    <row r="302" spans="2:37" ht="30.2" customHeight="1">
      <c r="B302" s="820"/>
      <c r="C302" s="707" t="s">
        <v>55</v>
      </c>
      <c r="D302" s="708"/>
      <c r="E302" s="708"/>
      <c r="F302" s="708"/>
      <c r="G302" s="708"/>
      <c r="H302" s="708"/>
      <c r="I302" s="709"/>
      <c r="J302" s="167">
        <f>SUM(J294:J299)</f>
        <v>164000000</v>
      </c>
      <c r="K302" s="713"/>
      <c r="L302" s="714"/>
      <c r="M302" s="715"/>
      <c r="N302" s="272">
        <f>SUM(N294:N301)</f>
        <v>190500000</v>
      </c>
      <c r="O302" s="278">
        <f>SUM(O294:O301)</f>
        <v>26500000</v>
      </c>
      <c r="P302" s="713"/>
      <c r="Q302" s="714"/>
      <c r="R302" s="715"/>
      <c r="S302" s="272">
        <f>SUM(S294:S301)</f>
        <v>185700000</v>
      </c>
      <c r="T302" s="543">
        <f t="shared" si="137"/>
        <v>-4800000</v>
      </c>
      <c r="U302" s="713"/>
      <c r="V302" s="714"/>
      <c r="W302" s="715"/>
      <c r="X302" s="272">
        <f>SUM(X294:X301)</f>
        <v>185700000</v>
      </c>
      <c r="Y302" s="278">
        <f t="shared" si="154"/>
        <v>0</v>
      </c>
      <c r="Z302" s="713"/>
      <c r="AA302" s="714"/>
      <c r="AB302" s="715"/>
      <c r="AC302" s="272">
        <f>SUM(AC294:AC301)</f>
        <v>185700000</v>
      </c>
      <c r="AD302" s="278">
        <f t="shared" si="155"/>
        <v>0</v>
      </c>
      <c r="AE302" s="713"/>
      <c r="AF302" s="714"/>
      <c r="AG302" s="715"/>
      <c r="AH302" s="272">
        <f>SUM(AH294:AH301)</f>
        <v>185700000</v>
      </c>
      <c r="AI302" s="278">
        <f t="shared" si="156"/>
        <v>0</v>
      </c>
      <c r="AJ302" s="207"/>
      <c r="AK302" s="33"/>
    </row>
    <row r="303" spans="2:37" ht="30.2" customHeight="1">
      <c r="B303" s="749" t="s">
        <v>69</v>
      </c>
      <c r="C303" s="750"/>
      <c r="D303" s="750"/>
      <c r="E303" s="750"/>
      <c r="F303" s="750"/>
      <c r="G303" s="750"/>
      <c r="H303" s="750"/>
      <c r="I303" s="751"/>
      <c r="J303" s="161">
        <f>SUM(J293,J302)</f>
        <v>319500000</v>
      </c>
      <c r="K303" s="736"/>
      <c r="L303" s="737"/>
      <c r="M303" s="738"/>
      <c r="N303" s="266">
        <f>N293+N302</f>
        <v>346000000</v>
      </c>
      <c r="O303" s="308">
        <f>O293+O302</f>
        <v>26500000</v>
      </c>
      <c r="P303" s="736"/>
      <c r="Q303" s="737"/>
      <c r="R303" s="738"/>
      <c r="S303" s="266">
        <f>S293+S302</f>
        <v>341200000</v>
      </c>
      <c r="T303" s="244">
        <f t="shared" si="137"/>
        <v>-4800000</v>
      </c>
      <c r="U303" s="736"/>
      <c r="V303" s="737"/>
      <c r="W303" s="738"/>
      <c r="X303" s="266">
        <f>X293+X302</f>
        <v>341200000</v>
      </c>
      <c r="Y303" s="308">
        <f>Y293+Y302</f>
        <v>0</v>
      </c>
      <c r="Z303" s="736"/>
      <c r="AA303" s="737"/>
      <c r="AB303" s="738"/>
      <c r="AC303" s="266">
        <f>AC293+AC302</f>
        <v>341200000</v>
      </c>
      <c r="AD303" s="308">
        <f>AD293+AD302</f>
        <v>0</v>
      </c>
      <c r="AE303" s="736"/>
      <c r="AF303" s="737"/>
      <c r="AG303" s="738"/>
      <c r="AH303" s="266">
        <f>AH293+AH302</f>
        <v>341200000</v>
      </c>
      <c r="AI303" s="308">
        <f>AI293+AI302</f>
        <v>0</v>
      </c>
      <c r="AJ303" s="205"/>
      <c r="AK303" s="57"/>
    </row>
    <row r="304" spans="2:37" ht="30.2" customHeight="1">
      <c r="B304" s="819" t="s">
        <v>70</v>
      </c>
      <c r="C304" s="824" t="s">
        <v>168</v>
      </c>
      <c r="D304" s="823" t="s">
        <v>169</v>
      </c>
      <c r="E304" s="27" t="s">
        <v>164</v>
      </c>
      <c r="F304" s="28" t="s">
        <v>165</v>
      </c>
      <c r="G304" s="298">
        <v>1</v>
      </c>
      <c r="H304" s="298" t="s">
        <v>166</v>
      </c>
      <c r="I304" s="299">
        <v>8000000</v>
      </c>
      <c r="J304" s="166">
        <f>G304*I304</f>
        <v>8000000</v>
      </c>
      <c r="K304" s="237">
        <v>1</v>
      </c>
      <c r="L304" s="26" t="s">
        <v>166</v>
      </c>
      <c r="M304" s="42">
        <v>8000000</v>
      </c>
      <c r="N304" s="265">
        <f>K304*M304</f>
        <v>8000000</v>
      </c>
      <c r="O304" s="257">
        <f>N304-J304</f>
        <v>0</v>
      </c>
      <c r="P304" s="237">
        <v>1</v>
      </c>
      <c r="Q304" s="26" t="s">
        <v>166</v>
      </c>
      <c r="R304" s="42">
        <v>8000000</v>
      </c>
      <c r="S304" s="265">
        <f>P304*R304</f>
        <v>8000000</v>
      </c>
      <c r="T304" s="251">
        <f t="shared" si="137"/>
        <v>0</v>
      </c>
      <c r="U304" s="237">
        <v>1</v>
      </c>
      <c r="V304" s="26" t="s">
        <v>166</v>
      </c>
      <c r="W304" s="42">
        <v>8000000</v>
      </c>
      <c r="X304" s="265">
        <f>U304*W304</f>
        <v>8000000</v>
      </c>
      <c r="Y304" s="257">
        <f t="shared" ref="Y304:Y312" si="157">X304-S304</f>
        <v>0</v>
      </c>
      <c r="Z304" s="237">
        <v>1</v>
      </c>
      <c r="AA304" s="26" t="s">
        <v>166</v>
      </c>
      <c r="AB304" s="42">
        <v>8000000</v>
      </c>
      <c r="AC304" s="265">
        <f>Z304*AB304</f>
        <v>8000000</v>
      </c>
      <c r="AD304" s="257">
        <f t="shared" ref="AD304:AD312" si="158">AC304-X304</f>
        <v>0</v>
      </c>
      <c r="AE304" s="618">
        <v>1</v>
      </c>
      <c r="AF304" s="650" t="s">
        <v>166</v>
      </c>
      <c r="AG304" s="651">
        <v>2758000</v>
      </c>
      <c r="AH304" s="620">
        <f>AE304*AG304</f>
        <v>2758000</v>
      </c>
      <c r="AI304" s="621">
        <f t="shared" ref="AI304:AI312" si="159">AH304-AC304</f>
        <v>-5242000</v>
      </c>
      <c r="AJ304" s="656"/>
      <c r="AK304" s="622" t="s">
        <v>774</v>
      </c>
    </row>
    <row r="305" spans="2:39" ht="30.2" customHeight="1">
      <c r="B305" s="820"/>
      <c r="C305" s="825"/>
      <c r="D305" s="823"/>
      <c r="E305" s="43" t="s">
        <v>167</v>
      </c>
      <c r="F305" s="44" t="s">
        <v>167</v>
      </c>
      <c r="G305" s="298">
        <v>1</v>
      </c>
      <c r="H305" s="298" t="s">
        <v>166</v>
      </c>
      <c r="I305" s="300">
        <v>5000000</v>
      </c>
      <c r="J305" s="304">
        <f>G305*I305</f>
        <v>5000000</v>
      </c>
      <c r="K305" s="237">
        <v>1</v>
      </c>
      <c r="L305" s="281" t="s">
        <v>166</v>
      </c>
      <c r="M305" s="25">
        <v>5000000</v>
      </c>
      <c r="N305" s="265">
        <f>K305*M305</f>
        <v>5000000</v>
      </c>
      <c r="O305" s="257">
        <f>N305-J305</f>
        <v>0</v>
      </c>
      <c r="P305" s="237">
        <v>1</v>
      </c>
      <c r="Q305" s="281" t="s">
        <v>166</v>
      </c>
      <c r="R305" s="25">
        <v>5000000</v>
      </c>
      <c r="S305" s="265">
        <f>P305*R305</f>
        <v>5000000</v>
      </c>
      <c r="T305" s="251">
        <f t="shared" si="137"/>
        <v>0</v>
      </c>
      <c r="U305" s="237">
        <v>1</v>
      </c>
      <c r="V305" s="281" t="s">
        <v>166</v>
      </c>
      <c r="W305" s="25">
        <v>5000000</v>
      </c>
      <c r="X305" s="265">
        <f>U305*W305</f>
        <v>5000000</v>
      </c>
      <c r="Y305" s="257">
        <f t="shared" si="157"/>
        <v>0</v>
      </c>
      <c r="Z305" s="237">
        <v>1</v>
      </c>
      <c r="AA305" s="281" t="s">
        <v>166</v>
      </c>
      <c r="AB305" s="25">
        <v>5000000</v>
      </c>
      <c r="AC305" s="265">
        <f>Z305*AB305</f>
        <v>5000000</v>
      </c>
      <c r="AD305" s="257">
        <f t="shared" si="158"/>
        <v>0</v>
      </c>
      <c r="AE305" s="618">
        <v>0</v>
      </c>
      <c r="AF305" s="653" t="s">
        <v>166</v>
      </c>
      <c r="AG305" s="654">
        <v>5000000</v>
      </c>
      <c r="AH305" s="620">
        <f>AE305*AG305</f>
        <v>0</v>
      </c>
      <c r="AI305" s="621">
        <f t="shared" si="159"/>
        <v>-5000000</v>
      </c>
      <c r="AJ305" s="644"/>
      <c r="AK305" s="657" t="s">
        <v>772</v>
      </c>
    </row>
    <row r="306" spans="2:39" ht="30.2" customHeight="1">
      <c r="B306" s="820"/>
      <c r="C306" s="825"/>
      <c r="D306" s="823"/>
      <c r="E306" s="648" t="s">
        <v>769</v>
      </c>
      <c r="F306" s="649" t="s">
        <v>770</v>
      </c>
      <c r="G306" s="650"/>
      <c r="H306" s="650" t="s">
        <v>166</v>
      </c>
      <c r="I306" s="651"/>
      <c r="J306" s="652">
        <f>G306*I306</f>
        <v>0</v>
      </c>
      <c r="K306" s="618"/>
      <c r="L306" s="653" t="s">
        <v>166</v>
      </c>
      <c r="M306" s="654"/>
      <c r="N306" s="620">
        <f>K306*M306</f>
        <v>0</v>
      </c>
      <c r="O306" s="621">
        <f>N306-J306</f>
        <v>0</v>
      </c>
      <c r="P306" s="618"/>
      <c r="Q306" s="653" t="s">
        <v>166</v>
      </c>
      <c r="R306" s="654"/>
      <c r="S306" s="620">
        <f>P306*R306</f>
        <v>0</v>
      </c>
      <c r="T306" s="655">
        <f t="shared" ref="T306:T307" si="160">S306-N306</f>
        <v>0</v>
      </c>
      <c r="U306" s="618"/>
      <c r="V306" s="653" t="s">
        <v>166</v>
      </c>
      <c r="W306" s="654"/>
      <c r="X306" s="620">
        <f>U306*W306</f>
        <v>0</v>
      </c>
      <c r="Y306" s="621">
        <f t="shared" ref="Y306:Y307" si="161">X306-S306</f>
        <v>0</v>
      </c>
      <c r="Z306" s="618"/>
      <c r="AA306" s="653" t="s">
        <v>166</v>
      </c>
      <c r="AB306" s="654"/>
      <c r="AC306" s="620">
        <f>Z306*AB306</f>
        <v>0</v>
      </c>
      <c r="AD306" s="621">
        <f t="shared" ref="AD306:AD307" si="162">AC306-X306</f>
        <v>0</v>
      </c>
      <c r="AE306" s="618">
        <v>1</v>
      </c>
      <c r="AF306" s="653" t="s">
        <v>166</v>
      </c>
      <c r="AG306" s="654">
        <v>360550</v>
      </c>
      <c r="AH306" s="620">
        <f>AE306*AG306</f>
        <v>360550</v>
      </c>
      <c r="AI306" s="621">
        <f t="shared" ref="AI306:AI307" si="163">AH306-AC306</f>
        <v>360550</v>
      </c>
      <c r="AJ306" s="656"/>
      <c r="AK306" s="657" t="s">
        <v>773</v>
      </c>
      <c r="AL306" s="645"/>
      <c r="AM306" s="640"/>
    </row>
    <row r="307" spans="2:39" ht="30.2" customHeight="1">
      <c r="B307" s="820"/>
      <c r="C307" s="825"/>
      <c r="D307" s="823"/>
      <c r="E307" s="648" t="s">
        <v>167</v>
      </c>
      <c r="F307" s="649" t="s">
        <v>167</v>
      </c>
      <c r="G307" s="650"/>
      <c r="H307" s="650" t="s">
        <v>166</v>
      </c>
      <c r="I307" s="651"/>
      <c r="J307" s="652">
        <f>G307*I307</f>
        <v>0</v>
      </c>
      <c r="K307" s="618"/>
      <c r="L307" s="653" t="s">
        <v>166</v>
      </c>
      <c r="M307" s="654"/>
      <c r="N307" s="620">
        <f>K307*M307</f>
        <v>0</v>
      </c>
      <c r="O307" s="621">
        <f>N307-J307</f>
        <v>0</v>
      </c>
      <c r="P307" s="618"/>
      <c r="Q307" s="653" t="s">
        <v>166</v>
      </c>
      <c r="R307" s="654"/>
      <c r="S307" s="620">
        <f>P307*R307</f>
        <v>0</v>
      </c>
      <c r="T307" s="655">
        <f t="shared" si="160"/>
        <v>0</v>
      </c>
      <c r="U307" s="618"/>
      <c r="V307" s="653" t="s">
        <v>166</v>
      </c>
      <c r="W307" s="654"/>
      <c r="X307" s="620">
        <f>U307*W307</f>
        <v>0</v>
      </c>
      <c r="Y307" s="621">
        <f t="shared" si="161"/>
        <v>0</v>
      </c>
      <c r="Z307" s="618"/>
      <c r="AA307" s="653" t="s">
        <v>166</v>
      </c>
      <c r="AB307" s="654"/>
      <c r="AC307" s="620">
        <f>Z307*AB307</f>
        <v>0</v>
      </c>
      <c r="AD307" s="621">
        <f t="shared" si="162"/>
        <v>0</v>
      </c>
      <c r="AE307" s="618">
        <v>1</v>
      </c>
      <c r="AF307" s="653" t="s">
        <v>166</v>
      </c>
      <c r="AG307" s="654">
        <v>24230</v>
      </c>
      <c r="AH307" s="620">
        <f>AE307*AG307</f>
        <v>24230</v>
      </c>
      <c r="AI307" s="621">
        <f t="shared" si="163"/>
        <v>24230</v>
      </c>
      <c r="AJ307" s="656"/>
      <c r="AK307" s="657" t="s">
        <v>773</v>
      </c>
      <c r="AL307" s="645"/>
      <c r="AM307" s="640"/>
    </row>
    <row r="308" spans="2:39" ht="30.2" customHeight="1">
      <c r="B308" s="820"/>
      <c r="C308" s="826"/>
      <c r="D308" s="823"/>
      <c r="E308" s="648" t="s">
        <v>611</v>
      </c>
      <c r="F308" s="649" t="s">
        <v>612</v>
      </c>
      <c r="G308" s="650"/>
      <c r="H308" s="653"/>
      <c r="I308" s="654"/>
      <c r="J308" s="658"/>
      <c r="K308" s="659">
        <v>1</v>
      </c>
      <c r="L308" s="653" t="s">
        <v>166</v>
      </c>
      <c r="M308" s="654">
        <v>5000000</v>
      </c>
      <c r="N308" s="620">
        <f>K308*M308</f>
        <v>5000000</v>
      </c>
      <c r="O308" s="660">
        <f>N308-J308</f>
        <v>5000000</v>
      </c>
      <c r="P308" s="659">
        <v>1</v>
      </c>
      <c r="Q308" s="653" t="s">
        <v>166</v>
      </c>
      <c r="R308" s="654">
        <v>5000000</v>
      </c>
      <c r="S308" s="620">
        <f>P308*R308</f>
        <v>5000000</v>
      </c>
      <c r="T308" s="655">
        <f t="shared" si="137"/>
        <v>0</v>
      </c>
      <c r="U308" s="659">
        <v>1</v>
      </c>
      <c r="V308" s="653" t="s">
        <v>166</v>
      </c>
      <c r="W308" s="654">
        <v>5000000</v>
      </c>
      <c r="X308" s="620">
        <f>U308*W308</f>
        <v>5000000</v>
      </c>
      <c r="Y308" s="660">
        <f t="shared" si="157"/>
        <v>0</v>
      </c>
      <c r="Z308" s="659">
        <v>1</v>
      </c>
      <c r="AA308" s="653" t="s">
        <v>166</v>
      </c>
      <c r="AB308" s="654">
        <v>5000000</v>
      </c>
      <c r="AC308" s="620">
        <f>Z308*AB308</f>
        <v>5000000</v>
      </c>
      <c r="AD308" s="660">
        <f t="shared" si="158"/>
        <v>0</v>
      </c>
      <c r="AE308" s="659">
        <v>1</v>
      </c>
      <c r="AF308" s="653" t="s">
        <v>166</v>
      </c>
      <c r="AG308" s="654">
        <v>3999871</v>
      </c>
      <c r="AH308" s="620">
        <f>AE308*AG308</f>
        <v>3999871</v>
      </c>
      <c r="AI308" s="660">
        <f t="shared" si="159"/>
        <v>-1000129</v>
      </c>
      <c r="AJ308" s="619"/>
      <c r="AK308" s="657" t="s">
        <v>771</v>
      </c>
      <c r="AL308" s="645"/>
      <c r="AM308" s="640"/>
    </row>
    <row r="309" spans="2:39" ht="30.2" customHeight="1">
      <c r="B309" s="820"/>
      <c r="C309" s="707" t="s">
        <v>55</v>
      </c>
      <c r="D309" s="708"/>
      <c r="E309" s="708"/>
      <c r="F309" s="708"/>
      <c r="G309" s="708"/>
      <c r="H309" s="708"/>
      <c r="I309" s="709"/>
      <c r="J309" s="167">
        <f>SUM(J304:J305)</f>
        <v>13000000</v>
      </c>
      <c r="K309" s="761"/>
      <c r="L309" s="762"/>
      <c r="M309" s="763"/>
      <c r="N309" s="272">
        <f>SUM(N304:N305)</f>
        <v>13000000</v>
      </c>
      <c r="O309" s="272">
        <f>SUM(O304:O305)</f>
        <v>0</v>
      </c>
      <c r="P309" s="761"/>
      <c r="Q309" s="762"/>
      <c r="R309" s="763"/>
      <c r="S309" s="272">
        <f>SUM(S304:S305)</f>
        <v>13000000</v>
      </c>
      <c r="T309" s="543">
        <f t="shared" si="137"/>
        <v>0</v>
      </c>
      <c r="U309" s="761"/>
      <c r="V309" s="762"/>
      <c r="W309" s="763"/>
      <c r="X309" s="272">
        <f>SUM(X304:X305)</f>
        <v>13000000</v>
      </c>
      <c r="Y309" s="272">
        <f t="shared" si="157"/>
        <v>0</v>
      </c>
      <c r="Z309" s="761"/>
      <c r="AA309" s="762"/>
      <c r="AB309" s="763"/>
      <c r="AC309" s="272">
        <f>SUM(AC304:AC305)</f>
        <v>13000000</v>
      </c>
      <c r="AD309" s="272">
        <f t="shared" si="158"/>
        <v>0</v>
      </c>
      <c r="AE309" s="761"/>
      <c r="AF309" s="762"/>
      <c r="AG309" s="763"/>
      <c r="AH309" s="272">
        <f>SUM(AH304:AH308)</f>
        <v>7142651</v>
      </c>
      <c r="AI309" s="272">
        <f>AH309-AC309</f>
        <v>-5857349</v>
      </c>
      <c r="AJ309" s="207"/>
      <c r="AK309" s="33"/>
      <c r="AL309" s="640"/>
      <c r="AM309" s="640"/>
    </row>
    <row r="310" spans="2:39" ht="30.2" customHeight="1">
      <c r="B310" s="820"/>
      <c r="C310" s="49" t="s">
        <v>170</v>
      </c>
      <c r="D310" s="49" t="s">
        <v>173</v>
      </c>
      <c r="E310" s="43" t="s">
        <v>172</v>
      </c>
      <c r="F310" s="45" t="s">
        <v>171</v>
      </c>
      <c r="G310" s="301">
        <v>1</v>
      </c>
      <c r="H310" s="302" t="s">
        <v>166</v>
      </c>
      <c r="I310" s="303">
        <v>10000000</v>
      </c>
      <c r="J310" s="304">
        <f>G310*I310</f>
        <v>10000000</v>
      </c>
      <c r="K310" s="241">
        <v>1</v>
      </c>
      <c r="L310" s="30" t="s">
        <v>166</v>
      </c>
      <c r="M310" s="54">
        <v>10000000</v>
      </c>
      <c r="N310" s="265">
        <f>K310*M310</f>
        <v>10000000</v>
      </c>
      <c r="O310" s="257">
        <f>N310-J310</f>
        <v>0</v>
      </c>
      <c r="P310" s="241">
        <v>1</v>
      </c>
      <c r="Q310" s="30" t="s">
        <v>166</v>
      </c>
      <c r="R310" s="54">
        <v>10000000</v>
      </c>
      <c r="S310" s="265">
        <f>P310*R310</f>
        <v>10000000</v>
      </c>
      <c r="T310" s="251">
        <f t="shared" si="137"/>
        <v>0</v>
      </c>
      <c r="U310" s="241">
        <v>1</v>
      </c>
      <c r="V310" s="30" t="s">
        <v>166</v>
      </c>
      <c r="W310" s="54">
        <v>10000000</v>
      </c>
      <c r="X310" s="265">
        <f>U310*W310</f>
        <v>10000000</v>
      </c>
      <c r="Y310" s="257">
        <f t="shared" si="157"/>
        <v>0</v>
      </c>
      <c r="Z310" s="241">
        <v>1</v>
      </c>
      <c r="AA310" s="30" t="s">
        <v>166</v>
      </c>
      <c r="AB310" s="54">
        <v>10000000</v>
      </c>
      <c r="AC310" s="265">
        <f>Z310*AB310</f>
        <v>10000000</v>
      </c>
      <c r="AD310" s="257">
        <f t="shared" si="158"/>
        <v>0</v>
      </c>
      <c r="AE310" s="241">
        <v>1</v>
      </c>
      <c r="AF310" s="30" t="s">
        <v>166</v>
      </c>
      <c r="AG310" s="54">
        <v>10000000</v>
      </c>
      <c r="AH310" s="265">
        <f>AE310*AG310</f>
        <v>10000000</v>
      </c>
      <c r="AI310" s="257">
        <f t="shared" si="159"/>
        <v>0</v>
      </c>
      <c r="AJ310" s="18"/>
      <c r="AK310" s="49"/>
    </row>
    <row r="311" spans="2:39" ht="30.2" customHeight="1">
      <c r="B311" s="820"/>
      <c r="C311" s="744" t="s">
        <v>328</v>
      </c>
      <c r="D311" s="59" t="s">
        <v>331</v>
      </c>
      <c r="E311" s="23" t="s">
        <v>329</v>
      </c>
      <c r="F311" s="58" t="s">
        <v>326</v>
      </c>
      <c r="G311" s="141">
        <v>1</v>
      </c>
      <c r="H311" s="162" t="s">
        <v>38</v>
      </c>
      <c r="I311" s="163">
        <v>10000000</v>
      </c>
      <c r="J311" s="304">
        <f>G311*I311</f>
        <v>10000000</v>
      </c>
      <c r="K311" s="241">
        <v>1</v>
      </c>
      <c r="L311" s="24" t="s">
        <v>38</v>
      </c>
      <c r="M311" s="25">
        <v>10000000</v>
      </c>
      <c r="N311" s="265">
        <f>K311*M311</f>
        <v>10000000</v>
      </c>
      <c r="O311" s="257">
        <f>N311-J311</f>
        <v>0</v>
      </c>
      <c r="P311" s="241">
        <v>1</v>
      </c>
      <c r="Q311" s="24" t="s">
        <v>38</v>
      </c>
      <c r="R311" s="25">
        <v>10000000</v>
      </c>
      <c r="S311" s="265">
        <f>P311*R311</f>
        <v>10000000</v>
      </c>
      <c r="T311" s="251">
        <f t="shared" si="137"/>
        <v>0</v>
      </c>
      <c r="U311" s="241">
        <v>1</v>
      </c>
      <c r="V311" s="24" t="s">
        <v>38</v>
      </c>
      <c r="W311" s="25">
        <v>10000000</v>
      </c>
      <c r="X311" s="265">
        <f>U311*W311</f>
        <v>10000000</v>
      </c>
      <c r="Y311" s="257">
        <f t="shared" si="157"/>
        <v>0</v>
      </c>
      <c r="Z311" s="241">
        <v>1</v>
      </c>
      <c r="AA311" s="24" t="s">
        <v>38</v>
      </c>
      <c r="AB311" s="25">
        <v>10000000</v>
      </c>
      <c r="AC311" s="265">
        <f>Z311*AB311</f>
        <v>10000000</v>
      </c>
      <c r="AD311" s="257">
        <f t="shared" si="158"/>
        <v>0</v>
      </c>
      <c r="AE311" s="241">
        <v>1</v>
      </c>
      <c r="AF311" s="24" t="s">
        <v>38</v>
      </c>
      <c r="AG311" s="25">
        <v>10000000</v>
      </c>
      <c r="AH311" s="265">
        <f>AE311*AG311</f>
        <v>10000000</v>
      </c>
      <c r="AI311" s="257">
        <f t="shared" si="159"/>
        <v>0</v>
      </c>
      <c r="AJ311" s="18"/>
      <c r="AK311" s="59"/>
    </row>
    <row r="312" spans="2:39" ht="30.2" customHeight="1">
      <c r="B312" s="820"/>
      <c r="C312" s="746"/>
      <c r="D312" s="59" t="s">
        <v>330</v>
      </c>
      <c r="E312" s="23" t="s">
        <v>330</v>
      </c>
      <c r="F312" s="58" t="s">
        <v>327</v>
      </c>
      <c r="G312" s="141">
        <v>1</v>
      </c>
      <c r="H312" s="162" t="s">
        <v>38</v>
      </c>
      <c r="I312" s="163">
        <v>5000000</v>
      </c>
      <c r="J312" s="166">
        <f>G312*I312</f>
        <v>5000000</v>
      </c>
      <c r="K312" s="237">
        <v>1</v>
      </c>
      <c r="L312" s="24" t="s">
        <v>38</v>
      </c>
      <c r="M312" s="25">
        <v>5000000</v>
      </c>
      <c r="N312" s="265">
        <f>K312*M312</f>
        <v>5000000</v>
      </c>
      <c r="O312" s="257">
        <f>N312-J312</f>
        <v>0</v>
      </c>
      <c r="P312" s="237">
        <v>1</v>
      </c>
      <c r="Q312" s="24" t="s">
        <v>38</v>
      </c>
      <c r="R312" s="25">
        <v>5000000</v>
      </c>
      <c r="S312" s="265">
        <f>P312*R312</f>
        <v>5000000</v>
      </c>
      <c r="T312" s="251">
        <f t="shared" si="137"/>
        <v>0</v>
      </c>
      <c r="U312" s="237">
        <v>1</v>
      </c>
      <c r="V312" s="24" t="s">
        <v>38</v>
      </c>
      <c r="W312" s="25">
        <v>5000000</v>
      </c>
      <c r="X312" s="265">
        <f>U312*W312</f>
        <v>5000000</v>
      </c>
      <c r="Y312" s="257">
        <f t="shared" si="157"/>
        <v>0</v>
      </c>
      <c r="Z312" s="237">
        <v>1</v>
      </c>
      <c r="AA312" s="24" t="s">
        <v>38</v>
      </c>
      <c r="AB312" s="25">
        <v>5000000</v>
      </c>
      <c r="AC312" s="265">
        <f>Z312*AB312</f>
        <v>5000000</v>
      </c>
      <c r="AD312" s="257">
        <f t="shared" si="158"/>
        <v>0</v>
      </c>
      <c r="AE312" s="237">
        <v>1</v>
      </c>
      <c r="AF312" s="24" t="s">
        <v>38</v>
      </c>
      <c r="AG312" s="25">
        <v>5000000</v>
      </c>
      <c r="AH312" s="265">
        <f>AE312*AG312</f>
        <v>5000000</v>
      </c>
      <c r="AI312" s="257">
        <f t="shared" si="159"/>
        <v>0</v>
      </c>
      <c r="AJ312" s="18"/>
      <c r="AK312" s="59"/>
    </row>
    <row r="313" spans="2:39" ht="30.2" customHeight="1">
      <c r="B313" s="820"/>
      <c r="C313" s="707" t="s">
        <v>55</v>
      </c>
      <c r="D313" s="708"/>
      <c r="E313" s="708"/>
      <c r="F313" s="708"/>
      <c r="G313" s="708"/>
      <c r="H313" s="708"/>
      <c r="I313" s="709"/>
      <c r="J313" s="167">
        <f>SUM(J310:J312)</f>
        <v>25000000</v>
      </c>
      <c r="K313" s="713"/>
      <c r="L313" s="714"/>
      <c r="M313" s="715"/>
      <c r="N313" s="272">
        <f>SUM(N310:N312)</f>
        <v>25000000</v>
      </c>
      <c r="O313" s="272">
        <f>SUM(O310:O312)</f>
        <v>0</v>
      </c>
      <c r="P313" s="713"/>
      <c r="Q313" s="714"/>
      <c r="R313" s="715"/>
      <c r="S313" s="272">
        <f>SUM(S310:S312)</f>
        <v>25000000</v>
      </c>
      <c r="T313" s="543">
        <f t="shared" si="137"/>
        <v>0</v>
      </c>
      <c r="U313" s="713"/>
      <c r="V313" s="714"/>
      <c r="W313" s="715"/>
      <c r="X313" s="272">
        <f>SUM(X310:X312)</f>
        <v>25000000</v>
      </c>
      <c r="Y313" s="272">
        <f>SUM(Y310:Y312)</f>
        <v>0</v>
      </c>
      <c r="Z313" s="713"/>
      <c r="AA313" s="714"/>
      <c r="AB313" s="715"/>
      <c r="AC313" s="272">
        <f>SUM(AC310:AC312)</f>
        <v>25000000</v>
      </c>
      <c r="AD313" s="272">
        <f>SUM(AD310:AD312)</f>
        <v>0</v>
      </c>
      <c r="AE313" s="713"/>
      <c r="AF313" s="714"/>
      <c r="AG313" s="715"/>
      <c r="AH313" s="272">
        <f>SUM(AH310:AH312)</f>
        <v>25000000</v>
      </c>
      <c r="AI313" s="272">
        <f>SUM(AI310:AI312)</f>
        <v>0</v>
      </c>
      <c r="AJ313" s="207"/>
      <c r="AK313" s="33"/>
    </row>
    <row r="314" spans="2:39" s="640" customFormat="1" ht="30.2" customHeight="1">
      <c r="B314" s="820"/>
      <c r="C314" s="824" t="s">
        <v>174</v>
      </c>
      <c r="D314" s="628" t="s">
        <v>175</v>
      </c>
      <c r="E314" s="629" t="s">
        <v>177</v>
      </c>
      <c r="F314" s="629" t="s">
        <v>178</v>
      </c>
      <c r="G314" s="630">
        <v>1000</v>
      </c>
      <c r="H314" s="630" t="s">
        <v>22</v>
      </c>
      <c r="I314" s="631">
        <v>6000</v>
      </c>
      <c r="J314" s="632">
        <f t="shared" ref="J314:J336" si="164">G314*I314</f>
        <v>6000000</v>
      </c>
      <c r="K314" s="633">
        <v>1000</v>
      </c>
      <c r="L314" s="634" t="s">
        <v>22</v>
      </c>
      <c r="M314" s="635">
        <v>6000</v>
      </c>
      <c r="N314" s="636">
        <f>K314*M314</f>
        <v>6000000</v>
      </c>
      <c r="O314" s="637">
        <f>N314-J314</f>
        <v>0</v>
      </c>
      <c r="P314" s="633">
        <v>1000</v>
      </c>
      <c r="Q314" s="634" t="s">
        <v>22</v>
      </c>
      <c r="R314" s="635">
        <v>6000</v>
      </c>
      <c r="S314" s="636">
        <f t="shared" ref="S314:S336" si="165">P314*R314</f>
        <v>6000000</v>
      </c>
      <c r="T314" s="638">
        <f t="shared" si="137"/>
        <v>0</v>
      </c>
      <c r="U314" s="633">
        <v>1000</v>
      </c>
      <c r="V314" s="634" t="s">
        <v>22</v>
      </c>
      <c r="W314" s="635">
        <v>6000</v>
      </c>
      <c r="X314" s="636">
        <f t="shared" ref="X314:X336" si="166">U314*W314</f>
        <v>6000000</v>
      </c>
      <c r="Y314" s="637">
        <f t="shared" ref="Y314:Y339" si="167">X314-S314</f>
        <v>0</v>
      </c>
      <c r="Z314" s="633">
        <v>1000</v>
      </c>
      <c r="AA314" s="634" t="s">
        <v>22</v>
      </c>
      <c r="AB314" s="635">
        <v>6000</v>
      </c>
      <c r="AC314" s="636">
        <f t="shared" ref="AC314:AC336" si="168">Z314*AB314</f>
        <v>6000000</v>
      </c>
      <c r="AD314" s="637">
        <f t="shared" ref="AD314:AD361" si="169">AC314-X314</f>
        <v>0</v>
      </c>
      <c r="AE314" s="633">
        <v>1000</v>
      </c>
      <c r="AF314" s="634" t="s">
        <v>22</v>
      </c>
      <c r="AG314" s="635">
        <v>6000</v>
      </c>
      <c r="AH314" s="636">
        <f t="shared" ref="AH314:AH336" si="170">AE314*AG314</f>
        <v>6000000</v>
      </c>
      <c r="AI314" s="637">
        <f>AH314-AC314</f>
        <v>0</v>
      </c>
      <c r="AJ314" s="639"/>
      <c r="AK314" s="628"/>
    </row>
    <row r="315" spans="2:39" s="640" customFormat="1" ht="30.2" customHeight="1">
      <c r="B315" s="820"/>
      <c r="C315" s="825"/>
      <c r="D315" s="628" t="s">
        <v>180</v>
      </c>
      <c r="E315" s="629" t="s">
        <v>181</v>
      </c>
      <c r="F315" s="629" t="s">
        <v>182</v>
      </c>
      <c r="G315" s="641">
        <v>1</v>
      </c>
      <c r="H315" s="641" t="s">
        <v>128</v>
      </c>
      <c r="I315" s="631">
        <v>8000000</v>
      </c>
      <c r="J315" s="632">
        <f t="shared" si="164"/>
        <v>8000000</v>
      </c>
      <c r="K315" s="633">
        <v>1</v>
      </c>
      <c r="L315" s="642" t="s">
        <v>128</v>
      </c>
      <c r="M315" s="635">
        <v>8000000</v>
      </c>
      <c r="N315" s="636">
        <f>K315*M315</f>
        <v>8000000</v>
      </c>
      <c r="O315" s="637">
        <f t="shared" ref="O315:O338" si="171">N315-J315</f>
        <v>0</v>
      </c>
      <c r="P315" s="633">
        <v>1</v>
      </c>
      <c r="Q315" s="642" t="s">
        <v>38</v>
      </c>
      <c r="R315" s="635">
        <v>8000000</v>
      </c>
      <c r="S315" s="636">
        <f t="shared" si="165"/>
        <v>8000000</v>
      </c>
      <c r="T315" s="638">
        <f t="shared" si="137"/>
        <v>0</v>
      </c>
      <c r="U315" s="633">
        <v>1</v>
      </c>
      <c r="V315" s="642" t="s">
        <v>38</v>
      </c>
      <c r="W315" s="635">
        <v>8000000</v>
      </c>
      <c r="X315" s="636">
        <f t="shared" si="166"/>
        <v>8000000</v>
      </c>
      <c r="Y315" s="637">
        <f t="shared" si="167"/>
        <v>0</v>
      </c>
      <c r="Z315" s="633">
        <v>1</v>
      </c>
      <c r="AA315" s="642" t="s">
        <v>38</v>
      </c>
      <c r="AB315" s="635">
        <v>8000000</v>
      </c>
      <c r="AC315" s="636">
        <f t="shared" si="168"/>
        <v>8000000</v>
      </c>
      <c r="AD315" s="637">
        <f t="shared" si="169"/>
        <v>0</v>
      </c>
      <c r="AE315" s="633">
        <v>1</v>
      </c>
      <c r="AF315" s="642" t="s">
        <v>38</v>
      </c>
      <c r="AG315" s="635">
        <v>8000000</v>
      </c>
      <c r="AH315" s="636">
        <f t="shared" si="170"/>
        <v>8000000</v>
      </c>
      <c r="AI315" s="637">
        <f>AH315-AC315</f>
        <v>0</v>
      </c>
      <c r="AJ315" s="643"/>
      <c r="AK315" s="628"/>
    </row>
    <row r="316" spans="2:39" ht="30.75" customHeight="1">
      <c r="B316" s="820"/>
      <c r="C316" s="825"/>
      <c r="D316" s="683" t="s">
        <v>176</v>
      </c>
      <c r="E316" s="716" t="s">
        <v>179</v>
      </c>
      <c r="F316" s="595" t="s">
        <v>41</v>
      </c>
      <c r="G316" s="718">
        <v>1</v>
      </c>
      <c r="H316" s="718" t="s">
        <v>128</v>
      </c>
      <c r="I316" s="829">
        <v>20000000</v>
      </c>
      <c r="J316" s="720">
        <f t="shared" si="164"/>
        <v>20000000</v>
      </c>
      <c r="K316" s="739">
        <v>1</v>
      </c>
      <c r="L316" s="769" t="s">
        <v>128</v>
      </c>
      <c r="M316" s="771">
        <v>25000000</v>
      </c>
      <c r="N316" s="773">
        <f>K316*M316</f>
        <v>25000000</v>
      </c>
      <c r="O316" s="775">
        <f t="shared" si="171"/>
        <v>5000000</v>
      </c>
      <c r="P316" s="697">
        <v>1</v>
      </c>
      <c r="Q316" s="699" t="s">
        <v>38</v>
      </c>
      <c r="R316" s="701">
        <v>25000000</v>
      </c>
      <c r="S316" s="688">
        <f t="shared" si="165"/>
        <v>25000000</v>
      </c>
      <c r="T316" s="691">
        <f t="shared" si="137"/>
        <v>0</v>
      </c>
      <c r="U316" s="697">
        <v>1</v>
      </c>
      <c r="V316" s="699" t="s">
        <v>38</v>
      </c>
      <c r="W316" s="701">
        <v>30000000</v>
      </c>
      <c r="X316" s="688">
        <f t="shared" si="166"/>
        <v>30000000</v>
      </c>
      <c r="Y316" s="691">
        <f t="shared" si="167"/>
        <v>5000000</v>
      </c>
      <c r="Z316" s="731">
        <v>1</v>
      </c>
      <c r="AA316" s="728" t="s">
        <v>38</v>
      </c>
      <c r="AB316" s="925">
        <v>20000000</v>
      </c>
      <c r="AC316" s="688">
        <f t="shared" si="168"/>
        <v>20000000</v>
      </c>
      <c r="AD316" s="691"/>
      <c r="AE316" s="579"/>
      <c r="AF316" s="580"/>
      <c r="AG316" s="581"/>
      <c r="AH316" s="582"/>
      <c r="AI316" s="583"/>
      <c r="AJ316" s="591"/>
      <c r="AK316" s="585" t="s">
        <v>735</v>
      </c>
    </row>
    <row r="317" spans="2:39" s="640" customFormat="1" ht="45.75" customHeight="1">
      <c r="B317" s="820"/>
      <c r="C317" s="825"/>
      <c r="D317" s="741"/>
      <c r="E317" s="722"/>
      <c r="F317" s="609" t="s">
        <v>731</v>
      </c>
      <c r="G317" s="719"/>
      <c r="H317" s="719"/>
      <c r="I317" s="830"/>
      <c r="J317" s="721"/>
      <c r="K317" s="740"/>
      <c r="L317" s="770"/>
      <c r="M317" s="772"/>
      <c r="N317" s="774"/>
      <c r="O317" s="776"/>
      <c r="P317" s="698"/>
      <c r="Q317" s="700"/>
      <c r="R317" s="702"/>
      <c r="S317" s="689"/>
      <c r="T317" s="692"/>
      <c r="U317" s="698"/>
      <c r="V317" s="700"/>
      <c r="W317" s="702"/>
      <c r="X317" s="689"/>
      <c r="Y317" s="692"/>
      <c r="Z317" s="732"/>
      <c r="AA317" s="729"/>
      <c r="AB317" s="926"/>
      <c r="AC317" s="689"/>
      <c r="AD317" s="692"/>
      <c r="AE317" s="579">
        <v>1</v>
      </c>
      <c r="AF317" s="580" t="s">
        <v>38</v>
      </c>
      <c r="AG317" s="581">
        <v>3500000</v>
      </c>
      <c r="AH317" s="582">
        <f t="shared" si="170"/>
        <v>3500000</v>
      </c>
      <c r="AI317" s="694">
        <f>SUM(AH317:AH325)-AC316</f>
        <v>5005537</v>
      </c>
      <c r="AJ317" s="591"/>
      <c r="AK317" s="585"/>
    </row>
    <row r="318" spans="2:39" s="640" customFormat="1" ht="30.75" customHeight="1">
      <c r="B318" s="820"/>
      <c r="C318" s="825"/>
      <c r="D318" s="741"/>
      <c r="E318" s="722"/>
      <c r="F318" s="609" t="s">
        <v>716</v>
      </c>
      <c r="G318" s="719"/>
      <c r="H318" s="719"/>
      <c r="I318" s="830"/>
      <c r="J318" s="721"/>
      <c r="K318" s="740"/>
      <c r="L318" s="770"/>
      <c r="M318" s="772"/>
      <c r="N318" s="774"/>
      <c r="O318" s="776"/>
      <c r="P318" s="698"/>
      <c r="Q318" s="700"/>
      <c r="R318" s="702"/>
      <c r="S318" s="689"/>
      <c r="T318" s="692"/>
      <c r="U318" s="698"/>
      <c r="V318" s="700"/>
      <c r="W318" s="702"/>
      <c r="X318" s="689"/>
      <c r="Y318" s="692"/>
      <c r="Z318" s="732"/>
      <c r="AA318" s="729"/>
      <c r="AB318" s="926"/>
      <c r="AC318" s="689"/>
      <c r="AD318" s="692"/>
      <c r="AE318" s="579">
        <v>1</v>
      </c>
      <c r="AF318" s="580" t="s">
        <v>732</v>
      </c>
      <c r="AG318" s="581">
        <v>5500000</v>
      </c>
      <c r="AH318" s="582">
        <f t="shared" si="170"/>
        <v>5500000</v>
      </c>
      <c r="AI318" s="695"/>
      <c r="AJ318" s="591"/>
      <c r="AK318" s="585"/>
    </row>
    <row r="319" spans="2:39" s="640" customFormat="1" ht="30.75" customHeight="1">
      <c r="B319" s="820"/>
      <c r="C319" s="825"/>
      <c r="D319" s="741"/>
      <c r="E319" s="722"/>
      <c r="F319" s="627" t="s">
        <v>733</v>
      </c>
      <c r="G319" s="719"/>
      <c r="H319" s="719"/>
      <c r="I319" s="830"/>
      <c r="J319" s="721"/>
      <c r="K319" s="740"/>
      <c r="L319" s="770"/>
      <c r="M319" s="772"/>
      <c r="N319" s="774"/>
      <c r="O319" s="776"/>
      <c r="P319" s="698"/>
      <c r="Q319" s="700"/>
      <c r="R319" s="702"/>
      <c r="S319" s="689"/>
      <c r="T319" s="692"/>
      <c r="U319" s="698"/>
      <c r="V319" s="700"/>
      <c r="W319" s="702"/>
      <c r="X319" s="689"/>
      <c r="Y319" s="692"/>
      <c r="Z319" s="732"/>
      <c r="AA319" s="729"/>
      <c r="AB319" s="926"/>
      <c r="AC319" s="689"/>
      <c r="AD319" s="692"/>
      <c r="AE319" s="608">
        <v>1</v>
      </c>
      <c r="AF319" s="600" t="s">
        <v>730</v>
      </c>
      <c r="AG319" s="607">
        <v>3500000</v>
      </c>
      <c r="AH319" s="582">
        <f t="shared" si="170"/>
        <v>3500000</v>
      </c>
      <c r="AI319" s="695"/>
      <c r="AJ319" s="591"/>
      <c r="AK319" s="585"/>
    </row>
    <row r="320" spans="2:39" ht="30.75" customHeight="1">
      <c r="B320" s="820"/>
      <c r="C320" s="825"/>
      <c r="D320" s="741"/>
      <c r="E320" s="722"/>
      <c r="F320" s="609" t="s">
        <v>726</v>
      </c>
      <c r="G320" s="719"/>
      <c r="H320" s="719"/>
      <c r="I320" s="830"/>
      <c r="J320" s="721"/>
      <c r="K320" s="740"/>
      <c r="L320" s="770"/>
      <c r="M320" s="772"/>
      <c r="N320" s="774"/>
      <c r="O320" s="776"/>
      <c r="P320" s="698"/>
      <c r="Q320" s="700"/>
      <c r="R320" s="702"/>
      <c r="S320" s="689"/>
      <c r="T320" s="692"/>
      <c r="U320" s="698"/>
      <c r="V320" s="700"/>
      <c r="W320" s="702"/>
      <c r="X320" s="689"/>
      <c r="Y320" s="692"/>
      <c r="Z320" s="732"/>
      <c r="AA320" s="729"/>
      <c r="AB320" s="926"/>
      <c r="AC320" s="689"/>
      <c r="AD320" s="692"/>
      <c r="AE320" s="579">
        <v>1</v>
      </c>
      <c r="AF320" s="580" t="s">
        <v>727</v>
      </c>
      <c r="AG320" s="581">
        <v>5000000</v>
      </c>
      <c r="AH320" s="582">
        <f t="shared" si="170"/>
        <v>5000000</v>
      </c>
      <c r="AI320" s="695"/>
      <c r="AJ320" s="591"/>
      <c r="AK320" s="585" t="s">
        <v>757</v>
      </c>
    </row>
    <row r="321" spans="2:37" ht="30.75" customHeight="1">
      <c r="B321" s="820"/>
      <c r="C321" s="825"/>
      <c r="D321" s="741"/>
      <c r="E321" s="722"/>
      <c r="F321" s="611" t="s">
        <v>725</v>
      </c>
      <c r="G321" s="719"/>
      <c r="H321" s="719"/>
      <c r="I321" s="830"/>
      <c r="J321" s="721"/>
      <c r="K321" s="740"/>
      <c r="L321" s="770"/>
      <c r="M321" s="772"/>
      <c r="N321" s="774"/>
      <c r="O321" s="776"/>
      <c r="P321" s="698"/>
      <c r="Q321" s="700"/>
      <c r="R321" s="702"/>
      <c r="S321" s="689"/>
      <c r="T321" s="692"/>
      <c r="U321" s="698"/>
      <c r="V321" s="700"/>
      <c r="W321" s="702"/>
      <c r="X321" s="689"/>
      <c r="Y321" s="692"/>
      <c r="Z321" s="732"/>
      <c r="AA321" s="729"/>
      <c r="AB321" s="926"/>
      <c r="AC321" s="689"/>
      <c r="AD321" s="692"/>
      <c r="AE321" s="605">
        <v>100</v>
      </c>
      <c r="AF321" s="612" t="s">
        <v>722</v>
      </c>
      <c r="AG321" s="603">
        <v>48300</v>
      </c>
      <c r="AH321" s="582">
        <f t="shared" si="170"/>
        <v>4830000</v>
      </c>
      <c r="AI321" s="695"/>
      <c r="AJ321" s="591"/>
      <c r="AK321" s="585" t="s">
        <v>756</v>
      </c>
    </row>
    <row r="322" spans="2:37" ht="30.75" customHeight="1">
      <c r="B322" s="820"/>
      <c r="C322" s="825"/>
      <c r="D322" s="741"/>
      <c r="E322" s="722"/>
      <c r="F322" s="609" t="s">
        <v>752</v>
      </c>
      <c r="G322" s="719"/>
      <c r="H322" s="719"/>
      <c r="I322" s="830"/>
      <c r="J322" s="721"/>
      <c r="K322" s="740"/>
      <c r="L322" s="770"/>
      <c r="M322" s="772"/>
      <c r="N322" s="774"/>
      <c r="O322" s="776"/>
      <c r="P322" s="698"/>
      <c r="Q322" s="700"/>
      <c r="R322" s="702"/>
      <c r="S322" s="689"/>
      <c r="T322" s="692"/>
      <c r="U322" s="698"/>
      <c r="V322" s="700"/>
      <c r="W322" s="702"/>
      <c r="X322" s="689"/>
      <c r="Y322" s="692"/>
      <c r="Z322" s="732"/>
      <c r="AA322" s="729"/>
      <c r="AB322" s="926"/>
      <c r="AC322" s="689"/>
      <c r="AD322" s="692"/>
      <c r="AE322" s="579">
        <v>50</v>
      </c>
      <c r="AF322" s="580" t="s">
        <v>713</v>
      </c>
      <c r="AG322" s="581">
        <v>18000</v>
      </c>
      <c r="AH322" s="582">
        <f t="shared" si="170"/>
        <v>900000</v>
      </c>
      <c r="AI322" s="695"/>
      <c r="AJ322" s="591"/>
      <c r="AK322" s="585" t="s">
        <v>755</v>
      </c>
    </row>
    <row r="323" spans="2:37" ht="30.75" customHeight="1">
      <c r="B323" s="820"/>
      <c r="C323" s="825"/>
      <c r="D323" s="741"/>
      <c r="E323" s="722"/>
      <c r="F323" s="609" t="s">
        <v>717</v>
      </c>
      <c r="G323" s="719"/>
      <c r="H323" s="719"/>
      <c r="I323" s="830"/>
      <c r="J323" s="721"/>
      <c r="K323" s="740"/>
      <c r="L323" s="770"/>
      <c r="M323" s="772"/>
      <c r="N323" s="774"/>
      <c r="O323" s="776"/>
      <c r="P323" s="698"/>
      <c r="Q323" s="700"/>
      <c r="R323" s="702"/>
      <c r="S323" s="689"/>
      <c r="T323" s="692"/>
      <c r="U323" s="698"/>
      <c r="V323" s="700"/>
      <c r="W323" s="702"/>
      <c r="X323" s="689"/>
      <c r="Y323" s="692"/>
      <c r="Z323" s="732"/>
      <c r="AA323" s="729"/>
      <c r="AB323" s="926"/>
      <c r="AC323" s="689"/>
      <c r="AD323" s="692"/>
      <c r="AE323" s="579">
        <v>2</v>
      </c>
      <c r="AF323" s="580" t="s">
        <v>718</v>
      </c>
      <c r="AG323" s="581">
        <v>150000</v>
      </c>
      <c r="AH323" s="582">
        <f t="shared" si="170"/>
        <v>300000</v>
      </c>
      <c r="AI323" s="695"/>
      <c r="AJ323" s="591"/>
      <c r="AK323" s="585" t="s">
        <v>729</v>
      </c>
    </row>
    <row r="324" spans="2:37" ht="30.75" customHeight="1">
      <c r="B324" s="820"/>
      <c r="C324" s="825"/>
      <c r="D324" s="741"/>
      <c r="E324" s="722"/>
      <c r="F324" s="609" t="s">
        <v>719</v>
      </c>
      <c r="G324" s="719"/>
      <c r="H324" s="719"/>
      <c r="I324" s="830"/>
      <c r="J324" s="721"/>
      <c r="K324" s="740"/>
      <c r="L324" s="770"/>
      <c r="M324" s="772"/>
      <c r="N324" s="774"/>
      <c r="O324" s="776"/>
      <c r="P324" s="698"/>
      <c r="Q324" s="700"/>
      <c r="R324" s="702"/>
      <c r="S324" s="689"/>
      <c r="T324" s="692"/>
      <c r="U324" s="698"/>
      <c r="V324" s="700"/>
      <c r="W324" s="702"/>
      <c r="X324" s="689"/>
      <c r="Y324" s="692"/>
      <c r="Z324" s="732"/>
      <c r="AA324" s="729"/>
      <c r="AB324" s="926"/>
      <c r="AC324" s="689"/>
      <c r="AD324" s="692"/>
      <c r="AE324" s="579">
        <v>2</v>
      </c>
      <c r="AF324" s="580" t="s">
        <v>76</v>
      </c>
      <c r="AG324" s="581">
        <v>150000</v>
      </c>
      <c r="AH324" s="582">
        <f t="shared" ref="AH324" si="172">AE324*AG324</f>
        <v>300000</v>
      </c>
      <c r="AI324" s="695"/>
      <c r="AJ324" s="591"/>
      <c r="AK324" s="585" t="s">
        <v>441</v>
      </c>
    </row>
    <row r="325" spans="2:37" s="640" customFormat="1" ht="30.75" customHeight="1">
      <c r="B325" s="820"/>
      <c r="C325" s="825"/>
      <c r="D325" s="684"/>
      <c r="E325" s="717"/>
      <c r="F325" s="609" t="s">
        <v>764</v>
      </c>
      <c r="G325" s="719"/>
      <c r="H325" s="719"/>
      <c r="I325" s="830"/>
      <c r="J325" s="721"/>
      <c r="K325" s="740"/>
      <c r="L325" s="770"/>
      <c r="M325" s="772"/>
      <c r="N325" s="774"/>
      <c r="O325" s="776"/>
      <c r="P325" s="698"/>
      <c r="Q325" s="700"/>
      <c r="R325" s="702"/>
      <c r="S325" s="689"/>
      <c r="T325" s="692"/>
      <c r="U325" s="698"/>
      <c r="V325" s="700"/>
      <c r="W325" s="702"/>
      <c r="X325" s="689"/>
      <c r="Y325" s="692"/>
      <c r="Z325" s="733"/>
      <c r="AA325" s="730"/>
      <c r="AB325" s="927"/>
      <c r="AC325" s="690"/>
      <c r="AD325" s="692"/>
      <c r="AE325" s="618">
        <v>1</v>
      </c>
      <c r="AF325" s="623" t="s">
        <v>765</v>
      </c>
      <c r="AG325" s="619">
        <v>2000000</v>
      </c>
      <c r="AH325" s="620">
        <v>1175537</v>
      </c>
      <c r="AI325" s="696"/>
      <c r="AJ325" s="591"/>
      <c r="AK325" s="622" t="s">
        <v>766</v>
      </c>
    </row>
    <row r="326" spans="2:37" ht="30.75" customHeight="1">
      <c r="B326" s="820"/>
      <c r="C326" s="825"/>
      <c r="D326" s="683" t="s">
        <v>705</v>
      </c>
      <c r="E326" s="716" t="s">
        <v>706</v>
      </c>
      <c r="F326" s="609" t="s">
        <v>728</v>
      </c>
      <c r="G326" s="719"/>
      <c r="H326" s="719"/>
      <c r="I326" s="830"/>
      <c r="J326" s="721"/>
      <c r="K326" s="740"/>
      <c r="L326" s="770"/>
      <c r="M326" s="772"/>
      <c r="N326" s="774"/>
      <c r="O326" s="776"/>
      <c r="P326" s="698"/>
      <c r="Q326" s="700"/>
      <c r="R326" s="702"/>
      <c r="S326" s="689"/>
      <c r="T326" s="692"/>
      <c r="U326" s="698"/>
      <c r="V326" s="700"/>
      <c r="W326" s="702"/>
      <c r="X326" s="689"/>
      <c r="Y326" s="692"/>
      <c r="Z326" s="698">
        <v>1</v>
      </c>
      <c r="AA326" s="734" t="s">
        <v>713</v>
      </c>
      <c r="AB326" s="702">
        <v>10000000</v>
      </c>
      <c r="AC326" s="693">
        <f>Z326*AB326</f>
        <v>10000000</v>
      </c>
      <c r="AD326" s="692"/>
      <c r="AE326" s="579">
        <v>1</v>
      </c>
      <c r="AF326" s="580" t="s">
        <v>38</v>
      </c>
      <c r="AG326" s="581">
        <v>2904000</v>
      </c>
      <c r="AH326" s="582">
        <f t="shared" ref="AH326:AH331" si="173">AE326*AG326</f>
        <v>2904000</v>
      </c>
      <c r="AI326" s="695">
        <f>SUM(AH326:AH331)-AC326</f>
        <v>-2366000</v>
      </c>
      <c r="AJ326" s="584"/>
      <c r="AK326" s="585" t="s">
        <v>704</v>
      </c>
    </row>
    <row r="327" spans="2:37" ht="40.5" customHeight="1">
      <c r="B327" s="820"/>
      <c r="C327" s="825"/>
      <c r="D327" s="741"/>
      <c r="E327" s="722"/>
      <c r="F327" s="624" t="s">
        <v>762</v>
      </c>
      <c r="G327" s="719"/>
      <c r="H327" s="719"/>
      <c r="I327" s="830"/>
      <c r="J327" s="721"/>
      <c r="K327" s="740"/>
      <c r="L327" s="770"/>
      <c r="M327" s="772"/>
      <c r="N327" s="774"/>
      <c r="O327" s="776"/>
      <c r="P327" s="698"/>
      <c r="Q327" s="700"/>
      <c r="R327" s="702"/>
      <c r="S327" s="689"/>
      <c r="T327" s="692"/>
      <c r="U327" s="698"/>
      <c r="V327" s="700"/>
      <c r="W327" s="702"/>
      <c r="X327" s="689"/>
      <c r="Y327" s="692"/>
      <c r="Z327" s="698"/>
      <c r="AA327" s="735"/>
      <c r="AB327" s="702"/>
      <c r="AC327" s="693"/>
      <c r="AD327" s="692"/>
      <c r="AE327" s="618">
        <v>0</v>
      </c>
      <c r="AF327" s="623" t="s">
        <v>187</v>
      </c>
      <c r="AG327" s="619">
        <v>0</v>
      </c>
      <c r="AH327" s="620">
        <f t="shared" si="173"/>
        <v>0</v>
      </c>
      <c r="AI327" s="695"/>
      <c r="AJ327" s="584"/>
      <c r="AK327" s="622" t="s">
        <v>767</v>
      </c>
    </row>
    <row r="328" spans="2:37" ht="30.75" customHeight="1">
      <c r="B328" s="820"/>
      <c r="C328" s="825"/>
      <c r="D328" s="741"/>
      <c r="E328" s="722"/>
      <c r="F328" s="609" t="s">
        <v>754</v>
      </c>
      <c r="G328" s="719"/>
      <c r="H328" s="719"/>
      <c r="I328" s="830"/>
      <c r="J328" s="721"/>
      <c r="K328" s="740"/>
      <c r="L328" s="770"/>
      <c r="M328" s="772"/>
      <c r="N328" s="774"/>
      <c r="O328" s="776"/>
      <c r="P328" s="698"/>
      <c r="Q328" s="700"/>
      <c r="R328" s="702"/>
      <c r="S328" s="689"/>
      <c r="T328" s="692"/>
      <c r="U328" s="698"/>
      <c r="V328" s="700"/>
      <c r="W328" s="702"/>
      <c r="X328" s="689"/>
      <c r="Y328" s="692"/>
      <c r="Z328" s="698"/>
      <c r="AA328" s="735"/>
      <c r="AB328" s="702"/>
      <c r="AC328" s="693"/>
      <c r="AD328" s="692"/>
      <c r="AE328" s="579">
        <v>1</v>
      </c>
      <c r="AF328" s="580" t="s">
        <v>715</v>
      </c>
      <c r="AG328" s="581">
        <f>450*1800</f>
        <v>810000</v>
      </c>
      <c r="AH328" s="582">
        <f t="shared" si="173"/>
        <v>810000</v>
      </c>
      <c r="AI328" s="695"/>
      <c r="AJ328" s="584"/>
      <c r="AK328" s="585"/>
    </row>
    <row r="329" spans="2:37" ht="30.75" customHeight="1">
      <c r="B329" s="820"/>
      <c r="C329" s="825"/>
      <c r="D329" s="741"/>
      <c r="E329" s="722"/>
      <c r="F329" s="609" t="s">
        <v>720</v>
      </c>
      <c r="G329" s="719"/>
      <c r="H329" s="719"/>
      <c r="I329" s="830"/>
      <c r="J329" s="721"/>
      <c r="K329" s="740"/>
      <c r="L329" s="770"/>
      <c r="M329" s="772"/>
      <c r="N329" s="774"/>
      <c r="O329" s="776"/>
      <c r="P329" s="698"/>
      <c r="Q329" s="700"/>
      <c r="R329" s="702"/>
      <c r="S329" s="689"/>
      <c r="T329" s="692"/>
      <c r="U329" s="698"/>
      <c r="V329" s="700"/>
      <c r="W329" s="702"/>
      <c r="X329" s="689"/>
      <c r="Y329" s="692"/>
      <c r="Z329" s="698"/>
      <c r="AA329" s="735"/>
      <c r="AB329" s="702"/>
      <c r="AC329" s="693"/>
      <c r="AD329" s="692"/>
      <c r="AE329" s="579">
        <v>1</v>
      </c>
      <c r="AF329" s="580" t="s">
        <v>715</v>
      </c>
      <c r="AG329" s="581">
        <v>800000</v>
      </c>
      <c r="AH329" s="582">
        <f t="shared" si="173"/>
        <v>800000</v>
      </c>
      <c r="AI329" s="695"/>
      <c r="AJ329" s="584"/>
      <c r="AK329" s="600" t="s">
        <v>710</v>
      </c>
    </row>
    <row r="330" spans="2:37" ht="30.75" customHeight="1">
      <c r="B330" s="820"/>
      <c r="C330" s="825"/>
      <c r="D330" s="741"/>
      <c r="E330" s="722"/>
      <c r="F330" s="610" t="s">
        <v>721</v>
      </c>
      <c r="G330" s="719"/>
      <c r="H330" s="719"/>
      <c r="I330" s="830"/>
      <c r="J330" s="721"/>
      <c r="K330" s="740"/>
      <c r="L330" s="770"/>
      <c r="M330" s="772"/>
      <c r="N330" s="774"/>
      <c r="O330" s="776"/>
      <c r="P330" s="698"/>
      <c r="Q330" s="700"/>
      <c r="R330" s="702"/>
      <c r="S330" s="689"/>
      <c r="T330" s="692"/>
      <c r="U330" s="698"/>
      <c r="V330" s="700"/>
      <c r="W330" s="702"/>
      <c r="X330" s="689"/>
      <c r="Y330" s="692"/>
      <c r="Z330" s="698"/>
      <c r="AA330" s="735"/>
      <c r="AB330" s="702"/>
      <c r="AC330" s="693"/>
      <c r="AD330" s="692"/>
      <c r="AE330" s="605">
        <v>7</v>
      </c>
      <c r="AF330" s="602" t="s">
        <v>723</v>
      </c>
      <c r="AG330" s="603">
        <v>375000</v>
      </c>
      <c r="AH330" s="582">
        <f t="shared" si="173"/>
        <v>2625000</v>
      </c>
      <c r="AI330" s="695"/>
      <c r="AJ330" s="584"/>
      <c r="AK330" s="600" t="s">
        <v>711</v>
      </c>
    </row>
    <row r="331" spans="2:37" ht="30.75" customHeight="1">
      <c r="B331" s="820"/>
      <c r="C331" s="825"/>
      <c r="D331" s="741"/>
      <c r="E331" s="722"/>
      <c r="F331" s="610" t="s">
        <v>724</v>
      </c>
      <c r="G331" s="719"/>
      <c r="H331" s="719"/>
      <c r="I331" s="830"/>
      <c r="J331" s="721"/>
      <c r="K331" s="740"/>
      <c r="L331" s="770"/>
      <c r="M331" s="772"/>
      <c r="N331" s="774"/>
      <c r="O331" s="776"/>
      <c r="P331" s="698"/>
      <c r="Q331" s="700"/>
      <c r="R331" s="702"/>
      <c r="S331" s="689"/>
      <c r="T331" s="692"/>
      <c r="U331" s="698"/>
      <c r="V331" s="700"/>
      <c r="W331" s="702"/>
      <c r="X331" s="689"/>
      <c r="Y331" s="692"/>
      <c r="Z331" s="698"/>
      <c r="AA331" s="735"/>
      <c r="AB331" s="702"/>
      <c r="AC331" s="693"/>
      <c r="AD331" s="692"/>
      <c r="AE331" s="605">
        <v>1</v>
      </c>
      <c r="AF331" s="602" t="s">
        <v>723</v>
      </c>
      <c r="AG331" s="603">
        <v>495000</v>
      </c>
      <c r="AH331" s="582">
        <f t="shared" si="173"/>
        <v>495000</v>
      </c>
      <c r="AI331" s="695"/>
      <c r="AJ331" s="584"/>
      <c r="AK331" s="600" t="s">
        <v>734</v>
      </c>
    </row>
    <row r="332" spans="2:37" ht="30.75" customHeight="1">
      <c r="B332" s="820"/>
      <c r="C332" s="825"/>
      <c r="D332" s="683" t="s">
        <v>707</v>
      </c>
      <c r="E332" s="716" t="s">
        <v>708</v>
      </c>
      <c r="F332" s="595" t="s">
        <v>709</v>
      </c>
      <c r="G332" s="592"/>
      <c r="H332" s="592"/>
      <c r="I332" s="593"/>
      <c r="J332" s="594"/>
      <c r="K332" s="596"/>
      <c r="L332" s="597"/>
      <c r="M332" s="584"/>
      <c r="N332" s="590"/>
      <c r="O332" s="598"/>
      <c r="P332" s="588"/>
      <c r="Q332" s="589"/>
      <c r="R332" s="584"/>
      <c r="S332" s="590"/>
      <c r="T332" s="599"/>
      <c r="U332" s="588"/>
      <c r="V332" s="589"/>
      <c r="W332" s="584"/>
      <c r="X332" s="590"/>
      <c r="Y332" s="598"/>
      <c r="Z332" s="588"/>
      <c r="AA332" s="589"/>
      <c r="AB332" s="584"/>
      <c r="AC332" s="590"/>
      <c r="AD332" s="598"/>
      <c r="AE332" s="579">
        <v>1</v>
      </c>
      <c r="AF332" s="580" t="s">
        <v>38</v>
      </c>
      <c r="AG332" s="591">
        <v>16000000</v>
      </c>
      <c r="AH332" s="582">
        <f t="shared" ref="AH332:AH333" si="174">AE332*AG332</f>
        <v>16000000</v>
      </c>
      <c r="AI332" s="583">
        <f t="shared" ref="AI332:AI357" si="175">AH332-AC332</f>
        <v>16000000</v>
      </c>
      <c r="AJ332" s="591"/>
      <c r="AK332" s="600" t="s">
        <v>711</v>
      </c>
    </row>
    <row r="333" spans="2:37" ht="30.75" customHeight="1">
      <c r="B333" s="820"/>
      <c r="C333" s="825"/>
      <c r="D333" s="684"/>
      <c r="E333" s="717"/>
      <c r="F333" s="665" t="s">
        <v>712</v>
      </c>
      <c r="G333" s="666"/>
      <c r="H333" s="666"/>
      <c r="I333" s="667"/>
      <c r="J333" s="668"/>
      <c r="K333" s="669"/>
      <c r="L333" s="670"/>
      <c r="M333" s="671"/>
      <c r="N333" s="672"/>
      <c r="O333" s="673"/>
      <c r="P333" s="674"/>
      <c r="Q333" s="675"/>
      <c r="R333" s="671"/>
      <c r="S333" s="672"/>
      <c r="T333" s="676"/>
      <c r="U333" s="674"/>
      <c r="V333" s="675"/>
      <c r="W333" s="671"/>
      <c r="X333" s="672"/>
      <c r="Y333" s="673"/>
      <c r="Z333" s="674"/>
      <c r="AA333" s="675"/>
      <c r="AB333" s="671"/>
      <c r="AC333" s="672"/>
      <c r="AD333" s="673"/>
      <c r="AE333" s="618">
        <v>1</v>
      </c>
      <c r="AF333" s="623" t="s">
        <v>714</v>
      </c>
      <c r="AG333" s="677">
        <v>4000000</v>
      </c>
      <c r="AH333" s="620">
        <f t="shared" si="174"/>
        <v>4000000</v>
      </c>
      <c r="AI333" s="621">
        <f t="shared" si="175"/>
        <v>4000000</v>
      </c>
      <c r="AJ333" s="677"/>
      <c r="AK333" s="678" t="s">
        <v>777</v>
      </c>
    </row>
    <row r="334" spans="2:37" ht="27.75" customHeight="1">
      <c r="B334" s="820"/>
      <c r="C334" s="825"/>
      <c r="D334" s="106" t="s">
        <v>415</v>
      </c>
      <c r="E334" s="311" t="s">
        <v>416</v>
      </c>
      <c r="F334" s="312" t="s">
        <v>417</v>
      </c>
      <c r="G334" s="179"/>
      <c r="H334" s="179"/>
      <c r="I334" s="313"/>
      <c r="J334" s="182">
        <f t="shared" si="164"/>
        <v>0</v>
      </c>
      <c r="K334" s="226">
        <v>1</v>
      </c>
      <c r="L334" s="175" t="s">
        <v>387</v>
      </c>
      <c r="M334" s="184">
        <v>2000000</v>
      </c>
      <c r="N334" s="271">
        <f>K334*M334</f>
        <v>2000000</v>
      </c>
      <c r="O334" s="279">
        <f t="shared" si="171"/>
        <v>2000000</v>
      </c>
      <c r="P334" s="226">
        <v>1</v>
      </c>
      <c r="Q334" s="175" t="s">
        <v>387</v>
      </c>
      <c r="R334" s="184">
        <v>2000000</v>
      </c>
      <c r="S334" s="271">
        <f t="shared" si="165"/>
        <v>2000000</v>
      </c>
      <c r="T334" s="256">
        <f t="shared" si="137"/>
        <v>0</v>
      </c>
      <c r="U334" s="226">
        <v>1</v>
      </c>
      <c r="V334" s="175" t="s">
        <v>387</v>
      </c>
      <c r="W334" s="184">
        <v>2000000</v>
      </c>
      <c r="X334" s="271">
        <f t="shared" si="166"/>
        <v>2000000</v>
      </c>
      <c r="Y334" s="279">
        <f t="shared" si="167"/>
        <v>0</v>
      </c>
      <c r="Z334" s="226">
        <v>1</v>
      </c>
      <c r="AA334" s="175" t="s">
        <v>387</v>
      </c>
      <c r="AB334" s="184">
        <v>2000000</v>
      </c>
      <c r="AC334" s="271">
        <f t="shared" si="168"/>
        <v>2000000</v>
      </c>
      <c r="AD334" s="279">
        <f t="shared" si="169"/>
        <v>0</v>
      </c>
      <c r="AE334" s="226">
        <v>1</v>
      </c>
      <c r="AF334" s="175" t="s">
        <v>38</v>
      </c>
      <c r="AG334" s="184">
        <v>2000000</v>
      </c>
      <c r="AH334" s="271">
        <f t="shared" si="170"/>
        <v>2000000</v>
      </c>
      <c r="AI334" s="279">
        <f t="shared" si="175"/>
        <v>0</v>
      </c>
      <c r="AJ334" s="206"/>
      <c r="AK334" s="106"/>
    </row>
    <row r="335" spans="2:37" ht="27.75" customHeight="1">
      <c r="B335" s="820"/>
      <c r="C335" s="825"/>
      <c r="D335" s="438" t="s">
        <v>668</v>
      </c>
      <c r="E335" s="498" t="s">
        <v>669</v>
      </c>
      <c r="F335" s="499" t="s">
        <v>670</v>
      </c>
      <c r="G335" s="457"/>
      <c r="H335" s="457"/>
      <c r="I335" s="500"/>
      <c r="J335" s="450">
        <f t="shared" si="164"/>
        <v>0</v>
      </c>
      <c r="K335" s="478">
        <v>1</v>
      </c>
      <c r="L335" s="460" t="s">
        <v>38</v>
      </c>
      <c r="M335" s="463">
        <v>15000000</v>
      </c>
      <c r="N335" s="453">
        <f>K335*M335</f>
        <v>15000000</v>
      </c>
      <c r="O335" s="479">
        <f t="shared" si="171"/>
        <v>15000000</v>
      </c>
      <c r="P335" s="528">
        <v>1</v>
      </c>
      <c r="Q335" s="536" t="s">
        <v>38</v>
      </c>
      <c r="R335" s="532">
        <v>5000000</v>
      </c>
      <c r="S335" s="527">
        <f t="shared" si="165"/>
        <v>5000000</v>
      </c>
      <c r="T335" s="545">
        <f t="shared" si="137"/>
        <v>-10000000</v>
      </c>
      <c r="U335" s="528">
        <v>1</v>
      </c>
      <c r="V335" s="536" t="s">
        <v>38</v>
      </c>
      <c r="W335" s="532">
        <v>5000000</v>
      </c>
      <c r="X335" s="527">
        <f t="shared" si="166"/>
        <v>5000000</v>
      </c>
      <c r="Y335" s="531">
        <f t="shared" si="167"/>
        <v>0</v>
      </c>
      <c r="Z335" s="528">
        <v>1</v>
      </c>
      <c r="AA335" s="536" t="s">
        <v>38</v>
      </c>
      <c r="AB335" s="532">
        <v>5000000</v>
      </c>
      <c r="AC335" s="527">
        <f t="shared" si="168"/>
        <v>5000000</v>
      </c>
      <c r="AD335" s="531">
        <f t="shared" si="169"/>
        <v>0</v>
      </c>
      <c r="AE335" s="528">
        <v>1</v>
      </c>
      <c r="AF335" s="536" t="s">
        <v>38</v>
      </c>
      <c r="AG335" s="532">
        <v>5000000</v>
      </c>
      <c r="AH335" s="527">
        <f t="shared" si="170"/>
        <v>5000000</v>
      </c>
      <c r="AI335" s="531">
        <f t="shared" si="175"/>
        <v>0</v>
      </c>
      <c r="AJ335" s="532"/>
      <c r="AK335" s="520"/>
    </row>
    <row r="336" spans="2:37" ht="27.75" customHeight="1">
      <c r="B336" s="820"/>
      <c r="C336" s="826"/>
      <c r="D336" s="520" t="s">
        <v>689</v>
      </c>
      <c r="E336" s="548" t="s">
        <v>700</v>
      </c>
      <c r="F336" s="549" t="s">
        <v>701</v>
      </c>
      <c r="G336" s="550"/>
      <c r="H336" s="550"/>
      <c r="I336" s="551"/>
      <c r="J336" s="547">
        <f t="shared" si="164"/>
        <v>0</v>
      </c>
      <c r="K336" s="563"/>
      <c r="L336" s="538"/>
      <c r="M336" s="532"/>
      <c r="N336" s="527"/>
      <c r="O336" s="531"/>
      <c r="P336" s="528">
        <v>1</v>
      </c>
      <c r="Q336" s="536" t="s">
        <v>38</v>
      </c>
      <c r="R336" s="532">
        <f>13000000/1.1</f>
        <v>11818181.818181816</v>
      </c>
      <c r="S336" s="527">
        <f t="shared" si="165"/>
        <v>11818181.818181816</v>
      </c>
      <c r="T336" s="514">
        <f t="shared" si="137"/>
        <v>11818181.818181816</v>
      </c>
      <c r="U336" s="528">
        <v>1</v>
      </c>
      <c r="V336" s="536" t="s">
        <v>38</v>
      </c>
      <c r="W336" s="532">
        <f>13000000/1.1</f>
        <v>11818181.818181816</v>
      </c>
      <c r="X336" s="527">
        <f t="shared" si="166"/>
        <v>11818181.818181816</v>
      </c>
      <c r="Y336" s="531">
        <f t="shared" si="167"/>
        <v>0</v>
      </c>
      <c r="Z336" s="575">
        <v>1</v>
      </c>
      <c r="AA336" s="576" t="s">
        <v>38</v>
      </c>
      <c r="AB336" s="586">
        <f>16105740/1.1</f>
        <v>14641581.818181816</v>
      </c>
      <c r="AC336" s="577">
        <f t="shared" si="168"/>
        <v>14641581.818181816</v>
      </c>
      <c r="AD336" s="578">
        <f t="shared" si="169"/>
        <v>2823400</v>
      </c>
      <c r="AE336" s="575">
        <v>1</v>
      </c>
      <c r="AF336" s="576" t="s">
        <v>38</v>
      </c>
      <c r="AG336" s="586">
        <f>16105740/1.1</f>
        <v>14641581.818181816</v>
      </c>
      <c r="AH336" s="577">
        <f t="shared" si="170"/>
        <v>14641581.818181816</v>
      </c>
      <c r="AI336" s="578">
        <f t="shared" si="175"/>
        <v>0</v>
      </c>
      <c r="AJ336" s="586"/>
      <c r="AK336" s="587" t="s">
        <v>699</v>
      </c>
    </row>
    <row r="337" spans="2:37" ht="30.2" customHeight="1">
      <c r="B337" s="820"/>
      <c r="C337" s="707" t="s">
        <v>55</v>
      </c>
      <c r="D337" s="708"/>
      <c r="E337" s="708"/>
      <c r="F337" s="708"/>
      <c r="G337" s="708"/>
      <c r="H337" s="708"/>
      <c r="I337" s="709"/>
      <c r="J337" s="167">
        <f>SUM(J314:J334)</f>
        <v>34000000</v>
      </c>
      <c r="K337" s="713"/>
      <c r="L337" s="714"/>
      <c r="M337" s="715"/>
      <c r="N337" s="272">
        <f>SUM(N314:N335)</f>
        <v>56000000</v>
      </c>
      <c r="O337" s="309">
        <f>SUM(O314:O335)</f>
        <v>22000000</v>
      </c>
      <c r="P337" s="713"/>
      <c r="Q337" s="714"/>
      <c r="R337" s="715"/>
      <c r="S337" s="272">
        <f>SUM(S314:S336)</f>
        <v>57818181.818181813</v>
      </c>
      <c r="T337" s="543">
        <f t="shared" si="137"/>
        <v>1818181.8181818128</v>
      </c>
      <c r="U337" s="713"/>
      <c r="V337" s="714"/>
      <c r="W337" s="715"/>
      <c r="X337" s="272">
        <f>SUM(X314:X336)</f>
        <v>62818181.818181813</v>
      </c>
      <c r="Y337" s="309">
        <f t="shared" si="167"/>
        <v>5000000</v>
      </c>
      <c r="Z337" s="713"/>
      <c r="AA337" s="714"/>
      <c r="AB337" s="715"/>
      <c r="AC337" s="272">
        <f>SUM(AC314:AC336)</f>
        <v>65641581.818181813</v>
      </c>
      <c r="AD337" s="309">
        <f t="shared" si="169"/>
        <v>2823400</v>
      </c>
      <c r="AE337" s="713"/>
      <c r="AF337" s="714"/>
      <c r="AG337" s="715"/>
      <c r="AH337" s="272">
        <f>SUM(AH314:AH336)</f>
        <v>88281118.818181813</v>
      </c>
      <c r="AI337" s="309">
        <f t="shared" si="175"/>
        <v>22639537</v>
      </c>
      <c r="AJ337" s="207"/>
      <c r="AK337" s="33"/>
    </row>
    <row r="338" spans="2:37" ht="30.2" customHeight="1">
      <c r="B338" s="749" t="s">
        <v>71</v>
      </c>
      <c r="C338" s="750"/>
      <c r="D338" s="750"/>
      <c r="E338" s="750"/>
      <c r="F338" s="750"/>
      <c r="G338" s="750"/>
      <c r="H338" s="750"/>
      <c r="I338" s="751"/>
      <c r="J338" s="161">
        <f>SUM(J309,J313,J337)</f>
        <v>72000000</v>
      </c>
      <c r="K338" s="736"/>
      <c r="L338" s="737"/>
      <c r="M338" s="738"/>
      <c r="N338" s="266">
        <f>N309+N313+N337</f>
        <v>94000000</v>
      </c>
      <c r="O338" s="277">
        <f t="shared" si="171"/>
        <v>22000000</v>
      </c>
      <c r="P338" s="736"/>
      <c r="Q338" s="737"/>
      <c r="R338" s="738"/>
      <c r="S338" s="266">
        <f>S309+S313+S337</f>
        <v>95818181.818181813</v>
      </c>
      <c r="T338" s="244">
        <f t="shared" si="137"/>
        <v>1818181.8181818128</v>
      </c>
      <c r="U338" s="736"/>
      <c r="V338" s="737"/>
      <c r="W338" s="738"/>
      <c r="X338" s="266">
        <f>X309+X313+X337</f>
        <v>100818181.81818181</v>
      </c>
      <c r="Y338" s="277">
        <f t="shared" si="167"/>
        <v>5000000</v>
      </c>
      <c r="Z338" s="736"/>
      <c r="AA338" s="737"/>
      <c r="AB338" s="738"/>
      <c r="AC338" s="266">
        <f>AC309+AC313+AC337</f>
        <v>103641581.81818181</v>
      </c>
      <c r="AD338" s="277">
        <f t="shared" si="169"/>
        <v>2823400</v>
      </c>
      <c r="AE338" s="736"/>
      <c r="AF338" s="737"/>
      <c r="AG338" s="738"/>
      <c r="AH338" s="266">
        <f>AH309+AH313+AH337</f>
        <v>120423769.81818181</v>
      </c>
      <c r="AI338" s="277">
        <f t="shared" si="175"/>
        <v>16782188</v>
      </c>
      <c r="AJ338" s="205"/>
      <c r="AK338" s="57"/>
    </row>
    <row r="339" spans="2:37" ht="30.2" customHeight="1">
      <c r="B339" s="906" t="s">
        <v>558</v>
      </c>
      <c r="C339" s="898" t="s">
        <v>559</v>
      </c>
      <c r="D339" s="898"/>
      <c r="E339" s="899" t="s">
        <v>560</v>
      </c>
      <c r="F339" s="351" t="s">
        <v>561</v>
      </c>
      <c r="G339" s="352"/>
      <c r="H339" s="352"/>
      <c r="I339" s="353"/>
      <c r="J339" s="354">
        <f>G339*I339</f>
        <v>0</v>
      </c>
      <c r="K339" s="355">
        <v>3</v>
      </c>
      <c r="L339" s="356" t="s">
        <v>166</v>
      </c>
      <c r="M339" s="357">
        <v>1500000</v>
      </c>
      <c r="N339" s="358">
        <f>K339*M339</f>
        <v>4500000</v>
      </c>
      <c r="O339" s="359">
        <f t="shared" ref="O339:O355" si="176">N339-J339</f>
        <v>4500000</v>
      </c>
      <c r="P339" s="355">
        <v>3</v>
      </c>
      <c r="Q339" s="356" t="s">
        <v>166</v>
      </c>
      <c r="R339" s="357">
        <v>1500000</v>
      </c>
      <c r="S339" s="358">
        <f>P339*R339</f>
        <v>4500000</v>
      </c>
      <c r="T339" s="506">
        <f t="shared" si="137"/>
        <v>0</v>
      </c>
      <c r="U339" s="355">
        <v>3</v>
      </c>
      <c r="V339" s="356" t="s">
        <v>166</v>
      </c>
      <c r="W339" s="357">
        <v>1500000</v>
      </c>
      <c r="X339" s="358">
        <f>U339*W339</f>
        <v>4500000</v>
      </c>
      <c r="Y339" s="359">
        <f t="shared" si="167"/>
        <v>0</v>
      </c>
      <c r="Z339" s="355">
        <v>3</v>
      </c>
      <c r="AA339" s="356" t="s">
        <v>166</v>
      </c>
      <c r="AB339" s="357">
        <v>1500000</v>
      </c>
      <c r="AC339" s="358">
        <f>Z339*AB339</f>
        <v>4500000</v>
      </c>
      <c r="AD339" s="359">
        <f t="shared" si="169"/>
        <v>0</v>
      </c>
      <c r="AE339" s="355">
        <v>3</v>
      </c>
      <c r="AF339" s="356" t="s">
        <v>166</v>
      </c>
      <c r="AG339" s="357">
        <v>1500000</v>
      </c>
      <c r="AH339" s="358">
        <f>AE339*AG339</f>
        <v>4500000</v>
      </c>
      <c r="AI339" s="359">
        <f t="shared" si="175"/>
        <v>0</v>
      </c>
      <c r="AJ339" s="360"/>
      <c r="AK339" s="361"/>
    </row>
    <row r="340" spans="2:37" ht="30.2" customHeight="1">
      <c r="B340" s="907"/>
      <c r="C340" s="898"/>
      <c r="D340" s="898"/>
      <c r="E340" s="899"/>
      <c r="F340" s="351" t="s">
        <v>562</v>
      </c>
      <c r="G340" s="352"/>
      <c r="H340" s="352"/>
      <c r="I340" s="353"/>
      <c r="J340" s="354">
        <f>G340*I340</f>
        <v>0</v>
      </c>
      <c r="K340" s="362">
        <v>5</v>
      </c>
      <c r="L340" s="363" t="s">
        <v>568</v>
      </c>
      <c r="M340" s="364">
        <v>500000</v>
      </c>
      <c r="N340" s="358">
        <f>K340*M340</f>
        <v>2500000</v>
      </c>
      <c r="O340" s="365">
        <f t="shared" si="176"/>
        <v>2500000</v>
      </c>
      <c r="P340" s="362">
        <v>5</v>
      </c>
      <c r="Q340" s="363" t="s">
        <v>166</v>
      </c>
      <c r="R340" s="364">
        <v>500000</v>
      </c>
      <c r="S340" s="358">
        <f>P340*R340</f>
        <v>2500000</v>
      </c>
      <c r="T340" s="506">
        <f t="shared" si="137"/>
        <v>0</v>
      </c>
      <c r="U340" s="362">
        <v>5</v>
      </c>
      <c r="V340" s="363" t="s">
        <v>166</v>
      </c>
      <c r="W340" s="364">
        <v>500000</v>
      </c>
      <c r="X340" s="358">
        <f>U340*W340</f>
        <v>2500000</v>
      </c>
      <c r="Y340" s="359">
        <f t="shared" ref="Y340:Y361" si="177">X340-S340</f>
        <v>0</v>
      </c>
      <c r="Z340" s="362">
        <v>5</v>
      </c>
      <c r="AA340" s="363" t="s">
        <v>166</v>
      </c>
      <c r="AB340" s="364">
        <v>500000</v>
      </c>
      <c r="AC340" s="358">
        <f>Z340*AB340</f>
        <v>2500000</v>
      </c>
      <c r="AD340" s="359">
        <f t="shared" si="169"/>
        <v>0</v>
      </c>
      <c r="AE340" s="362">
        <v>5</v>
      </c>
      <c r="AF340" s="363" t="s">
        <v>166</v>
      </c>
      <c r="AG340" s="364">
        <v>500000</v>
      </c>
      <c r="AH340" s="358">
        <f>AE340*AG340</f>
        <v>2500000</v>
      </c>
      <c r="AI340" s="359">
        <f t="shared" si="175"/>
        <v>0</v>
      </c>
      <c r="AJ340" s="366"/>
      <c r="AK340" s="361"/>
    </row>
    <row r="341" spans="2:37" ht="30.2" customHeight="1">
      <c r="B341" s="907"/>
      <c r="C341" s="898"/>
      <c r="D341" s="898"/>
      <c r="E341" s="899" t="s">
        <v>563</v>
      </c>
      <c r="F341" s="351" t="s">
        <v>567</v>
      </c>
      <c r="G341" s="352"/>
      <c r="H341" s="352"/>
      <c r="I341" s="353"/>
      <c r="J341" s="354">
        <f>G341*I341</f>
        <v>0</v>
      </c>
      <c r="K341" s="380">
        <v>1</v>
      </c>
      <c r="L341" s="367" t="s">
        <v>569</v>
      </c>
      <c r="M341" s="368">
        <v>3000000</v>
      </c>
      <c r="N341" s="358">
        <f>K341*M341</f>
        <v>3000000</v>
      </c>
      <c r="O341" s="359">
        <f t="shared" si="176"/>
        <v>3000000</v>
      </c>
      <c r="P341" s="380">
        <v>1</v>
      </c>
      <c r="Q341" s="367" t="s">
        <v>166</v>
      </c>
      <c r="R341" s="368">
        <v>3000000</v>
      </c>
      <c r="S341" s="358">
        <f>P341*R341</f>
        <v>3000000</v>
      </c>
      <c r="T341" s="506">
        <f t="shared" si="137"/>
        <v>0</v>
      </c>
      <c r="U341" s="380">
        <v>1</v>
      </c>
      <c r="V341" s="367" t="s">
        <v>166</v>
      </c>
      <c r="W341" s="368">
        <v>3000000</v>
      </c>
      <c r="X341" s="358">
        <f>U341*W341</f>
        <v>3000000</v>
      </c>
      <c r="Y341" s="359">
        <f t="shared" si="177"/>
        <v>0</v>
      </c>
      <c r="Z341" s="380">
        <v>1</v>
      </c>
      <c r="AA341" s="367" t="s">
        <v>166</v>
      </c>
      <c r="AB341" s="368">
        <v>3000000</v>
      </c>
      <c r="AC341" s="358">
        <f>Z341*AB341</f>
        <v>3000000</v>
      </c>
      <c r="AD341" s="359">
        <f t="shared" si="169"/>
        <v>0</v>
      </c>
      <c r="AE341" s="380">
        <v>1</v>
      </c>
      <c r="AF341" s="367" t="s">
        <v>166</v>
      </c>
      <c r="AG341" s="368">
        <v>3000000</v>
      </c>
      <c r="AH341" s="358">
        <f>AE341*AG341</f>
        <v>3000000</v>
      </c>
      <c r="AI341" s="359">
        <f t="shared" si="175"/>
        <v>0</v>
      </c>
      <c r="AJ341" s="374"/>
      <c r="AK341" s="361"/>
    </row>
    <row r="342" spans="2:37" ht="30.2" customHeight="1">
      <c r="B342" s="907"/>
      <c r="C342" s="898"/>
      <c r="D342" s="898"/>
      <c r="E342" s="899"/>
      <c r="F342" s="351" t="s">
        <v>565</v>
      </c>
      <c r="G342" s="352"/>
      <c r="H342" s="352"/>
      <c r="I342" s="353"/>
      <c r="J342" s="354">
        <f>G342*I342</f>
        <v>0</v>
      </c>
      <c r="K342" s="380">
        <v>10</v>
      </c>
      <c r="L342" s="367" t="s">
        <v>570</v>
      </c>
      <c r="M342" s="368">
        <v>500000</v>
      </c>
      <c r="N342" s="358">
        <f>K342*M342</f>
        <v>5000000</v>
      </c>
      <c r="O342" s="359">
        <f t="shared" si="176"/>
        <v>5000000</v>
      </c>
      <c r="P342" s="380">
        <v>10</v>
      </c>
      <c r="Q342" s="367" t="s">
        <v>166</v>
      </c>
      <c r="R342" s="368">
        <v>500000</v>
      </c>
      <c r="S342" s="358">
        <f>P342*R342</f>
        <v>5000000</v>
      </c>
      <c r="T342" s="506">
        <f t="shared" si="137"/>
        <v>0</v>
      </c>
      <c r="U342" s="380">
        <v>10</v>
      </c>
      <c r="V342" s="367" t="s">
        <v>166</v>
      </c>
      <c r="W342" s="368">
        <v>500000</v>
      </c>
      <c r="X342" s="358">
        <f>U342*W342</f>
        <v>5000000</v>
      </c>
      <c r="Y342" s="359">
        <f t="shared" si="177"/>
        <v>0</v>
      </c>
      <c r="Z342" s="380">
        <v>10</v>
      </c>
      <c r="AA342" s="367" t="s">
        <v>166</v>
      </c>
      <c r="AB342" s="368">
        <v>500000</v>
      </c>
      <c r="AC342" s="358">
        <f>Z342*AB342</f>
        <v>5000000</v>
      </c>
      <c r="AD342" s="359">
        <f t="shared" si="169"/>
        <v>0</v>
      </c>
      <c r="AE342" s="380">
        <v>10</v>
      </c>
      <c r="AF342" s="367" t="s">
        <v>166</v>
      </c>
      <c r="AG342" s="368">
        <v>500000</v>
      </c>
      <c r="AH342" s="358">
        <f>AE342*AG342</f>
        <v>5000000</v>
      </c>
      <c r="AI342" s="359">
        <f t="shared" si="175"/>
        <v>0</v>
      </c>
      <c r="AJ342" s="374"/>
      <c r="AK342" s="361"/>
    </row>
    <row r="343" spans="2:37" ht="30.2" customHeight="1">
      <c r="B343" s="907"/>
      <c r="C343" s="898"/>
      <c r="D343" s="898"/>
      <c r="E343" s="369" t="s">
        <v>564</v>
      </c>
      <c r="F343" s="351" t="s">
        <v>566</v>
      </c>
      <c r="G343" s="352"/>
      <c r="H343" s="352"/>
      <c r="I343" s="353"/>
      <c r="J343" s="354">
        <f>G343*I343</f>
        <v>0</v>
      </c>
      <c r="K343" s="380">
        <v>1</v>
      </c>
      <c r="L343" s="367" t="s">
        <v>569</v>
      </c>
      <c r="M343" s="368">
        <v>3000000</v>
      </c>
      <c r="N343" s="358">
        <f>K343*M343</f>
        <v>3000000</v>
      </c>
      <c r="O343" s="359">
        <f t="shared" si="176"/>
        <v>3000000</v>
      </c>
      <c r="P343" s="380">
        <v>1</v>
      </c>
      <c r="Q343" s="367" t="s">
        <v>166</v>
      </c>
      <c r="R343" s="368">
        <v>3000000</v>
      </c>
      <c r="S343" s="358">
        <f>P343*R343</f>
        <v>3000000</v>
      </c>
      <c r="T343" s="506">
        <f t="shared" si="137"/>
        <v>0</v>
      </c>
      <c r="U343" s="380">
        <v>1</v>
      </c>
      <c r="V343" s="367" t="s">
        <v>166</v>
      </c>
      <c r="W343" s="368">
        <v>3000000</v>
      </c>
      <c r="X343" s="358">
        <f>U343*W343</f>
        <v>3000000</v>
      </c>
      <c r="Y343" s="359">
        <f t="shared" si="177"/>
        <v>0</v>
      </c>
      <c r="Z343" s="380">
        <v>1</v>
      </c>
      <c r="AA343" s="367" t="s">
        <v>166</v>
      </c>
      <c r="AB343" s="368">
        <v>3000000</v>
      </c>
      <c r="AC343" s="358">
        <f>Z343*AB343</f>
        <v>3000000</v>
      </c>
      <c r="AD343" s="359">
        <f t="shared" si="169"/>
        <v>0</v>
      </c>
      <c r="AE343" s="380">
        <v>1</v>
      </c>
      <c r="AF343" s="367" t="s">
        <v>166</v>
      </c>
      <c r="AG343" s="368">
        <v>3000000</v>
      </c>
      <c r="AH343" s="358">
        <f>AE343*AG343</f>
        <v>3000000</v>
      </c>
      <c r="AI343" s="359">
        <f t="shared" si="175"/>
        <v>0</v>
      </c>
      <c r="AJ343" s="374"/>
      <c r="AK343" s="361"/>
    </row>
    <row r="344" spans="2:37" ht="30.2" customHeight="1">
      <c r="B344" s="907"/>
      <c r="C344" s="707" t="s">
        <v>55</v>
      </c>
      <c r="D344" s="708"/>
      <c r="E344" s="708"/>
      <c r="F344" s="708"/>
      <c r="G344" s="708"/>
      <c r="H344" s="708"/>
      <c r="I344" s="709"/>
      <c r="J344" s="341">
        <f>SUM(J339:J340)</f>
        <v>0</v>
      </c>
      <c r="K344" s="761"/>
      <c r="L344" s="762"/>
      <c r="M344" s="763"/>
      <c r="N344" s="272">
        <f>SUM(N339:N343)</f>
        <v>18000000</v>
      </c>
      <c r="O344" s="278">
        <f t="shared" si="176"/>
        <v>18000000</v>
      </c>
      <c r="P344" s="761"/>
      <c r="Q344" s="762"/>
      <c r="R344" s="763"/>
      <c r="S344" s="272">
        <f>SUM(S339:S343)</f>
        <v>18000000</v>
      </c>
      <c r="T344" s="543">
        <f t="shared" si="137"/>
        <v>0</v>
      </c>
      <c r="U344" s="761"/>
      <c r="V344" s="762"/>
      <c r="W344" s="763"/>
      <c r="X344" s="272">
        <f>SUM(X339:X343)</f>
        <v>18000000</v>
      </c>
      <c r="Y344" s="278">
        <f t="shared" si="177"/>
        <v>0</v>
      </c>
      <c r="Z344" s="761"/>
      <c r="AA344" s="762"/>
      <c r="AB344" s="763"/>
      <c r="AC344" s="272">
        <f>SUM(AC339:AC343)</f>
        <v>18000000</v>
      </c>
      <c r="AD344" s="278">
        <f t="shared" si="169"/>
        <v>0</v>
      </c>
      <c r="AE344" s="761"/>
      <c r="AF344" s="762"/>
      <c r="AG344" s="763"/>
      <c r="AH344" s="272">
        <f>SUM(AH339:AH343)</f>
        <v>18000000</v>
      </c>
      <c r="AI344" s="278">
        <f t="shared" si="175"/>
        <v>0</v>
      </c>
      <c r="AJ344" s="207"/>
      <c r="AK344" s="33"/>
    </row>
    <row r="345" spans="2:37" ht="30.2" customHeight="1">
      <c r="B345" s="907"/>
      <c r="C345" s="900" t="s">
        <v>571</v>
      </c>
      <c r="D345" s="901"/>
      <c r="E345" s="370" t="s">
        <v>572</v>
      </c>
      <c r="F345" s="351" t="s">
        <v>583</v>
      </c>
      <c r="G345" s="371"/>
      <c r="H345" s="352"/>
      <c r="I345" s="353"/>
      <c r="J345" s="354">
        <f t="shared" ref="J345:J355" si="178">G345*I345</f>
        <v>0</v>
      </c>
      <c r="K345" s="362">
        <v>1000</v>
      </c>
      <c r="L345" s="372" t="s">
        <v>33</v>
      </c>
      <c r="M345" s="373">
        <v>18900</v>
      </c>
      <c r="N345" s="358">
        <f t="shared" ref="N345:N355" si="179">K345*M345</f>
        <v>18900000</v>
      </c>
      <c r="O345" s="359">
        <f t="shared" si="176"/>
        <v>18900000</v>
      </c>
      <c r="P345" s="362">
        <v>1000</v>
      </c>
      <c r="Q345" s="372" t="s">
        <v>33</v>
      </c>
      <c r="R345" s="373">
        <v>18900</v>
      </c>
      <c r="S345" s="358">
        <f t="shared" ref="S345:S355" si="180">P345*R345</f>
        <v>18900000</v>
      </c>
      <c r="T345" s="506">
        <f t="shared" si="137"/>
        <v>0</v>
      </c>
      <c r="U345" s="362">
        <v>1000</v>
      </c>
      <c r="V345" s="372" t="s">
        <v>33</v>
      </c>
      <c r="W345" s="373">
        <v>18900</v>
      </c>
      <c r="X345" s="358">
        <f t="shared" ref="X345:X355" si="181">U345*W345</f>
        <v>18900000</v>
      </c>
      <c r="Y345" s="359">
        <f t="shared" si="177"/>
        <v>0</v>
      </c>
      <c r="Z345" s="362">
        <v>1000</v>
      </c>
      <c r="AA345" s="372" t="s">
        <v>33</v>
      </c>
      <c r="AB345" s="373">
        <v>18900</v>
      </c>
      <c r="AC345" s="358">
        <f t="shared" ref="AC345:AC355" si="182">Z345*AB345</f>
        <v>18900000</v>
      </c>
      <c r="AD345" s="359">
        <f t="shared" si="169"/>
        <v>0</v>
      </c>
      <c r="AE345" s="362">
        <v>1000</v>
      </c>
      <c r="AF345" s="372" t="s">
        <v>33</v>
      </c>
      <c r="AG345" s="373">
        <v>18900</v>
      </c>
      <c r="AH345" s="358">
        <f t="shared" ref="AH345:AH355" si="183">AE345*AG345</f>
        <v>18900000</v>
      </c>
      <c r="AI345" s="359">
        <f t="shared" si="175"/>
        <v>0</v>
      </c>
      <c r="AJ345" s="374"/>
      <c r="AK345" s="369" t="s">
        <v>596</v>
      </c>
    </row>
    <row r="346" spans="2:37" ht="30.2" customHeight="1">
      <c r="B346" s="907"/>
      <c r="C346" s="902"/>
      <c r="D346" s="903"/>
      <c r="E346" s="370" t="s">
        <v>572</v>
      </c>
      <c r="F346" s="351" t="s">
        <v>584</v>
      </c>
      <c r="G346" s="371"/>
      <c r="H346" s="352"/>
      <c r="I346" s="353"/>
      <c r="J346" s="354">
        <f t="shared" si="178"/>
        <v>0</v>
      </c>
      <c r="K346" s="362">
        <v>1000</v>
      </c>
      <c r="L346" s="367" t="s">
        <v>594</v>
      </c>
      <c r="M346" s="368">
        <v>17500</v>
      </c>
      <c r="N346" s="358">
        <f t="shared" si="179"/>
        <v>17500000</v>
      </c>
      <c r="O346" s="359">
        <f t="shared" si="176"/>
        <v>17500000</v>
      </c>
      <c r="P346" s="362">
        <v>1000</v>
      </c>
      <c r="Q346" s="367" t="s">
        <v>33</v>
      </c>
      <c r="R346" s="368">
        <v>17500</v>
      </c>
      <c r="S346" s="358">
        <f t="shared" si="180"/>
        <v>17500000</v>
      </c>
      <c r="T346" s="506">
        <f t="shared" si="137"/>
        <v>0</v>
      </c>
      <c r="U346" s="362">
        <v>1000</v>
      </c>
      <c r="V346" s="367" t="s">
        <v>33</v>
      </c>
      <c r="W346" s="368">
        <v>17500</v>
      </c>
      <c r="X346" s="358">
        <f t="shared" si="181"/>
        <v>17500000</v>
      </c>
      <c r="Y346" s="359">
        <f t="shared" si="177"/>
        <v>0</v>
      </c>
      <c r="Z346" s="362">
        <v>1000</v>
      </c>
      <c r="AA346" s="367" t="s">
        <v>33</v>
      </c>
      <c r="AB346" s="368">
        <v>17500</v>
      </c>
      <c r="AC346" s="358">
        <f t="shared" si="182"/>
        <v>17500000</v>
      </c>
      <c r="AD346" s="359">
        <f t="shared" si="169"/>
        <v>0</v>
      </c>
      <c r="AE346" s="362">
        <v>1000</v>
      </c>
      <c r="AF346" s="367" t="s">
        <v>33</v>
      </c>
      <c r="AG346" s="368">
        <v>17500</v>
      </c>
      <c r="AH346" s="358">
        <f t="shared" si="183"/>
        <v>17500000</v>
      </c>
      <c r="AI346" s="359">
        <f t="shared" si="175"/>
        <v>0</v>
      </c>
      <c r="AJ346" s="374"/>
      <c r="AK346" s="369" t="s">
        <v>596</v>
      </c>
    </row>
    <row r="347" spans="2:37" ht="30.2" customHeight="1">
      <c r="B347" s="907"/>
      <c r="C347" s="902"/>
      <c r="D347" s="903"/>
      <c r="E347" s="370" t="s">
        <v>573</v>
      </c>
      <c r="F347" s="351" t="s">
        <v>581</v>
      </c>
      <c r="G347" s="371"/>
      <c r="H347" s="352"/>
      <c r="I347" s="353"/>
      <c r="J347" s="354">
        <f t="shared" si="178"/>
        <v>0</v>
      </c>
      <c r="K347" s="355">
        <v>1000</v>
      </c>
      <c r="L347" s="372" t="s">
        <v>33</v>
      </c>
      <c r="M347" s="368">
        <v>8300</v>
      </c>
      <c r="N347" s="358">
        <f t="shared" si="179"/>
        <v>8300000</v>
      </c>
      <c r="O347" s="359">
        <f t="shared" si="176"/>
        <v>8300000</v>
      </c>
      <c r="P347" s="355">
        <v>1000</v>
      </c>
      <c r="Q347" s="372" t="s">
        <v>33</v>
      </c>
      <c r="R347" s="368">
        <v>8300</v>
      </c>
      <c r="S347" s="358">
        <f t="shared" si="180"/>
        <v>8300000</v>
      </c>
      <c r="T347" s="506">
        <f t="shared" si="137"/>
        <v>0</v>
      </c>
      <c r="U347" s="355">
        <v>1000</v>
      </c>
      <c r="V347" s="372" t="s">
        <v>33</v>
      </c>
      <c r="W347" s="368">
        <v>8300</v>
      </c>
      <c r="X347" s="358">
        <f t="shared" si="181"/>
        <v>8300000</v>
      </c>
      <c r="Y347" s="359">
        <f t="shared" si="177"/>
        <v>0</v>
      </c>
      <c r="Z347" s="355">
        <v>1000</v>
      </c>
      <c r="AA347" s="372" t="s">
        <v>33</v>
      </c>
      <c r="AB347" s="368">
        <v>8300</v>
      </c>
      <c r="AC347" s="358">
        <f t="shared" si="182"/>
        <v>8300000</v>
      </c>
      <c r="AD347" s="359">
        <f t="shared" si="169"/>
        <v>0</v>
      </c>
      <c r="AE347" s="355">
        <v>1000</v>
      </c>
      <c r="AF347" s="372" t="s">
        <v>33</v>
      </c>
      <c r="AG347" s="368">
        <v>8300</v>
      </c>
      <c r="AH347" s="358">
        <f t="shared" si="183"/>
        <v>8300000</v>
      </c>
      <c r="AI347" s="359">
        <f t="shared" si="175"/>
        <v>0</v>
      </c>
      <c r="AJ347" s="374"/>
      <c r="AK347" s="369" t="s">
        <v>597</v>
      </c>
    </row>
    <row r="348" spans="2:37" ht="30.2" customHeight="1">
      <c r="B348" s="907"/>
      <c r="C348" s="902"/>
      <c r="D348" s="903"/>
      <c r="E348" s="370" t="s">
        <v>574</v>
      </c>
      <c r="F348" s="351" t="s">
        <v>582</v>
      </c>
      <c r="G348" s="371"/>
      <c r="H348" s="352"/>
      <c r="I348" s="353"/>
      <c r="J348" s="354">
        <f t="shared" si="178"/>
        <v>0</v>
      </c>
      <c r="K348" s="362">
        <v>1000</v>
      </c>
      <c r="L348" s="367" t="s">
        <v>594</v>
      </c>
      <c r="M348" s="373">
        <v>8100</v>
      </c>
      <c r="N348" s="358">
        <f t="shared" si="179"/>
        <v>8100000</v>
      </c>
      <c r="O348" s="359">
        <f t="shared" si="176"/>
        <v>8100000</v>
      </c>
      <c r="P348" s="362">
        <v>1000</v>
      </c>
      <c r="Q348" s="367" t="s">
        <v>33</v>
      </c>
      <c r="R348" s="373">
        <v>8100</v>
      </c>
      <c r="S348" s="358">
        <f t="shared" si="180"/>
        <v>8100000</v>
      </c>
      <c r="T348" s="506">
        <f t="shared" si="137"/>
        <v>0</v>
      </c>
      <c r="U348" s="362">
        <v>1000</v>
      </c>
      <c r="V348" s="367" t="s">
        <v>33</v>
      </c>
      <c r="W348" s="373">
        <v>8100</v>
      </c>
      <c r="X348" s="358">
        <f t="shared" si="181"/>
        <v>8100000</v>
      </c>
      <c r="Y348" s="359">
        <f t="shared" si="177"/>
        <v>0</v>
      </c>
      <c r="Z348" s="362">
        <v>1000</v>
      </c>
      <c r="AA348" s="367" t="s">
        <v>33</v>
      </c>
      <c r="AB348" s="373">
        <v>8100</v>
      </c>
      <c r="AC348" s="358">
        <f t="shared" si="182"/>
        <v>8100000</v>
      </c>
      <c r="AD348" s="359">
        <f t="shared" si="169"/>
        <v>0</v>
      </c>
      <c r="AE348" s="362">
        <v>1000</v>
      </c>
      <c r="AF348" s="367" t="s">
        <v>33</v>
      </c>
      <c r="AG348" s="373">
        <v>8100</v>
      </c>
      <c r="AH348" s="358">
        <f t="shared" si="183"/>
        <v>8100000</v>
      </c>
      <c r="AI348" s="359">
        <f t="shared" si="175"/>
        <v>0</v>
      </c>
      <c r="AJ348" s="374"/>
      <c r="AK348" s="369" t="s">
        <v>598</v>
      </c>
    </row>
    <row r="349" spans="2:37" ht="30.2" customHeight="1">
      <c r="B349" s="907"/>
      <c r="C349" s="902"/>
      <c r="D349" s="903"/>
      <c r="E349" s="370" t="s">
        <v>575</v>
      </c>
      <c r="F349" s="351" t="s">
        <v>585</v>
      </c>
      <c r="G349" s="371"/>
      <c r="H349" s="352"/>
      <c r="I349" s="353"/>
      <c r="J349" s="354">
        <f t="shared" si="178"/>
        <v>0</v>
      </c>
      <c r="K349" s="362">
        <v>8</v>
      </c>
      <c r="L349" s="372" t="s">
        <v>33</v>
      </c>
      <c r="M349" s="368">
        <v>363000</v>
      </c>
      <c r="N349" s="358">
        <f t="shared" si="179"/>
        <v>2904000</v>
      </c>
      <c r="O349" s="359">
        <f t="shared" si="176"/>
        <v>2904000</v>
      </c>
      <c r="P349" s="362">
        <v>8</v>
      </c>
      <c r="Q349" s="372" t="s">
        <v>33</v>
      </c>
      <c r="R349" s="368">
        <v>363000</v>
      </c>
      <c r="S349" s="358">
        <f t="shared" si="180"/>
        <v>2904000</v>
      </c>
      <c r="T349" s="506">
        <f t="shared" si="137"/>
        <v>0</v>
      </c>
      <c r="U349" s="362">
        <v>8</v>
      </c>
      <c r="V349" s="372" t="s">
        <v>33</v>
      </c>
      <c r="W349" s="368">
        <v>363000</v>
      </c>
      <c r="X349" s="358">
        <f t="shared" si="181"/>
        <v>2904000</v>
      </c>
      <c r="Y349" s="359">
        <f t="shared" si="177"/>
        <v>0</v>
      </c>
      <c r="Z349" s="362">
        <v>8</v>
      </c>
      <c r="AA349" s="372" t="s">
        <v>33</v>
      </c>
      <c r="AB349" s="368">
        <v>363000</v>
      </c>
      <c r="AC349" s="358">
        <f t="shared" si="182"/>
        <v>2904000</v>
      </c>
      <c r="AD349" s="359">
        <f t="shared" si="169"/>
        <v>0</v>
      </c>
      <c r="AE349" s="362">
        <v>8</v>
      </c>
      <c r="AF349" s="372" t="s">
        <v>33</v>
      </c>
      <c r="AG349" s="368">
        <v>363000</v>
      </c>
      <c r="AH349" s="358">
        <f t="shared" si="183"/>
        <v>2904000</v>
      </c>
      <c r="AI349" s="359">
        <f t="shared" si="175"/>
        <v>0</v>
      </c>
      <c r="AJ349" s="374"/>
      <c r="AK349" s="369" t="s">
        <v>599</v>
      </c>
    </row>
    <row r="350" spans="2:37" ht="30.2" customHeight="1">
      <c r="B350" s="907"/>
      <c r="C350" s="902"/>
      <c r="D350" s="903"/>
      <c r="E350" s="370" t="s">
        <v>576</v>
      </c>
      <c r="F350" s="351" t="s">
        <v>586</v>
      </c>
      <c r="G350" s="371"/>
      <c r="H350" s="352"/>
      <c r="I350" s="353"/>
      <c r="J350" s="354">
        <f t="shared" si="178"/>
        <v>0</v>
      </c>
      <c r="K350" s="355">
        <v>1000</v>
      </c>
      <c r="L350" s="367" t="s">
        <v>594</v>
      </c>
      <c r="M350" s="368">
        <v>6900</v>
      </c>
      <c r="N350" s="358">
        <f t="shared" si="179"/>
        <v>6900000</v>
      </c>
      <c r="O350" s="359">
        <f t="shared" si="176"/>
        <v>6900000</v>
      </c>
      <c r="P350" s="355">
        <v>1000</v>
      </c>
      <c r="Q350" s="367" t="s">
        <v>33</v>
      </c>
      <c r="R350" s="368">
        <v>6900</v>
      </c>
      <c r="S350" s="358">
        <f t="shared" si="180"/>
        <v>6900000</v>
      </c>
      <c r="T350" s="506">
        <f t="shared" si="137"/>
        <v>0</v>
      </c>
      <c r="U350" s="355">
        <v>1000</v>
      </c>
      <c r="V350" s="367" t="s">
        <v>33</v>
      </c>
      <c r="W350" s="368">
        <v>6900</v>
      </c>
      <c r="X350" s="358">
        <f t="shared" si="181"/>
        <v>6900000</v>
      </c>
      <c r="Y350" s="359">
        <f t="shared" si="177"/>
        <v>0</v>
      </c>
      <c r="Z350" s="355">
        <v>1000</v>
      </c>
      <c r="AA350" s="367" t="s">
        <v>33</v>
      </c>
      <c r="AB350" s="368">
        <v>6900</v>
      </c>
      <c r="AC350" s="358">
        <f t="shared" si="182"/>
        <v>6900000</v>
      </c>
      <c r="AD350" s="359">
        <f t="shared" si="169"/>
        <v>0</v>
      </c>
      <c r="AE350" s="355">
        <v>1000</v>
      </c>
      <c r="AF350" s="367" t="s">
        <v>33</v>
      </c>
      <c r="AG350" s="368">
        <v>6900</v>
      </c>
      <c r="AH350" s="358">
        <f t="shared" si="183"/>
        <v>6900000</v>
      </c>
      <c r="AI350" s="359">
        <f t="shared" si="175"/>
        <v>0</v>
      </c>
      <c r="AJ350" s="374"/>
      <c r="AK350" s="375" t="s">
        <v>600</v>
      </c>
    </row>
    <row r="351" spans="2:37" ht="30.2" customHeight="1">
      <c r="B351" s="907"/>
      <c r="C351" s="902"/>
      <c r="D351" s="903"/>
      <c r="E351" s="370" t="s">
        <v>763</v>
      </c>
      <c r="F351" s="351" t="s">
        <v>587</v>
      </c>
      <c r="G351" s="371"/>
      <c r="H351" s="352"/>
      <c r="I351" s="353"/>
      <c r="J351" s="354">
        <f t="shared" si="178"/>
        <v>0</v>
      </c>
      <c r="K351" s="362">
        <v>8000</v>
      </c>
      <c r="L351" s="372" t="s">
        <v>33</v>
      </c>
      <c r="M351" s="373">
        <v>850</v>
      </c>
      <c r="N351" s="358">
        <f t="shared" si="179"/>
        <v>6800000</v>
      </c>
      <c r="O351" s="359">
        <f t="shared" si="176"/>
        <v>6800000</v>
      </c>
      <c r="P351" s="362">
        <v>8000</v>
      </c>
      <c r="Q351" s="372" t="s">
        <v>33</v>
      </c>
      <c r="R351" s="373">
        <v>850</v>
      </c>
      <c r="S351" s="358">
        <f t="shared" si="180"/>
        <v>6800000</v>
      </c>
      <c r="T351" s="506">
        <f t="shared" si="137"/>
        <v>0</v>
      </c>
      <c r="U351" s="362">
        <v>8000</v>
      </c>
      <c r="V351" s="372" t="s">
        <v>33</v>
      </c>
      <c r="W351" s="373">
        <v>850</v>
      </c>
      <c r="X351" s="358">
        <f t="shared" si="181"/>
        <v>6800000</v>
      </c>
      <c r="Y351" s="359">
        <f t="shared" si="177"/>
        <v>0</v>
      </c>
      <c r="Z351" s="362">
        <v>8000</v>
      </c>
      <c r="AA351" s="372" t="s">
        <v>33</v>
      </c>
      <c r="AB351" s="373">
        <v>850</v>
      </c>
      <c r="AC351" s="358">
        <f t="shared" si="182"/>
        <v>6800000</v>
      </c>
      <c r="AD351" s="359">
        <f t="shared" si="169"/>
        <v>0</v>
      </c>
      <c r="AE351" s="362">
        <v>8000</v>
      </c>
      <c r="AF351" s="372" t="s">
        <v>33</v>
      </c>
      <c r="AG351" s="373">
        <v>850</v>
      </c>
      <c r="AH351" s="358">
        <f t="shared" si="183"/>
        <v>6800000</v>
      </c>
      <c r="AI351" s="359">
        <f t="shared" si="175"/>
        <v>0</v>
      </c>
      <c r="AJ351" s="374"/>
      <c r="AK351" s="375" t="s">
        <v>601</v>
      </c>
    </row>
    <row r="352" spans="2:37" ht="30.2" customHeight="1">
      <c r="B352" s="907"/>
      <c r="C352" s="902"/>
      <c r="D352" s="903"/>
      <c r="E352" s="370" t="s">
        <v>577</v>
      </c>
      <c r="F352" s="351" t="s">
        <v>588</v>
      </c>
      <c r="G352" s="371"/>
      <c r="H352" s="352"/>
      <c r="I352" s="353"/>
      <c r="J352" s="354">
        <f t="shared" si="178"/>
        <v>0</v>
      </c>
      <c r="K352" s="362">
        <v>10000</v>
      </c>
      <c r="L352" s="367" t="s">
        <v>594</v>
      </c>
      <c r="M352" s="368">
        <v>250</v>
      </c>
      <c r="N352" s="358">
        <f t="shared" si="179"/>
        <v>2500000</v>
      </c>
      <c r="O352" s="359">
        <f t="shared" si="176"/>
        <v>2500000</v>
      </c>
      <c r="P352" s="362">
        <v>10000</v>
      </c>
      <c r="Q352" s="367" t="s">
        <v>33</v>
      </c>
      <c r="R352" s="368">
        <v>250</v>
      </c>
      <c r="S352" s="358">
        <f t="shared" si="180"/>
        <v>2500000</v>
      </c>
      <c r="T352" s="506">
        <f t="shared" si="137"/>
        <v>0</v>
      </c>
      <c r="U352" s="362">
        <v>10000</v>
      </c>
      <c r="V352" s="367" t="s">
        <v>33</v>
      </c>
      <c r="W352" s="368">
        <v>250</v>
      </c>
      <c r="X352" s="358">
        <f t="shared" si="181"/>
        <v>2500000</v>
      </c>
      <c r="Y352" s="359">
        <f t="shared" si="177"/>
        <v>0</v>
      </c>
      <c r="Z352" s="362">
        <v>10000</v>
      </c>
      <c r="AA352" s="367" t="s">
        <v>33</v>
      </c>
      <c r="AB352" s="368">
        <v>250</v>
      </c>
      <c r="AC352" s="358">
        <f t="shared" si="182"/>
        <v>2500000</v>
      </c>
      <c r="AD352" s="359">
        <f t="shared" si="169"/>
        <v>0</v>
      </c>
      <c r="AE352" s="362">
        <v>10000</v>
      </c>
      <c r="AF352" s="367" t="s">
        <v>33</v>
      </c>
      <c r="AG352" s="368">
        <v>250</v>
      </c>
      <c r="AH352" s="358">
        <f t="shared" si="183"/>
        <v>2500000</v>
      </c>
      <c r="AI352" s="359">
        <f t="shared" si="175"/>
        <v>0</v>
      </c>
      <c r="AJ352" s="374"/>
      <c r="AK352" s="369" t="s">
        <v>602</v>
      </c>
    </row>
    <row r="353" spans="2:37" ht="30.2" customHeight="1">
      <c r="B353" s="907"/>
      <c r="C353" s="902"/>
      <c r="D353" s="903"/>
      <c r="E353" s="370" t="s">
        <v>578</v>
      </c>
      <c r="F353" s="351" t="s">
        <v>588</v>
      </c>
      <c r="G353" s="371"/>
      <c r="H353" s="352"/>
      <c r="I353" s="353"/>
      <c r="J353" s="354">
        <f t="shared" si="178"/>
        <v>0</v>
      </c>
      <c r="K353" s="355">
        <v>2000</v>
      </c>
      <c r="L353" s="372" t="s">
        <v>33</v>
      </c>
      <c r="M353" s="368">
        <v>2500</v>
      </c>
      <c r="N353" s="358">
        <f t="shared" si="179"/>
        <v>5000000</v>
      </c>
      <c r="O353" s="359">
        <f t="shared" si="176"/>
        <v>5000000</v>
      </c>
      <c r="P353" s="355">
        <v>2000</v>
      </c>
      <c r="Q353" s="372" t="s">
        <v>33</v>
      </c>
      <c r="R353" s="368">
        <v>2500</v>
      </c>
      <c r="S353" s="358">
        <f t="shared" si="180"/>
        <v>5000000</v>
      </c>
      <c r="T353" s="506">
        <f t="shared" si="137"/>
        <v>0</v>
      </c>
      <c r="U353" s="355">
        <v>2000</v>
      </c>
      <c r="V353" s="372" t="s">
        <v>33</v>
      </c>
      <c r="W353" s="368">
        <v>2500</v>
      </c>
      <c r="X353" s="358">
        <f t="shared" si="181"/>
        <v>5000000</v>
      </c>
      <c r="Y353" s="359">
        <f t="shared" si="177"/>
        <v>0</v>
      </c>
      <c r="Z353" s="355">
        <v>2000</v>
      </c>
      <c r="AA353" s="372" t="s">
        <v>33</v>
      </c>
      <c r="AB353" s="368">
        <v>2500</v>
      </c>
      <c r="AC353" s="358">
        <f t="shared" si="182"/>
        <v>5000000</v>
      </c>
      <c r="AD353" s="359">
        <f t="shared" si="169"/>
        <v>0</v>
      </c>
      <c r="AE353" s="355">
        <v>2000</v>
      </c>
      <c r="AF353" s="372" t="s">
        <v>33</v>
      </c>
      <c r="AG353" s="368">
        <v>2500</v>
      </c>
      <c r="AH353" s="358">
        <f t="shared" si="183"/>
        <v>5000000</v>
      </c>
      <c r="AI353" s="359">
        <f t="shared" si="175"/>
        <v>0</v>
      </c>
      <c r="AJ353" s="374"/>
      <c r="AK353" s="369" t="s">
        <v>603</v>
      </c>
    </row>
    <row r="354" spans="2:37" ht="30.2" customHeight="1">
      <c r="B354" s="907"/>
      <c r="C354" s="902"/>
      <c r="D354" s="903"/>
      <c r="E354" s="370" t="s">
        <v>579</v>
      </c>
      <c r="F354" s="351" t="s">
        <v>589</v>
      </c>
      <c r="G354" s="371"/>
      <c r="H354" s="352"/>
      <c r="I354" s="353"/>
      <c r="J354" s="354">
        <f t="shared" si="178"/>
        <v>0</v>
      </c>
      <c r="K354" s="362">
        <v>1500</v>
      </c>
      <c r="L354" s="367" t="s">
        <v>594</v>
      </c>
      <c r="M354" s="368">
        <v>8500</v>
      </c>
      <c r="N354" s="358">
        <f t="shared" si="179"/>
        <v>12750000</v>
      </c>
      <c r="O354" s="359">
        <f t="shared" si="176"/>
        <v>12750000</v>
      </c>
      <c r="P354" s="362">
        <v>1500</v>
      </c>
      <c r="Q354" s="367" t="s">
        <v>33</v>
      </c>
      <c r="R354" s="368">
        <v>8500</v>
      </c>
      <c r="S354" s="358">
        <f t="shared" si="180"/>
        <v>12750000</v>
      </c>
      <c r="T354" s="506">
        <f t="shared" si="137"/>
        <v>0</v>
      </c>
      <c r="U354" s="362">
        <v>1500</v>
      </c>
      <c r="V354" s="367" t="s">
        <v>33</v>
      </c>
      <c r="W354" s="368">
        <v>8500</v>
      </c>
      <c r="X354" s="358">
        <f t="shared" si="181"/>
        <v>12750000</v>
      </c>
      <c r="Y354" s="359">
        <f t="shared" si="177"/>
        <v>0</v>
      </c>
      <c r="Z354" s="362">
        <v>1500</v>
      </c>
      <c r="AA354" s="367" t="s">
        <v>33</v>
      </c>
      <c r="AB354" s="368">
        <v>8500</v>
      </c>
      <c r="AC354" s="358">
        <f t="shared" si="182"/>
        <v>12750000</v>
      </c>
      <c r="AD354" s="359">
        <f t="shared" si="169"/>
        <v>0</v>
      </c>
      <c r="AE354" s="362">
        <v>1500</v>
      </c>
      <c r="AF354" s="367" t="s">
        <v>33</v>
      </c>
      <c r="AG354" s="368">
        <v>8500</v>
      </c>
      <c r="AH354" s="358">
        <f t="shared" si="183"/>
        <v>12750000</v>
      </c>
      <c r="AI354" s="359">
        <f t="shared" si="175"/>
        <v>0</v>
      </c>
      <c r="AJ354" s="374"/>
      <c r="AK354" s="369" t="s">
        <v>604</v>
      </c>
    </row>
    <row r="355" spans="2:37" ht="30.2" customHeight="1">
      <c r="B355" s="907"/>
      <c r="C355" s="904"/>
      <c r="D355" s="905"/>
      <c r="E355" s="370" t="s">
        <v>580</v>
      </c>
      <c r="F355" s="351" t="s">
        <v>590</v>
      </c>
      <c r="G355" s="371"/>
      <c r="H355" s="352"/>
      <c r="I355" s="353"/>
      <c r="J355" s="354">
        <f t="shared" si="178"/>
        <v>0</v>
      </c>
      <c r="K355" s="355">
        <v>3000</v>
      </c>
      <c r="L355" s="372" t="s">
        <v>33</v>
      </c>
      <c r="M355" s="368">
        <v>1500</v>
      </c>
      <c r="N355" s="358">
        <f t="shared" si="179"/>
        <v>4500000</v>
      </c>
      <c r="O355" s="359">
        <f t="shared" si="176"/>
        <v>4500000</v>
      </c>
      <c r="P355" s="355">
        <v>3000</v>
      </c>
      <c r="Q355" s="372" t="s">
        <v>33</v>
      </c>
      <c r="R355" s="368">
        <v>1500</v>
      </c>
      <c r="S355" s="358">
        <f t="shared" si="180"/>
        <v>4500000</v>
      </c>
      <c r="T355" s="506">
        <f t="shared" si="137"/>
        <v>0</v>
      </c>
      <c r="U355" s="355">
        <v>3000</v>
      </c>
      <c r="V355" s="372" t="s">
        <v>33</v>
      </c>
      <c r="W355" s="368">
        <v>1500</v>
      </c>
      <c r="X355" s="358">
        <f t="shared" si="181"/>
        <v>4500000</v>
      </c>
      <c r="Y355" s="359">
        <f t="shared" si="177"/>
        <v>0</v>
      </c>
      <c r="Z355" s="355">
        <v>3000</v>
      </c>
      <c r="AA355" s="372" t="s">
        <v>33</v>
      </c>
      <c r="AB355" s="368">
        <v>1500</v>
      </c>
      <c r="AC355" s="358">
        <f t="shared" si="182"/>
        <v>4500000</v>
      </c>
      <c r="AD355" s="359">
        <f t="shared" si="169"/>
        <v>0</v>
      </c>
      <c r="AE355" s="355">
        <v>3000</v>
      </c>
      <c r="AF355" s="372" t="s">
        <v>33</v>
      </c>
      <c r="AG355" s="368">
        <v>1500</v>
      </c>
      <c r="AH355" s="358">
        <f t="shared" si="183"/>
        <v>4500000</v>
      </c>
      <c r="AI355" s="359">
        <f t="shared" si="175"/>
        <v>0</v>
      </c>
      <c r="AJ355" s="374"/>
      <c r="AK355" s="369" t="s">
        <v>605</v>
      </c>
    </row>
    <row r="356" spans="2:37" ht="30.2" customHeight="1">
      <c r="B356" s="907"/>
      <c r="C356" s="874" t="s">
        <v>55</v>
      </c>
      <c r="D356" s="874"/>
      <c r="E356" s="874"/>
      <c r="F356" s="874"/>
      <c r="G356" s="874"/>
      <c r="H356" s="874"/>
      <c r="I356" s="874"/>
      <c r="J356" s="167">
        <f>SUM(J345:J347)</f>
        <v>0</v>
      </c>
      <c r="K356" s="713"/>
      <c r="L356" s="714"/>
      <c r="M356" s="715"/>
      <c r="N356" s="272">
        <f>SUM(N345:N355)</f>
        <v>94154000</v>
      </c>
      <c r="O356" s="381">
        <f>SUM(O345:O347)</f>
        <v>44700000</v>
      </c>
      <c r="P356" s="713"/>
      <c r="Q356" s="714"/>
      <c r="R356" s="715"/>
      <c r="S356" s="272">
        <f>SUM(S345:S355)</f>
        <v>94154000</v>
      </c>
      <c r="T356" s="543">
        <f t="shared" si="137"/>
        <v>0</v>
      </c>
      <c r="U356" s="713"/>
      <c r="V356" s="714"/>
      <c r="W356" s="715"/>
      <c r="X356" s="272">
        <f>SUM(X345:X355)</f>
        <v>94154000</v>
      </c>
      <c r="Y356" s="278">
        <f t="shared" si="177"/>
        <v>0</v>
      </c>
      <c r="Z356" s="713"/>
      <c r="AA356" s="714"/>
      <c r="AB356" s="715"/>
      <c r="AC356" s="272">
        <f>SUM(AC345:AC355)</f>
        <v>94154000</v>
      </c>
      <c r="AD356" s="278">
        <f t="shared" si="169"/>
        <v>0</v>
      </c>
      <c r="AE356" s="713"/>
      <c r="AF356" s="714"/>
      <c r="AG356" s="715"/>
      <c r="AH356" s="272">
        <f>SUM(AH345:AH355)</f>
        <v>94154000</v>
      </c>
      <c r="AI356" s="278">
        <f t="shared" si="175"/>
        <v>0</v>
      </c>
      <c r="AJ356" s="207"/>
      <c r="AK356" s="33"/>
    </row>
    <row r="357" spans="2:37" ht="30.2" customHeight="1">
      <c r="B357" s="907"/>
      <c r="C357" s="900" t="s">
        <v>591</v>
      </c>
      <c r="D357" s="908"/>
      <c r="E357" s="376" t="s">
        <v>592</v>
      </c>
      <c r="F357" s="376" t="s">
        <v>593</v>
      </c>
      <c r="G357" s="377"/>
      <c r="H357" s="377"/>
      <c r="I357" s="378"/>
      <c r="J357" s="354">
        <f>G357*I357</f>
        <v>0</v>
      </c>
      <c r="K357" s="355">
        <v>1</v>
      </c>
      <c r="L357" s="379" t="s">
        <v>595</v>
      </c>
      <c r="M357" s="366">
        <v>200000</v>
      </c>
      <c r="N357" s="358">
        <f>K357*M357</f>
        <v>200000</v>
      </c>
      <c r="O357" s="359">
        <f>N357-J357</f>
        <v>200000</v>
      </c>
      <c r="P357" s="355">
        <v>1</v>
      </c>
      <c r="Q357" s="379" t="s">
        <v>595</v>
      </c>
      <c r="R357" s="366">
        <v>200000</v>
      </c>
      <c r="S357" s="358">
        <f>P357*R357</f>
        <v>200000</v>
      </c>
      <c r="T357" s="506">
        <f t="shared" si="137"/>
        <v>0</v>
      </c>
      <c r="U357" s="355">
        <v>1</v>
      </c>
      <c r="V357" s="379" t="s">
        <v>595</v>
      </c>
      <c r="W357" s="366">
        <v>200000</v>
      </c>
      <c r="X357" s="358">
        <f>U357*W357</f>
        <v>200000</v>
      </c>
      <c r="Y357" s="359">
        <f t="shared" si="177"/>
        <v>0</v>
      </c>
      <c r="Z357" s="355">
        <v>1</v>
      </c>
      <c r="AA357" s="379" t="s">
        <v>595</v>
      </c>
      <c r="AB357" s="366">
        <v>200000</v>
      </c>
      <c r="AC357" s="358">
        <f>Z357*AB357</f>
        <v>200000</v>
      </c>
      <c r="AD357" s="359">
        <f t="shared" si="169"/>
        <v>0</v>
      </c>
      <c r="AE357" s="355">
        <v>1</v>
      </c>
      <c r="AF357" s="379" t="s">
        <v>595</v>
      </c>
      <c r="AG357" s="366">
        <v>200000</v>
      </c>
      <c r="AH357" s="358">
        <f>AE357*AG357</f>
        <v>200000</v>
      </c>
      <c r="AI357" s="359">
        <f t="shared" si="175"/>
        <v>0</v>
      </c>
      <c r="AJ357" s="374"/>
      <c r="AK357" s="369" t="s">
        <v>606</v>
      </c>
    </row>
    <row r="358" spans="2:37" ht="30.2" customHeight="1">
      <c r="B358" s="907"/>
      <c r="C358" s="902"/>
      <c r="D358" s="909"/>
      <c r="E358" s="646" t="s">
        <v>758</v>
      </c>
      <c r="F358" s="646" t="s">
        <v>759</v>
      </c>
      <c r="G358" s="377"/>
      <c r="H358" s="377"/>
      <c r="I358" s="378"/>
      <c r="J358" s="354"/>
      <c r="K358" s="355"/>
      <c r="L358" s="379"/>
      <c r="M358" s="366"/>
      <c r="N358" s="358"/>
      <c r="O358" s="359"/>
      <c r="P358" s="355"/>
      <c r="Q358" s="379"/>
      <c r="R358" s="366"/>
      <c r="S358" s="358"/>
      <c r="T358" s="506"/>
      <c r="U358" s="355"/>
      <c r="V358" s="379"/>
      <c r="W358" s="366"/>
      <c r="X358" s="358"/>
      <c r="Y358" s="359"/>
      <c r="Z358" s="355"/>
      <c r="AA358" s="379"/>
      <c r="AB358" s="366"/>
      <c r="AC358" s="358"/>
      <c r="AD358" s="359"/>
      <c r="AE358" s="579">
        <v>1</v>
      </c>
      <c r="AF358" s="647" t="s">
        <v>760</v>
      </c>
      <c r="AG358" s="581">
        <v>2000000</v>
      </c>
      <c r="AH358" s="582">
        <f>AE358*AG358</f>
        <v>2000000</v>
      </c>
      <c r="AI358" s="583"/>
      <c r="AJ358" s="591"/>
      <c r="AK358" s="585" t="s">
        <v>761</v>
      </c>
    </row>
    <row r="359" spans="2:37" ht="30.2" customHeight="1">
      <c r="B359" s="907"/>
      <c r="C359" s="904"/>
      <c r="D359" s="910"/>
      <c r="E359" s="384" t="s">
        <v>609</v>
      </c>
      <c r="F359" s="384" t="s">
        <v>610</v>
      </c>
      <c r="G359" s="395"/>
      <c r="H359" s="395"/>
      <c r="I359" s="386"/>
      <c r="J359" s="387"/>
      <c r="K359" s="388">
        <v>3000</v>
      </c>
      <c r="L359" s="396" t="s">
        <v>33</v>
      </c>
      <c r="M359" s="390">
        <v>150</v>
      </c>
      <c r="N359" s="391">
        <f>K359*M359</f>
        <v>450000</v>
      </c>
      <c r="O359" s="397">
        <f>N359-J359</f>
        <v>450000</v>
      </c>
      <c r="P359" s="388">
        <v>3000</v>
      </c>
      <c r="Q359" s="396" t="s">
        <v>33</v>
      </c>
      <c r="R359" s="390">
        <v>150</v>
      </c>
      <c r="S359" s="391">
        <f>P359*R359</f>
        <v>450000</v>
      </c>
      <c r="T359" s="544">
        <f t="shared" si="137"/>
        <v>0</v>
      </c>
      <c r="U359" s="388">
        <v>3000</v>
      </c>
      <c r="V359" s="396" t="s">
        <v>33</v>
      </c>
      <c r="W359" s="390">
        <v>150</v>
      </c>
      <c r="X359" s="391">
        <f>U359*W359</f>
        <v>450000</v>
      </c>
      <c r="Y359" s="397">
        <f t="shared" si="177"/>
        <v>0</v>
      </c>
      <c r="Z359" s="388">
        <v>3000</v>
      </c>
      <c r="AA359" s="396" t="s">
        <v>33</v>
      </c>
      <c r="AB359" s="390">
        <v>150</v>
      </c>
      <c r="AC359" s="391">
        <f>Z359*AB359</f>
        <v>450000</v>
      </c>
      <c r="AD359" s="397">
        <f t="shared" si="169"/>
        <v>0</v>
      </c>
      <c r="AE359" s="388">
        <v>3000</v>
      </c>
      <c r="AF359" s="396" t="s">
        <v>33</v>
      </c>
      <c r="AG359" s="390">
        <v>150</v>
      </c>
      <c r="AH359" s="391">
        <f>AE359*AG359</f>
        <v>450000</v>
      </c>
      <c r="AI359" s="397">
        <f>AH359-AC359</f>
        <v>0</v>
      </c>
      <c r="AJ359" s="392"/>
      <c r="AK359" s="398" t="s">
        <v>613</v>
      </c>
    </row>
    <row r="360" spans="2:37" ht="30.2" customHeight="1">
      <c r="B360" s="907"/>
      <c r="C360" s="707" t="s">
        <v>55</v>
      </c>
      <c r="D360" s="708"/>
      <c r="E360" s="708"/>
      <c r="F360" s="708"/>
      <c r="G360" s="708"/>
      <c r="H360" s="708"/>
      <c r="I360" s="709"/>
      <c r="J360" s="167">
        <f>SUM(J357:J357)</f>
        <v>0</v>
      </c>
      <c r="K360" s="713"/>
      <c r="L360" s="714"/>
      <c r="M360" s="715"/>
      <c r="N360" s="272">
        <f>SUM(N357:N359)</f>
        <v>650000</v>
      </c>
      <c r="O360" s="309">
        <f>N360-J360</f>
        <v>650000</v>
      </c>
      <c r="P360" s="713"/>
      <c r="Q360" s="714"/>
      <c r="R360" s="715"/>
      <c r="S360" s="272">
        <f>SUM(S357:S359)</f>
        <v>650000</v>
      </c>
      <c r="T360" s="543">
        <f t="shared" si="137"/>
        <v>0</v>
      </c>
      <c r="U360" s="713"/>
      <c r="V360" s="714"/>
      <c r="W360" s="715"/>
      <c r="X360" s="272">
        <f>SUM(X357:X359)</f>
        <v>650000</v>
      </c>
      <c r="Y360" s="278">
        <f t="shared" si="177"/>
        <v>0</v>
      </c>
      <c r="Z360" s="713"/>
      <c r="AA360" s="714"/>
      <c r="AB360" s="715"/>
      <c r="AC360" s="272">
        <f>SUM(AC357:AC359)</f>
        <v>650000</v>
      </c>
      <c r="AD360" s="278">
        <f t="shared" si="169"/>
        <v>0</v>
      </c>
      <c r="AE360" s="713"/>
      <c r="AF360" s="714"/>
      <c r="AG360" s="715"/>
      <c r="AH360" s="272">
        <f>SUM(AH357:AH359)</f>
        <v>2650000</v>
      </c>
      <c r="AI360" s="278">
        <f>AH360-AC360</f>
        <v>2000000</v>
      </c>
      <c r="AJ360" s="207"/>
      <c r="AK360" s="33"/>
    </row>
    <row r="361" spans="2:37" ht="30.2" customHeight="1">
      <c r="B361" s="749" t="s">
        <v>775</v>
      </c>
      <c r="C361" s="750"/>
      <c r="D361" s="750"/>
      <c r="E361" s="750"/>
      <c r="F361" s="750"/>
      <c r="G361" s="750"/>
      <c r="H361" s="750"/>
      <c r="I361" s="751"/>
      <c r="J361" s="161">
        <f>SUM(J344,J356,J360)</f>
        <v>0</v>
      </c>
      <c r="K361" s="736"/>
      <c r="L361" s="737"/>
      <c r="M361" s="738"/>
      <c r="N361" s="266">
        <f>N344+N356+N360</f>
        <v>112804000</v>
      </c>
      <c r="O361" s="277">
        <f>N361-J361</f>
        <v>112804000</v>
      </c>
      <c r="P361" s="736"/>
      <c r="Q361" s="737"/>
      <c r="R361" s="738"/>
      <c r="S361" s="266">
        <f>S344+S356+S360</f>
        <v>112804000</v>
      </c>
      <c r="T361" s="244">
        <f t="shared" si="137"/>
        <v>0</v>
      </c>
      <c r="U361" s="736"/>
      <c r="V361" s="737"/>
      <c r="W361" s="738"/>
      <c r="X361" s="266">
        <f>X344+X356+X360</f>
        <v>112804000</v>
      </c>
      <c r="Y361" s="308">
        <f t="shared" si="177"/>
        <v>0</v>
      </c>
      <c r="Z361" s="736"/>
      <c r="AA361" s="737"/>
      <c r="AB361" s="738"/>
      <c r="AC361" s="266">
        <f>AC344+AC356+AC360</f>
        <v>112804000</v>
      </c>
      <c r="AD361" s="308">
        <f t="shared" si="169"/>
        <v>0</v>
      </c>
      <c r="AE361" s="736"/>
      <c r="AF361" s="737"/>
      <c r="AG361" s="738"/>
      <c r="AH361" s="266">
        <f>AH344+AH356+AH360</f>
        <v>114804000</v>
      </c>
      <c r="AI361" s="308">
        <f>AH361-AC361</f>
        <v>2000000</v>
      </c>
      <c r="AJ361" s="205"/>
      <c r="AK361" s="57"/>
    </row>
    <row r="362" spans="2:37" ht="45" customHeight="1">
      <c r="B362" s="282"/>
      <c r="C362" s="283"/>
      <c r="D362" s="283"/>
      <c r="E362" s="283"/>
      <c r="F362" s="283"/>
      <c r="G362" s="283"/>
      <c r="H362" s="283"/>
      <c r="I362" s="284"/>
      <c r="J362" s="287" t="s">
        <v>482</v>
      </c>
      <c r="K362" s="911"/>
      <c r="L362" s="912"/>
      <c r="M362" s="913"/>
      <c r="N362" s="264" t="s">
        <v>428</v>
      </c>
      <c r="O362" s="211" t="s">
        <v>429</v>
      </c>
      <c r="P362" s="911"/>
      <c r="Q362" s="912"/>
      <c r="R362" s="913"/>
      <c r="S362" s="264" t="s">
        <v>428</v>
      </c>
      <c r="T362" s="211" t="s">
        <v>429</v>
      </c>
      <c r="U362" s="911"/>
      <c r="V362" s="912"/>
      <c r="W362" s="913"/>
      <c r="X362" s="264" t="s">
        <v>428</v>
      </c>
      <c r="Y362" s="211" t="s">
        <v>429</v>
      </c>
      <c r="Z362" s="911"/>
      <c r="AA362" s="912"/>
      <c r="AB362" s="913"/>
      <c r="AC362" s="264" t="s">
        <v>428</v>
      </c>
      <c r="AD362" s="211" t="s">
        <v>429</v>
      </c>
      <c r="AE362" s="911"/>
      <c r="AF362" s="912"/>
      <c r="AG362" s="913"/>
      <c r="AH362" s="264" t="s">
        <v>428</v>
      </c>
      <c r="AI362" s="211" t="s">
        <v>429</v>
      </c>
      <c r="AJ362" s="285"/>
      <c r="AK362" s="286"/>
    </row>
    <row r="363" spans="2:37" ht="30.2" customHeight="1">
      <c r="B363" s="932" t="s">
        <v>29</v>
      </c>
      <c r="C363" s="933"/>
      <c r="D363" s="933"/>
      <c r="E363" s="933"/>
      <c r="F363" s="933"/>
      <c r="G363" s="625"/>
      <c r="H363" s="625"/>
      <c r="I363" s="626"/>
      <c r="J363" s="75">
        <f>SUM(J132,J143,J183,J280,J303,J338)</f>
        <v>1343959800</v>
      </c>
      <c r="K363" s="914"/>
      <c r="L363" s="915"/>
      <c r="M363" s="916"/>
      <c r="N363" s="306">
        <f>SUM(N338,N303,N280,N183,N143,N132,N361)</f>
        <v>1845001800</v>
      </c>
      <c r="O363" s="306">
        <f>SUM(O338,O303,O280,O183,O143,O132,O361)</f>
        <v>501042000</v>
      </c>
      <c r="P363" s="914"/>
      <c r="Q363" s="915"/>
      <c r="R363" s="916"/>
      <c r="S363" s="306">
        <f>SUM(S338,S303,S280,S183,S143,S132,S361)</f>
        <v>1797969981.8181818</v>
      </c>
      <c r="T363" s="507">
        <f t="shared" si="137"/>
        <v>-47031818.181818247</v>
      </c>
      <c r="U363" s="914"/>
      <c r="V363" s="915"/>
      <c r="W363" s="916"/>
      <c r="X363" s="306">
        <f>SUM(X338,X303,X280,X183,X143,X132,X361)</f>
        <v>1782153981.8181818</v>
      </c>
      <c r="Y363" s="306">
        <f>X363-S363</f>
        <v>-15816000</v>
      </c>
      <c r="Z363" s="914"/>
      <c r="AA363" s="915"/>
      <c r="AB363" s="916"/>
      <c r="AC363" s="306">
        <f>SUM(AC338,AC303,AC280,AC183,AC143,AC132,AC361)</f>
        <v>1784977381.8181818</v>
      </c>
      <c r="AD363" s="306">
        <f>AC363-X363</f>
        <v>2823400</v>
      </c>
      <c r="AE363" s="914"/>
      <c r="AF363" s="915"/>
      <c r="AG363" s="916"/>
      <c r="AH363" s="306">
        <f>SUM(AH338,AH303,AH280,AH183,AH143,AH132,AH361)</f>
        <v>1803651169.8181818</v>
      </c>
      <c r="AI363" s="306">
        <f>AH363-AC363</f>
        <v>18673788</v>
      </c>
      <c r="AJ363" s="872"/>
      <c r="AK363" s="873"/>
    </row>
    <row r="364" spans="2:37" ht="30.2" customHeight="1">
      <c r="B364" s="932" t="s">
        <v>30</v>
      </c>
      <c r="C364" s="933"/>
      <c r="D364" s="933"/>
      <c r="E364" s="933"/>
      <c r="F364" s="933"/>
      <c r="G364" s="625"/>
      <c r="H364" s="625"/>
      <c r="I364" s="626"/>
      <c r="J364" s="76">
        <f>J363*10%</f>
        <v>134395980</v>
      </c>
      <c r="K364" s="914"/>
      <c r="L364" s="915"/>
      <c r="M364" s="916"/>
      <c r="N364" s="306">
        <f>N363*0.1-(N361*0.1)</f>
        <v>173219780</v>
      </c>
      <c r="O364" s="306">
        <f>O363*0.1</f>
        <v>50104200</v>
      </c>
      <c r="P364" s="914"/>
      <c r="Q364" s="915"/>
      <c r="R364" s="916"/>
      <c r="S364" s="306">
        <f>S363*0.1-(S361*0.1)</f>
        <v>168516598.18181819</v>
      </c>
      <c r="T364" s="507">
        <f t="shared" si="137"/>
        <v>-4703181.8181818128</v>
      </c>
      <c r="U364" s="914"/>
      <c r="V364" s="915"/>
      <c r="W364" s="916"/>
      <c r="X364" s="306">
        <f>X363*0.1-(X361*0.1)</f>
        <v>166934998.18181819</v>
      </c>
      <c r="Y364" s="306">
        <f>X364-S364</f>
        <v>-1581600</v>
      </c>
      <c r="Z364" s="914"/>
      <c r="AA364" s="915"/>
      <c r="AB364" s="916"/>
      <c r="AC364" s="306">
        <f>AC363*0.1-(AC361*0.1)</f>
        <v>167217338.18181819</v>
      </c>
      <c r="AD364" s="306">
        <f>AC364-X364</f>
        <v>282340</v>
      </c>
      <c r="AE364" s="914"/>
      <c r="AF364" s="915"/>
      <c r="AG364" s="916"/>
      <c r="AH364" s="306">
        <f>AH363*0.1-(AH361*0.1)-(AH325*0.1)-(AH317*0.1)-(AH318*0.1)-(AH319*0.1)-(AH308*0.1)</f>
        <v>167117176.18181822</v>
      </c>
      <c r="AI364" s="306">
        <f>AH364-AC364</f>
        <v>-100161.9999999702</v>
      </c>
      <c r="AJ364" s="872" t="s">
        <v>778</v>
      </c>
      <c r="AK364" s="873"/>
    </row>
    <row r="365" spans="2:37" ht="30.2" customHeight="1" thickBot="1">
      <c r="B365" s="932" t="s">
        <v>625</v>
      </c>
      <c r="C365" s="933"/>
      <c r="D365" s="933"/>
      <c r="E365" s="933"/>
      <c r="F365" s="933"/>
      <c r="G365" s="625"/>
      <c r="H365" s="625"/>
      <c r="I365" s="626"/>
      <c r="J365" s="75">
        <f>J363+J364+J20</f>
        <v>1502494356</v>
      </c>
      <c r="K365" s="919"/>
      <c r="L365" s="920"/>
      <c r="M365" s="921"/>
      <c r="N365" s="310">
        <f>N363+N364+N20</f>
        <v>2042360156</v>
      </c>
      <c r="O365" s="310">
        <f>O363+O364+O20</f>
        <v>551146200</v>
      </c>
      <c r="P365" s="919"/>
      <c r="Q365" s="920"/>
      <c r="R365" s="921"/>
      <c r="S365" s="310">
        <f>S363+S364+S20</f>
        <v>1990625156</v>
      </c>
      <c r="T365" s="507">
        <f t="shared" si="137"/>
        <v>-51735000</v>
      </c>
      <c r="U365" s="919"/>
      <c r="V365" s="920"/>
      <c r="W365" s="921"/>
      <c r="X365" s="310">
        <f>X363+X364+X20</f>
        <v>1973227556</v>
      </c>
      <c r="Y365" s="310">
        <f>X365-S365</f>
        <v>-17397600</v>
      </c>
      <c r="Z365" s="919"/>
      <c r="AA365" s="920"/>
      <c r="AB365" s="921"/>
      <c r="AC365" s="310">
        <f>AC363+AC364+AC20</f>
        <v>1976333296</v>
      </c>
      <c r="AD365" s="310">
        <f>AC365-X365</f>
        <v>3105740</v>
      </c>
      <c r="AE365" s="919"/>
      <c r="AF365" s="920"/>
      <c r="AG365" s="921"/>
      <c r="AH365" s="310">
        <f>AH363+AH364+AH20</f>
        <v>1994906922</v>
      </c>
      <c r="AI365" s="310">
        <f>AH365-AC365</f>
        <v>18573626</v>
      </c>
      <c r="AJ365" s="867"/>
      <c r="AK365" s="685"/>
    </row>
    <row r="366" spans="2:37" ht="55.5" customHeight="1">
      <c r="B366" s="932" t="s">
        <v>682</v>
      </c>
      <c r="C366" s="933"/>
      <c r="D366" s="933"/>
      <c r="E366" s="933"/>
      <c r="F366" s="933"/>
      <c r="G366" s="625"/>
      <c r="H366" s="625"/>
      <c r="I366" s="626"/>
      <c r="J366" s="335"/>
      <c r="K366" s="725"/>
      <c r="L366" s="726"/>
      <c r="M366" s="727"/>
      <c r="N366" s="337">
        <f>N365*1.1</f>
        <v>2246596171.6000004</v>
      </c>
      <c r="O366" s="336"/>
      <c r="P366" s="725"/>
      <c r="Q366" s="726"/>
      <c r="R366" s="727"/>
      <c r="S366" s="337">
        <f>S365*1.1</f>
        <v>2189687671.6000004</v>
      </c>
      <c r="T366" s="507">
        <f t="shared" si="137"/>
        <v>-56908500</v>
      </c>
      <c r="U366" s="725"/>
      <c r="V366" s="726"/>
      <c r="W366" s="727"/>
      <c r="X366" s="337">
        <f>X365*1.1</f>
        <v>2170550311.6000004</v>
      </c>
      <c r="Y366" s="336"/>
      <c r="Z366" s="725"/>
      <c r="AA366" s="726"/>
      <c r="AB366" s="727"/>
      <c r="AC366" s="337">
        <f>AC365*1.1</f>
        <v>2173966625.6000004</v>
      </c>
      <c r="AD366" s="336"/>
      <c r="AE366" s="725"/>
      <c r="AF366" s="726"/>
      <c r="AG366" s="727"/>
      <c r="AH366" s="337">
        <f>AH365*1.1</f>
        <v>2194397614.2000003</v>
      </c>
      <c r="AI366" s="336"/>
      <c r="AJ366" s="723" t="s">
        <v>776</v>
      </c>
      <c r="AK366" s="724"/>
    </row>
    <row r="367" spans="2:37" ht="30.2" customHeight="1">
      <c r="B367" s="41"/>
      <c r="C367" s="36"/>
      <c r="D367" s="36"/>
      <c r="E367" s="36"/>
      <c r="F367" s="36"/>
      <c r="G367" s="36"/>
      <c r="H367" s="36"/>
      <c r="I367" s="83"/>
      <c r="J367" s="37"/>
      <c r="K367" s="171"/>
      <c r="L367" s="37"/>
      <c r="M367" s="157"/>
      <c r="N367" s="273"/>
      <c r="O367" s="143"/>
      <c r="P367" s="171"/>
      <c r="Q367" s="37"/>
      <c r="R367" s="157"/>
      <c r="S367" s="273"/>
      <c r="T367" s="143"/>
      <c r="U367" s="171"/>
      <c r="V367" s="37"/>
      <c r="W367" s="157"/>
      <c r="X367" s="273"/>
      <c r="Y367" s="143"/>
      <c r="Z367" s="171"/>
      <c r="AA367" s="37"/>
      <c r="AB367" s="157"/>
      <c r="AC367" s="273"/>
      <c r="AD367" s="143"/>
      <c r="AE367" s="171"/>
      <c r="AF367" s="931" t="s">
        <v>781</v>
      </c>
      <c r="AG367" s="931"/>
      <c r="AH367" s="273">
        <f>AH366-AH365</f>
        <v>199490692.20000029</v>
      </c>
      <c r="AI367" s="143"/>
      <c r="AJ367" s="38"/>
      <c r="AK367" s="39"/>
    </row>
    <row r="368" spans="2:37" ht="30.2" customHeight="1"/>
    <row r="369" spans="31:36" ht="30.2" customHeight="1">
      <c r="AE369" s="681" t="s">
        <v>779</v>
      </c>
      <c r="AF369" s="681"/>
      <c r="AG369" s="681"/>
      <c r="AH369" s="680">
        <v>1810000000</v>
      </c>
      <c r="AJ369" s="505"/>
    </row>
    <row r="370" spans="31:36" ht="30.2" customHeight="1">
      <c r="AE370" s="682" t="s">
        <v>780</v>
      </c>
      <c r="AF370" s="682"/>
      <c r="AG370" s="682"/>
      <c r="AH370" s="679" t="e">
        <f>#REF!+#REF!-AH369</f>
        <v>#REF!</v>
      </c>
    </row>
    <row r="371" spans="31:36" ht="30.2" customHeight="1">
      <c r="AH371" s="107">
        <v>359184555</v>
      </c>
    </row>
    <row r="372" spans="31:36" ht="30.2" customHeight="1"/>
    <row r="373" spans="31:36" ht="30.2" customHeight="1"/>
    <row r="374" spans="31:36" ht="30.2" customHeight="1"/>
    <row r="375" spans="31:36" ht="30.2" customHeight="1"/>
    <row r="376" spans="31:36" ht="30.2" customHeight="1"/>
    <row r="377" spans="31:36" ht="30.2" customHeight="1"/>
    <row r="378" spans="31:36" ht="30.2" customHeight="1"/>
    <row r="379" spans="31:36" ht="30.2" customHeight="1"/>
    <row r="380" spans="31:36" ht="30.2" customHeight="1"/>
    <row r="381" spans="31:36" ht="30.2" customHeight="1"/>
    <row r="382" spans="31:36" ht="30.2" customHeight="1"/>
    <row r="383" spans="31:36" ht="30.2" customHeight="1"/>
    <row r="384" spans="31:36" ht="30.2" customHeight="1"/>
    <row r="385" ht="30.2" customHeight="1"/>
    <row r="386" ht="30.2" customHeight="1"/>
    <row r="387" ht="30.2" customHeight="1"/>
    <row r="388" ht="30.2" customHeight="1"/>
    <row r="389" ht="30.2" customHeight="1"/>
    <row r="390" ht="30.2" customHeight="1"/>
    <row r="391" ht="30.2" customHeight="1"/>
    <row r="392" ht="30.2" customHeight="1"/>
    <row r="393" ht="30.2" customHeight="1"/>
    <row r="394" ht="30.2" customHeight="1"/>
    <row r="395" ht="30.2" customHeight="1"/>
    <row r="396" ht="30.2" customHeight="1"/>
    <row r="397" ht="30.2" customHeight="1"/>
    <row r="398" ht="30.2" customHeight="1"/>
    <row r="399" ht="30.2" customHeight="1"/>
    <row r="400" ht="30.2" customHeight="1"/>
    <row r="401" ht="30.2" customHeight="1"/>
    <row r="402" ht="30.2" customHeight="1"/>
    <row r="403" ht="30.2" customHeight="1"/>
    <row r="404" ht="30.2" customHeight="1"/>
    <row r="405" ht="30.2" customHeight="1"/>
    <row r="406" ht="30.2" customHeight="1"/>
    <row r="407" ht="30.2" customHeight="1"/>
    <row r="408" ht="30.2" customHeight="1"/>
    <row r="409" ht="30.2" customHeight="1"/>
    <row r="410" ht="30.2" customHeight="1"/>
    <row r="411" ht="30.2" customHeight="1"/>
    <row r="412" ht="30.2" customHeight="1"/>
    <row r="413" ht="30.2" customHeight="1"/>
    <row r="414" ht="30.2" customHeight="1"/>
    <row r="415" ht="30.2" customHeight="1"/>
    <row r="416" ht="30.2" customHeight="1"/>
    <row r="417" ht="30.2" customHeight="1"/>
    <row r="418" ht="30.2" customHeight="1"/>
    <row r="419" ht="30.2" customHeight="1"/>
    <row r="420" ht="30.2" customHeight="1"/>
    <row r="421" ht="30.2" customHeight="1"/>
    <row r="422" ht="30.2" customHeight="1"/>
    <row r="423" ht="30.2" customHeight="1"/>
    <row r="424" ht="30.2" customHeight="1"/>
    <row r="425" ht="30.2" customHeight="1"/>
    <row r="426" ht="30.2" customHeight="1"/>
    <row r="427" ht="30.2" customHeight="1"/>
    <row r="428" ht="30.2" customHeight="1"/>
    <row r="429" ht="30.2" customHeight="1"/>
    <row r="430" ht="30.2" customHeight="1"/>
    <row r="431" ht="30.2" customHeight="1"/>
    <row r="432" ht="30.2" customHeight="1"/>
    <row r="433" ht="30.2" customHeight="1"/>
    <row r="434" ht="30.2" customHeight="1"/>
    <row r="435" ht="30.2" customHeight="1"/>
    <row r="436" ht="30.2" customHeight="1"/>
    <row r="437" ht="30.2" customHeight="1"/>
  </sheetData>
  <mergeCells count="508">
    <mergeCell ref="Z364:AB364"/>
    <mergeCell ref="AF367:AG367"/>
    <mergeCell ref="B363:F363"/>
    <mergeCell ref="B364:F364"/>
    <mergeCell ref="B365:F365"/>
    <mergeCell ref="B366:F366"/>
    <mergeCell ref="U365:W365"/>
    <mergeCell ref="U366:W366"/>
    <mergeCell ref="AE363:AG363"/>
    <mergeCell ref="B361:I361"/>
    <mergeCell ref="K361:M361"/>
    <mergeCell ref="K363:M363"/>
    <mergeCell ref="K364:M364"/>
    <mergeCell ref="K365:M365"/>
    <mergeCell ref="K362:M362"/>
    <mergeCell ref="AE364:AG364"/>
    <mergeCell ref="AE365:AG365"/>
    <mergeCell ref="AE366:AG366"/>
    <mergeCell ref="AE309:AG309"/>
    <mergeCell ref="AE313:AG313"/>
    <mergeCell ref="AE337:AG337"/>
    <mergeCell ref="AE338:AG338"/>
    <mergeCell ref="AE344:AG344"/>
    <mergeCell ref="AE356:AG356"/>
    <mergeCell ref="AE360:AG360"/>
    <mergeCell ref="AE361:AG361"/>
    <mergeCell ref="AE362:AG362"/>
    <mergeCell ref="AE185:AG185"/>
    <mergeCell ref="AE269:AG269"/>
    <mergeCell ref="AE272:AG272"/>
    <mergeCell ref="AE276:AG276"/>
    <mergeCell ref="AE279:AG279"/>
    <mergeCell ref="AE280:AG280"/>
    <mergeCell ref="AE293:AG293"/>
    <mergeCell ref="AE302:AG302"/>
    <mergeCell ref="AE303:AG303"/>
    <mergeCell ref="Z362:AB362"/>
    <mergeCell ref="Z363:AB363"/>
    <mergeCell ref="AB316:AB325"/>
    <mergeCell ref="AB326:AB331"/>
    <mergeCell ref="AE10:AI10"/>
    <mergeCell ref="AE20:AG20"/>
    <mergeCell ref="AE86:AG86"/>
    <mergeCell ref="AE110:AG110"/>
    <mergeCell ref="AE125:AG125"/>
    <mergeCell ref="AE131:AG131"/>
    <mergeCell ref="AE132:AG132"/>
    <mergeCell ref="AE133:AE134"/>
    <mergeCell ref="AF133:AF134"/>
    <mergeCell ref="AG133:AG134"/>
    <mergeCell ref="AH133:AH134"/>
    <mergeCell ref="AI133:AI134"/>
    <mergeCell ref="AE136:AG136"/>
    <mergeCell ref="AE142:AG142"/>
    <mergeCell ref="AE143:AG143"/>
    <mergeCell ref="AE149:AE150"/>
    <mergeCell ref="AF149:AF150"/>
    <mergeCell ref="AG149:AG150"/>
    <mergeCell ref="AH149:AH150"/>
    <mergeCell ref="AI149:AI150"/>
    <mergeCell ref="Z365:AB365"/>
    <mergeCell ref="Z366:AB366"/>
    <mergeCell ref="Z269:AB269"/>
    <mergeCell ref="Z272:AB272"/>
    <mergeCell ref="Z276:AB276"/>
    <mergeCell ref="Z279:AB279"/>
    <mergeCell ref="Z280:AB280"/>
    <mergeCell ref="Z293:AB293"/>
    <mergeCell ref="Z302:AB302"/>
    <mergeCell ref="Z303:AB303"/>
    <mergeCell ref="Z309:AB309"/>
    <mergeCell ref="Z313:AB313"/>
    <mergeCell ref="Z337:AB337"/>
    <mergeCell ref="Z338:AB338"/>
    <mergeCell ref="Z344:AB344"/>
    <mergeCell ref="Z356:AB356"/>
    <mergeCell ref="Z360:AB360"/>
    <mergeCell ref="Z361:AB361"/>
    <mergeCell ref="Z136:AB136"/>
    <mergeCell ref="Z142:AB142"/>
    <mergeCell ref="Z143:AB143"/>
    <mergeCell ref="Z149:Z150"/>
    <mergeCell ref="AA149:AA150"/>
    <mergeCell ref="AB149:AB150"/>
    <mergeCell ref="AC149:AC150"/>
    <mergeCell ref="AD149:AD150"/>
    <mergeCell ref="Z185:AB185"/>
    <mergeCell ref="Z10:AD10"/>
    <mergeCell ref="Z20:AB20"/>
    <mergeCell ref="Z86:AB86"/>
    <mergeCell ref="Z110:AB110"/>
    <mergeCell ref="Z125:AB125"/>
    <mergeCell ref="Z131:AB131"/>
    <mergeCell ref="Z132:AB132"/>
    <mergeCell ref="Z133:Z134"/>
    <mergeCell ref="AA133:AA134"/>
    <mergeCell ref="AB133:AB134"/>
    <mergeCell ref="AC133:AC134"/>
    <mergeCell ref="AD133:AD134"/>
    <mergeCell ref="C254:E254"/>
    <mergeCell ref="C314:C336"/>
    <mergeCell ref="U337:W337"/>
    <mergeCell ref="U338:W338"/>
    <mergeCell ref="U344:W344"/>
    <mergeCell ref="U356:W356"/>
    <mergeCell ref="U360:W360"/>
    <mergeCell ref="U361:W361"/>
    <mergeCell ref="U362:W362"/>
    <mergeCell ref="U363:W363"/>
    <mergeCell ref="U364:W364"/>
    <mergeCell ref="U272:W272"/>
    <mergeCell ref="U276:W276"/>
    <mergeCell ref="U279:W279"/>
    <mergeCell ref="U280:W280"/>
    <mergeCell ref="U293:W293"/>
    <mergeCell ref="P365:R365"/>
    <mergeCell ref="P366:R366"/>
    <mergeCell ref="D249:D250"/>
    <mergeCell ref="K293:M293"/>
    <mergeCell ref="K269:M269"/>
    <mergeCell ref="K279:M279"/>
    <mergeCell ref="Y133:Y134"/>
    <mergeCell ref="U136:W136"/>
    <mergeCell ref="U142:W142"/>
    <mergeCell ref="U143:W143"/>
    <mergeCell ref="U149:U150"/>
    <mergeCell ref="V149:V150"/>
    <mergeCell ref="W149:W150"/>
    <mergeCell ref="X149:X150"/>
    <mergeCell ref="Y149:Y150"/>
    <mergeCell ref="U213:W213"/>
    <mergeCell ref="U220:W220"/>
    <mergeCell ref="U227:W227"/>
    <mergeCell ref="U234:W234"/>
    <mergeCell ref="U240:W240"/>
    <mergeCell ref="U244:W244"/>
    <mergeCell ref="U248:W248"/>
    <mergeCell ref="U255:W255"/>
    <mergeCell ref="U269:W269"/>
    <mergeCell ref="P364:R364"/>
    <mergeCell ref="P269:R269"/>
    <mergeCell ref="P272:R272"/>
    <mergeCell ref="P276:R276"/>
    <mergeCell ref="P279:R279"/>
    <mergeCell ref="P280:R280"/>
    <mergeCell ref="P293:R293"/>
    <mergeCell ref="P302:R302"/>
    <mergeCell ref="P303:R303"/>
    <mergeCell ref="P309:R309"/>
    <mergeCell ref="P337:R337"/>
    <mergeCell ref="P338:R338"/>
    <mergeCell ref="P344:R344"/>
    <mergeCell ref="P356:R356"/>
    <mergeCell ref="P360:R360"/>
    <mergeCell ref="P361:R361"/>
    <mergeCell ref="P362:R362"/>
    <mergeCell ref="P363:R363"/>
    <mergeCell ref="U10:Y10"/>
    <mergeCell ref="U20:W20"/>
    <mergeCell ref="U86:W86"/>
    <mergeCell ref="U110:W110"/>
    <mergeCell ref="U125:W125"/>
    <mergeCell ref="U131:W131"/>
    <mergeCell ref="U132:W132"/>
    <mergeCell ref="U302:W302"/>
    <mergeCell ref="U303:W303"/>
    <mergeCell ref="U309:W309"/>
    <mergeCell ref="U313:W313"/>
    <mergeCell ref="U133:U134"/>
    <mergeCell ref="V133:V134"/>
    <mergeCell ref="W133:W134"/>
    <mergeCell ref="K344:M344"/>
    <mergeCell ref="C339:D343"/>
    <mergeCell ref="E339:E340"/>
    <mergeCell ref="E341:E342"/>
    <mergeCell ref="C345:D355"/>
    <mergeCell ref="B339:B360"/>
    <mergeCell ref="C344:I344"/>
    <mergeCell ref="C356:I356"/>
    <mergeCell ref="K356:M356"/>
    <mergeCell ref="C360:I360"/>
    <mergeCell ref="K360:M360"/>
    <mergeCell ref="C357:D359"/>
    <mergeCell ref="B12:B19"/>
    <mergeCell ref="C125:I125"/>
    <mergeCell ref="E126:E127"/>
    <mergeCell ref="E128:E130"/>
    <mergeCell ref="C126:D130"/>
    <mergeCell ref="C110:I110"/>
    <mergeCell ref="E111:E113"/>
    <mergeCell ref="E116:E119"/>
    <mergeCell ref="E87:E91"/>
    <mergeCell ref="E92:E96"/>
    <mergeCell ref="E97:E98"/>
    <mergeCell ref="E99:E102"/>
    <mergeCell ref="E104:E107"/>
    <mergeCell ref="B20:I20"/>
    <mergeCell ref="C87:D109"/>
    <mergeCell ref="B21:B131"/>
    <mergeCell ref="E21:E26"/>
    <mergeCell ref="E27:E32"/>
    <mergeCell ref="E33:E44"/>
    <mergeCell ref="E45:E61"/>
    <mergeCell ref="E62:E65"/>
    <mergeCell ref="E66:E69"/>
    <mergeCell ref="E70:E82"/>
    <mergeCell ref="C86:I86"/>
    <mergeCell ref="E217:E219"/>
    <mergeCell ref="C148:I148"/>
    <mergeCell ref="C149:C181"/>
    <mergeCell ref="C182:I182"/>
    <mergeCell ref="E204:E207"/>
    <mergeCell ref="G149:G150"/>
    <mergeCell ref="H149:H150"/>
    <mergeCell ref="I149:I150"/>
    <mergeCell ref="C186:C191"/>
    <mergeCell ref="D186:D191"/>
    <mergeCell ref="E186:E191"/>
    <mergeCell ref="C193:C198"/>
    <mergeCell ref="B183:I183"/>
    <mergeCell ref="C199:I199"/>
    <mergeCell ref="AJ365:AK365"/>
    <mergeCell ref="B7:C7"/>
    <mergeCell ref="D7:E7"/>
    <mergeCell ref="AJ363:AK363"/>
    <mergeCell ref="AJ364:AK364"/>
    <mergeCell ref="D214:D215"/>
    <mergeCell ref="C220:I220"/>
    <mergeCell ref="C228:C233"/>
    <mergeCell ref="C142:I142"/>
    <mergeCell ref="B143:I143"/>
    <mergeCell ref="C131:I131"/>
    <mergeCell ref="C185:I185"/>
    <mergeCell ref="C192:I192"/>
    <mergeCell ref="B132:I132"/>
    <mergeCell ref="C136:I136"/>
    <mergeCell ref="C111:D124"/>
    <mergeCell ref="C309:I309"/>
    <mergeCell ref="C337:I337"/>
    <mergeCell ref="B281:B302"/>
    <mergeCell ref="C281:C292"/>
    <mergeCell ref="C293:I293"/>
    <mergeCell ref="B133:B142"/>
    <mergeCell ref="D231:D233"/>
    <mergeCell ref="D294:D298"/>
    <mergeCell ref="B1:AK1"/>
    <mergeCell ref="B2:E2"/>
    <mergeCell ref="I2:AK2"/>
    <mergeCell ref="B3:C3"/>
    <mergeCell ref="D3:E3"/>
    <mergeCell ref="B6:C6"/>
    <mergeCell ref="F2:H7"/>
    <mergeCell ref="B4:C4"/>
    <mergeCell ref="D4:E4"/>
    <mergeCell ref="B5:C5"/>
    <mergeCell ref="D5:E5"/>
    <mergeCell ref="I3:M3"/>
    <mergeCell ref="I4:M4"/>
    <mergeCell ref="I5:M5"/>
    <mergeCell ref="I6:M6"/>
    <mergeCell ref="I7:M7"/>
    <mergeCell ref="N3:AK3"/>
    <mergeCell ref="N4:AK4"/>
    <mergeCell ref="N5:AK5"/>
    <mergeCell ref="N6:AK6"/>
    <mergeCell ref="N7:AK7"/>
    <mergeCell ref="B144:B182"/>
    <mergeCell ref="B338:I338"/>
    <mergeCell ref="E281:E282"/>
    <mergeCell ref="D281:D282"/>
    <mergeCell ref="E286:E287"/>
    <mergeCell ref="E288:E292"/>
    <mergeCell ref="D283:D292"/>
    <mergeCell ref="C311:C312"/>
    <mergeCell ref="C313:I313"/>
    <mergeCell ref="B303:I303"/>
    <mergeCell ref="B304:B337"/>
    <mergeCell ref="D304:D308"/>
    <mergeCell ref="C304:C308"/>
    <mergeCell ref="E256:E257"/>
    <mergeCell ref="C144:C147"/>
    <mergeCell ref="D193:D194"/>
    <mergeCell ref="D326:D331"/>
    <mergeCell ref="E326:E331"/>
    <mergeCell ref="E149:E153"/>
    <mergeCell ref="D158:D181"/>
    <mergeCell ref="I316:I331"/>
    <mergeCell ref="D149:D157"/>
    <mergeCell ref="C214:C219"/>
    <mergeCell ref="D217:D219"/>
    <mergeCell ref="B10:B11"/>
    <mergeCell ref="C10:C11"/>
    <mergeCell ref="D10:D11"/>
    <mergeCell ref="E10:E11"/>
    <mergeCell ref="F10:F11"/>
    <mergeCell ref="G10:J10"/>
    <mergeCell ref="C269:I269"/>
    <mergeCell ref="C273:C275"/>
    <mergeCell ref="C276:I276"/>
    <mergeCell ref="C256:C268"/>
    <mergeCell ref="C235:C239"/>
    <mergeCell ref="D242:D243"/>
    <mergeCell ref="C244:I244"/>
    <mergeCell ref="C245:C247"/>
    <mergeCell ref="D246:D247"/>
    <mergeCell ref="C248:I248"/>
    <mergeCell ref="C249:C253"/>
    <mergeCell ref="D252:D253"/>
    <mergeCell ref="D197:D198"/>
    <mergeCell ref="C200:C202"/>
    <mergeCell ref="C203:I203"/>
    <mergeCell ref="C213:I213"/>
    <mergeCell ref="C241:C243"/>
    <mergeCell ref="D137:D139"/>
    <mergeCell ref="AJ10:AJ11"/>
    <mergeCell ref="AK10:AK11"/>
    <mergeCell ref="K10:O10"/>
    <mergeCell ref="K20:M20"/>
    <mergeCell ref="K110:M110"/>
    <mergeCell ref="K125:M125"/>
    <mergeCell ref="K131:M131"/>
    <mergeCell ref="K133:K134"/>
    <mergeCell ref="L133:L134"/>
    <mergeCell ref="M133:M134"/>
    <mergeCell ref="N133:N134"/>
    <mergeCell ref="O133:O134"/>
    <mergeCell ref="AJ133:AJ134"/>
    <mergeCell ref="AK133:AK134"/>
    <mergeCell ref="P10:T10"/>
    <mergeCell ref="P20:R20"/>
    <mergeCell ref="P86:R86"/>
    <mergeCell ref="P110:R110"/>
    <mergeCell ref="P125:R125"/>
    <mergeCell ref="P131:R131"/>
    <mergeCell ref="P132:R132"/>
    <mergeCell ref="P133:P134"/>
    <mergeCell ref="Q133:Q134"/>
    <mergeCell ref="R133:R134"/>
    <mergeCell ref="E122:E124"/>
    <mergeCell ref="D133:D134"/>
    <mergeCell ref="C12:D19"/>
    <mergeCell ref="D145:D146"/>
    <mergeCell ref="K86:M86"/>
    <mergeCell ref="C21:D85"/>
    <mergeCell ref="D140:D141"/>
    <mergeCell ref="E140:E141"/>
    <mergeCell ref="E145:E146"/>
    <mergeCell ref="K136:M136"/>
    <mergeCell ref="K132:M132"/>
    <mergeCell ref="E114:E115"/>
    <mergeCell ref="C133:C135"/>
    <mergeCell ref="E137:E139"/>
    <mergeCell ref="C137:C141"/>
    <mergeCell ref="AK137:AK139"/>
    <mergeCell ref="K142:M142"/>
    <mergeCell ref="K143:M143"/>
    <mergeCell ref="Q149:Q150"/>
    <mergeCell ref="R149:R150"/>
    <mergeCell ref="S149:S150"/>
    <mergeCell ref="T149:T150"/>
    <mergeCell ref="O149:O150"/>
    <mergeCell ref="AJ149:AJ150"/>
    <mergeCell ref="AK149:AK150"/>
    <mergeCell ref="P142:R142"/>
    <mergeCell ref="P143:R143"/>
    <mergeCell ref="P149:P150"/>
    <mergeCell ref="AE192:AG192"/>
    <mergeCell ref="AE199:AG199"/>
    <mergeCell ref="AE203:AG203"/>
    <mergeCell ref="AE213:AG213"/>
    <mergeCell ref="AE220:AG220"/>
    <mergeCell ref="AE227:AG227"/>
    <mergeCell ref="AE234:AG234"/>
    <mergeCell ref="AE240:AG240"/>
    <mergeCell ref="AE244:AG244"/>
    <mergeCell ref="J149:J150"/>
    <mergeCell ref="K149:K150"/>
    <mergeCell ref="L149:L150"/>
    <mergeCell ref="M149:M150"/>
    <mergeCell ref="N149:N150"/>
    <mergeCell ref="Z192:AB192"/>
    <mergeCell ref="Z199:AB199"/>
    <mergeCell ref="Z203:AB203"/>
    <mergeCell ref="Z213:AB213"/>
    <mergeCell ref="K203:M203"/>
    <mergeCell ref="X133:X134"/>
    <mergeCell ref="K338:M338"/>
    <mergeCell ref="K313:M313"/>
    <mergeCell ref="K309:M309"/>
    <mergeCell ref="K192:M192"/>
    <mergeCell ref="K185:M185"/>
    <mergeCell ref="U185:W185"/>
    <mergeCell ref="U192:W192"/>
    <mergeCell ref="S133:S134"/>
    <mergeCell ref="T133:T134"/>
    <mergeCell ref="P136:R136"/>
    <mergeCell ref="K234:M234"/>
    <mergeCell ref="K220:M220"/>
    <mergeCell ref="P185:R185"/>
    <mergeCell ref="P192:R192"/>
    <mergeCell ref="P199:R199"/>
    <mergeCell ref="P203:R203"/>
    <mergeCell ref="L316:L331"/>
    <mergeCell ref="M316:M331"/>
    <mergeCell ref="N316:N331"/>
    <mergeCell ref="O316:O331"/>
    <mergeCell ref="P316:P331"/>
    <mergeCell ref="Q316:Q331"/>
    <mergeCell ref="R316:R331"/>
    <mergeCell ref="AK235:AK239"/>
    <mergeCell ref="C204:C212"/>
    <mergeCell ref="D204:D212"/>
    <mergeCell ref="D229:D230"/>
    <mergeCell ref="E229:E230"/>
    <mergeCell ref="AK241:AK243"/>
    <mergeCell ref="AK245:AK247"/>
    <mergeCell ref="E249:E250"/>
    <mergeCell ref="E258:E263"/>
    <mergeCell ref="D256:D263"/>
    <mergeCell ref="P240:R240"/>
    <mergeCell ref="P244:R244"/>
    <mergeCell ref="P248:R248"/>
    <mergeCell ref="P255:R255"/>
    <mergeCell ref="K255:M255"/>
    <mergeCell ref="K248:M248"/>
    <mergeCell ref="K244:M244"/>
    <mergeCell ref="AE255:AG255"/>
    <mergeCell ref="Z220:AB220"/>
    <mergeCell ref="Z227:AB227"/>
    <mergeCell ref="Z234:AB234"/>
    <mergeCell ref="Z240:AB240"/>
    <mergeCell ref="Z244:AB244"/>
    <mergeCell ref="C255:I255"/>
    <mergeCell ref="D316:D325"/>
    <mergeCell ref="P234:R234"/>
    <mergeCell ref="D264:D265"/>
    <mergeCell ref="E264:E265"/>
    <mergeCell ref="D236:D237"/>
    <mergeCell ref="D238:D239"/>
    <mergeCell ref="C240:I240"/>
    <mergeCell ref="C302:I302"/>
    <mergeCell ref="C270:C271"/>
    <mergeCell ref="D270:D271"/>
    <mergeCell ref="C272:I272"/>
    <mergeCell ref="K272:M272"/>
    <mergeCell ref="D273:D274"/>
    <mergeCell ref="C277:C278"/>
    <mergeCell ref="C294:C300"/>
    <mergeCell ref="D299:D300"/>
    <mergeCell ref="E299:E300"/>
    <mergeCell ref="E273:E274"/>
    <mergeCell ref="B280:I280"/>
    <mergeCell ref="K276:M276"/>
    <mergeCell ref="K280:M280"/>
    <mergeCell ref="P313:R313"/>
    <mergeCell ref="C234:I234"/>
    <mergeCell ref="C279:I279"/>
    <mergeCell ref="U199:W199"/>
    <mergeCell ref="U203:W203"/>
    <mergeCell ref="P213:R213"/>
    <mergeCell ref="P220:R220"/>
    <mergeCell ref="P227:R227"/>
    <mergeCell ref="AJ366:AK366"/>
    <mergeCell ref="K366:M366"/>
    <mergeCell ref="K213:M213"/>
    <mergeCell ref="AK229:AK230"/>
    <mergeCell ref="X316:X331"/>
    <mergeCell ref="Y316:Y331"/>
    <mergeCell ref="AA316:AA325"/>
    <mergeCell ref="Z316:Z325"/>
    <mergeCell ref="Z326:Z331"/>
    <mergeCell ref="AA326:AA331"/>
    <mergeCell ref="K302:M302"/>
    <mergeCell ref="K303:M303"/>
    <mergeCell ref="K337:M337"/>
    <mergeCell ref="K316:K331"/>
    <mergeCell ref="K240:M240"/>
    <mergeCell ref="AK257:AK265"/>
    <mergeCell ref="K199:M199"/>
    <mergeCell ref="Z248:AB248"/>
    <mergeCell ref="Z255:AB255"/>
    <mergeCell ref="C221:C226"/>
    <mergeCell ref="D221:D223"/>
    <mergeCell ref="C227:I227"/>
    <mergeCell ref="AK221:AK226"/>
    <mergeCell ref="K227:M227"/>
    <mergeCell ref="E332:E333"/>
    <mergeCell ref="G316:G331"/>
    <mergeCell ref="H316:H331"/>
    <mergeCell ref="J316:J331"/>
    <mergeCell ref="E316:E325"/>
    <mergeCell ref="AE248:AG248"/>
    <mergeCell ref="AE369:AG369"/>
    <mergeCell ref="AE370:AG370"/>
    <mergeCell ref="D332:D333"/>
    <mergeCell ref="AK167:AK168"/>
    <mergeCell ref="AC316:AC325"/>
    <mergeCell ref="AD316:AD325"/>
    <mergeCell ref="AC326:AC331"/>
    <mergeCell ref="AD326:AD331"/>
    <mergeCell ref="AI317:AI325"/>
    <mergeCell ref="AI326:AI331"/>
    <mergeCell ref="S316:S331"/>
    <mergeCell ref="T316:T331"/>
    <mergeCell ref="U316:U331"/>
    <mergeCell ref="V316:V331"/>
    <mergeCell ref="W316:W331"/>
    <mergeCell ref="AK193:AK194"/>
  </mergeCells>
  <phoneticPr fontId="44" type="noConversion"/>
  <printOptions horizontalCentered="1"/>
  <pageMargins left="0" right="0.19685039370078741" top="0.39370078740157483" bottom="0" header="0" footer="7.874015748031496E-2"/>
  <pageSetup paperSize="8" scale="35" orientation="landscape" r:id="rId1"/>
  <rowBreaks count="1" manualBreakCount="1">
    <brk id="1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2018 CBP</vt:lpstr>
      <vt:lpstr>'2018 CBP'!Print_Titles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CHEIL</dc:creator>
  <cp:lastModifiedBy>CHEIL</cp:lastModifiedBy>
  <cp:lastPrinted>2018-07-26T02:35:44Z</cp:lastPrinted>
  <dcterms:created xsi:type="dcterms:W3CDTF">2017-11-21T07:49:32Z</dcterms:created>
  <dcterms:modified xsi:type="dcterms:W3CDTF">2026-05-18T05:01:38Z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