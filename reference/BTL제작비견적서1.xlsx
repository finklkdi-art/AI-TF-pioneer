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2018 CBP" sheetId="1" state="visible" r:id="rId1"/>
  </sheets>
  <definedNames>
    <definedName name="_xlnm.Print_Titles" localSheetId="0">'2018 CBP'!$11:$11</definedName>
  </definedNames>
  <calcPr calcId="191029" fullCalcOnLoad="1"/>
</workbook>
</file>

<file path=xl/styles.xml><?xml version="1.0" encoding="utf-8"?>
<styleSheet xmlns="http://schemas.openxmlformats.org/spreadsheetml/2006/main">
  <numFmts count="77">
    <numFmt numFmtId="164" formatCode="_-[$₩-412]* #,##0_-;\-[$₩-412]* #,##0_-;_-[$₩-412]* &quot;-&quot;??_-;_-@_-"/>
    <numFmt numFmtId="165" formatCode="_-* #,##0_-;\-* #,##0_-;_-* &quot;-&quot;_-;_-@_-"/>
    <numFmt numFmtId="166" formatCode="_-[$₩-412]* #,##0.00_-;\-[$₩-412]* #,##0.00_-;_-[$₩-412]* &quot;-&quot;??_-;_-@_-"/>
    <numFmt numFmtId="167" formatCode="0_);[Red]\(0\)"/>
    <numFmt numFmtId="168" formatCode="_-&quot;₩&quot;* #,##0_-;\-&quot;₩&quot;* #,##0_-;_-&quot;₩&quot;* &quot;-&quot;_-;_-@_-"/>
    <numFmt numFmtId="169" formatCode="_-&quot;₩&quot;* #,##0_-;\-&quot;₩&quot;* #,##0_-;_-&quot;₩&quot;* &quot;-&quot;??_-;_-@_-"/>
    <numFmt numFmtId="170" formatCode="#,##0.0"/>
    <numFmt numFmtId="171" formatCode="#,##0.000"/>
    <numFmt numFmtId="172" formatCode="_ * #,##0_ ;_ * \-#,##0_ ;_ * &quot;-&quot;_ ;_ @_ "/>
    <numFmt numFmtId="173" formatCode="0.00000000"/>
    <numFmt numFmtId="174" formatCode="#."/>
    <numFmt numFmtId="175" formatCode="_ * #,##0.00_ ;_ * &quot;₩&quot;&quot;₩&quot;&quot;₩&quot;&quot;₩&quot;&quot;₩&quot;&quot;₩&quot;&quot;₩&quot;\-#,##0.00_ ;_ * &quot;-&quot;??_ ;_ @_ "/>
    <numFmt numFmtId="176" formatCode="&quot;₩&quot;#,##0;[Red]&quot;₩&quot;&quot;₩&quot;&quot;₩&quot;&quot;₩&quot;&quot;₩&quot;&quot;₩&quot;&quot;₩&quot;&quot;₩&quot;\-#,##0"/>
    <numFmt numFmtId="177" formatCode="&quot;₩&quot;#,##0;&quot;₩&quot;&quot;₩&quot;&quot;₩&quot;&quot;₩&quot;&quot;₩&quot;\-#,##0"/>
    <numFmt numFmtId="178" formatCode="_-* #,##0.0_-;&quot;₩&quot;\!\-* #,##0.0_-;_-* &quot;-&quot;_-;_-@_-"/>
    <numFmt numFmtId="179" formatCode="_ * #,##0_ ;_ * &quot;₩&quot;&quot;₩&quot;&quot;₩&quot;&quot;₩&quot;&quot;₩&quot;&quot;₩&quot;&quot;₩&quot;&quot;₩&quot;&quot;₩&quot;&quot;₩&quot;&quot;₩&quot;\-#,##0_ ;_ * &quot;-&quot;_ ;_ @_ "/>
    <numFmt numFmtId="180" formatCode="#,##0;[Red]&quot;-&quot;#,##0"/>
    <numFmt numFmtId="181" formatCode="0.0000"/>
    <numFmt numFmtId="182" formatCode="0.000"/>
    <numFmt numFmtId="183" formatCode="&quot;(&quot;###.00&quot;)&quot;"/>
    <numFmt numFmtId="184" formatCode="00.00"/>
    <numFmt numFmtId="185" formatCode="##\/##\/##"/>
    <numFmt numFmtId="186" formatCode="[Red]\+#;[Red]\-#;[Red]0"/>
    <numFmt numFmtId="187" formatCode="#,##0;[Red]&quot;△&quot;#,##0"/>
    <numFmt numFmtId="188" formatCode="#,##0_ ;[Red]&quot;△&quot;#,##0\ "/>
    <numFmt numFmtId="189" formatCode="#,##0,"/>
    <numFmt numFmtId="190" formatCode="yy\.mm\.dd"/>
    <numFmt numFmtId="191" formatCode="&quot;SFr.&quot;#,##0.00;[Red]&quot;SFr.&quot;\-#,##0.00"/>
    <numFmt numFmtId="192" formatCode="#,##0.0;[Red]&quot;-&quot;#,##0.0"/>
    <numFmt numFmtId="193" formatCode="&quot;₩&quot;#,##0;&quot;₩&quot;&quot;₩&quot;&quot;₩&quot;&quot;₩&quot;&quot;₩&quot;&quot;₩&quot;&quot;₩&quot;&quot;₩&quot;&quot;₩&quot;&quot;₩&quot;\-&quot;₩&quot;#,##0"/>
    <numFmt numFmtId="194" formatCode="#,##0;\(#,##0\)"/>
    <numFmt numFmtId="195" formatCode="&quot;$&quot;#,##0_);[Red]\(&quot;$&quot;#,##0\)"/>
    <numFmt numFmtId="196" formatCode="\$#.00"/>
    <numFmt numFmtId="197" formatCode="\$#,##0.00"/>
    <numFmt numFmtId="198" formatCode="#,##0.00\ &quot;Pts&quot;;\-#,##0.00\ &quot;Pts&quot;"/>
    <numFmt numFmtId="199" formatCode="&quot;RM&quot;#,##0.00_);\(&quot;RM&quot;#,##0.00\)"/>
    <numFmt numFmtId="200" formatCode="m\o\n\th\ d\,\ yyyy"/>
    <numFmt numFmtId="201" formatCode="_-* #,##0\ _k_r_-;\-* #,##0\ _k_r_-;_-* &quot;-&quot;\ _k_r_-;_-@_-"/>
    <numFmt numFmtId="202" formatCode="#,##0.0000000;[Red]\-#,##0.0000000"/>
    <numFmt numFmtId="203" formatCode="_-[$€-2]* #,##0.00_-;&quot;₩&quot;\!\-[$€-2]* #,##0.00_-;_-[$€-2]* &quot;-&quot;??_-"/>
    <numFmt numFmtId="204" formatCode="_-[$€-2]* #,##0.00_-;\-[$€-2]* #,##0.00_-;_-[$€-2]* &quot;-&quot;??_-"/>
    <numFmt numFmtId="205" formatCode="#.00"/>
    <numFmt numFmtId="206" formatCode="#,##0.0_);\(#,##0.0\)"/>
    <numFmt numFmtId="207" formatCode="_-* #,##0.00\ &quot;Kc&quot;_-;\-* #,##0.00\ &quot;Kc&quot;_-;_-* &quot;-&quot;??\ &quot;Kc&quot;_-;_-@_-"/>
    <numFmt numFmtId="208" formatCode="General_)"/>
    <numFmt numFmtId="209" formatCode="_ * #,##0_ ;_ * &quot;₩&quot;\-#,##0_ ;_ * &quot;-&quot;_ ;_ @_ "/>
    <numFmt numFmtId="210" formatCode="#,##0.000_);&quot;₩&quot;&quot;₩&quot;&quot;₩&quot;&quot;₩&quot;&quot;₩&quot;&quot;₩&quot;&quot;₩&quot;&quot;₩&quot;&quot;₩&quot;&quot;₩&quot;&quot;₩&quot;&quot;₩&quot;&quot;₩&quot;\(#,##0.000&quot;₩&quot;&quot;₩&quot;&quot;₩&quot;&quot;₩&quot;&quot;₩&quot;&quot;₩&quot;&quot;₩&quot;&quot;₩&quot;&quot;₩&quot;&quot;₩&quot;&quot;₩&quot;&quot;₩&quot;&quot;₩&quot;\)"/>
    <numFmt numFmtId="211" formatCode="_(&quot;$&quot;* #,##0_);_(&quot;$&quot;* \(#,##0\);_(&quot;$&quot;* &quot;-&quot;??_);_(@_)"/>
    <numFmt numFmtId="212" formatCode="%#.00"/>
    <numFmt numFmtId="213" formatCode="&quot;$&quot;#,##0;\-&quot;$&quot;#,##0"/>
    <numFmt numFmtId="214" formatCode="\ &quot;~~ &quot;@"/>
    <numFmt numFmtId="215" formatCode="0.0_)"/>
    <numFmt numFmtId="216" formatCode="&quot;₩&quot;#,##0;&quot;₩&quot;&quot;₩&quot;&quot;₩&quot;&quot;₩&quot;\-#,##0"/>
    <numFmt numFmtId="217" formatCode="0.0%;[Red]&quot;△&quot;0.0%"/>
    <numFmt numFmtId="218" formatCode="0.00%;[Red]&quot;△&quot;0.00%"/>
    <numFmt numFmtId="219" formatCode="#,##0_ ;[Red]\-#,##0\ "/>
    <numFmt numFmtId="220" formatCode="0.0%"/>
    <numFmt numFmtId="221" formatCode="[Red]#,##0"/>
    <numFmt numFmtId="222" formatCode="#,##0_ "/>
    <numFmt numFmtId="223" formatCode="&quot;₩&quot;#,##0;&quot;₩&quot;&quot;₩&quot;&quot;₩&quot;&quot;₩&quot;\-&quot;₩&quot;#,##0"/>
    <numFmt numFmtId="224" formatCode="&quot;₩&quot;#,##0;[Red]&quot;₩&quot;&quot;₩&quot;&quot;₩&quot;&quot;₩&quot;\-#,##0"/>
    <numFmt numFmtId="225" formatCode="_ * #,##0_ ;_ * &quot;₩&quot;\!\-#,##0_ ;_ * &quot;-&quot;_ ;_ @_ "/>
    <numFmt numFmtId="226" formatCode="#,##0.0#####\ ;[Red]\-#,##0.0#####\ "/>
    <numFmt numFmtId="227" formatCode="_-* #,##0_-;&quot;₩&quot;\!\-* #,##0_-;_-* &quot;-&quot;_-;_-@_-"/>
    <numFmt numFmtId="228" formatCode="#,##0.00_ "/>
    <numFmt numFmtId="229" formatCode="0&quot;만원&quot;"/>
    <numFmt numFmtId="230" formatCode="_ * #,##0.00_ ;_ * \-#,##0.00_ ;_ * &quot;-&quot;??_ ;_ @_ "/>
    <numFmt numFmtId="231" formatCode="_-* #,##0.00_-;&quot;₩&quot;&quot;₩&quot;\-* #,##0.00_-;_-* &quot;-&quot;??_-;_-@_-"/>
    <numFmt numFmtId="232" formatCode="_-* #\!\,##0\!.00&quot;₩&quot;\!\ _D_M_-;&quot;₩&quot;\!\-* #\!\,##0\!.00&quot;₩&quot;\!\ _D_M_-;_-* &quot;-&quot;??&quot;₩&quot;\!\ _D_M_-;_-@_-"/>
    <numFmt numFmtId="233" formatCode="&quot;₩&quot;#,##0.00\ ;\(&quot;₩&quot;#,##0.00\)"/>
    <numFmt numFmtId="234" formatCode="_-&quot;₩&quot;* #,##0.00_-;&quot;₩&quot;&quot;₩&quot;\-&quot;₩&quot;* #,##0.00_-;_-&quot;₩&quot;* &quot;-&quot;??_-;_-@_-"/>
    <numFmt numFmtId="235" formatCode="_-* #\!\,##0\!.00&quot;₩&quot;\!\ &quot;DM&quot;_-;&quot;₩&quot;\!\-* #\!\,##0\!.00&quot;₩&quot;\!\ &quot;DM&quot;_-;_-* &quot;-&quot;??&quot;₩&quot;\!\ &quot;DM&quot;_-;_-@_-"/>
    <numFmt numFmtId="236" formatCode="&quot;₩&quot;#,##0;&quot;₩&quot;\-#,##0"/>
    <numFmt numFmtId="237" formatCode="&quot;₩&quot;#,##0.00;&quot;₩&quot;&quot;₩&quot;&quot;₩&quot;&quot;₩&quot;\-#,##0.00"/>
    <numFmt numFmtId="238" formatCode="[$€-2]\ #,##0.00;[Red][$€-2]\ #,##0.00"/>
    <numFmt numFmtId="239" formatCode="General&quot;·&quot;"/>
    <numFmt numFmtId="240" formatCode="#,##0.00;&quot;-&quot;#,##0.00"/>
  </numFmts>
  <fonts count="177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돋움"/>
      <charset val="129"/>
      <family val="3"/>
      <sz val="11"/>
    </font>
    <font>
      <name val="맑은 고딕"/>
      <charset val="129"/>
      <family val="3"/>
      <color indexed="8"/>
      <sz val="11"/>
    </font>
    <font>
      <name val="Arial"/>
      <family val="2"/>
      <sz val="10"/>
    </font>
    <font>
      <name val="돋움체"/>
      <charset val="129"/>
      <family val="3"/>
      <sz val="12"/>
    </font>
    <font>
      <name val="굴림체"/>
      <charset val="129"/>
      <family val="3"/>
      <sz val="12"/>
    </font>
    <font>
      <name val="MS Sans Serif"/>
      <family val="2"/>
      <sz val="10"/>
    </font>
    <font>
      <name val="바탕체"/>
      <charset val="129"/>
      <family val="1"/>
      <sz val="12"/>
    </font>
    <font>
      <name val="바탕체"/>
      <charset val="129"/>
      <family val="1"/>
      <b val="1"/>
      <sz val="12"/>
    </font>
    <font>
      <name val="굴림체"/>
      <charset val="129"/>
      <family val="3"/>
      <sz val="11"/>
    </font>
    <font>
      <name val="굴림체"/>
      <charset val="129"/>
      <family val="3"/>
      <sz val="10"/>
    </font>
    <font>
      <name val="Times New Roman"/>
      <family val="1"/>
      <sz val="12"/>
    </font>
    <font>
      <name val="Courier"/>
      <family val="3"/>
      <b val="1"/>
      <color indexed="8"/>
      <sz val="1"/>
    </font>
    <font>
      <name val="Courier"/>
      <family val="3"/>
      <color indexed="8"/>
      <sz val="1"/>
    </font>
    <font>
      <name val="명조"/>
      <charset val="129"/>
      <family val="3"/>
      <sz val="10"/>
    </font>
    <font>
      <name val="¹UAAA¼"/>
      <charset val="129"/>
      <family val="1"/>
      <sz val="12"/>
    </font>
    <font>
      <name val="Arial"/>
      <family val="2"/>
      <color indexed="12"/>
      <sz val="10"/>
      <u val="single"/>
    </font>
    <font>
      <name val="Arial"/>
      <family val="2"/>
      <color indexed="36"/>
      <sz val="10"/>
      <u val="single"/>
    </font>
    <font>
      <name val="바탕체"/>
      <charset val="129"/>
      <family val="1"/>
      <sz val="10"/>
    </font>
    <font>
      <name val="굴림체"/>
      <charset val="129"/>
      <family val="3"/>
      <i val="1"/>
      <sz val="12"/>
    </font>
    <font>
      <name val="Helv"/>
      <family val="2"/>
      <sz val="10"/>
    </font>
    <font>
      <name val="Book Antiqua"/>
      <family val="1"/>
      <sz val="10"/>
    </font>
    <font>
      <name val="굴림"/>
      <charset val="129"/>
      <family val="3"/>
      <sz val="11"/>
    </font>
    <font>
      <name val="Courier"/>
      <family val="3"/>
      <color indexed="16"/>
      <sz val="1"/>
    </font>
    <font>
      <name val="돋움체"/>
      <charset val="129"/>
      <family val="3"/>
      <sz val="13"/>
    </font>
    <font>
      <name val="±¼¸²A¼"/>
      <charset val="129"/>
      <family val="3"/>
      <b val="1"/>
      <color indexed="16"/>
      <sz val="12"/>
    </font>
    <font>
      <name val="옛체"/>
      <charset val="129"/>
      <family val="1"/>
      <sz val="10"/>
    </font>
    <font>
      <name val="AngsanaUPC"/>
      <family val="1"/>
      <sz val="14"/>
    </font>
    <font>
      <name val="돋움체"/>
      <charset val="129"/>
      <family val="3"/>
      <color indexed="19"/>
      <sz val="10"/>
    </font>
    <font>
      <name val="뼥??"/>
      <charset val="129"/>
      <family val="3"/>
      <sz val="14"/>
    </font>
    <font>
      <name val="?¸¿?"/>
      <charset val="129"/>
      <family val="3"/>
      <sz val="11"/>
    </font>
    <font>
      <name val="±¼¸²?¼"/>
      <charset val="129"/>
      <family val="3"/>
      <sz val="10"/>
    </font>
    <font>
      <name val="???"/>
      <family val="1"/>
      <sz val="12"/>
    </font>
    <font>
      <name val="COUR"/>
      <family val="3"/>
      <sz val="12"/>
    </font>
    <font>
      <name val="¾©"/>
      <charset val="129"/>
      <family val="3"/>
      <sz val="14"/>
    </font>
    <font>
      <name val="¾©"/>
      <charset val="129"/>
      <family val="3"/>
      <sz val="12"/>
    </font>
    <font>
      <name val="Courier New"/>
      <family val="3"/>
      <sz val="10"/>
    </font>
    <font>
      <name val="견명조"/>
      <charset val="129"/>
      <family val="1"/>
      <sz val="12"/>
    </font>
    <font>
      <name val="바탕체"/>
      <charset val="129"/>
      <family val="1"/>
      <color rgb="FF000000"/>
      <sz val="10"/>
    </font>
    <font>
      <name val="한컴바탕"/>
      <charset val="129"/>
      <family val="1"/>
      <color rgb="FF000000"/>
      <sz val="10"/>
    </font>
    <font>
      <name val="Arial"/>
      <family val="2"/>
      <color rgb="FF000000"/>
      <sz val="10"/>
    </font>
    <font>
      <name val="돋움체"/>
      <charset val="129"/>
      <family val="3"/>
      <color rgb="FF000000"/>
      <sz val="13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2"/>
      <sz val="8"/>
      <scheme val="minor"/>
    </font>
    <font>
      <name val="Arial"/>
      <family val="2"/>
      <color indexed="8"/>
      <sz val="10"/>
    </font>
    <font>
      <name val="맑은 고딕"/>
      <charset val="129"/>
      <family val="3"/>
      <sz val="11"/>
      <scheme val="minor"/>
    </font>
    <font>
      <name val="돋움"/>
      <charset val="129"/>
      <family val="3"/>
      <sz val="8"/>
    </font>
    <font>
      <name val="맑은 고딕"/>
      <charset val="129"/>
      <family val="3"/>
      <color indexed="9"/>
      <sz val="11"/>
    </font>
    <font>
      <name val="맑은 고딕"/>
      <charset val="129"/>
      <family val="3"/>
      <color indexed="20"/>
      <sz val="11"/>
    </font>
    <font>
      <name val="맑은 고딕"/>
      <charset val="129"/>
      <family val="3"/>
      <b val="1"/>
      <color indexed="52"/>
      <sz val="11"/>
    </font>
    <font>
      <name val="맑은 고딕"/>
      <charset val="129"/>
      <family val="3"/>
      <b val="1"/>
      <color indexed="9"/>
      <sz val="11"/>
    </font>
    <font>
      <name val="맑은 고딕"/>
      <charset val="129"/>
      <family val="3"/>
      <i val="1"/>
      <color indexed="23"/>
      <sz val="11"/>
    </font>
    <font>
      <name val="맑은 고딕"/>
      <charset val="129"/>
      <family val="3"/>
      <color indexed="17"/>
      <sz val="11"/>
    </font>
    <font>
      <name val="맑은 고딕"/>
      <charset val="129"/>
      <family val="3"/>
      <b val="1"/>
      <color indexed="62"/>
      <sz val="11"/>
    </font>
    <font>
      <name val="맑은 고딕"/>
      <charset val="129"/>
      <family val="3"/>
      <color indexed="52"/>
      <sz val="11"/>
    </font>
    <font>
      <name val="맑은 고딕"/>
      <charset val="129"/>
      <family val="3"/>
      <color indexed="60"/>
      <sz val="11"/>
    </font>
    <font>
      <name val="맑은 고딕"/>
      <charset val="129"/>
      <family val="3"/>
      <b val="1"/>
      <color indexed="63"/>
      <sz val="11"/>
    </font>
    <font>
      <name val="맑은 고딕"/>
      <charset val="129"/>
      <family val="3"/>
      <b val="1"/>
      <color indexed="62"/>
      <sz val="18"/>
    </font>
    <font>
      <name val="맑은 고딕"/>
      <charset val="129"/>
      <family val="3"/>
      <color indexed="10"/>
      <sz val="11"/>
    </font>
    <font>
      <name val="맑은 고딕"/>
      <charset val="129"/>
      <family val="3"/>
      <b val="1"/>
      <color indexed="8"/>
      <sz val="11"/>
    </font>
    <font>
      <name val="바탕체"/>
      <charset val="129"/>
      <family val="1"/>
      <b val="1"/>
      <sz val="22"/>
    </font>
    <font>
      <name val="돋움체"/>
      <charset val="129"/>
      <family val="3"/>
      <sz val="10"/>
    </font>
    <font>
      <name val="System"/>
      <charset val="129"/>
      <family val="2"/>
      <sz val="12"/>
    </font>
    <font>
      <name val="Times New Roman"/>
      <family val="1"/>
      <sz val="10"/>
    </font>
    <font>
      <name val="·s²Ó©úÅé"/>
      <family val="1"/>
      <sz val="12"/>
    </font>
    <font>
      <name val="Arial"/>
      <family val="2"/>
      <sz val="12"/>
    </font>
    <font>
      <name val="바탕체"/>
      <charset val="129"/>
      <family val="1"/>
      <sz val="9"/>
    </font>
    <font>
      <name val="ⓒoUAAA¨u"/>
      <charset val="129"/>
      <family val="1"/>
      <sz val="12"/>
    </font>
    <font>
      <name val="©öUAAA¨ù"/>
      <charset val="129"/>
      <family val="1"/>
      <sz val="12"/>
    </font>
    <font>
      <name val="￥i￠￢￠?o"/>
      <charset val="129"/>
      <family val="3"/>
      <sz val="11"/>
    </font>
    <font>
      <name val="¡¾¨u￠￢ⓒ÷A¨u"/>
      <charset val="129"/>
      <family val="3"/>
      <sz val="11"/>
    </font>
    <font>
      <name val="¡¾¨ù¢¬©÷A¨ù"/>
      <charset val="129"/>
      <family val="3"/>
      <sz val="12"/>
    </font>
    <font>
      <name val="¡§IoUAAA￠R¡×u"/>
      <charset val="129"/>
      <family val="3"/>
      <sz val="12"/>
    </font>
    <font>
      <name val="¸iA¶"/>
      <charset val="129"/>
      <family val="3"/>
      <sz val="12"/>
    </font>
    <font>
      <name val="¹ÙÅÁÃ¼"/>
      <family val="1"/>
      <sz val="12"/>
    </font>
    <font>
      <name val="¹UAAA¼"/>
      <charset val="129"/>
      <family val="3"/>
      <sz val="12"/>
    </font>
    <font>
      <name val="Times New Roman"/>
      <family val="1"/>
      <sz val="8"/>
    </font>
    <font>
      <name val="©öUAAA¨ù"/>
      <charset val="129"/>
      <family val="1"/>
      <sz val="8"/>
    </font>
    <font>
      <name val="¥ì¢¬¢¯oA¨ù"/>
      <charset val="129"/>
      <family val="3"/>
      <sz val="12"/>
    </font>
    <font>
      <name val="¡¾¨ù¢¬©÷A¨ù"/>
      <charset val="129"/>
      <family val="3"/>
      <sz val="10"/>
    </font>
    <font>
      <name val="©öUAAA¨ù"/>
      <charset val="129"/>
      <family val="1"/>
      <sz val="10"/>
    </font>
    <font>
      <name val="μ¸¿oA¼"/>
      <charset val="129"/>
      <family val="3"/>
      <sz val="12"/>
    </font>
    <font>
      <name val="Helv"/>
      <family val="2"/>
      <b val="1"/>
      <sz val="10"/>
    </font>
    <font>
      <name val="Arial"/>
      <family val="2"/>
      <color indexed="24"/>
      <sz val="10"/>
    </font>
    <font>
      <name val="MS Serif"/>
      <family val="1"/>
      <sz val="10"/>
    </font>
    <font>
      <name val="Courier"/>
      <family val="3"/>
      <sz val="10"/>
    </font>
    <font>
      <name val="Helv"/>
      <family val="2"/>
      <b val="1"/>
      <sz val="9"/>
    </font>
    <font>
      <name val="Arial"/>
      <family val="2"/>
      <sz val="9"/>
    </font>
    <font>
      <name val="MS Serif"/>
      <family val="1"/>
      <color indexed="16"/>
      <sz val="10"/>
    </font>
    <font>
      <name val="Courier"/>
      <family val="3"/>
      <b val="1"/>
      <color indexed="16"/>
      <sz val="1"/>
    </font>
    <font>
      <name val="Courier"/>
      <family val="3"/>
      <i val="1"/>
      <color indexed="8"/>
      <sz val="1"/>
    </font>
    <font>
      <name val="Courier"/>
      <family val="3"/>
      <b val="1"/>
      <color indexed="18"/>
      <sz val="1"/>
    </font>
    <font>
      <name val="MS Sans Serif"/>
      <family val="2"/>
      <color indexed="14"/>
      <sz val="10"/>
      <u val="single"/>
    </font>
    <font>
      <name val="Arial"/>
      <family val="2"/>
      <sz val="8"/>
    </font>
    <font>
      <name val="Helv"/>
      <family val="2"/>
      <b val="1"/>
      <sz val="12"/>
    </font>
    <font>
      <name val="Arial"/>
      <family val="2"/>
      <b val="1"/>
      <sz val="12"/>
    </font>
    <font>
      <name val="맑은 고딕"/>
      <charset val="129"/>
      <family val="3"/>
      <b val="1"/>
      <color indexed="62"/>
      <sz val="15"/>
    </font>
    <font>
      <name val="Arial"/>
      <family val="2"/>
      <b val="1"/>
      <color indexed="24"/>
      <sz val="18"/>
    </font>
    <font>
      <name val="맑은 고딕"/>
      <charset val="129"/>
      <family val="3"/>
      <b val="1"/>
      <color indexed="62"/>
      <sz val="13"/>
    </font>
    <font>
      <name val="Arial"/>
      <family val="2"/>
      <b val="1"/>
      <color indexed="24"/>
      <sz val="12"/>
    </font>
    <font>
      <name val="MS Sans Serif"/>
      <family val="2"/>
      <color indexed="12"/>
      <sz val="10"/>
      <u val="single"/>
    </font>
    <font>
      <name val="맑은 고딕"/>
      <charset val="129"/>
      <family val="3"/>
      <color indexed="62"/>
      <sz val="11"/>
    </font>
    <font>
      <name val="Helv"/>
      <family val="2"/>
      <sz val="12"/>
    </font>
    <font>
      <name val="Helv"/>
      <family val="2"/>
      <color indexed="9"/>
      <sz val="12"/>
    </font>
    <font>
      <name val="Times New Roman"/>
      <family val="1"/>
      <b val="1"/>
      <i val="1"/>
      <sz val="12"/>
    </font>
    <font>
      <name val="Helv"/>
      <family val="2"/>
      <b val="1"/>
      <sz val="11"/>
    </font>
    <font>
      <name val="宋?"/>
      <charset val="129"/>
      <family val="3"/>
      <sz val="12"/>
    </font>
    <font>
      <name val="돋움체"/>
      <charset val="129"/>
      <family val="3"/>
      <b val="1"/>
      <sz val="12"/>
    </font>
    <font>
      <name val="Small Fonts"/>
      <family val="2"/>
      <sz val="7"/>
    </font>
    <font>
      <name val="Book Antiqua"/>
      <family val="1"/>
      <b val="1"/>
      <sz val="12"/>
    </font>
    <font>
      <name val="Tms Rmn"/>
      <family val="1"/>
      <sz val="10"/>
    </font>
    <font>
      <name val="Helv"/>
      <family val="2"/>
      <sz val="8"/>
    </font>
    <font>
      <name val="궁서체"/>
      <charset val="129"/>
      <family val="1"/>
      <i val="1"/>
      <color indexed="8"/>
      <sz val="10"/>
    </font>
    <font>
      <name val="Times New Roman"/>
      <family val="1"/>
      <b val="1"/>
      <sz val="8"/>
    </font>
    <font>
      <name val="Arial"/>
      <family val="2"/>
      <b val="1"/>
      <i val="1"/>
      <sz val="14"/>
    </font>
    <font>
      <name val="Helv"/>
      <family val="2"/>
      <b val="1"/>
      <color indexed="8"/>
      <sz val="8"/>
    </font>
    <font>
      <name val="Times New Roman"/>
      <family val="1"/>
      <b val="1"/>
      <i val="1"/>
      <sz val="9"/>
    </font>
    <font>
      <name val="굴림체"/>
      <charset val="129"/>
      <family val="3"/>
      <b val="1"/>
      <sz val="13"/>
      <u val="single"/>
    </font>
    <font>
      <name val="돋움체"/>
      <charset val="129"/>
      <family val="3"/>
      <b val="1"/>
      <i val="1"/>
      <color indexed="39"/>
      <sz val="18"/>
    </font>
    <font>
      <name val="MS Sans Serif"/>
      <family val="2"/>
      <color indexed="12"/>
      <sz val="18"/>
    </font>
    <font>
      <name val="Arial"/>
      <family val="2"/>
      <b val="1"/>
      <sz val="14"/>
    </font>
    <font>
      <name val="바탕체"/>
      <charset val="129"/>
      <family val="1"/>
      <sz val="8"/>
    </font>
    <font>
      <name val="Helv"/>
      <family val="2"/>
      <color indexed="12"/>
      <sz val="9"/>
      <u val="single"/>
    </font>
    <font>
      <name val="Courier"/>
      <family val="3"/>
      <i val="1"/>
      <outline val="1"/>
      <shadow val="1"/>
      <color indexed="24"/>
      <sz val="1"/>
      <u val="single"/>
    </font>
    <font>
      <name val="바탕체"/>
      <charset val="129"/>
      <family val="1"/>
      <color indexed="24"/>
      <sz val="12"/>
    </font>
    <font>
      <name val="바탕체"/>
      <charset val="129"/>
      <family val="1"/>
      <b val="1"/>
      <color indexed="24"/>
      <sz val="18"/>
    </font>
    <font>
      <name val="바탕체"/>
      <charset val="129"/>
      <family val="1"/>
      <b val="1"/>
      <color indexed="24"/>
      <sz val="15"/>
    </font>
    <font>
      <name val="명조"/>
      <charset val="129"/>
      <family val="3"/>
      <sz val="12"/>
    </font>
    <font>
      <name val="태-물방울B"/>
      <charset val="129"/>
      <family val="1"/>
      <sz val="10"/>
    </font>
    <font>
      <name val="궁서체"/>
      <charset val="129"/>
      <family val="1"/>
      <sz val="12"/>
    </font>
    <font>
      <name val="바탕"/>
      <charset val="129"/>
      <family val="1"/>
      <b val="1"/>
      <sz val="11"/>
    </font>
    <font>
      <name val="바탕체"/>
      <charset val="129"/>
      <family val="1"/>
      <i val="1"/>
      <sz val="10"/>
    </font>
    <font>
      <name val="돋움"/>
      <charset val="129"/>
      <family val="3"/>
      <color indexed="36"/>
      <sz val="8.25"/>
      <u val="single"/>
    </font>
    <font>
      <name val="돋움체"/>
      <charset val="129"/>
      <family val="3"/>
      <sz val="11"/>
    </font>
    <font>
      <name val="MS Sans Serif"/>
      <family val="2"/>
      <sz val="9"/>
    </font>
    <font>
      <name val="바탕"/>
      <charset val="129"/>
      <family val="1"/>
      <sz val="10"/>
    </font>
    <font>
      <name val="바탕체"/>
      <charset val="129"/>
      <family val="1"/>
      <b val="1"/>
      <sz val="10"/>
    </font>
    <font>
      <name val="바탕체"/>
      <charset val="129"/>
      <family val="1"/>
      <b val="1"/>
      <sz val="18"/>
    </font>
    <font>
      <name val="굴림체"/>
      <charset val="129"/>
      <family val="3"/>
      <b val="1"/>
      <color indexed="16"/>
      <sz val="12"/>
    </font>
    <font>
      <name val="궁서(English)"/>
      <charset val="129"/>
      <family val="3"/>
      <sz val="10"/>
    </font>
    <font>
      <name val="굴림체"/>
      <charset val="129"/>
      <family val="3"/>
      <color indexed="12"/>
      <sz val="10"/>
    </font>
    <font>
      <name val="견고딕"/>
      <charset val="129"/>
      <family val="1"/>
      <sz val="12"/>
    </font>
    <font>
      <name val="바탕체"/>
      <charset val="129"/>
      <family val="1"/>
      <sz val="11"/>
    </font>
    <font>
      <name val="맑은 고딕"/>
      <charset val="129"/>
      <family val="3"/>
      <b val="1"/>
      <color indexed="56"/>
      <sz val="15"/>
    </font>
    <font>
      <name val="맑은 고딕"/>
      <charset val="129"/>
      <family val="3"/>
      <b val="1"/>
      <color indexed="56"/>
      <sz val="13"/>
    </font>
    <font>
      <name val="맑은 고딕"/>
      <charset val="129"/>
      <family val="3"/>
      <b val="1"/>
      <color indexed="56"/>
      <sz val="11"/>
    </font>
    <font>
      <name val="맑은 고딕"/>
      <charset val="129"/>
      <family val="3"/>
      <b val="1"/>
      <color indexed="56"/>
      <sz val="18"/>
    </font>
    <font>
      <name val="돋움체"/>
      <charset val="129"/>
      <family val="3"/>
      <b val="1"/>
      <sz val="16"/>
    </font>
    <font>
      <name val="돋움체"/>
      <charset val="129"/>
      <family val="3"/>
      <b val="1"/>
      <color indexed="8"/>
      <sz val="12"/>
    </font>
    <font>
      <name val="돋움"/>
      <family val="3"/>
      <sz val="11"/>
    </font>
    <font>
      <name val="돋움"/>
      <charset val="129"/>
      <family val="3"/>
      <sz val="10"/>
    </font>
    <font>
      <name val="Helv"/>
      <family val="2"/>
      <color indexed="36"/>
      <sz val="9"/>
      <u val="single"/>
    </font>
    <font>
      <name val="Verdana"/>
      <family val="2"/>
      <color indexed="8"/>
      <sz val="12"/>
    </font>
    <font>
      <name val="돋움체"/>
      <charset val="129"/>
      <family val="3"/>
      <color indexed="8"/>
      <sz val="11"/>
    </font>
    <font>
      <name val="HY중고딕"/>
      <charset val="129"/>
      <family val="1"/>
      <b val="1"/>
      <sz val="8"/>
    </font>
    <font>
      <name val="맑은 고딕"/>
      <charset val="129"/>
      <family val="3"/>
      <color rgb="FF9C6500"/>
      <sz val="11"/>
      <scheme val="minor"/>
    </font>
    <font>
      <name val="맑은 고딕"/>
      <charset val="129"/>
      <family val="3"/>
      <color rgb="FF006100"/>
      <sz val="11"/>
      <scheme val="minor"/>
    </font>
    <font>
      <name val="Helvetica Neue"/>
      <family val="2"/>
      <color indexed="8"/>
      <sz val="11"/>
    </font>
    <font>
      <name val="맑은 고딕"/>
      <charset val="129"/>
      <family val="2"/>
      <color theme="1"/>
      <sz val="12"/>
      <scheme val="minor"/>
    </font>
    <font>
      <name val="맑은 고딕"/>
      <charset val="129"/>
      <family val="3"/>
      <color theme="1"/>
      <sz val="12"/>
      <scheme val="minor"/>
    </font>
    <font>
      <name val="맑은 고딕"/>
      <charset val="129"/>
      <family val="3"/>
      <b val="1"/>
      <sz val="14"/>
      <scheme val="minor"/>
    </font>
    <font>
      <name val="맑은 고딕"/>
      <charset val="129"/>
      <family val="3"/>
      <sz val="14"/>
      <scheme val="minor"/>
    </font>
    <font>
      <name val="맑은 고딕"/>
      <charset val="129"/>
      <family val="3"/>
      <color theme="1"/>
      <sz val="14"/>
      <scheme val="minor"/>
    </font>
    <font>
      <name val="맑은 고딕"/>
      <charset val="129"/>
      <family val="3"/>
      <b val="1"/>
      <sz val="36"/>
      <scheme val="minor"/>
    </font>
    <font>
      <name val="맑은 고딕"/>
      <charset val="129"/>
      <family val="3"/>
      <b val="1"/>
      <sz val="18"/>
      <scheme val="minor"/>
    </font>
    <font>
      <name val="맑은 고딕"/>
      <charset val="129"/>
      <family val="3"/>
      <b val="1"/>
      <color rgb="FFFF0000"/>
      <sz val="14"/>
      <scheme val="minor"/>
    </font>
    <font>
      <name val="맑은 고딕"/>
      <charset val="129"/>
      <family val="3"/>
      <b val="1"/>
      <color rgb="FFFF0000"/>
      <sz val="18"/>
      <scheme val="minor"/>
    </font>
    <font>
      <name val="맑은 고딕"/>
      <charset val="129"/>
      <family val="3"/>
      <sz val="8"/>
    </font>
    <font>
      <name val="맑은 고딕"/>
      <charset val="129"/>
      <family val="3"/>
      <sz val="16"/>
      <scheme val="minor"/>
    </font>
    <font>
      <name val="맑은 고딕"/>
      <charset val="129"/>
      <family val="3"/>
      <b val="1"/>
      <color theme="1"/>
      <sz val="14"/>
      <scheme val="minor"/>
    </font>
    <font>
      <name val="맑은 고딕"/>
      <charset val="129"/>
      <family val="3"/>
      <b val="1"/>
      <color rgb="FF00B0F0"/>
      <sz val="14"/>
      <scheme val="minor"/>
    </font>
    <font>
      <name val="맑은 고딕"/>
      <charset val="129"/>
      <family val="3"/>
      <color theme="0" tint="-0.3499862666707358"/>
      <sz val="14"/>
      <scheme val="minor"/>
    </font>
    <font>
      <name val="맑은 고딕"/>
      <charset val="129"/>
      <family val="3"/>
      <b val="1"/>
      <color theme="0"/>
      <sz val="14"/>
      <scheme val="minor"/>
    </font>
    <font>
      <name val="맑은 고딕"/>
      <charset val="129"/>
      <family val="3"/>
      <color rgb="FF00FF00"/>
      <sz val="14"/>
      <scheme val="minor"/>
    </font>
    <font>
      <name val="맑은 고딕"/>
      <charset val="129"/>
      <family val="3"/>
      <color theme="0"/>
      <sz val="14"/>
      <scheme val="minor"/>
    </font>
    <font>
      <name val="맑은 고딕"/>
      <charset val="129"/>
      <family val="3"/>
      <color theme="0"/>
      <sz val="11"/>
      <scheme val="minor"/>
    </font>
  </fonts>
  <fills count="5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FFCC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6" tint="0.7999816888943144"/>
        <bgColor indexed="65"/>
      </patternFill>
    </fill>
    <fill>
      <patternFill patternType="solid">
        <fgColor indexed="9"/>
      </patternFill>
    </fill>
    <fill>
      <patternFill patternType="solid">
        <fgColor indexed="31"/>
      </patternFill>
    </fill>
    <fill>
      <patternFill patternType="solid">
        <fgColor indexed="44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29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indexed="49"/>
      </patternFill>
    </fill>
    <fill>
      <patternFill patternType="solid">
        <fgColor indexed="55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5"/>
      </patternFill>
    </fill>
    <fill>
      <patternFill patternType="solid">
        <fgColor indexed="12"/>
      </patternFill>
    </fill>
    <fill>
      <patternFill patternType="solid">
        <fgColor indexed="6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1" tint="0.1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3" tint="0.3999755851924192"/>
        <bgColor indexed="64"/>
      </patternFill>
    </fill>
  </fills>
  <borders count="138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medium">
        <color indexed="49"/>
      </bottom>
      <diagonal/>
    </border>
    <border>
      <left/>
      <right/>
      <top/>
      <bottom style="double">
        <color indexed="52"/>
      </bottom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thick">
        <color indexed="49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 style="double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indexed="64"/>
      </top>
      <bottom style="thin">
        <color theme="1"/>
      </bottom>
      <diagonal/>
    </border>
    <border>
      <left/>
      <right style="thin">
        <color theme="1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theme="1"/>
      </right>
      <top style="thin">
        <color indexed="64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 style="thin">
        <color theme="1"/>
      </top>
      <bottom style="thin">
        <color theme="1"/>
      </bottom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1"/>
      </left>
      <right/>
      <top style="thin">
        <color indexed="64"/>
      </top>
      <bottom/>
      <diagonal/>
    </border>
    <border>
      <left style="thin">
        <color indexed="64"/>
      </left>
      <right style="thin">
        <color theme="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theme="1"/>
      </top>
      <bottom/>
      <diagonal/>
    </border>
    <border>
      <left/>
      <right/>
      <top/>
      <bottom style="thin">
        <color theme="1"/>
      </bottom>
      <diagonal/>
    </border>
    <border>
      <left/>
      <right/>
      <top/>
      <bottom style="thin">
        <color indexed="64"/>
      </bottom>
      <diagonal/>
    </border>
    <border>
      <left style="thin">
        <color theme="1"/>
      </left>
      <right style="thin">
        <color indexed="64"/>
      </right>
      <top style="thin">
        <color theme="1"/>
      </top>
      <bottom/>
      <diagonal/>
    </border>
    <border>
      <left style="thin">
        <color indexed="64"/>
      </left>
      <right style="thin">
        <color theme="1"/>
      </right>
      <top/>
      <bottom/>
      <diagonal/>
    </border>
    <border>
      <left/>
      <right style="thin">
        <color indexed="64"/>
      </right>
      <top/>
      <bottom style="thin">
        <color theme="1"/>
      </bottom>
      <diagonal/>
    </border>
    <border>
      <left style="medium">
        <color rgb="FFFF0000"/>
      </left>
      <right/>
      <top style="medium">
        <color rgb="FFFF0000"/>
      </top>
      <bottom style="thin">
        <color indexed="64"/>
      </bottom>
      <diagonal/>
    </border>
    <border>
      <left/>
      <right/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/>
      <diagonal/>
    </border>
    <border>
      <left/>
      <right style="medium">
        <color rgb="FFFF0000"/>
      </right>
      <top style="thin">
        <color indexed="64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/>
      <diagonal/>
    </border>
    <border>
      <left style="medium">
        <color rgb="FFFF0000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rgb="FFFF0000"/>
      </right>
      <top/>
      <bottom style="thin">
        <color indexed="64"/>
      </bottom>
      <diagonal/>
    </border>
    <border>
      <left style="medium">
        <color rgb="FFFF0000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medium">
        <color rgb="FFFF0000"/>
      </left>
      <right style="thin">
        <color theme="1"/>
      </right>
      <top style="thin">
        <color theme="1"/>
      </top>
      <bottom/>
      <diagonal/>
    </border>
    <border>
      <left style="medium">
        <color rgb="FFFF0000"/>
      </left>
      <right/>
      <top style="thin">
        <color indexed="64"/>
      </top>
      <bottom/>
      <diagonal/>
    </border>
    <border>
      <left style="medium">
        <color rgb="FFFF0000"/>
      </left>
      <right/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thin">
        <color indexed="64"/>
      </top>
      <bottom style="medium">
        <color rgb="FFFF0000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/>
      <bottom style="thin">
        <color theme="1"/>
      </bottom>
      <diagonal/>
    </border>
    <border>
      <left style="medium">
        <color rgb="FFFF0000"/>
      </left>
      <right/>
      <top/>
      <bottom/>
      <diagonal/>
    </border>
    <border>
      <left style="thin">
        <color theme="1"/>
      </left>
      <right/>
      <top style="thin">
        <color indexed="64"/>
      </top>
      <bottom style="thin">
        <color theme="1"/>
      </bottom>
      <diagonal/>
    </border>
    <border>
      <left/>
      <right/>
      <top style="thin">
        <color indexed="64"/>
      </top>
      <bottom style="medium">
        <color rgb="FFFF0000"/>
      </bottom>
      <diagonal/>
    </border>
    <border>
      <left/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/>
      <top style="medium">
        <color rgb="FFFF0000"/>
      </top>
      <bottom style="thin">
        <color indexed="64"/>
      </bottom>
      <diagonal/>
    </border>
    <border>
      <left/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medium">
        <color theme="0"/>
      </right>
      <top style="medium">
        <color rgb="FFFF0000"/>
      </top>
      <bottom style="medium">
        <color theme="0"/>
      </bottom>
      <diagonal/>
    </border>
    <border>
      <left style="medium">
        <color theme="0"/>
      </left>
      <right style="medium">
        <color theme="0"/>
      </right>
      <top style="medium">
        <color rgb="FFFF0000"/>
      </top>
      <bottom style="medium">
        <color theme="0"/>
      </bottom>
      <diagonal/>
    </border>
    <border>
      <left style="medium">
        <color theme="0"/>
      </left>
      <right style="medium">
        <color rgb="FFFF0000"/>
      </right>
      <top style="medium">
        <color rgb="FFFF0000"/>
      </top>
      <bottom style="medium">
        <color theme="0"/>
      </bottom>
      <diagonal/>
    </border>
    <border>
      <left style="medium">
        <color rgb="FFFF0000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thin">
        <color indexed="64"/>
      </bottom>
      <diagonal/>
    </border>
    <border>
      <left style="medium">
        <color theme="0"/>
      </left>
      <right style="medium">
        <color rgb="FFFF0000"/>
      </right>
      <top style="medium">
        <color theme="0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/>
      <bottom/>
      <diagonal/>
    </border>
    <border>
      <left style="thin">
        <color theme="1"/>
      </left>
      <right style="thin">
        <color indexed="64"/>
      </right>
      <top style="thin">
        <color indexed="64"/>
      </top>
      <bottom/>
      <diagonal/>
    </border>
    <border>
      <left style="thin">
        <color theme="1"/>
      </left>
      <right style="thin">
        <color indexed="64"/>
      </right>
      <top/>
      <bottom style="thin">
        <color indexed="64"/>
      </bottom>
      <diagonal/>
    </border>
    <border>
      <left style="medium">
        <color rgb="FFFF0000"/>
      </left>
      <right style="thin">
        <color indexed="64"/>
      </right>
      <top/>
      <bottom/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/>
      <right/>
      <top style="medium">
        <color rgb="FFFF0000"/>
      </top>
      <bottom/>
      <diagonal/>
    </border>
    <border>
      <left/>
      <right style="thin">
        <color indexed="64"/>
      </right>
      <top style="medium">
        <color rgb="FFFF0000"/>
      </top>
      <bottom/>
      <diagonal/>
    </border>
    <border>
      <left/>
      <right style="medium">
        <color theme="0"/>
      </right>
      <top style="medium">
        <color rgb="FFFF0000"/>
      </top>
      <bottom/>
      <diagonal/>
    </border>
    <border>
      <left/>
      <right/>
      <top style="medium">
        <color rgb="FFFF0000"/>
      </top>
      <bottom style="medium">
        <color theme="0"/>
      </bottom>
      <diagonal/>
    </border>
    <border>
      <left/>
      <right style="medium">
        <color theme="0"/>
      </right>
      <top style="medium">
        <color rgb="FFFF0000"/>
      </top>
      <bottom style="medium">
        <color theme="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theme="1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theme="1"/>
      </bottom>
      <diagonal/>
    </border>
    <border>
      <left style="thin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/>
      <diagonal/>
    </border>
    <border>
      <left style="thin">
        <color theme="1"/>
      </left>
      <right style="thin">
        <color indexed="64"/>
      </right>
      <top/>
      <bottom/>
      <diagonal/>
    </border>
  </borders>
  <cellStyleXfs count="17003">
    <xf numFmtId="0" fontId="1" fillId="0" borderId="0" applyAlignment="1">
      <alignment vertical="center"/>
    </xf>
    <xf numFmtId="41" fontId="1" fillId="0" borderId="0" applyAlignment="1">
      <alignment vertical="center"/>
    </xf>
    <xf numFmtId="0" fontId="2" fillId="0" borderId="0"/>
    <xf numFmtId="0" fontId="8" fillId="0" borderId="0" applyProtection="1">
      <protection locked="0" hidden="0"/>
    </xf>
    <xf numFmtId="0" fontId="39" fillId="0" borderId="0"/>
    <xf numFmtId="0" fontId="19" fillId="0" borderId="0"/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4" fillId="0" borderId="0"/>
    <xf numFmtId="0" fontId="7" fillId="0" borderId="2" applyAlignment="1">
      <alignment horizont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8" fillId="0" borderId="0" applyAlignment="1">
      <alignment vertical="center"/>
    </xf>
    <xf numFmtId="3" fontId="8" fillId="0" borderId="0" applyAlignment="1">
      <alignment vertical="center"/>
    </xf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170" fontId="8" fillId="0" borderId="0" applyAlignment="1">
      <alignment vertical="center"/>
    </xf>
    <xf numFmtId="170" fontId="8" fillId="0" borderId="0" applyAlignment="1">
      <alignment vertical="center"/>
    </xf>
    <xf numFmtId="4" fontId="8" fillId="0" borderId="0" applyAlignment="1">
      <alignment vertical="center"/>
    </xf>
    <xf numFmtId="4" fontId="8" fillId="0" borderId="0" applyAlignment="1">
      <alignment vertical="center"/>
    </xf>
    <xf numFmtId="171" fontId="8" fillId="0" borderId="0" applyAlignment="1">
      <alignment vertical="center"/>
    </xf>
    <xf numFmtId="171" fontId="8" fillId="0" borderId="0" applyAlignment="1">
      <alignment vertical="center"/>
    </xf>
    <xf numFmtId="3" fontId="5" fillId="0" borderId="4"/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19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0" fontId="23" fillId="0" borderId="3" applyAlignment="1">
      <alignment horizontal="centerContinuous" vertical="center"/>
    </xf>
    <xf numFmtId="172" fontId="5" fillId="0" borderId="0"/>
    <xf numFmtId="172" fontId="5" fillId="0" borderId="0"/>
    <xf numFmtId="172" fontId="5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20" fillId="0" borderId="0" applyAlignment="1">
      <alignment vertical="center"/>
    </xf>
    <xf numFmtId="0" fontId="20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38" fontId="8" fillId="0" borderId="5" applyAlignment="1">
      <alignment horizontal="right"/>
    </xf>
    <xf numFmtId="38" fontId="8" fillId="0" borderId="5" applyAlignment="1">
      <alignment horizontal="right"/>
    </xf>
    <xf numFmtId="38" fontId="8" fillId="0" borderId="5" applyAlignment="1">
      <alignment horizontal="right"/>
    </xf>
    <xf numFmtId="38" fontId="8" fillId="0" borderId="5" applyAlignment="1">
      <alignment horizontal="right"/>
    </xf>
    <xf numFmtId="38" fontId="8" fillId="0" borderId="5" applyAlignment="1">
      <alignment horizontal="right"/>
    </xf>
    <xf numFmtId="38" fontId="8" fillId="0" borderId="5" applyAlignment="1">
      <alignment horizontal="right"/>
    </xf>
    <xf numFmtId="173" fontId="29" fillId="0" borderId="0" applyAlignment="1" applyProtection="1">
      <alignment horizontal="center" vertical="center"/>
      <protection locked="0" hidden="1"/>
    </xf>
    <xf numFmtId="0" fontId="30" fillId="0" borderId="0"/>
    <xf numFmtId="0" fontId="2" fillId="0" borderId="0"/>
    <xf numFmtId="0" fontId="40" fillId="0" borderId="0"/>
    <xf numFmtId="0" fontId="15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31" fillId="0" borderId="0"/>
    <xf numFmtId="0" fontId="17" fillId="0" borderId="0" applyAlignment="1" applyProtection="1">
      <alignment vertical="top"/>
      <protection locked="0" hidden="0"/>
    </xf>
    <xf numFmtId="0" fontId="31" fillId="0" borderId="0"/>
    <xf numFmtId="0" fontId="32" fillId="0" borderId="0"/>
    <xf numFmtId="0" fontId="33" fillId="0" borderId="0"/>
    <xf numFmtId="0" fontId="18" fillId="0" borderId="0" applyAlignment="1" applyProtection="1">
      <alignment vertical="top"/>
      <protection locked="0" hidden="0"/>
    </xf>
    <xf numFmtId="0" fontId="31" fillId="0" borderId="0"/>
    <xf numFmtId="0" fontId="31" fillId="0" borderId="0"/>
    <xf numFmtId="0" fontId="4" fillId="0" borderId="0"/>
    <xf numFmtId="0" fontId="41" fillId="0" borderId="0"/>
    <xf numFmtId="0" fontId="4" fillId="0" borderId="0"/>
    <xf numFmtId="0" fontId="34" fillId="7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21" fillId="0" borderId="0"/>
    <xf numFmtId="0" fontId="21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4" fontId="24" fillId="0" borderId="0" applyProtection="1">
      <protection locked="0" hidden="0"/>
    </xf>
    <xf numFmtId="174" fontId="24" fillId="0" borderId="0" applyProtection="1">
      <protection locked="0" hidden="0"/>
    </xf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7" fillId="0" borderId="0"/>
    <xf numFmtId="0" fontId="7" fillId="0" borderId="0"/>
    <xf numFmtId="0" fontId="4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21" fillId="0" borderId="0"/>
    <xf numFmtId="0" fontId="21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6" fillId="0" borderId="0"/>
    <xf numFmtId="0" fontId="6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21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1" fillId="0" borderId="0"/>
    <xf numFmtId="0" fontId="21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21" fillId="0" borderId="0"/>
    <xf numFmtId="0" fontId="21" fillId="0" borderId="0"/>
    <xf numFmtId="0" fontId="4" fillId="0" borderId="0"/>
    <xf numFmtId="0" fontId="11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2" fontId="8" fillId="0" borderId="0"/>
    <xf numFmtId="172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172" fontId="22" fillId="0" borderId="0"/>
    <xf numFmtId="172" fontId="22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172" fontId="8" fillId="0" borderId="0"/>
    <xf numFmtId="172" fontId="8" fillId="0" borderId="0"/>
    <xf numFmtId="172" fontId="8" fillId="0" borderId="0"/>
    <xf numFmtId="172" fontId="8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1" fillId="0" borderId="0"/>
    <xf numFmtId="0" fontId="7" fillId="0" borderId="0"/>
    <xf numFmtId="0" fontId="7" fillId="0" borderId="0"/>
    <xf numFmtId="172" fontId="8" fillId="0" borderId="0"/>
    <xf numFmtId="172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" fillId="0" borderId="0"/>
    <xf numFmtId="0" fontId="6" fillId="0" borderId="0"/>
    <xf numFmtId="0" fontId="6" fillId="0" borderId="0"/>
    <xf numFmtId="0" fontId="7" fillId="0" borderId="0"/>
    <xf numFmtId="0" fontId="7" fillId="0" borderId="0"/>
    <xf numFmtId="0" fontId="2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172" fontId="22" fillId="0" borderId="0"/>
    <xf numFmtId="172" fontId="2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175" fontId="8" fillId="0" borderId="0"/>
    <xf numFmtId="175" fontId="8" fillId="0" borderId="0"/>
    <xf numFmtId="176" fontId="4" fillId="0" borderId="0"/>
    <xf numFmtId="176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21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11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4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21" fillId="0" borderId="0"/>
    <xf numFmtId="0" fontId="21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1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4" fillId="0" borderId="0"/>
    <xf numFmtId="0" fontId="4" fillId="0" borderId="0"/>
    <xf numFmtId="172" fontId="22" fillId="0" borderId="0"/>
    <xf numFmtId="172" fontId="22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2" fillId="0" borderId="0"/>
    <xf numFmtId="0" fontId="2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8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8" fillId="0" borderId="0"/>
    <xf numFmtId="0" fontId="8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172" fontId="22" fillId="0" borderId="0"/>
    <xf numFmtId="172" fontId="22" fillId="0" borderId="0"/>
    <xf numFmtId="172" fontId="22" fillId="0" borderId="0"/>
    <xf numFmtId="172" fontId="22" fillId="0" borderId="0"/>
    <xf numFmtId="0" fontId="4" fillId="0" borderId="0"/>
    <xf numFmtId="0" fontId="4" fillId="0" borderId="0"/>
    <xf numFmtId="0" fontId="21" fillId="0" borderId="0"/>
    <xf numFmtId="0" fontId="21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8" fillId="0" borderId="0"/>
    <xf numFmtId="0" fontId="8" fillId="0" borderId="0"/>
    <xf numFmtId="0" fontId="4" fillId="0" borderId="0"/>
    <xf numFmtId="0" fontId="8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8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21" fillId="0" borderId="0"/>
    <xf numFmtId="0" fontId="21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11" fillId="0" borderId="0"/>
    <xf numFmtId="0" fontId="8" fillId="0" borderId="0"/>
    <xf numFmtId="0" fontId="8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8" fillId="0" borderId="0"/>
    <xf numFmtId="0" fontId="8" fillId="0" borderId="0"/>
    <xf numFmtId="0" fontId="7" fillId="0" borderId="0"/>
    <xf numFmtId="0" fontId="7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4" fillId="0" borderId="0"/>
    <xf numFmtId="0" fontId="4" fillId="0" borderId="0"/>
    <xf numFmtId="0" fontId="12" fillId="0" borderId="0"/>
    <xf numFmtId="0" fontId="8" fillId="0" borderId="0"/>
    <xf numFmtId="0" fontId="8" fillId="0" borderId="0"/>
    <xf numFmtId="0" fontId="2" fillId="0" borderId="0" applyAlignment="1">
      <alignment vertical="center"/>
    </xf>
    <xf numFmtId="0" fontId="2" fillId="0" borderId="0" applyAlignment="1">
      <alignment vertical="center"/>
    </xf>
    <xf numFmtId="0" fontId="2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0" fontId="6" fillId="0" borderId="0" applyAlignment="1">
      <alignment vertical="center"/>
    </xf>
    <xf numFmtId="174" fontId="24" fillId="0" borderId="0" applyProtection="1">
      <protection locked="0" hidden="0"/>
    </xf>
    <xf numFmtId="177" fontId="16" fillId="0" borderId="0" applyProtection="1">
      <protection locked="0" hidden="0"/>
    </xf>
    <xf numFmtId="177" fontId="16" fillId="0" borderId="0" applyProtection="1">
      <protection locked="0" hidden="0"/>
    </xf>
    <xf numFmtId="174" fontId="24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8" fillId="0" borderId="0" applyAlignment="1" applyProtection="1">
      <alignment vertical="top"/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4" fontId="14" fillId="0" borderId="0" applyProtection="1">
      <protection locked="0" hidden="0"/>
    </xf>
    <xf numFmtId="172" fontId="42" fillId="0" borderId="0"/>
    <xf numFmtId="172" fontId="25" fillId="0" borderId="0"/>
    <xf numFmtId="40" fontId="35" fillId="0" borderId="0"/>
    <xf numFmtId="38" fontId="35" fillId="0" borderId="0"/>
    <xf numFmtId="0" fontId="35" fillId="0" borderId="0"/>
    <xf numFmtId="0" fontId="35" fillId="0" borderId="0"/>
    <xf numFmtId="0" fontId="36" fillId="0" borderId="0"/>
    <xf numFmtId="0" fontId="7" fillId="0" borderId="0"/>
    <xf numFmtId="9" fontId="19" fillId="0" borderId="0" applyAlignment="1">
      <alignment vertical="center"/>
    </xf>
    <xf numFmtId="9" fontId="19" fillId="0" borderId="0" applyAlignment="1">
      <alignment vertical="center"/>
    </xf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0" fontId="19" fillId="0" borderId="0" applyAlignment="1">
      <alignment vertical="center"/>
    </xf>
    <xf numFmtId="0" fontId="19" fillId="0" borderId="0" applyAlignment="1">
      <alignment vertical="center"/>
    </xf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3" fontId="5" fillId="0" borderId="4"/>
    <xf numFmtId="10" fontId="19" fillId="0" borderId="0" applyAlignment="1">
      <alignment vertical="center"/>
    </xf>
    <xf numFmtId="10" fontId="19" fillId="0" borderId="0" applyAlignment="1">
      <alignment vertical="center"/>
    </xf>
    <xf numFmtId="3" fontId="5" fillId="0" borderId="4"/>
    <xf numFmtId="0" fontId="19" fillId="0" borderId="0" applyAlignment="1">
      <alignment vertical="center"/>
    </xf>
    <xf numFmtId="0" fontId="19" fillId="0" borderId="0" applyAlignment="1">
      <alignment vertical="center"/>
    </xf>
    <xf numFmtId="178" fontId="2" fillId="0" borderId="0" applyAlignment="1">
      <alignment vertical="center"/>
    </xf>
    <xf numFmtId="178" fontId="2" fillId="0" borderId="0" applyAlignment="1">
      <alignment vertical="center"/>
    </xf>
    <xf numFmtId="179" fontId="19" fillId="0" borderId="0" applyAlignment="1">
      <alignment vertical="center"/>
    </xf>
    <xf numFmtId="179" fontId="19" fillId="0" borderId="0" applyAlignment="1">
      <alignment vertical="center"/>
    </xf>
    <xf numFmtId="178" fontId="2" fillId="0" borderId="0" applyAlignment="1">
      <alignment vertical="center"/>
    </xf>
    <xf numFmtId="179" fontId="19" fillId="0" borderId="0" applyAlignment="1">
      <alignment vertical="center"/>
    </xf>
    <xf numFmtId="179" fontId="19" fillId="0" borderId="0" applyAlignment="1">
      <alignment vertical="center"/>
    </xf>
    <xf numFmtId="179" fontId="19" fillId="0" borderId="0" applyAlignment="1">
      <alignment vertical="center"/>
    </xf>
    <xf numFmtId="179" fontId="19" fillId="0" borderId="0" applyAlignment="1">
      <alignment vertical="center"/>
    </xf>
    <xf numFmtId="178" fontId="2" fillId="0" borderId="0" applyAlignment="1">
      <alignment vertical="center"/>
    </xf>
    <xf numFmtId="180" fontId="26" fillId="0" borderId="0" applyAlignment="1">
      <alignment vertical="center"/>
    </xf>
    <xf numFmtId="180" fontId="26" fillId="0" borderId="0" applyAlignment="1">
      <alignment vertical="center"/>
    </xf>
    <xf numFmtId="0" fontId="6" fillId="0" borderId="0"/>
    <xf numFmtId="0" fontId="6" fillId="0" borderId="0"/>
    <xf numFmtId="0" fontId="10" fillId="0" borderId="0" applyAlignment="1">
      <alignment horizontal="center" vertical="center"/>
    </xf>
    <xf numFmtId="10" fontId="4" fillId="0" borderId="0"/>
    <xf numFmtId="0" fontId="6" fillId="0" borderId="0"/>
    <xf numFmtId="0" fontId="6" fillId="0" borderId="0"/>
    <xf numFmtId="3" fontId="37" fillId="0" borderId="6" applyAlignment="1">
      <alignment horizontal="right" vertical="center"/>
    </xf>
    <xf numFmtId="0" fontId="10" fillId="0" borderId="0" applyAlignment="1">
      <alignment horizontal="center" vertical="center"/>
    </xf>
    <xf numFmtId="0" fontId="10" fillId="0" borderId="0" applyAlignment="1">
      <alignment horizontal="center" vertical="center"/>
    </xf>
    <xf numFmtId="0" fontId="10" fillId="0" borderId="0" applyAlignment="1">
      <alignment horizontal="center" vertical="center"/>
    </xf>
    <xf numFmtId="0" fontId="10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8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8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41" fontId="8" fillId="0" borderId="0" applyAlignment="1">
      <alignment horizontal="center" vertical="center"/>
    </xf>
    <xf numFmtId="182" fontId="38" fillId="0" borderId="0" applyAlignment="1">
      <alignment horizontal="center" vertical="center"/>
    </xf>
    <xf numFmtId="0" fontId="10" fillId="0" borderId="0" applyAlignment="1">
      <alignment horizontal="center" vertical="center"/>
    </xf>
    <xf numFmtId="0" fontId="10" fillId="0" borderId="0" applyAlignment="1">
      <alignment horizontal="center" vertical="center"/>
    </xf>
    <xf numFmtId="3" fontId="37" fillId="0" borderId="6" applyAlignment="1">
      <alignment horizontal="right" vertical="center"/>
    </xf>
    <xf numFmtId="0" fontId="6" fillId="0" borderId="0"/>
    <xf numFmtId="0" fontId="6" fillId="0" borderId="0"/>
    <xf numFmtId="0" fontId="27" fillId="0" borderId="0"/>
    <xf numFmtId="0" fontId="27" fillId="0" borderId="0"/>
    <xf numFmtId="0" fontId="4" fillId="0" borderId="0"/>
    <xf numFmtId="0" fontId="4" fillId="0" borderId="0"/>
    <xf numFmtId="10" fontId="4" fillId="0" borderId="0"/>
    <xf numFmtId="9" fontId="16" fillId="0" borderId="0"/>
    <xf numFmtId="172" fontId="9" fillId="0" borderId="0"/>
    <xf numFmtId="172" fontId="9" fillId="0" borderId="0"/>
    <xf numFmtId="0" fontId="8" fillId="0" borderId="0"/>
    <xf numFmtId="0" fontId="8" fillId="0" borderId="0"/>
    <xf numFmtId="0" fontId="8" fillId="0" borderId="7" applyAlignment="1">
      <alignment horizontal="center"/>
    </xf>
    <xf numFmtId="0" fontId="8" fillId="0" borderId="7" applyAlignment="1">
      <alignment horizontal="center"/>
    </xf>
    <xf numFmtId="2" fontId="37" fillId="0" borderId="6" applyAlignment="1">
      <alignment horizontal="right" vertical="center"/>
    </xf>
    <xf numFmtId="0" fontId="43" fillId="5" borderId="0" applyAlignment="1">
      <alignment vertical="center"/>
    </xf>
    <xf numFmtId="0" fontId="3" fillId="8" borderId="0" applyAlignment="1">
      <alignment vertical="center"/>
    </xf>
    <xf numFmtId="0" fontId="3" fillId="7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7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8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1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0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4" borderId="0" applyAlignment="1">
      <alignment vertical="center"/>
    </xf>
    <xf numFmtId="0" fontId="3" fillId="14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13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7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4" borderId="0" applyAlignment="1">
      <alignment vertical="center"/>
    </xf>
    <xf numFmtId="0" fontId="3" fillId="14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28" fillId="0" borderId="0"/>
    <xf numFmtId="0" fontId="28" fillId="0" borderId="0"/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16" borderId="0" applyAlignment="1">
      <alignment vertical="center"/>
    </xf>
    <xf numFmtId="0" fontId="3" fillId="16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9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2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9" borderId="0" applyAlignment="1">
      <alignment vertical="center"/>
    </xf>
    <xf numFmtId="0" fontId="3" fillId="19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8" borderId="0" applyAlignment="1">
      <alignment vertical="center"/>
    </xf>
    <xf numFmtId="0" fontId="3" fillId="17" borderId="0" applyAlignment="1">
      <alignment vertical="center"/>
    </xf>
    <xf numFmtId="0" fontId="3" fillId="15" borderId="0" applyAlignment="1">
      <alignment vertical="center"/>
    </xf>
    <xf numFmtId="0" fontId="3" fillId="17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7" borderId="0" applyAlignment="1">
      <alignment vertical="center"/>
    </xf>
    <xf numFmtId="0" fontId="3" fillId="15" borderId="0" applyAlignment="1">
      <alignment vertical="center"/>
    </xf>
    <xf numFmtId="0" fontId="3" fillId="17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3" fillId="15" borderId="0" applyAlignment="1">
      <alignment vertical="center"/>
    </xf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43" fontId="45" fillId="0" borderId="0"/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41" fontId="2" fillId="0" borderId="0" applyAlignment="1">
      <alignment vertical="center"/>
    </xf>
    <xf numFmtId="0" fontId="45" fillId="0" borderId="0"/>
    <xf numFmtId="0" fontId="2" fillId="0" borderId="0"/>
    <xf numFmtId="0" fontId="2" fillId="0" borderId="0"/>
    <xf numFmtId="0" fontId="2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0" fontId="45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0" fontId="45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0" fontId="45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0" fontId="45" fillId="0" borderId="0"/>
    <xf numFmtId="0" fontId="2" fillId="0" borderId="0"/>
    <xf numFmtId="9" fontId="2" fillId="0" borderId="0" applyAlignment="1">
      <alignment vertical="center"/>
    </xf>
    <xf numFmtId="41" fontId="2" fillId="0" borderId="0" applyAlignment="1">
      <alignment vertical="center"/>
    </xf>
    <xf numFmtId="0" fontId="45" fillId="0" borderId="0"/>
    <xf numFmtId="43" fontId="45" fillId="0" borderId="0"/>
    <xf numFmtId="41" fontId="2" fillId="0" borderId="0"/>
    <xf numFmtId="0" fontId="43" fillId="0" borderId="0" applyAlignment="1">
      <alignment vertical="center"/>
    </xf>
    <xf numFmtId="0" fontId="45" fillId="0" borderId="0"/>
    <xf numFmtId="0" fontId="43" fillId="0" borderId="0" applyAlignment="1">
      <alignment vertical="center"/>
    </xf>
    <xf numFmtId="0" fontId="6" fillId="0" borderId="0"/>
    <xf numFmtId="172" fontId="6" fillId="0" borderId="0"/>
    <xf numFmtId="0" fontId="12" fillId="0" borderId="0"/>
    <xf numFmtId="0" fontId="4" fillId="0" borderId="0"/>
    <xf numFmtId="0" fontId="12" fillId="0" borderId="0"/>
    <xf numFmtId="0" fontId="3" fillId="17" borderId="0" applyAlignment="1">
      <alignment vertical="center"/>
    </xf>
    <xf numFmtId="0" fontId="3" fillId="11" borderId="0" applyAlignment="1">
      <alignment vertical="center"/>
    </xf>
    <xf numFmtId="0" fontId="3" fillId="14" borderId="0" applyAlignment="1">
      <alignment vertical="center"/>
    </xf>
    <xf numFmtId="0" fontId="3" fillId="17" borderId="0" applyAlignment="1">
      <alignment vertical="center"/>
    </xf>
    <xf numFmtId="0" fontId="3" fillId="16" borderId="0" applyAlignment="1">
      <alignment vertical="center"/>
    </xf>
    <xf numFmtId="0" fontId="3" fillId="11" borderId="0" applyAlignment="1">
      <alignment vertical="center"/>
    </xf>
    <xf numFmtId="0" fontId="3" fillId="17" borderId="0" applyAlignment="1">
      <alignment vertical="center"/>
    </xf>
    <xf numFmtId="0" fontId="3" fillId="12" borderId="0" applyAlignment="1">
      <alignment vertical="center"/>
    </xf>
    <xf numFmtId="0" fontId="3" fillId="19" borderId="0" applyAlignment="1">
      <alignment vertical="center"/>
    </xf>
    <xf numFmtId="0" fontId="3" fillId="17" borderId="0" applyAlignment="1">
      <alignment vertical="center"/>
    </xf>
    <xf numFmtId="0" fontId="3" fillId="9" borderId="0" applyAlignment="1">
      <alignment vertical="center"/>
    </xf>
    <xf numFmtId="0" fontId="3" fillId="11" borderId="0" applyAlignment="1">
      <alignment vertical="center"/>
    </xf>
    <xf numFmtId="0" fontId="48" fillId="22" borderId="0" applyAlignment="1">
      <alignment vertical="center"/>
    </xf>
    <xf numFmtId="0" fontId="48" fillId="12" borderId="0" applyAlignment="1">
      <alignment vertical="center"/>
    </xf>
    <xf numFmtId="0" fontId="48" fillId="19" borderId="0" applyAlignment="1">
      <alignment vertical="center"/>
    </xf>
    <xf numFmtId="0" fontId="48" fillId="23" borderId="0" applyAlignment="1">
      <alignment vertical="center"/>
    </xf>
    <xf numFmtId="0" fontId="48" fillId="22" borderId="0" applyAlignment="1">
      <alignment vertical="center"/>
    </xf>
    <xf numFmtId="0" fontId="48" fillId="11" borderId="0" applyAlignment="1">
      <alignment vertical="center"/>
    </xf>
    <xf numFmtId="0" fontId="48" fillId="22" borderId="0" applyAlignment="1">
      <alignment vertical="center"/>
    </xf>
    <xf numFmtId="0" fontId="48" fillId="24" borderId="0" applyAlignment="1">
      <alignment vertical="center"/>
    </xf>
    <xf numFmtId="0" fontId="48" fillId="25" borderId="0" applyAlignment="1">
      <alignment vertical="center"/>
    </xf>
    <xf numFmtId="0" fontId="48" fillId="26" borderId="0" applyAlignment="1">
      <alignment vertical="center"/>
    </xf>
    <xf numFmtId="0" fontId="48" fillId="22" borderId="0" applyAlignment="1">
      <alignment vertical="center"/>
    </xf>
    <xf numFmtId="0" fontId="48" fillId="27" borderId="0" applyAlignment="1">
      <alignment vertical="center"/>
    </xf>
    <xf numFmtId="0" fontId="49" fillId="10" borderId="0" applyAlignment="1">
      <alignment vertical="center"/>
    </xf>
    <xf numFmtId="0" fontId="50" fillId="17" borderId="29" applyAlignment="1">
      <alignment vertical="center"/>
    </xf>
    <xf numFmtId="0" fontId="51" fillId="23" borderId="30" applyAlignment="1">
      <alignment vertical="center"/>
    </xf>
    <xf numFmtId="0" fontId="52" fillId="0" borderId="0" applyAlignment="1">
      <alignment vertical="center"/>
    </xf>
    <xf numFmtId="0" fontId="53" fillId="13" borderId="0" applyAlignment="1">
      <alignment vertical="center"/>
    </xf>
    <xf numFmtId="0" fontId="54" fillId="0" borderId="31" applyAlignment="1">
      <alignment vertical="center"/>
    </xf>
    <xf numFmtId="0" fontId="54" fillId="0" borderId="0" applyAlignment="1">
      <alignment vertical="center"/>
    </xf>
    <xf numFmtId="0" fontId="55" fillId="0" borderId="32" applyAlignment="1">
      <alignment vertical="center"/>
    </xf>
    <xf numFmtId="0" fontId="56" fillId="19" borderId="0" applyAlignment="1">
      <alignment vertical="center"/>
    </xf>
    <xf numFmtId="0" fontId="2" fillId="14" borderId="33" applyAlignment="1">
      <alignment vertical="center"/>
    </xf>
    <xf numFmtId="0" fontId="57" fillId="17" borderId="34" applyAlignment="1">
      <alignment vertical="center"/>
    </xf>
    <xf numFmtId="0" fontId="58" fillId="0" borderId="0" applyAlignment="1">
      <alignment vertical="center"/>
    </xf>
    <xf numFmtId="0" fontId="59" fillId="0" borderId="0" applyAlignment="1">
      <alignment vertical="center"/>
    </xf>
    <xf numFmtId="0" fontId="43" fillId="0" borderId="0" applyAlignment="1">
      <alignment vertical="center"/>
    </xf>
    <xf numFmtId="0" fontId="43" fillId="0" borderId="0" applyAlignment="1">
      <alignment vertical="center"/>
    </xf>
    <xf numFmtId="41" fontId="43" fillId="0" borderId="0" applyAlignment="1">
      <alignment vertical="center"/>
    </xf>
    <xf numFmtId="0" fontId="43" fillId="0" borderId="0" applyAlignment="1">
      <alignment vertical="center"/>
    </xf>
    <xf numFmtId="41" fontId="43" fillId="0" borderId="0" applyAlignment="1">
      <alignment vertical="center"/>
    </xf>
    <xf numFmtId="0" fontId="2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0" fontId="61" fillId="0" borderId="0" applyAlignment="1">
      <alignment vertical="center"/>
    </xf>
    <xf numFmtId="183" fontId="62" fillId="0" borderId="0" applyAlignment="1">
      <alignment vertical="center"/>
    </xf>
    <xf numFmtId="0" fontId="102" fillId="11" borderId="29" applyAlignment="1">
      <alignment vertical="center"/>
    </xf>
    <xf numFmtId="0" fontId="4" fillId="0" borderId="0"/>
    <xf numFmtId="0" fontId="21" fillId="0" borderId="0"/>
    <xf numFmtId="0" fontId="2" fillId="0" borderId="0"/>
    <xf numFmtId="0" fontId="21" fillId="0" borderId="0"/>
    <xf numFmtId="0" fontId="11" fillId="0" borderId="0"/>
    <xf numFmtId="0" fontId="2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21" fillId="0" borderId="0"/>
    <xf numFmtId="0" fontId="11" fillId="0" borderId="0"/>
    <xf numFmtId="0" fontId="2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21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8" fillId="0" borderId="0"/>
    <xf numFmtId="0" fontId="21" fillId="0" borderId="0"/>
    <xf numFmtId="0" fontId="21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21" fillId="0" borderId="0"/>
    <xf numFmtId="0" fontId="4" fillId="0" borderId="0"/>
    <xf numFmtId="0" fontId="21" fillId="0" borderId="0"/>
    <xf numFmtId="0" fontId="2" fillId="0" borderId="0"/>
    <xf numFmtId="0" fontId="21" fillId="0" borderId="0"/>
    <xf numFmtId="38" fontId="7" fillId="0" borderId="0"/>
    <xf numFmtId="0" fontId="64" fillId="0" borderId="0"/>
    <xf numFmtId="0" fontId="7" fillId="0" borderId="0"/>
    <xf numFmtId="0" fontId="7" fillId="0" borderId="0"/>
    <xf numFmtId="0" fontId="11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11" fillId="0" borderId="0"/>
    <xf numFmtId="0" fontId="8" fillId="0" borderId="0"/>
    <xf numFmtId="0" fontId="21" fillId="0" borderId="0"/>
    <xf numFmtId="0" fontId="21" fillId="0" borderId="0"/>
    <xf numFmtId="0" fontId="4" fillId="0" borderId="0"/>
    <xf numFmtId="184" fontId="2" fillId="0" borderId="0" applyProtection="1">
      <protection locked="0" hidden="0"/>
    </xf>
    <xf numFmtId="0" fontId="11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7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1" fillId="0" borderId="0"/>
    <xf numFmtId="0" fontId="11" fillId="0" borderId="0"/>
    <xf numFmtId="0" fontId="11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21" fillId="0" borderId="0"/>
    <xf numFmtId="0" fontId="11" fillId="0" borderId="0"/>
    <xf numFmtId="0" fontId="7" fillId="0" borderId="0"/>
    <xf numFmtId="0" fontId="7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4" fillId="0" borderId="0"/>
    <xf numFmtId="0" fontId="11" fillId="0" borderId="0"/>
    <xf numFmtId="0" fontId="21" fillId="0" borderId="0"/>
    <xf numFmtId="0" fontId="21" fillId="0" borderId="0"/>
    <xf numFmtId="38" fontId="7" fillId="0" borderId="0"/>
    <xf numFmtId="0" fontId="21" fillId="0" borderId="0"/>
    <xf numFmtId="0" fontId="21" fillId="0" borderId="0"/>
    <xf numFmtId="0" fontId="21" fillId="0" borderId="0"/>
    <xf numFmtId="0" fontId="11" fillId="0" borderId="0"/>
    <xf numFmtId="0" fontId="11" fillId="0" borderId="0"/>
    <xf numFmtId="0" fontId="4" fillId="0" borderId="0"/>
    <xf numFmtId="0" fontId="21" fillId="0" borderId="0"/>
    <xf numFmtId="0" fontId="21" fillId="0" borderId="0"/>
    <xf numFmtId="0" fontId="21" fillId="0" borderId="0"/>
    <xf numFmtId="0" fontId="4" fillId="0" borderId="0"/>
    <xf numFmtId="0" fontId="11" fillId="0" borderId="0"/>
    <xf numFmtId="0" fontId="21" fillId="0" borderId="0"/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8" fillId="0" borderId="0"/>
    <xf numFmtId="0" fontId="1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185" fontId="2" fillId="0" borderId="0"/>
    <xf numFmtId="172" fontId="8" fillId="0" borderId="0"/>
    <xf numFmtId="0" fontId="11" fillId="0" borderId="0"/>
    <xf numFmtId="0" fontId="11" fillId="0" borderId="0"/>
    <xf numFmtId="184" fontId="2" fillId="0" borderId="0" applyProtection="1">
      <protection locked="0" hidden="0"/>
    </xf>
    <xf numFmtId="0" fontId="4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4" fillId="0" borderId="0"/>
    <xf numFmtId="0" fontId="11" fillId="0" borderId="0"/>
    <xf numFmtId="0" fontId="4" fillId="0" borderId="0"/>
    <xf numFmtId="0" fontId="4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11" fillId="0" borderId="0"/>
    <xf numFmtId="0" fontId="11" fillId="0" borderId="0"/>
    <xf numFmtId="0" fontId="4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" fillId="0" borderId="0"/>
    <xf numFmtId="0" fontId="21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/>
    <xf numFmtId="0" fontId="12" fillId="0" borderId="0"/>
    <xf numFmtId="0" fontId="96" fillId="0" borderId="13" applyAlignment="1">
      <alignment horizontal="left" vertical="center"/>
    </xf>
    <xf numFmtId="0" fontId="65" fillId="0" borderId="0" applyAlignment="1">
      <alignment vertical="top"/>
    </xf>
    <xf numFmtId="43" fontId="65" fillId="0" borderId="0" applyAlignment="1">
      <alignment vertical="top"/>
    </xf>
    <xf numFmtId="186" fontId="62" fillId="0" borderId="0" applyAlignment="1">
      <alignment vertical="center"/>
    </xf>
    <xf numFmtId="187" fontId="62" fillId="0" borderId="0" applyAlignment="1">
      <alignment vertical="center"/>
    </xf>
    <xf numFmtId="188" fontId="62" fillId="0" borderId="0" applyAlignment="1">
      <alignment vertical="center"/>
    </xf>
    <xf numFmtId="42" fontId="4" fillId="0" borderId="0"/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3" fontId="37" fillId="0" borderId="6" applyAlignment="1">
      <alignment horizontal="right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189" fontId="2" fillId="0" borderId="0" applyAlignment="1">
      <alignment horizontal="center" vertical="center"/>
    </xf>
    <xf numFmtId="3" fontId="37" fillId="0" borderId="6" applyAlignment="1">
      <alignment horizontal="right" vertical="center"/>
    </xf>
    <xf numFmtId="40" fontId="8" fillId="0" borderId="0" applyProtection="1">
      <protection locked="0" hidden="0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2" fontId="37" fillId="0" borderId="6" applyAlignment="1">
      <alignment horizontal="right" vertical="center"/>
    </xf>
    <xf numFmtId="0" fontId="3" fillId="9" borderId="0" applyAlignment="1">
      <alignment vertical="center"/>
    </xf>
    <xf numFmtId="0" fontId="3" fillId="28" borderId="0" applyAlignment="1">
      <alignment vertical="center"/>
    </xf>
    <xf numFmtId="9" fontId="8" fillId="0" borderId="0" applyProtection="1">
      <protection locked="0" hidden="0"/>
    </xf>
    <xf numFmtId="190" fontId="2" fillId="0" borderId="0" applyProtection="1">
      <protection locked="0" hidden="0"/>
    </xf>
    <xf numFmtId="0" fontId="48" fillId="29" borderId="0" applyAlignment="1">
      <alignment vertical="center"/>
    </xf>
    <xf numFmtId="0" fontId="48" fillId="12" borderId="0" applyAlignment="1">
      <alignment vertical="center"/>
    </xf>
    <xf numFmtId="0" fontId="48" fillId="18" borderId="0" applyAlignment="1">
      <alignment vertical="center"/>
    </xf>
    <xf numFmtId="0" fontId="48" fillId="30" borderId="0" applyAlignment="1">
      <alignment vertical="center"/>
    </xf>
    <xf numFmtId="0" fontId="48" fillId="22" borderId="0" applyAlignment="1">
      <alignment vertical="center"/>
    </xf>
    <xf numFmtId="0" fontId="48" fillId="31" borderId="0" applyAlignment="1">
      <alignment vertical="center"/>
    </xf>
    <xf numFmtId="0" fontId="66" fillId="0" borderId="0"/>
    <xf numFmtId="0" fontId="67" fillId="0" borderId="40" applyAlignment="1">
      <alignment horizontal="center" vertical="center"/>
    </xf>
    <xf numFmtId="40" fontId="8" fillId="0" borderId="0" applyProtection="1">
      <protection locked="0" hidden="0"/>
    </xf>
    <xf numFmtId="0" fontId="2" fillId="0" borderId="0"/>
    <xf numFmtId="0" fontId="2" fillId="0" borderId="0"/>
    <xf numFmtId="0" fontId="68" fillId="0" borderId="0"/>
    <xf numFmtId="0" fontId="69" fillId="0" borderId="0"/>
    <xf numFmtId="0" fontId="70" fillId="0" borderId="0"/>
    <xf numFmtId="0" fontId="69" fillId="0" borderId="0"/>
    <xf numFmtId="0" fontId="4" fillId="0" borderId="0"/>
    <xf numFmtId="0" fontId="69" fillId="0" borderId="0"/>
    <xf numFmtId="41" fontId="71" fillId="0" borderId="0"/>
    <xf numFmtId="0" fontId="68" fillId="0" borderId="0"/>
    <xf numFmtId="0" fontId="69" fillId="0" borderId="0"/>
    <xf numFmtId="0" fontId="70" fillId="0" borderId="0"/>
    <xf numFmtId="0" fontId="72" fillId="0" borderId="0"/>
    <xf numFmtId="0" fontId="4" fillId="0" borderId="0"/>
    <xf numFmtId="0" fontId="69" fillId="0" borderId="0"/>
    <xf numFmtId="43" fontId="71" fillId="0" borderId="0"/>
    <xf numFmtId="0" fontId="73" fillId="0" borderId="0"/>
    <xf numFmtId="0" fontId="73" fillId="0" borderId="0"/>
    <xf numFmtId="172" fontId="10" fillId="0" borderId="41" applyAlignment="1">
      <alignment horizontal="center" vertical="center"/>
    </xf>
    <xf numFmtId="40" fontId="8" fillId="0" borderId="0" applyProtection="1">
      <protection locked="0" hidden="0"/>
    </xf>
    <xf numFmtId="4" fontId="14" fillId="0" borderId="0" applyProtection="1">
      <protection locked="0" hidden="0"/>
    </xf>
    <xf numFmtId="40" fontId="8" fillId="0" borderId="0" applyProtection="1">
      <protection locked="0" hidden="0"/>
    </xf>
    <xf numFmtId="0" fontId="14" fillId="0" borderId="0" applyProtection="1">
      <protection locked="0" hidden="0"/>
    </xf>
    <xf numFmtId="40" fontId="8" fillId="0" borderId="0" applyProtection="1">
      <protection locked="0" hidden="0"/>
    </xf>
    <xf numFmtId="0" fontId="74" fillId="0" borderId="0"/>
    <xf numFmtId="40" fontId="8" fillId="0" borderId="0" applyProtection="1">
      <protection locked="0" hidden="0"/>
    </xf>
    <xf numFmtId="0" fontId="69" fillId="0" borderId="0"/>
    <xf numFmtId="0" fontId="69" fillId="0" borderId="0"/>
    <xf numFmtId="0" fontId="68" fillId="0" borderId="0"/>
    <xf numFmtId="0" fontId="68" fillId="0" borderId="0"/>
    <xf numFmtId="0" fontId="73" fillId="0" borderId="0"/>
    <xf numFmtId="0" fontId="73" fillId="0" borderId="0"/>
    <xf numFmtId="0" fontId="2" fillId="0" borderId="0"/>
    <xf numFmtId="0" fontId="2" fillId="0" borderId="0"/>
    <xf numFmtId="0" fontId="7" fillId="0" borderId="0"/>
    <xf numFmtId="0" fontId="77" fillId="0" borderId="0" applyAlignment="1" applyProtection="1">
      <alignment horizontal="center" wrapText="1"/>
      <protection locked="0" hidden="0"/>
    </xf>
    <xf numFmtId="40" fontId="8" fillId="0" borderId="0" applyProtection="1">
      <protection locked="0" hidden="0"/>
    </xf>
    <xf numFmtId="0" fontId="2" fillId="0" borderId="0"/>
    <xf numFmtId="40" fontId="8" fillId="0" borderId="0" applyProtection="1">
      <protection locked="0" hidden="0"/>
    </xf>
    <xf numFmtId="0" fontId="63" fillId="0" borderId="0"/>
    <xf numFmtId="0" fontId="78" fillId="0" borderId="0"/>
    <xf numFmtId="0" fontId="68" fillId="0" borderId="0"/>
    <xf numFmtId="0" fontId="79" fillId="0" borderId="0"/>
    <xf numFmtId="0" fontId="68" fillId="0" borderId="0"/>
    <xf numFmtId="0" fontId="68" fillId="0" borderId="0"/>
    <xf numFmtId="0" fontId="69" fillId="0" borderId="0"/>
    <xf numFmtId="0" fontId="2" fillId="0" borderId="0"/>
    <xf numFmtId="0" fontId="80" fillId="0" borderId="0"/>
    <xf numFmtId="0" fontId="70" fillId="0" borderId="0"/>
    <xf numFmtId="0" fontId="69" fillId="0" borderId="0"/>
    <xf numFmtId="0" fontId="68" fillId="0" borderId="0"/>
    <xf numFmtId="0" fontId="81" fillId="0" borderId="0"/>
    <xf numFmtId="0" fontId="2" fillId="0" borderId="0"/>
    <xf numFmtId="0" fontId="82" fillId="0" borderId="0"/>
    <xf numFmtId="37" fontId="76" fillId="0" borderId="0"/>
    <xf numFmtId="37" fontId="75" fillId="0" borderId="0"/>
    <xf numFmtId="0" fontId="75" fillId="0" borderId="0"/>
    <xf numFmtId="0" fontId="76" fillId="0" borderId="0"/>
    <xf numFmtId="0" fontId="75" fillId="0" borderId="0"/>
    <xf numFmtId="0" fontId="2" fillId="0" borderId="0"/>
    <xf numFmtId="191" fontId="19" fillId="0" borderId="0"/>
    <xf numFmtId="192" fontId="2" fillId="0" borderId="0"/>
    <xf numFmtId="0" fontId="83" fillId="0" borderId="0"/>
    <xf numFmtId="0" fontId="17" fillId="0" borderId="0" applyAlignment="1" applyProtection="1">
      <alignment vertical="top"/>
      <protection locked="0" hidden="0"/>
    </xf>
    <xf numFmtId="193" fontId="8" fillId="0" borderId="0"/>
    <xf numFmtId="40" fontId="8" fillId="0" borderId="0" applyProtection="1">
      <protection locked="0" hidden="0"/>
    </xf>
    <xf numFmtId="4" fontId="14" fillId="0" borderId="0" applyProtection="1">
      <protection locked="0" hidden="0"/>
    </xf>
    <xf numFmtId="38" fontId="4" fillId="0" borderId="0"/>
    <xf numFmtId="194" fontId="2" fillId="0" borderId="0"/>
    <xf numFmtId="194" fontId="64" fillId="0" borderId="0"/>
    <xf numFmtId="3" fontId="84" fillId="0" borderId="0"/>
    <xf numFmtId="0" fontId="85" fillId="0" borderId="0" applyAlignment="1">
      <alignment horizontal="left"/>
    </xf>
    <xf numFmtId="0" fontId="86" fillId="0" borderId="0"/>
    <xf numFmtId="0" fontId="11" fillId="0" borderId="0"/>
    <xf numFmtId="190" fontId="2" fillId="0" borderId="0" applyProtection="1">
      <protection locked="0" hidden="0"/>
    </xf>
    <xf numFmtId="195" fontId="4" fillId="0" borderId="0"/>
    <xf numFmtId="196" fontId="14" fillId="0" borderId="0" applyProtection="1">
      <protection locked="0" hidden="0"/>
    </xf>
    <xf numFmtId="196" fontId="14" fillId="0" borderId="0" applyProtection="1">
      <protection locked="0" hidden="0"/>
    </xf>
    <xf numFmtId="196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197" fontId="87" fillId="0" borderId="4"/>
    <xf numFmtId="198" fontId="2" fillId="0" borderId="0"/>
    <xf numFmtId="0" fontId="4" fillId="0" borderId="0"/>
    <xf numFmtId="199" fontId="5" fillId="0" borderId="0"/>
    <xf numFmtId="199" fontId="5" fillId="0" borderId="0"/>
    <xf numFmtId="199" fontId="5" fillId="0" borderId="0"/>
    <xf numFmtId="0" fontId="8" fillId="0" borderId="0"/>
    <xf numFmtId="0" fontId="84" fillId="0" borderId="0"/>
    <xf numFmtId="200" fontId="14" fillId="0" borderId="0" applyProtection="1">
      <protection locked="0" hidden="0"/>
    </xf>
    <xf numFmtId="0" fontId="88" fillId="0" borderId="0" applyAlignment="1">
      <alignment vertical="top" wrapText="1"/>
    </xf>
    <xf numFmtId="201" fontId="2" fillId="0" borderId="0"/>
    <xf numFmtId="202" fontId="4" fillId="0" borderId="0"/>
    <xf numFmtId="0" fontId="89" fillId="0" borderId="0" applyAlignment="1">
      <alignment horizontal="left"/>
    </xf>
    <xf numFmtId="203" fontId="10" fillId="0" borderId="0"/>
    <xf numFmtId="204" fontId="2" fillId="0" borderId="0"/>
    <xf numFmtId="0" fontId="14" fillId="0" borderId="0" applyProtection="1">
      <protection locked="0" hidden="0"/>
    </xf>
    <xf numFmtId="0" fontId="90" fillId="0" borderId="0" applyProtection="1">
      <protection locked="0" hidden="0"/>
    </xf>
    <xf numFmtId="0" fontId="14" fillId="0" borderId="0" applyProtection="1">
      <protection locked="0" hidden="0"/>
    </xf>
    <xf numFmtId="0" fontId="91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91" fillId="0" borderId="0" applyProtection="1">
      <protection locked="0" hidden="0"/>
    </xf>
    <xf numFmtId="0" fontId="92" fillId="0" borderId="0" applyProtection="1">
      <protection locked="0" hidden="0"/>
    </xf>
    <xf numFmtId="2" fontId="84" fillId="0" borderId="0"/>
    <xf numFmtId="205" fontId="14" fillId="0" borderId="0" applyProtection="1">
      <protection locked="0" hidden="0"/>
    </xf>
    <xf numFmtId="0" fontId="93" fillId="0" borderId="0"/>
    <xf numFmtId="38" fontId="94" fillId="32" borderId="0"/>
    <xf numFmtId="38" fontId="94" fillId="33" borderId="0"/>
    <xf numFmtId="38" fontId="94" fillId="33" borderId="0"/>
    <xf numFmtId="38" fontId="94" fillId="33" borderId="0"/>
    <xf numFmtId="3" fontId="19" fillId="0" borderId="42" applyAlignment="1">
      <alignment horizontal="right" vertical="center"/>
    </xf>
    <xf numFmtId="4" fontId="19" fillId="0" borderId="42" applyAlignment="1">
      <alignment horizontal="right" vertical="center"/>
    </xf>
    <xf numFmtId="0" fontId="95" fillId="0" borderId="0" applyAlignment="1">
      <alignment horizontal="left"/>
    </xf>
    <xf numFmtId="0" fontId="96" fillId="0" borderId="39" applyAlignment="1">
      <alignment horizontal="left" vertical="center"/>
    </xf>
    <xf numFmtId="0" fontId="96" fillId="0" borderId="13" applyAlignment="1">
      <alignment horizontal="left" vertical="center"/>
    </xf>
    <xf numFmtId="0" fontId="97" fillId="0" borderId="43" applyAlignment="1">
      <alignment vertical="center"/>
    </xf>
    <xf numFmtId="0" fontId="98" fillId="0" borderId="0"/>
    <xf numFmtId="0" fontId="99" fillId="0" borderId="43" applyAlignment="1">
      <alignment vertical="center"/>
    </xf>
    <xf numFmtId="0" fontId="100" fillId="0" borderId="0"/>
    <xf numFmtId="184" fontId="2" fillId="0" borderId="0" applyProtection="1">
      <protection locked="0" hidden="0"/>
    </xf>
    <xf numFmtId="174" fontId="13" fillId="0" borderId="0" applyProtection="1">
      <protection locked="0" hidden="0"/>
    </xf>
    <xf numFmtId="184" fontId="2" fillId="0" borderId="0" applyProtection="1">
      <protection locked="0" hidden="0"/>
    </xf>
    <xf numFmtId="174" fontId="13" fillId="0" borderId="0" applyProtection="1">
      <protection locked="0" hidden="0"/>
    </xf>
    <xf numFmtId="0" fontId="101" fillId="0" borderId="0"/>
    <xf numFmtId="0" fontId="17" fillId="0" borderId="0" applyAlignment="1" applyProtection="1">
      <alignment vertical="top"/>
      <protection locked="0" hidden="0"/>
    </xf>
    <xf numFmtId="0" fontId="102" fillId="11" borderId="29" applyAlignment="1">
      <alignment vertical="center"/>
    </xf>
    <xf numFmtId="10" fontId="94" fillId="32" borderId="4"/>
    <xf numFmtId="10" fontId="94" fillId="34" borderId="4"/>
    <xf numFmtId="10" fontId="94" fillId="34" borderId="4"/>
    <xf numFmtId="10" fontId="94" fillId="34" borderId="4"/>
    <xf numFmtId="206" fontId="103" fillId="35" borderId="0"/>
    <xf numFmtId="0" fontId="2" fillId="0" borderId="12" applyProtection="1">
      <protection locked="0" hidden="0"/>
    </xf>
    <xf numFmtId="206" fontId="104" fillId="36" borderId="0"/>
    <xf numFmtId="0" fontId="21" fillId="0" borderId="0" applyAlignment="1">
      <alignment vertical="top"/>
    </xf>
    <xf numFmtId="0" fontId="21" fillId="0" borderId="0" applyAlignment="1">
      <alignment horizontal="left" indent="2"/>
    </xf>
    <xf numFmtId="207" fontId="4" fillId="0" borderId="0"/>
    <xf numFmtId="208" fontId="105" fillId="0" borderId="0" applyAlignment="1">
      <alignment horizontal="left"/>
    </xf>
    <xf numFmtId="0" fontId="4" fillId="0" borderId="0"/>
    <xf numFmtId="0" fontId="106" fillId="0" borderId="12"/>
    <xf numFmtId="0" fontId="4" fillId="0" borderId="0"/>
    <xf numFmtId="0" fontId="107" fillId="0" borderId="0"/>
    <xf numFmtId="0" fontId="108" fillId="33" borderId="0" applyAlignment="1">
      <alignment vertical="center"/>
    </xf>
    <xf numFmtId="49" fontId="88" fillId="0" borderId="0" applyAlignment="1">
      <alignment horizontal="center" vertical="top"/>
    </xf>
    <xf numFmtId="37" fontId="109" fillId="0" borderId="0"/>
    <xf numFmtId="209" fontId="2" fillId="0" borderId="0"/>
    <xf numFmtId="210" fontId="8" fillId="0" borderId="0"/>
    <xf numFmtId="0" fontId="8" fillId="0" borderId="0"/>
    <xf numFmtId="0" fontId="8" fillId="0" borderId="0"/>
    <xf numFmtId="0" fontId="8" fillId="0" borderId="0"/>
    <xf numFmtId="211" fontId="8" fillId="0" borderId="0"/>
    <xf numFmtId="0" fontId="8" fillId="0" borderId="0"/>
    <xf numFmtId="0" fontId="4" fillId="0" borderId="0"/>
    <xf numFmtId="40" fontId="4" fillId="0" borderId="0"/>
    <xf numFmtId="38" fontId="4" fillId="0" borderId="0"/>
    <xf numFmtId="14" fontId="77" fillId="0" borderId="0" applyAlignment="1" applyProtection="1">
      <alignment horizontal="center" wrapText="1"/>
      <protection locked="0" hidden="0"/>
    </xf>
    <xf numFmtId="192" fontId="8" fillId="0" borderId="0" applyProtection="1">
      <protection locked="0" hidden="0"/>
    </xf>
    <xf numFmtId="10" fontId="4" fillId="0" borderId="0"/>
    <xf numFmtId="212" fontId="14" fillId="0" borderId="0" applyProtection="1">
      <protection locked="0" hidden="0"/>
    </xf>
    <xf numFmtId="212" fontId="14" fillId="0" borderId="0" applyProtection="1">
      <protection locked="0" hidden="0"/>
    </xf>
    <xf numFmtId="212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10" fillId="33" borderId="0" applyAlignment="1">
      <alignment vertical="center"/>
    </xf>
    <xf numFmtId="213" fontId="111" fillId="0" borderId="0"/>
    <xf numFmtId="0" fontId="7" fillId="0" borderId="0" applyAlignment="1">
      <alignment horizontal="left"/>
    </xf>
    <xf numFmtId="0" fontId="112" fillId="0" borderId="0" applyAlignment="1">
      <alignment horizontal="left"/>
    </xf>
    <xf numFmtId="214" fontId="113" fillId="0" borderId="44" applyAlignment="1">
      <alignment vertical="center" wrapText="1"/>
    </xf>
    <xf numFmtId="0" fontId="7" fillId="0" borderId="0"/>
    <xf numFmtId="0" fontId="114" fillId="0" borderId="0" applyAlignment="1">
      <alignment horizontal="center" vertical="center"/>
    </xf>
    <xf numFmtId="0" fontId="115" fillId="0" borderId="0"/>
    <xf numFmtId="0" fontId="106" fillId="0" borderId="0"/>
    <xf numFmtId="40" fontId="116" fillId="0" borderId="0" applyAlignment="1">
      <alignment horizontal="right"/>
    </xf>
    <xf numFmtId="215" fontId="117" fillId="0" borderId="0" applyAlignment="1">
      <alignment horizontal="center"/>
    </xf>
    <xf numFmtId="0" fontId="58" fillId="0" borderId="0" applyAlignment="1">
      <alignment vertical="center"/>
    </xf>
    <xf numFmtId="0" fontId="118" fillId="0" borderId="0" applyAlignment="1">
      <alignment horizontal="centerContinuous" vertical="center"/>
    </xf>
    <xf numFmtId="0" fontId="6" fillId="32" borderId="0" applyAlignment="1">
      <alignment horizontal="center" vertical="center"/>
    </xf>
    <xf numFmtId="49" fontId="119" fillId="0" borderId="0" applyAlignment="1">
      <alignment horizontal="centerContinuous" vertical="center"/>
    </xf>
    <xf numFmtId="49" fontId="119" fillId="0" borderId="0" applyAlignment="1">
      <alignment horizontal="centerContinuous" vertical="center"/>
    </xf>
    <xf numFmtId="49" fontId="119" fillId="0" borderId="0" applyAlignment="1">
      <alignment horizontal="centerContinuous" vertical="center"/>
    </xf>
    <xf numFmtId="0" fontId="120" fillId="33" borderId="0" applyAlignment="1">
      <alignment horizontal="centerContinuous"/>
    </xf>
    <xf numFmtId="0" fontId="120" fillId="33" borderId="0" applyAlignment="1">
      <alignment horizontal="centerContinuous"/>
    </xf>
    <xf numFmtId="0" fontId="121" fillId="0" borderId="0"/>
    <xf numFmtId="0" fontId="60" fillId="0" borderId="45" applyAlignment="1">
      <alignment vertical="center"/>
    </xf>
    <xf numFmtId="174" fontId="14" fillId="0" borderId="46" applyProtection="1">
      <protection locked="0" hidden="0"/>
    </xf>
    <xf numFmtId="0" fontId="84" fillId="0" borderId="47"/>
    <xf numFmtId="0" fontId="122" fillId="0" borderId="7" applyAlignment="1">
      <alignment horizontal="left"/>
    </xf>
    <xf numFmtId="0" fontId="88" fillId="0" borderId="0" applyAlignment="1">
      <alignment horizontal="center" vertical="top"/>
    </xf>
    <xf numFmtId="0" fontId="18" fillId="0" borderId="0" applyAlignment="1" applyProtection="1">
      <alignment vertical="top"/>
      <protection locked="0" hidden="0"/>
    </xf>
    <xf numFmtId="0" fontId="123" fillId="0" borderId="0" applyAlignment="1" applyProtection="1">
      <alignment vertical="top"/>
      <protection locked="0" hidden="0"/>
    </xf>
    <xf numFmtId="0" fontId="124" fillId="0" borderId="0" applyProtection="1">
      <protection locked="0" hidden="0"/>
    </xf>
    <xf numFmtId="0" fontId="48" fillId="37" borderId="0" applyAlignment="1">
      <alignment vertical="center"/>
    </xf>
    <xf numFmtId="0" fontId="48" fillId="24" borderId="0" applyAlignment="1">
      <alignment vertical="center"/>
    </xf>
    <xf numFmtId="0" fontId="48" fillId="25" borderId="0" applyAlignment="1">
      <alignment vertical="center"/>
    </xf>
    <xf numFmtId="0" fontId="48" fillId="30" borderId="0" applyAlignment="1">
      <alignment vertical="center"/>
    </xf>
    <xf numFmtId="0" fontId="48" fillId="22" borderId="0" applyAlignment="1">
      <alignment vertical="center"/>
    </xf>
    <xf numFmtId="0" fontId="48" fillId="27" borderId="0" applyAlignment="1">
      <alignment vertical="center"/>
    </xf>
    <xf numFmtId="38" fontId="6" fillId="0" borderId="0"/>
    <xf numFmtId="0" fontId="59" fillId="0" borderId="0" applyAlignment="1">
      <alignment vertical="center"/>
    </xf>
    <xf numFmtId="0" fontId="50" fillId="17" borderId="29" applyAlignment="1">
      <alignment vertical="center"/>
    </xf>
    <xf numFmtId="2" fontId="125" fillId="0" borderId="0"/>
    <xf numFmtId="216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126" fillId="0" borderId="0"/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27" fillId="0" borderId="0"/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3" fillId="0" borderId="0" applyProtection="1">
      <protection locked="0" hidden="0"/>
    </xf>
    <xf numFmtId="0" fontId="128" fillId="0" borderId="0"/>
    <xf numFmtId="49" fontId="129" fillId="0" borderId="44" applyAlignment="1">
      <alignment horizontal="center" vertical="center" wrapText="1"/>
    </xf>
    <xf numFmtId="0" fontId="130" fillId="0" borderId="48" applyAlignment="1">
      <alignment horizontal="center" vertical="center"/>
    </xf>
    <xf numFmtId="38" fontId="10" fillId="0" borderId="0"/>
    <xf numFmtId="0" fontId="2" fillId="0" borderId="0" applyProtection="1">
      <protection locked="0" hidden="0"/>
    </xf>
    <xf numFmtId="0" fontId="49" fillId="10" borderId="0" applyAlignment="1">
      <alignment vertical="center"/>
    </xf>
    <xf numFmtId="0" fontId="125" fillId="0" borderId="0"/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31" fillId="0" borderId="49" applyAlignment="1">
      <alignment vertical="center"/>
    </xf>
    <xf numFmtId="3" fontId="7" fillId="0" borderId="50" applyAlignment="1">
      <alignment horizontal="center"/>
    </xf>
    <xf numFmtId="3" fontId="7" fillId="0" borderId="50" applyAlignment="1">
      <alignment horizontal="center"/>
    </xf>
    <xf numFmtId="3" fontId="47" fillId="0" borderId="27" applyAlignment="1">
      <alignment horizontal="center" vertical="center"/>
    </xf>
    <xf numFmtId="0" fontId="125" fillId="0" borderId="0"/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0" fontId="14" fillId="0" borderId="0" applyProtection="1">
      <protection locked="0" hidden="0"/>
    </xf>
    <xf numFmtId="49" fontId="132" fillId="0" borderId="44" applyAlignment="1">
      <alignment horizontal="center" vertical="center" wrapText="1"/>
    </xf>
    <xf numFmtId="0" fontId="93" fillId="0" borderId="0"/>
    <xf numFmtId="0" fontId="133" fillId="0" borderId="0" applyAlignment="1" applyProtection="1">
      <alignment vertical="top"/>
      <protection locked="0" hidden="0"/>
    </xf>
    <xf numFmtId="0" fontId="3" fillId="14" borderId="51" applyAlignment="1">
      <alignment vertical="center"/>
    </xf>
    <xf numFmtId="0" fontId="62" fillId="0" borderId="0" applyAlignment="1">
      <alignment horizontal="distributed" vertical="center" justifyLastLine="1"/>
    </xf>
    <xf numFmtId="40" fontId="8" fillId="0" borderId="0" applyProtection="1">
      <protection locked="0" hidden="0"/>
    </xf>
    <xf numFmtId="217" fontId="62" fillId="0" borderId="0" applyAlignment="1">
      <alignment horizontal="center" vertical="center"/>
    </xf>
    <xf numFmtId="218" fontId="62" fillId="0" borderId="0" applyAlignment="1">
      <alignment horizontal="center" vertical="center"/>
    </xf>
    <xf numFmtId="9" fontId="10" fillId="32" borderId="0" applyAlignment="1">
      <alignment horizontal="right"/>
    </xf>
    <xf numFmtId="10" fontId="10" fillId="0" borderId="0" applyAlignment="1">
      <alignment horizontal="right"/>
    </xf>
    <xf numFmtId="9" fontId="10" fillId="0" borderId="0" applyAlignment="1">
      <alignment vertical="center"/>
    </xf>
    <xf numFmtId="9" fontId="2" fillId="0" borderId="0"/>
    <xf numFmtId="9" fontId="2" fillId="0" borderId="0" applyAlignment="1">
      <alignment vertical="center"/>
    </xf>
    <xf numFmtId="219" fontId="62" fillId="0" borderId="0"/>
    <xf numFmtId="220" fontId="62" fillId="0" borderId="0"/>
    <xf numFmtId="0" fontId="134" fillId="0" borderId="0" applyAlignment="1">
      <alignment horizontal="center" vertical="center"/>
    </xf>
    <xf numFmtId="0" fontId="134" fillId="0" borderId="0" applyAlignment="1">
      <alignment horizontal="center" vertical="center"/>
    </xf>
    <xf numFmtId="0" fontId="56" fillId="19" borderId="0" applyAlignment="1">
      <alignment vertical="center"/>
    </xf>
    <xf numFmtId="0" fontId="135" fillId="0" borderId="27" applyAlignment="1">
      <alignment horizontal="center" vertical="center"/>
    </xf>
    <xf numFmtId="0" fontId="8" fillId="0" borderId="0"/>
    <xf numFmtId="221" fontId="128" fillId="0" borderId="17"/>
    <xf numFmtId="0" fontId="2" fillId="0" borderId="0"/>
    <xf numFmtId="0" fontId="62" fillId="0" borderId="0" applyAlignment="1">
      <alignment horizontal="centerContinuous" vertical="center"/>
    </xf>
    <xf numFmtId="222" fontId="136" fillId="0" borderId="48" applyAlignment="1">
      <alignment vertical="center"/>
    </xf>
    <xf numFmtId="3" fontId="62" fillId="0" borderId="4"/>
    <xf numFmtId="0" fontId="62" fillId="0" borderId="4"/>
    <xf numFmtId="3" fontId="62" fillId="0" borderId="24"/>
    <xf numFmtId="3" fontId="62" fillId="0" borderId="10"/>
    <xf numFmtId="0" fontId="137" fillId="0" borderId="4"/>
    <xf numFmtId="0" fontId="138" fillId="0" borderId="0" applyAlignment="1">
      <alignment horizontal="center"/>
    </xf>
    <xf numFmtId="0" fontId="9" fillId="0" borderId="52" applyAlignment="1">
      <alignment horizontal="center"/>
    </xf>
    <xf numFmtId="0" fontId="52" fillId="0" borderId="0" applyAlignment="1">
      <alignment vertical="center"/>
    </xf>
    <xf numFmtId="0" fontId="51" fillId="23" borderId="30" applyAlignment="1">
      <alignment vertical="center"/>
    </xf>
    <xf numFmtId="1" fontId="8" fillId="0" borderId="0"/>
    <xf numFmtId="180" fontId="139" fillId="0" borderId="0" applyAlignment="1">
      <alignment vertical="center"/>
    </xf>
    <xf numFmtId="0" fontId="139" fillId="0" borderId="0" applyAlignment="1">
      <alignment vertical="center"/>
    </xf>
    <xf numFmtId="0" fontId="139" fillId="0" borderId="0" applyAlignment="1">
      <alignment vertical="center"/>
    </xf>
    <xf numFmtId="0" fontId="139" fillId="0" borderId="0" applyAlignment="1">
      <alignment vertical="center"/>
    </xf>
    <xf numFmtId="223" fontId="2" fillId="0" borderId="0" applyAlignment="1">
      <alignment vertical="center"/>
    </xf>
    <xf numFmtId="41" fontId="2" fillId="0" borderId="0" applyAlignment="1">
      <alignment vertical="center"/>
    </xf>
    <xf numFmtId="41" fontId="2" fillId="0" borderId="0"/>
    <xf numFmtId="41" fontId="3" fillId="0" borderId="0" applyAlignment="1">
      <alignment vertical="center"/>
    </xf>
    <xf numFmtId="41" fontId="2" fillId="0" borderId="0"/>
    <xf numFmtId="43" fontId="45" fillId="0" borderId="0"/>
    <xf numFmtId="41" fontId="2" fillId="0" borderId="0" applyAlignment="1">
      <alignment vertical="center"/>
    </xf>
    <xf numFmtId="41" fontId="43" fillId="0" borderId="0" applyAlignment="1">
      <alignment vertical="center"/>
    </xf>
    <xf numFmtId="43" fontId="45" fillId="0" borderId="0"/>
    <xf numFmtId="41" fontId="2" fillId="0" borderId="0" applyAlignment="1">
      <alignment vertical="center"/>
    </xf>
    <xf numFmtId="41" fontId="2" fillId="0" borderId="0" applyAlignment="1">
      <alignment vertical="center"/>
    </xf>
    <xf numFmtId="41" fontId="2" fillId="0" borderId="0"/>
    <xf numFmtId="172" fontId="6" fillId="0" borderId="0"/>
    <xf numFmtId="41" fontId="43" fillId="0" borderId="0" applyAlignment="1">
      <alignment vertical="center"/>
    </xf>
    <xf numFmtId="41" fontId="43" fillId="0" borderId="0" applyAlignment="1">
      <alignment vertical="center"/>
    </xf>
    <xf numFmtId="41" fontId="1" fillId="0" borderId="0" applyAlignment="1">
      <alignment vertical="center"/>
    </xf>
    <xf numFmtId="0" fontId="21" fillId="0" borderId="0"/>
    <xf numFmtId="0" fontId="4" fillId="0" borderId="0"/>
    <xf numFmtId="0" fontId="8" fillId="0" borderId="0"/>
    <xf numFmtId="0" fontId="8" fillId="0" borderId="0"/>
    <xf numFmtId="0" fontId="8" fillId="0" borderId="0"/>
    <xf numFmtId="185" fontId="2" fillId="0" borderId="0"/>
    <xf numFmtId="0" fontId="15" fillId="0" borderId="53"/>
    <xf numFmtId="0" fontId="55" fillId="0" borderId="32" applyAlignment="1">
      <alignment vertical="center"/>
    </xf>
    <xf numFmtId="0" fontId="60" fillId="0" borderId="54" applyAlignment="1">
      <alignment vertical="center"/>
    </xf>
    <xf numFmtId="0" fontId="140" fillId="0" borderId="0"/>
    <xf numFmtId="0" fontId="141" fillId="0" borderId="0" applyAlignment="1">
      <alignment vertical="center"/>
    </xf>
    <xf numFmtId="0" fontId="142" fillId="0" borderId="0" applyAlignment="1">
      <alignment horizontal="center" vertical="center"/>
    </xf>
    <xf numFmtId="0" fontId="143" fillId="0" borderId="0" applyAlignment="1">
      <alignment horizontal="centerContinuous" vertical="center"/>
    </xf>
    <xf numFmtId="0" fontId="102" fillId="11" borderId="29" applyAlignment="1">
      <alignment vertical="center"/>
    </xf>
    <xf numFmtId="4" fontId="125" fillId="0" borderId="0"/>
    <xf numFmtId="4" fontId="14" fillId="0" borderId="0" applyProtection="1">
      <protection locked="0" hidden="0"/>
    </xf>
    <xf numFmtId="4" fontId="14" fillId="0" borderId="0" applyProtection="1">
      <protection locked="0" hidden="0"/>
    </xf>
    <xf numFmtId="4" fontId="14" fillId="0" borderId="0" applyProtection="1">
      <protection locked="0" hidden="0"/>
    </xf>
    <xf numFmtId="4" fontId="14" fillId="0" borderId="0" applyProtection="1">
      <protection locked="0" hidden="0"/>
    </xf>
    <xf numFmtId="3" fontId="125" fillId="0" borderId="0"/>
    <xf numFmtId="224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1" fontId="5" fillId="32" borderId="0" applyAlignment="1">
      <alignment vertical="center"/>
    </xf>
    <xf numFmtId="0" fontId="108" fillId="33" borderId="0" applyAlignment="1">
      <alignment vertical="center"/>
    </xf>
    <xf numFmtId="0" fontId="144" fillId="0" borderId="55" applyAlignment="1">
      <alignment vertical="center"/>
    </xf>
    <xf numFmtId="0" fontId="145" fillId="0" borderId="56" applyAlignment="1">
      <alignment vertical="center"/>
    </xf>
    <xf numFmtId="0" fontId="146" fillId="0" borderId="57" applyAlignment="1">
      <alignment vertical="center"/>
    </xf>
    <xf numFmtId="0" fontId="146" fillId="0" borderId="0" applyAlignment="1">
      <alignment vertical="center"/>
    </xf>
    <xf numFmtId="0" fontId="147" fillId="0" borderId="0" applyAlignment="1">
      <alignment vertical="center"/>
    </xf>
    <xf numFmtId="0" fontId="8" fillId="0" borderId="4" applyAlignment="1">
      <alignment horizontal="distributed" vertical="center"/>
    </xf>
    <xf numFmtId="0" fontId="8" fillId="0" borderId="17" applyAlignment="1">
      <alignment horizontal="distributed" vertical="top"/>
    </xf>
    <xf numFmtId="0" fontId="8" fillId="0" borderId="26" applyAlignment="1">
      <alignment horizontal="distributed"/>
    </xf>
    <xf numFmtId="225" fontId="148" fillId="0" borderId="0" applyAlignment="1">
      <alignment vertical="center"/>
    </xf>
    <xf numFmtId="0" fontId="53" fillId="13" borderId="0" applyAlignment="1">
      <alignment vertical="center"/>
    </xf>
    <xf numFmtId="0" fontId="2" fillId="0" borderId="58" applyAlignment="1">
      <alignment horizontal="left" vertical="center" indent="3"/>
    </xf>
    <xf numFmtId="0" fontId="47" fillId="0" borderId="59" applyAlignment="1">
      <alignment horizontal="left" vertical="center"/>
    </xf>
    <xf numFmtId="0" fontId="8" fillId="0" borderId="0"/>
    <xf numFmtId="1" fontId="149" fillId="32" borderId="0" applyAlignment="1">
      <alignment vertical="center"/>
    </xf>
    <xf numFmtId="0" fontId="57" fillId="17" borderId="34" applyAlignment="1">
      <alignment vertical="center"/>
    </xf>
    <xf numFmtId="40" fontId="8" fillId="0" borderId="0" applyProtection="1">
      <protection locked="0" hidden="0"/>
    </xf>
    <xf numFmtId="40" fontId="8" fillId="0" borderId="0" applyProtection="1">
      <protection locked="0" hidden="0"/>
    </xf>
    <xf numFmtId="226" fontId="62" fillId="0" borderId="0" applyAlignment="1">
      <alignment vertical="center"/>
    </xf>
    <xf numFmtId="38" fontId="62" fillId="0" borderId="0" applyAlignment="1">
      <alignment vertical="center"/>
    </xf>
    <xf numFmtId="172" fontId="8" fillId="0" borderId="4" applyAlignment="1">
      <alignment horizontal="center" vertical="center"/>
    </xf>
    <xf numFmtId="180" fontId="8" fillId="0" borderId="0"/>
    <xf numFmtId="227" fontId="2" fillId="0" borderId="0"/>
    <xf numFmtId="228" fontId="10" fillId="32" borderId="0" applyAlignment="1">
      <alignment horizontal="right"/>
    </xf>
    <xf numFmtId="229" fontId="2" fillId="32" borderId="0" applyAlignment="1">
      <alignment horizontal="right"/>
    </xf>
    <xf numFmtId="38" fontId="62" fillId="0" borderId="0" applyAlignment="1">
      <alignment vertical="center"/>
    </xf>
    <xf numFmtId="222" fontId="62" fillId="0" borderId="0" applyAlignment="1">
      <alignment vertical="center"/>
    </xf>
    <xf numFmtId="38" fontId="62" fillId="0" borderId="0" applyAlignment="1">
      <alignment vertical="center"/>
    </xf>
    <xf numFmtId="0" fontId="2" fillId="0" borderId="0"/>
    <xf numFmtId="0" fontId="2" fillId="0" borderId="0"/>
    <xf numFmtId="0" fontId="6" fillId="0" borderId="0"/>
    <xf numFmtId="0" fontId="6" fillId="0" borderId="0"/>
    <xf numFmtId="0" fontId="6" fillId="0" borderId="0"/>
    <xf numFmtId="0" fontId="6" fillId="0" borderId="0"/>
    <xf numFmtId="230" fontId="2" fillId="0" borderId="0"/>
    <xf numFmtId="230" fontId="2" fillId="0" borderId="0"/>
    <xf numFmtId="0" fontId="11" fillId="0" borderId="0"/>
    <xf numFmtId="172" fontId="8" fillId="0" borderId="0"/>
    <xf numFmtId="40" fontId="8" fillId="0" borderId="0" applyProtection="1">
      <protection locked="0" hidden="0"/>
    </xf>
    <xf numFmtId="40" fontId="8" fillId="0" borderId="0" applyProtection="1">
      <protection locked="0" hidden="0"/>
    </xf>
    <xf numFmtId="42" fontId="2" fillId="0" borderId="0"/>
    <xf numFmtId="42" fontId="2" fillId="0" borderId="0" applyAlignment="1">
      <alignment vertical="center"/>
    </xf>
    <xf numFmtId="42" fontId="150" fillId="0" borderId="0" applyAlignment="1">
      <alignment vertical="center"/>
    </xf>
    <xf numFmtId="42" fontId="150" fillId="0" borderId="0" applyAlignment="1">
      <alignment vertical="center"/>
    </xf>
    <xf numFmtId="42" fontId="2" fillId="0" borderId="0" applyAlignment="1">
      <alignment vertical="center"/>
    </xf>
    <xf numFmtId="42" fontId="2" fillId="0" borderId="0" applyAlignment="1">
      <alignment vertical="center"/>
    </xf>
    <xf numFmtId="10" fontId="125" fillId="0" borderId="0"/>
    <xf numFmtId="231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232" fontId="2" fillId="0" borderId="0" applyProtection="1">
      <protection locked="0" hidden="0"/>
    </xf>
    <xf numFmtId="40" fontId="8" fillId="0" borderId="0" applyProtection="1">
      <protection locked="0" hidden="0"/>
    </xf>
    <xf numFmtId="0" fontId="151" fillId="0" borderId="48" applyAlignment="1">
      <alignment horizontal="center" vertical="center"/>
    </xf>
    <xf numFmtId="0" fontId="151" fillId="0" borderId="48" applyAlignment="1">
      <alignment horizontal="left" vertical="center"/>
    </xf>
    <xf numFmtId="0" fontId="151" fillId="0" borderId="48" applyAlignment="1">
      <alignment vertical="center" textRotation="255"/>
    </xf>
    <xf numFmtId="0" fontId="152" fillId="0" borderId="0" applyAlignment="1" applyProtection="1">
      <alignment vertical="top"/>
      <protection locked="0" hidden="0"/>
    </xf>
    <xf numFmtId="0" fontId="153" fillId="0" borderId="0" applyAlignment="1">
      <alignment vertical="top" wrapText="1"/>
    </xf>
    <xf numFmtId="0" fontId="1" fillId="0" borderId="0" applyAlignment="1">
      <alignment vertical="center"/>
    </xf>
    <xf numFmtId="0" fontId="45" fillId="0" borderId="0"/>
    <xf numFmtId="0" fontId="45" fillId="0" borderId="0"/>
    <xf numFmtId="0" fontId="43" fillId="0" borderId="0" applyAlignment="1">
      <alignment vertical="center"/>
    </xf>
    <xf numFmtId="0" fontId="150" fillId="0" borderId="0" applyAlignment="1">
      <alignment vertical="center"/>
    </xf>
    <xf numFmtId="0" fontId="2" fillId="0" borderId="0" applyAlignment="1">
      <alignment vertical="center"/>
    </xf>
    <xf numFmtId="0" fontId="45" fillId="0" borderId="0"/>
    <xf numFmtId="0" fontId="43" fillId="0" borderId="0" applyAlignment="1">
      <alignment vertical="center"/>
    </xf>
    <xf numFmtId="0" fontId="45" fillId="0" borderId="0"/>
    <xf numFmtId="0" fontId="43" fillId="0" borderId="0" applyAlignment="1">
      <alignment vertical="center"/>
    </xf>
    <xf numFmtId="0" fontId="2" fillId="0" borderId="0" applyAlignment="1">
      <alignment vertical="center"/>
    </xf>
    <xf numFmtId="0" fontId="43" fillId="0" borderId="0" applyAlignment="1">
      <alignment vertical="center"/>
    </xf>
    <xf numFmtId="0" fontId="154" fillId="0" borderId="0" applyAlignment="1">
      <alignment vertical="center"/>
    </xf>
    <xf numFmtId="0" fontId="43" fillId="0" borderId="0" applyAlignment="1">
      <alignment vertical="center"/>
    </xf>
    <xf numFmtId="0" fontId="10" fillId="0" borderId="0" applyAlignment="1">
      <alignment vertical="center"/>
    </xf>
    <xf numFmtId="0" fontId="8" fillId="0" borderId="0"/>
    <xf numFmtId="0" fontId="153" fillId="0" borderId="0" applyAlignment="1">
      <alignment vertical="top" wrapText="1"/>
    </xf>
    <xf numFmtId="0" fontId="6" fillId="0" borderId="0"/>
    <xf numFmtId="0" fontId="8" fillId="0" borderId="0"/>
    <xf numFmtId="0" fontId="8" fillId="0" borderId="48" applyAlignment="1">
      <alignment vertical="center" wrapText="1"/>
    </xf>
    <xf numFmtId="0" fontId="2" fillId="0" borderId="4" applyAlignment="1">
      <alignment vertical="center"/>
    </xf>
    <xf numFmtId="0" fontId="67" fillId="0" borderId="40" applyAlignment="1">
      <alignment horizontal="center" vertical="center"/>
    </xf>
    <xf numFmtId="0" fontId="155" fillId="0" borderId="53" applyAlignment="1">
      <alignment horizontal="left" vertical="center"/>
    </xf>
    <xf numFmtId="0" fontId="125" fillId="0" borderId="47"/>
    <xf numFmtId="0" fontId="14" fillId="0" borderId="47" applyProtection="1">
      <protection locked="0" hidden="0"/>
    </xf>
    <xf numFmtId="0" fontId="14" fillId="0" borderId="47" applyProtection="1">
      <protection locked="0" hidden="0"/>
    </xf>
    <xf numFmtId="0" fontId="14" fillId="0" borderId="47" applyProtection="1">
      <protection locked="0" hidden="0"/>
    </xf>
    <xf numFmtId="0" fontId="14" fillId="0" borderId="47" applyProtection="1">
      <protection locked="0" hidden="0"/>
    </xf>
    <xf numFmtId="233" fontId="125" fillId="0" borderId="0"/>
    <xf numFmtId="234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235" fontId="2" fillId="0" borderId="0" applyProtection="1">
      <protection locked="0" hidden="0"/>
    </xf>
    <xf numFmtId="236" fontId="125" fillId="0" borderId="0"/>
    <xf numFmtId="237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8" fillId="0" borderId="0" applyProtection="1">
      <protection locked="0" hidden="0"/>
    </xf>
    <xf numFmtId="0" fontId="21" fillId="0" borderId="0" applyAlignment="1">
      <alignment vertical="top"/>
    </xf>
    <xf numFmtId="43" fontId="45" fillId="0" borderId="0"/>
    <xf numFmtId="4" fontId="14" fillId="0" borderId="0" applyProtection="1">
      <protection locked="0" hidden="0"/>
    </xf>
    <xf numFmtId="0" fontId="43" fillId="0" borderId="0" applyAlignment="1">
      <alignment vertical="center"/>
    </xf>
    <xf numFmtId="41" fontId="2" fillId="0" borderId="0"/>
    <xf numFmtId="41" fontId="43" fillId="0" borderId="0" applyAlignment="1">
      <alignment vertical="center"/>
    </xf>
    <xf numFmtId="41" fontId="3" fillId="0" borderId="0" applyAlignment="1">
      <alignment vertical="center"/>
    </xf>
    <xf numFmtId="0" fontId="43" fillId="0" borderId="0" applyAlignment="1">
      <alignment vertical="center"/>
    </xf>
    <xf numFmtId="0" fontId="1" fillId="0" borderId="0" applyAlignment="1">
      <alignment vertical="center"/>
    </xf>
    <xf numFmtId="0" fontId="45" fillId="0" borderId="0"/>
    <xf numFmtId="0" fontId="43" fillId="0" borderId="0" applyAlignment="1">
      <alignment vertical="center"/>
    </xf>
    <xf numFmtId="0" fontId="43" fillId="0" borderId="0" applyAlignment="1">
      <alignment vertical="center"/>
    </xf>
    <xf numFmtId="9" fontId="3" fillId="0" borderId="0" applyAlignment="1">
      <alignment vertical="center"/>
    </xf>
    <xf numFmtId="9" fontId="3" fillId="0" borderId="0" applyAlignment="1">
      <alignment vertical="center"/>
    </xf>
    <xf numFmtId="9" fontId="3" fillId="0" borderId="0" applyAlignment="1">
      <alignment vertical="center"/>
    </xf>
    <xf numFmtId="0" fontId="156" fillId="3" borderId="0" applyAlignment="1">
      <alignment vertical="center"/>
    </xf>
    <xf numFmtId="0" fontId="156" fillId="3" borderId="0" applyAlignment="1">
      <alignment vertical="center"/>
    </xf>
    <xf numFmtId="172" fontId="6" fillId="0" borderId="0"/>
    <xf numFmtId="41" fontId="3" fillId="0" borderId="0" applyAlignment="1">
      <alignment vertical="center"/>
    </xf>
    <xf numFmtId="41" fontId="3" fillId="0" borderId="0" applyAlignment="1">
      <alignment vertical="center"/>
    </xf>
    <xf numFmtId="43" fontId="45" fillId="0" borderId="0"/>
    <xf numFmtId="0" fontId="157" fillId="2" borderId="0" applyAlignment="1">
      <alignment vertical="center"/>
    </xf>
    <xf numFmtId="42" fontId="3" fillId="0" borderId="0" applyAlignment="1">
      <alignment vertical="center"/>
    </xf>
    <xf numFmtId="42" fontId="3" fillId="0" borderId="0" applyAlignment="1">
      <alignment vertical="center"/>
    </xf>
    <xf numFmtId="42" fontId="3" fillId="0" borderId="0" applyAlignment="1">
      <alignment vertical="center"/>
    </xf>
    <xf numFmtId="42" fontId="3" fillId="0" borderId="0" applyAlignment="1">
      <alignment vertical="center"/>
    </xf>
    <xf numFmtId="0" fontId="2" fillId="0" borderId="0"/>
    <xf numFmtId="0" fontId="6" fillId="0" borderId="0"/>
    <xf numFmtId="0" fontId="43" fillId="0" borderId="0" applyAlignment="1">
      <alignment vertical="center"/>
    </xf>
    <xf numFmtId="0" fontId="43" fillId="0" borderId="0" applyAlignment="1">
      <alignment vertical="center"/>
    </xf>
    <xf numFmtId="0" fontId="43" fillId="0" borderId="0" applyAlignment="1">
      <alignment vertical="center"/>
    </xf>
    <xf numFmtId="0" fontId="45" fillId="0" borderId="0"/>
    <xf numFmtId="0" fontId="153" fillId="0" borderId="0" applyAlignment="1">
      <alignment vertical="top" wrapText="1"/>
    </xf>
    <xf numFmtId="9" fontId="43" fillId="0" borderId="0" applyAlignment="1">
      <alignment vertical="center"/>
    </xf>
    <xf numFmtId="9" fontId="43" fillId="0" borderId="0" applyAlignment="1">
      <alignment vertical="center"/>
    </xf>
    <xf numFmtId="41" fontId="43" fillId="0" borderId="0" applyAlignment="1">
      <alignment vertical="center"/>
    </xf>
    <xf numFmtId="41" fontId="43" fillId="0" borderId="0" applyAlignment="1">
      <alignment vertical="center"/>
    </xf>
    <xf numFmtId="41" fontId="43" fillId="0" borderId="0" applyAlignment="1">
      <alignment vertical="center"/>
    </xf>
    <xf numFmtId="42" fontId="43" fillId="0" borderId="0" applyAlignment="1">
      <alignment vertical="center"/>
    </xf>
    <xf numFmtId="42" fontId="43" fillId="0" borderId="0" applyAlignment="1">
      <alignment vertical="center"/>
    </xf>
    <xf numFmtId="42" fontId="43" fillId="0" borderId="0" applyAlignment="1">
      <alignment vertical="center"/>
    </xf>
    <xf numFmtId="42" fontId="43" fillId="0" borderId="0" applyAlignment="1">
      <alignment vertical="center"/>
    </xf>
    <xf numFmtId="9" fontId="43" fillId="0" borderId="0" applyAlignment="1">
      <alignment vertical="center"/>
    </xf>
    <xf numFmtId="42" fontId="43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41" fontId="1" fillId="0" borderId="0" applyAlignment="1">
      <alignment vertical="center"/>
    </xf>
    <xf numFmtId="41" fontId="1" fillId="0" borderId="0" applyAlignment="1">
      <alignment vertical="center"/>
    </xf>
    <xf numFmtId="0" fontId="1" fillId="0" borderId="0" applyAlignment="1">
      <alignment vertical="center"/>
    </xf>
    <xf numFmtId="0" fontId="1" fillId="0" borderId="0" applyAlignment="1">
      <alignment vertical="center"/>
    </xf>
    <xf numFmtId="192" fontId="8" fillId="0" borderId="0" applyProtection="1">
      <protection locked="0" hidden="0"/>
    </xf>
    <xf numFmtId="0" fontId="58" fillId="0" borderId="0" applyAlignment="1">
      <alignment vertical="center"/>
    </xf>
    <xf numFmtId="0" fontId="10" fillId="0" borderId="0" applyAlignment="1">
      <alignment horizontal="center" vertical="center"/>
    </xf>
    <xf numFmtId="0" fontId="8" fillId="0" borderId="26" applyAlignment="1">
      <alignment horizontal="distributed"/>
    </xf>
    <xf numFmtId="0" fontId="10" fillId="0" borderId="0" applyAlignment="1">
      <alignment horizontal="center" vertical="center"/>
    </xf>
    <xf numFmtId="0" fontId="43" fillId="0" borderId="0" applyAlignment="1">
      <alignment vertical="center"/>
    </xf>
    <xf numFmtId="0" fontId="50" fillId="17" borderId="29" applyAlignment="1">
      <alignment vertical="center"/>
    </xf>
    <xf numFmtId="4" fontId="14" fillId="0" borderId="0" applyProtection="1">
      <protection locked="0" hidden="0"/>
    </xf>
    <xf numFmtId="190" fontId="2" fillId="0" borderId="0" applyProtection="1">
      <protection locked="0" hidden="0"/>
    </xf>
    <xf numFmtId="0" fontId="96" fillId="0" borderId="13" applyAlignment="1">
      <alignment horizontal="left" vertical="center"/>
    </xf>
    <xf numFmtId="184" fontId="2" fillId="0" borderId="0" applyProtection="1">
      <protection locked="0" hidden="0"/>
    </xf>
    <xf numFmtId="184" fontId="2" fillId="0" borderId="0" applyProtection="1">
      <protection locked="0" hidden="0"/>
    </xf>
    <xf numFmtId="0" fontId="102" fillId="11" borderId="29" applyAlignment="1">
      <alignment vertical="center"/>
    </xf>
    <xf numFmtId="0" fontId="2" fillId="14" borderId="33" applyAlignment="1">
      <alignment vertical="center"/>
    </xf>
    <xf numFmtId="0" fontId="57" fillId="17" borderId="34" applyAlignment="1">
      <alignment vertical="center"/>
    </xf>
    <xf numFmtId="192" fontId="8" fillId="0" borderId="0" applyProtection="1">
      <protection locked="0" hidden="0"/>
    </xf>
    <xf numFmtId="0" fontId="58" fillId="0" borderId="0" applyAlignment="1">
      <alignment vertical="center"/>
    </xf>
    <xf numFmtId="0" fontId="60" fillId="0" borderId="45" applyAlignment="1">
      <alignment vertical="center"/>
    </xf>
    <xf numFmtId="0" fontId="50" fillId="17" borderId="29" applyAlignment="1">
      <alignment vertical="center"/>
    </xf>
    <xf numFmtId="0" fontId="3" fillId="14" borderId="51" applyAlignment="1">
      <alignment vertical="center"/>
    </xf>
    <xf numFmtId="0" fontId="43" fillId="0" borderId="0" applyAlignment="1">
      <alignment vertical="center"/>
    </xf>
    <xf numFmtId="238" fontId="2" fillId="0" borderId="0" applyAlignment="1">
      <alignment vertical="center"/>
    </xf>
    <xf numFmtId="0" fontId="60" fillId="0" borderId="54" applyAlignment="1">
      <alignment vertical="center"/>
    </xf>
    <xf numFmtId="0" fontId="2" fillId="0" borderId="0" applyAlignment="1">
      <alignment vertical="center"/>
    </xf>
    <xf numFmtId="0" fontId="158" fillId="0" borderId="0" applyAlignment="1">
      <alignment vertical="top"/>
    </xf>
    <xf numFmtId="0" fontId="102" fillId="11" borderId="29" applyAlignment="1">
      <alignment vertical="center"/>
    </xf>
    <xf numFmtId="0" fontId="45" fillId="0" borderId="0" applyAlignment="1">
      <alignment vertical="top"/>
    </xf>
    <xf numFmtId="0" fontId="43" fillId="0" borderId="0" applyAlignment="1">
      <alignment vertical="center"/>
    </xf>
    <xf numFmtId="0" fontId="6" fillId="0" borderId="0"/>
    <xf numFmtId="0" fontId="43" fillId="0" borderId="0" applyAlignment="1">
      <alignment vertical="center"/>
    </xf>
    <xf numFmtId="238" fontId="43" fillId="0" borderId="0" applyAlignment="1">
      <alignment vertical="center"/>
    </xf>
    <xf numFmtId="42" fontId="3" fillId="0" borderId="0" applyAlignment="1">
      <alignment vertical="center"/>
    </xf>
    <xf numFmtId="0" fontId="8" fillId="0" borderId="26" applyAlignment="1">
      <alignment horizontal="distributed"/>
    </xf>
    <xf numFmtId="0" fontId="57" fillId="7" borderId="34" applyAlignment="1">
      <alignment vertical="center"/>
    </xf>
    <xf numFmtId="0" fontId="58" fillId="0" borderId="0" applyAlignment="1">
      <alignment vertical="center"/>
    </xf>
    <xf numFmtId="0" fontId="54" fillId="0" borderId="0" applyAlignment="1">
      <alignment vertical="center"/>
    </xf>
    <xf numFmtId="0" fontId="54" fillId="0" borderId="31" applyAlignment="1">
      <alignment vertical="center"/>
    </xf>
    <xf numFmtId="0" fontId="99" fillId="0" borderId="56" applyAlignment="1">
      <alignment vertical="center"/>
    </xf>
    <xf numFmtId="0" fontId="57" fillId="17" borderId="34" applyAlignment="1">
      <alignment vertical="center"/>
    </xf>
    <xf numFmtId="0" fontId="97" fillId="0" borderId="43" applyAlignment="1">
      <alignment vertical="center"/>
    </xf>
    <xf numFmtId="0" fontId="102" fillId="19" borderId="29" applyAlignment="1">
      <alignment vertical="center"/>
    </xf>
    <xf numFmtId="0" fontId="60" fillId="0" borderId="45" applyAlignment="1">
      <alignment vertical="center"/>
    </xf>
    <xf numFmtId="0" fontId="21" fillId="0" borderId="0"/>
    <xf numFmtId="172" fontId="6" fillId="0" borderId="0"/>
    <xf numFmtId="41" fontId="2" fillId="0" borderId="0" applyAlignment="1">
      <alignment vertical="center"/>
    </xf>
    <xf numFmtId="41" fontId="2" fillId="0" borderId="0"/>
    <xf numFmtId="9" fontId="3" fillId="0" borderId="0" applyAlignment="1">
      <alignment vertical="center"/>
    </xf>
    <xf numFmtId="0" fontId="2" fillId="14" borderId="51" applyAlignment="1">
      <alignment vertical="center"/>
    </xf>
    <xf numFmtId="0" fontId="50" fillId="7" borderId="29" applyAlignment="1">
      <alignment vertical="center"/>
    </xf>
    <xf numFmtId="0" fontId="48" fillId="26" borderId="0" applyAlignment="1">
      <alignment vertical="center"/>
    </xf>
    <xf numFmtId="0" fontId="48" fillId="22" borderId="0" applyAlignment="1">
      <alignment vertical="center"/>
    </xf>
    <xf numFmtId="0" fontId="48" fillId="12" borderId="0" applyAlignment="1">
      <alignment vertical="center"/>
    </xf>
    <xf numFmtId="0" fontId="48" fillId="11" borderId="0" applyAlignment="1">
      <alignment vertical="center"/>
    </xf>
    <xf numFmtId="0" fontId="3" fillId="11" borderId="0" applyAlignment="1">
      <alignment vertical="center"/>
    </xf>
    <xf numFmtId="0" fontId="3" fillId="11" borderId="0" applyAlignment="1">
      <alignment vertical="center"/>
    </xf>
    <xf numFmtId="0" fontId="43" fillId="6" borderId="0" applyAlignment="1">
      <alignment vertical="center"/>
    </xf>
    <xf numFmtId="0" fontId="3" fillId="12" borderId="0" applyAlignment="1">
      <alignment vertical="center"/>
    </xf>
    <xf numFmtId="0" fontId="3" fillId="11" borderId="0" applyAlignment="1">
      <alignment vertical="center"/>
    </xf>
    <xf numFmtId="9" fontId="43" fillId="0" borderId="0" applyAlignment="1">
      <alignment vertical="center"/>
    </xf>
    <xf numFmtId="0" fontId="43" fillId="0" borderId="0" applyAlignment="1">
      <alignment vertical="center"/>
    </xf>
    <xf numFmtId="239" fontId="8" fillId="0" borderId="0"/>
    <xf numFmtId="0" fontId="2" fillId="0" borderId="0" applyProtection="1">
      <protection locked="0" hidden="0"/>
    </xf>
    <xf numFmtId="9" fontId="3" fillId="0" borderId="0" applyAlignment="1">
      <alignment vertical="center"/>
    </xf>
    <xf numFmtId="0" fontId="2" fillId="0" borderId="0" applyProtection="1">
      <protection locked="0" hidden="0"/>
    </xf>
    <xf numFmtId="0" fontId="2" fillId="0" borderId="0" applyProtection="1">
      <protection locked="0" hidden="0"/>
    </xf>
    <xf numFmtId="0" fontId="3" fillId="14" borderId="0" applyAlignment="1">
      <alignment vertical="center"/>
    </xf>
    <xf numFmtId="9" fontId="43" fillId="0" borderId="0" applyAlignment="1">
      <alignment vertical="center"/>
    </xf>
    <xf numFmtId="9" fontId="43" fillId="0" borderId="0" applyAlignment="1">
      <alignment vertical="center"/>
    </xf>
    <xf numFmtId="238" fontId="3" fillId="4" borderId="1" applyAlignment="1">
      <alignment vertical="center"/>
    </xf>
    <xf numFmtId="0" fontId="48" fillId="17" borderId="0" applyAlignment="1">
      <alignment vertical="center"/>
    </xf>
    <xf numFmtId="0" fontId="58" fillId="0" borderId="0" applyAlignment="1">
      <alignment vertical="center"/>
    </xf>
    <xf numFmtId="240" fontId="8" fillId="0" borderId="0"/>
    <xf numFmtId="0" fontId="48" fillId="19" borderId="0" applyAlignment="1">
      <alignment vertical="center"/>
    </xf>
    <xf numFmtId="0" fontId="2" fillId="0" borderId="0" applyProtection="1">
      <protection locked="0" hidden="0"/>
    </xf>
    <xf numFmtId="0" fontId="3" fillId="19" borderId="0" applyAlignment="1">
      <alignment vertical="center"/>
    </xf>
    <xf numFmtId="0" fontId="48" fillId="22" borderId="0" applyAlignment="1">
      <alignment vertical="center"/>
    </xf>
    <xf numFmtId="0" fontId="102" fillId="11" borderId="29" applyAlignment="1">
      <alignment vertical="center"/>
    </xf>
    <xf numFmtId="0" fontId="58" fillId="0" borderId="0" applyAlignment="1">
      <alignment vertical="center"/>
    </xf>
    <xf numFmtId="0" fontId="102" fillId="11" borderId="29" applyAlignment="1">
      <alignment vertical="center"/>
    </xf>
    <xf numFmtId="4" fontId="14" fillId="0" borderId="0" applyProtection="1">
      <protection locked="0" hidden="0"/>
    </xf>
    <xf numFmtId="0" fontId="50" fillId="17" borderId="29" applyAlignment="1">
      <alignment vertical="center"/>
    </xf>
    <xf numFmtId="4" fontId="14" fillId="0" borderId="0" applyProtection="1">
      <protection locked="0" hidden="0"/>
    </xf>
    <xf numFmtId="190" fontId="2" fillId="0" borderId="0" applyProtection="1">
      <protection locked="0" hidden="0"/>
    </xf>
    <xf numFmtId="184" fontId="2" fillId="0" borderId="0" applyProtection="1">
      <protection locked="0" hidden="0"/>
    </xf>
    <xf numFmtId="184" fontId="2" fillId="0" borderId="0" applyProtection="1">
      <protection locked="0" hidden="0"/>
    </xf>
    <xf numFmtId="0" fontId="102" fillId="11" borderId="29" applyAlignment="1">
      <alignment vertical="center"/>
    </xf>
    <xf numFmtId="0" fontId="2" fillId="14" borderId="33" applyAlignment="1">
      <alignment vertical="center"/>
    </xf>
    <xf numFmtId="0" fontId="57" fillId="17" borderId="34" applyAlignment="1">
      <alignment vertical="center"/>
    </xf>
    <xf numFmtId="192" fontId="8" fillId="0" borderId="0" applyProtection="1">
      <protection locked="0" hidden="0"/>
    </xf>
    <xf numFmtId="0" fontId="58" fillId="0" borderId="0" applyAlignment="1">
      <alignment vertical="center"/>
    </xf>
    <xf numFmtId="0" fontId="60" fillId="0" borderId="45" applyAlignment="1">
      <alignment vertical="center"/>
    </xf>
    <xf numFmtId="0" fontId="10" fillId="0" borderId="0" applyAlignment="1">
      <alignment horizontal="center" vertical="center"/>
    </xf>
    <xf numFmtId="0" fontId="50" fillId="17" borderId="29" applyAlignment="1">
      <alignment vertical="center"/>
    </xf>
    <xf numFmtId="0" fontId="3" fillId="14" borderId="51" applyAlignment="1">
      <alignment vertical="center"/>
    </xf>
    <xf numFmtId="0" fontId="60" fillId="0" borderId="54" applyAlignment="1">
      <alignment vertical="center"/>
    </xf>
    <xf numFmtId="0" fontId="102" fillId="11" borderId="29" applyAlignment="1">
      <alignment vertical="center"/>
    </xf>
    <xf numFmtId="0" fontId="57" fillId="17" borderId="34" applyAlignment="1">
      <alignment vertical="center"/>
    </xf>
    <xf numFmtId="0" fontId="43" fillId="0" borderId="0" applyAlignment="1">
      <alignment vertical="center"/>
    </xf>
    <xf numFmtId="0" fontId="2" fillId="0" borderId="0"/>
    <xf numFmtId="42" fontId="1" fillId="0" borderId="0" applyAlignment="1">
      <alignment vertical="center"/>
    </xf>
  </cellStyleXfs>
  <cellXfs count="1400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6" fillId="0" borderId="0" applyAlignment="1" pivotButton="0" quotePrefix="0" xfId="0">
      <alignment vertical="center"/>
    </xf>
    <xf numFmtId="0" fontId="159" fillId="0" borderId="0" applyAlignment="1" pivotButton="0" quotePrefix="0" xfId="0">
      <alignment vertical="center"/>
    </xf>
    <xf numFmtId="0" fontId="16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62" fillId="0" borderId="13" applyAlignment="1" pivotButton="0" quotePrefix="0" xfId="15899">
      <alignment horizontal="right" vertical="center" shrinkToFit="1"/>
    </xf>
    <xf numFmtId="0" fontId="162" fillId="0" borderId="0" applyAlignment="1" pivotButton="0" quotePrefix="0" xfId="0">
      <alignment horizontal="center" vertical="center"/>
    </xf>
    <xf numFmtId="0" fontId="162" fillId="0" borderId="0" applyAlignment="1" pivotButton="0" quotePrefix="0" xfId="0">
      <alignment vertical="center"/>
    </xf>
    <xf numFmtId="164" fontId="162" fillId="0" borderId="0" applyAlignment="1" pivotButton="0" quotePrefix="0" xfId="1">
      <alignment vertical="center"/>
    </xf>
    <xf numFmtId="164" fontId="163" fillId="0" borderId="0" applyAlignment="1" pivotButton="0" quotePrefix="0" xfId="1">
      <alignment vertical="center"/>
    </xf>
    <xf numFmtId="0" fontId="163" fillId="0" borderId="0" applyAlignment="1" pivotButton="0" quotePrefix="0" xfId="0">
      <alignment vertical="center"/>
    </xf>
    <xf numFmtId="165" fontId="163" fillId="0" borderId="0" applyAlignment="1" pivotButton="0" quotePrefix="0" xfId="1">
      <alignment vertical="center"/>
    </xf>
    <xf numFmtId="0" fontId="163" fillId="0" borderId="0" applyAlignment="1" pivotButton="0" quotePrefix="0" xfId="0">
      <alignment horizontal="center" vertical="center"/>
    </xf>
    <xf numFmtId="49" fontId="162" fillId="0" borderId="4" applyAlignment="1" pivotButton="0" quotePrefix="0" xfId="14832">
      <alignment horizontal="left" vertical="center"/>
    </xf>
    <xf numFmtId="0" fontId="162" fillId="0" borderId="3" applyAlignment="1" pivotButton="0" quotePrefix="0" xfId="2">
      <alignment horizontal="center" vertical="center"/>
    </xf>
    <xf numFmtId="165" fontId="162" fillId="0" borderId="4" applyAlignment="1" pivotButton="0" quotePrefix="0" xfId="1">
      <alignment vertical="center"/>
    </xf>
    <xf numFmtId="165" fontId="162" fillId="0" borderId="9" applyAlignment="1" pivotButton="0" quotePrefix="0" xfId="1">
      <alignment horizontal="center" vertical="center"/>
    </xf>
    <xf numFmtId="0" fontId="162" fillId="0" borderId="36" applyAlignment="1" pivotButton="0" quotePrefix="0" xfId="2">
      <alignment vertical="center"/>
    </xf>
    <xf numFmtId="0" fontId="162" fillId="0" borderId="36" applyAlignment="1" pivotButton="0" quotePrefix="0" xfId="2">
      <alignment horizontal="center" vertical="center"/>
    </xf>
    <xf numFmtId="165" fontId="162" fillId="0" borderId="60" applyAlignment="1" pivotButton="0" quotePrefix="0" xfId="1">
      <alignment vertical="center"/>
    </xf>
    <xf numFmtId="0" fontId="162" fillId="0" borderId="36" applyAlignment="1" pivotButton="0" quotePrefix="0" xfId="0">
      <alignment vertical="center"/>
    </xf>
    <xf numFmtId="0" fontId="162" fillId="0" borderId="4" applyAlignment="1" pivotButton="0" quotePrefix="0" xfId="2">
      <alignment vertical="center"/>
    </xf>
    <xf numFmtId="0" fontId="162" fillId="0" borderId="4" applyAlignment="1" pivotButton="0" quotePrefix="0" xfId="2">
      <alignment horizontal="center" vertical="center" shrinkToFit="1"/>
    </xf>
    <xf numFmtId="165" fontId="162" fillId="0" borderId="4" applyAlignment="1" pivotButton="0" quotePrefix="0" xfId="1">
      <alignment vertical="center" shrinkToFit="1"/>
    </xf>
    <xf numFmtId="0" fontId="162" fillId="0" borderId="65" applyAlignment="1" pivotButton="0" quotePrefix="0" xfId="2">
      <alignment horizontal="center" vertical="center" shrinkToFit="1"/>
    </xf>
    <xf numFmtId="0" fontId="162" fillId="0" borderId="66" applyAlignment="1" pivotButton="0" quotePrefix="0" xfId="2">
      <alignment vertical="center"/>
    </xf>
    <xf numFmtId="0" fontId="162" fillId="0" borderId="64" applyAlignment="1" pivotButton="0" quotePrefix="0" xfId="2">
      <alignment vertical="center" shrinkToFit="1"/>
    </xf>
    <xf numFmtId="0" fontId="162" fillId="0" borderId="4" applyAlignment="1" pivotButton="0" quotePrefix="0" xfId="2">
      <alignment horizontal="left" vertical="center"/>
    </xf>
    <xf numFmtId="0" fontId="162" fillId="0" borderId="37" applyAlignment="1" pivotButton="0" quotePrefix="0" xfId="2">
      <alignment horizontal="center" vertical="center" shrinkToFit="1"/>
    </xf>
    <xf numFmtId="0" fontId="162" fillId="0" borderId="71" applyAlignment="1" pivotButton="0" quotePrefix="0" xfId="2">
      <alignment horizontal="center" vertical="center"/>
    </xf>
    <xf numFmtId="0" fontId="162" fillId="0" borderId="71" applyAlignment="1" pivotButton="0" quotePrefix="0" xfId="0">
      <alignment horizontal="center" vertical="center"/>
    </xf>
    <xf numFmtId="0" fontId="162" fillId="21" borderId="4" applyAlignment="1" pivotButton="0" quotePrefix="0" xfId="15923">
      <alignment horizontal="center" vertical="center"/>
    </xf>
    <xf numFmtId="0" fontId="162" fillId="0" borderId="4" applyAlignment="1" pivotButton="0" quotePrefix="0" xfId="2">
      <alignment horizontal="center" vertical="center" wrapText="1"/>
    </xf>
    <xf numFmtId="164" fontId="163" fillId="0" borderId="0" applyAlignment="1" pivotButton="0" quotePrefix="0" xfId="1">
      <alignment horizontal="right" vertical="top"/>
    </xf>
    <xf numFmtId="0" fontId="166" fillId="0" borderId="0" applyAlignment="1" pivotButton="0" quotePrefix="0" xfId="15917">
      <alignment horizontal="right" vertical="center"/>
    </xf>
    <xf numFmtId="164" fontId="166" fillId="0" borderId="0" applyAlignment="1" pivotButton="0" quotePrefix="0" xfId="1">
      <alignment horizontal="center" vertical="center" shrinkToFit="1"/>
    </xf>
    <xf numFmtId="0" fontId="166" fillId="0" borderId="0" applyAlignment="1" pivotButton="0" quotePrefix="0" xfId="15917">
      <alignment horizontal="center" vertical="center"/>
    </xf>
    <xf numFmtId="0" fontId="166" fillId="0" borderId="0" applyAlignment="1" pivotButton="0" quotePrefix="0" xfId="15923">
      <alignment horizontal="center" vertical="center"/>
    </xf>
    <xf numFmtId="0" fontId="166" fillId="0" borderId="0" applyAlignment="1" pivotButton="0" quotePrefix="0" xfId="0">
      <alignment vertical="center"/>
    </xf>
    <xf numFmtId="0" fontId="167" fillId="0" borderId="0" applyAlignment="1" pivotButton="0" quotePrefix="1" xfId="15917">
      <alignment horizontal="left" vertical="center"/>
    </xf>
    <xf numFmtId="165" fontId="162" fillId="0" borderId="0" applyAlignment="1" pivotButton="0" quotePrefix="0" xfId="1">
      <alignment vertical="center" shrinkToFit="1"/>
    </xf>
    <xf numFmtId="0" fontId="162" fillId="0" borderId="70" applyAlignment="1" pivotButton="0" quotePrefix="0" xfId="2">
      <alignment vertical="center"/>
    </xf>
    <xf numFmtId="0" fontId="162" fillId="0" borderId="69" applyAlignment="1" pivotButton="0" quotePrefix="0" xfId="2">
      <alignment vertical="center" shrinkToFit="1"/>
    </xf>
    <xf numFmtId="0" fontId="162" fillId="0" borderId="77" applyAlignment="1" pivotButton="0" quotePrefix="0" xfId="2">
      <alignment vertical="center" shrinkToFit="1"/>
    </xf>
    <xf numFmtId="0" fontId="162" fillId="0" borderId="70" applyAlignment="1" pivotButton="0" quotePrefix="0" xfId="2">
      <alignment horizontal="center" vertical="center" shrinkToFit="1"/>
    </xf>
    <xf numFmtId="165" fontId="162" fillId="0" borderId="80" applyAlignment="1" pivotButton="0" quotePrefix="0" xfId="1">
      <alignment horizontal="center" vertical="center"/>
    </xf>
    <xf numFmtId="165" fontId="162" fillId="0" borderId="3" applyAlignment="1" pivotButton="0" quotePrefix="0" xfId="1">
      <alignment vertical="center" shrinkToFit="1"/>
    </xf>
    <xf numFmtId="0" fontId="162" fillId="0" borderId="4" applyAlignment="1" pivotButton="0" quotePrefix="0" xfId="2">
      <alignment horizontal="center" vertical="center"/>
    </xf>
    <xf numFmtId="0" fontId="162" fillId="0" borderId="14" applyAlignment="1" pivotButton="0" quotePrefix="0" xfId="2">
      <alignment horizontal="center" vertical="center" shrinkToFit="1"/>
    </xf>
    <xf numFmtId="0" fontId="162" fillId="0" borderId="38" applyAlignment="1" pivotButton="0" quotePrefix="0" xfId="2">
      <alignment vertical="center"/>
    </xf>
    <xf numFmtId="0" fontId="163" fillId="0" borderId="36" applyAlignment="1" pivotButton="0" quotePrefix="0" xfId="0">
      <alignment vertical="center"/>
    </xf>
    <xf numFmtId="0" fontId="163" fillId="0" borderId="37" applyAlignment="1" pivotButton="0" quotePrefix="0" xfId="0">
      <alignment horizontal="left" vertical="center"/>
    </xf>
    <xf numFmtId="165" fontId="162" fillId="0" borderId="80" applyAlignment="1" pivotButton="0" quotePrefix="0" xfId="1">
      <alignment vertical="center" shrinkToFit="1"/>
    </xf>
    <xf numFmtId="0" fontId="162" fillId="40" borderId="9" applyAlignment="1" pivotButton="0" quotePrefix="0" xfId="15917">
      <alignment horizontal="center" vertical="center"/>
    </xf>
    <xf numFmtId="0" fontId="161" fillId="40" borderId="4" applyAlignment="1" pivotButton="0" quotePrefix="0" xfId="15923">
      <alignment horizontal="center" vertical="center"/>
    </xf>
    <xf numFmtId="0" fontId="162" fillId="40" borderId="4" applyAlignment="1" pivotButton="0" quotePrefix="0" xfId="15923">
      <alignment horizontal="center" vertical="center"/>
    </xf>
    <xf numFmtId="0" fontId="162" fillId="0" borderId="4" applyAlignment="1" pivotButton="0" quotePrefix="0" xfId="2">
      <alignment vertical="center" shrinkToFit="1"/>
    </xf>
    <xf numFmtId="0" fontId="162" fillId="0" borderId="4" applyAlignment="1" pivotButton="0" quotePrefix="0" xfId="2">
      <alignment horizontal="center" vertical="center"/>
    </xf>
    <xf numFmtId="0" fontId="162" fillId="21" borderId="4" applyAlignment="1" pivotButton="0" quotePrefix="0" xfId="15923">
      <alignment horizontal="left" vertical="center"/>
    </xf>
    <xf numFmtId="0" fontId="162" fillId="0" borderId="4" applyAlignment="1" pivotButton="0" quotePrefix="0" xfId="2">
      <alignment horizontal="left" vertical="center" wrapText="1"/>
    </xf>
    <xf numFmtId="0" fontId="162" fillId="0" borderId="17" applyAlignment="1" pivotButton="0" quotePrefix="0" xfId="2">
      <alignment horizontal="left" vertical="center"/>
    </xf>
    <xf numFmtId="0" fontId="162" fillId="0" borderId="4" applyAlignment="1" pivotButton="0" quotePrefix="0" xfId="5749">
      <alignment horizontal="center" vertical="center"/>
    </xf>
    <xf numFmtId="0" fontId="162" fillId="39" borderId="4" applyAlignment="1" pivotButton="0" quotePrefix="0" xfId="0">
      <alignment horizontal="left" vertical="center" wrapText="1"/>
    </xf>
    <xf numFmtId="0" fontId="162" fillId="39" borderId="4" applyAlignment="1" pivotButton="0" quotePrefix="0" xfId="0">
      <alignment horizontal="center" vertical="center" wrapText="1"/>
    </xf>
    <xf numFmtId="0" fontId="163" fillId="0" borderId="4" applyAlignment="1" pivotButton="0" quotePrefix="0" xfId="0">
      <alignment horizontal="left" vertical="center"/>
    </xf>
    <xf numFmtId="0" fontId="162" fillId="0" borderId="4" applyAlignment="1" pivotButton="0" quotePrefix="0" xfId="0">
      <alignment horizontal="center" vertical="center"/>
    </xf>
    <xf numFmtId="0" fontId="163" fillId="0" borderId="4" applyAlignment="1" pivotButton="0" quotePrefix="0" xfId="0">
      <alignment horizontal="left" vertical="center"/>
    </xf>
    <xf numFmtId="0" fontId="163" fillId="0" borderId="4" applyAlignment="1" pivotButton="0" quotePrefix="0" xfId="0">
      <alignment horizontal="center" vertical="center"/>
    </xf>
    <xf numFmtId="0" fontId="162" fillId="0" borderId="4" applyAlignment="1" pivotButton="0" quotePrefix="0" xfId="5749">
      <alignment horizontal="center" vertical="center" wrapText="1"/>
    </xf>
    <xf numFmtId="165" fontId="162" fillId="0" borderId="4" applyAlignment="1" pivotButton="0" quotePrefix="0" xfId="0">
      <alignment horizontal="center" vertical="center"/>
    </xf>
    <xf numFmtId="0" fontId="163" fillId="0" borderId="4" applyAlignment="1" pivotButton="0" quotePrefix="0" xfId="0">
      <alignment horizontal="left" vertical="center" wrapText="1"/>
    </xf>
    <xf numFmtId="0" fontId="162" fillId="39" borderId="4" applyAlignment="1" pivotButton="0" quotePrefix="0" xfId="16803">
      <alignment horizontal="left" vertical="center" wrapText="1"/>
    </xf>
    <xf numFmtId="165" fontId="162" fillId="0" borderId="4" applyAlignment="1" pivotButton="0" quotePrefix="0" xfId="16798">
      <alignment horizontal="center" vertical="center"/>
    </xf>
    <xf numFmtId="164" fontId="161" fillId="20" borderId="3" applyAlignment="1" pivotButton="0" quotePrefix="0" xfId="1">
      <alignment horizontal="center" vertical="center" shrinkToFit="1"/>
    </xf>
    <xf numFmtId="166" fontId="161" fillId="20" borderId="3" applyAlignment="1" pivotButton="0" quotePrefix="0" xfId="1">
      <alignment horizontal="center" vertical="center" shrinkToFit="1"/>
    </xf>
    <xf numFmtId="0" fontId="162" fillId="0" borderId="61" applyAlignment="1" pivotButton="0" quotePrefix="0" xfId="2">
      <alignment horizontal="center" vertical="center"/>
    </xf>
    <xf numFmtId="0" fontId="162" fillId="0" borderId="26" applyAlignment="1" pivotButton="0" quotePrefix="0" xfId="2">
      <alignment horizontal="left" vertical="center"/>
    </xf>
    <xf numFmtId="0" fontId="162" fillId="0" borderId="4" applyAlignment="1" pivotButton="0" quotePrefix="0" xfId="2">
      <alignment horizontal="center" vertical="center"/>
    </xf>
    <xf numFmtId="165" fontId="162" fillId="0" borderId="0" applyAlignment="1" pivotButton="0" quotePrefix="0" xfId="1">
      <alignment vertical="center"/>
    </xf>
    <xf numFmtId="165" fontId="163" fillId="0" borderId="4" applyAlignment="1" pivotButton="0" quotePrefix="0" xfId="1">
      <alignment horizontal="right" vertical="center"/>
    </xf>
    <xf numFmtId="165" fontId="162" fillId="39" borderId="4" applyAlignment="1" pivotButton="0" quotePrefix="0" xfId="1">
      <alignment horizontal="right" vertical="center"/>
    </xf>
    <xf numFmtId="165" fontId="166" fillId="0" borderId="0" applyAlignment="1" pivotButton="0" quotePrefix="0" xfId="1">
      <alignment horizontal="right" vertical="center"/>
    </xf>
    <xf numFmtId="0" fontId="162" fillId="39" borderId="26" applyAlignment="1" pivotButton="0" quotePrefix="0" xfId="16803">
      <alignment horizontal="left" vertical="center" wrapText="1"/>
    </xf>
    <xf numFmtId="0" fontId="162" fillId="0" borderId="83" applyAlignment="1" pivotButton="0" quotePrefix="0" xfId="2">
      <alignment horizontal="center" vertical="center"/>
    </xf>
    <xf numFmtId="0" fontId="162" fillId="0" borderId="25" applyAlignment="1" pivotButton="0" quotePrefix="0" xfId="2">
      <alignment vertical="center" wrapText="1"/>
    </xf>
    <xf numFmtId="0" fontId="162" fillId="0" borderId="4" applyAlignment="1" pivotButton="0" quotePrefix="0" xfId="2">
      <alignment horizontal="center" vertical="center"/>
    </xf>
    <xf numFmtId="0" fontId="162" fillId="0" borderId="4" applyAlignment="1" pivotButton="0" quotePrefix="0" xfId="0">
      <alignment horizontal="center" vertical="center" wrapText="1"/>
    </xf>
    <xf numFmtId="0" fontId="162" fillId="0" borderId="4" applyAlignment="1" pivotButton="0" quotePrefix="0" xfId="0">
      <alignment horizontal="left" vertical="center" wrapText="1"/>
    </xf>
    <xf numFmtId="0" fontId="162" fillId="0" borderId="4" applyAlignment="1" pivotButton="0" quotePrefix="0" xfId="2">
      <alignment horizontal="left" vertical="center"/>
    </xf>
    <xf numFmtId="0" fontId="162" fillId="0" borderId="4" applyAlignment="1" pivotButton="0" quotePrefix="0" xfId="0">
      <alignment vertical="center"/>
    </xf>
    <xf numFmtId="164" fontId="162" fillId="21" borderId="3" applyAlignment="1" pivotButton="0" quotePrefix="0" xfId="5749">
      <alignment horizontal="left" vertical="center"/>
    </xf>
    <xf numFmtId="0" fontId="162" fillId="0" borderId="60" applyAlignment="1" pivotButton="0" quotePrefix="0" xfId="5749">
      <alignment horizontal="center" vertical="center"/>
    </xf>
    <xf numFmtId="0" fontId="162" fillId="21" borderId="9" applyAlignment="1" pivotButton="0" quotePrefix="0" xfId="5749">
      <alignment horizontal="center" vertical="center" shrinkToFit="1"/>
    </xf>
    <xf numFmtId="0" fontId="162" fillId="0" borderId="9" applyAlignment="1" pivotButton="0" quotePrefix="0" xfId="5749">
      <alignment horizontal="center" vertical="center"/>
    </xf>
    <xf numFmtId="0" fontId="162" fillId="0" borderId="62" applyAlignment="1" pivotButton="0" quotePrefix="0" xfId="5749">
      <alignment horizontal="center" vertical="center"/>
    </xf>
    <xf numFmtId="0" fontId="163" fillId="38" borderId="4" applyAlignment="1" pivotButton="0" quotePrefix="0" xfId="2">
      <alignment horizontal="left" vertical="center"/>
    </xf>
    <xf numFmtId="0" fontId="163" fillId="38" borderId="4" applyAlignment="1" pivotButton="0" quotePrefix="0" xfId="16803">
      <alignment horizontal="left" vertical="center" wrapText="1"/>
    </xf>
    <xf numFmtId="167" fontId="163" fillId="38" borderId="4" applyAlignment="1" pivotButton="0" quotePrefix="0" xfId="0">
      <alignment horizontal="center" vertical="center"/>
    </xf>
    <xf numFmtId="0" fontId="163" fillId="38" borderId="4" applyAlignment="1" pivotButton="0" quotePrefix="0" xfId="0">
      <alignment horizontal="center" vertical="center" wrapText="1"/>
    </xf>
    <xf numFmtId="165" fontId="163" fillId="38" borderId="4" applyAlignment="1" pivotButton="0" quotePrefix="0" xfId="1">
      <alignment horizontal="right" vertical="center"/>
    </xf>
    <xf numFmtId="164" fontId="163" fillId="38" borderId="3" applyAlignment="1" pivotButton="0" quotePrefix="0" xfId="5749">
      <alignment horizontal="left" vertical="center"/>
    </xf>
    <xf numFmtId="0" fontId="163" fillId="38" borderId="9" applyAlignment="1" pivotButton="0" quotePrefix="0" xfId="5749">
      <alignment horizontal="center" vertical="center"/>
    </xf>
    <xf numFmtId="0" fontId="163" fillId="38" borderId="4" applyAlignment="1" pivotButton="0" quotePrefix="0" xfId="2">
      <alignment horizontal="center" vertical="center"/>
    </xf>
    <xf numFmtId="0" fontId="162" fillId="38" borderId="4" applyAlignment="1" pivotButton="0" quotePrefix="0" xfId="2">
      <alignment vertical="center"/>
    </xf>
    <xf numFmtId="0" fontId="162" fillId="38" borderId="4" applyAlignment="1" pivotButton="0" quotePrefix="0" xfId="2">
      <alignment horizontal="center" vertical="center"/>
    </xf>
    <xf numFmtId="164" fontId="170" fillId="0" borderId="0" applyAlignment="1" pivotButton="0" quotePrefix="0" xfId="1">
      <alignment vertical="center"/>
    </xf>
    <xf numFmtId="164" fontId="170" fillId="38" borderId="4" applyAlignment="1" pivotButton="0" quotePrefix="0" xfId="5749">
      <alignment horizontal="left" vertical="center"/>
    </xf>
    <xf numFmtId="164" fontId="163" fillId="0" borderId="0" applyAlignment="1" pivotButton="0" quotePrefix="0" xfId="1">
      <alignment horizontal="center" vertical="center"/>
    </xf>
    <xf numFmtId="0" fontId="161" fillId="20" borderId="4" applyAlignment="1" pivotButton="0" quotePrefix="0" xfId="2">
      <alignment horizontal="center" vertical="center"/>
    </xf>
    <xf numFmtId="165" fontId="161" fillId="20" borderId="4" applyAlignment="1" pivotButton="0" quotePrefix="0" xfId="1">
      <alignment horizontal="center" vertical="center" wrapText="1"/>
    </xf>
    <xf numFmtId="164" fontId="161" fillId="20" borderId="4" applyAlignment="1" pivotButton="0" quotePrefix="0" xfId="1">
      <alignment horizontal="center" vertical="center" wrapText="1"/>
    </xf>
    <xf numFmtId="0" fontId="172" fillId="0" borderId="4" applyAlignment="1" pivotButton="0" quotePrefix="0" xfId="2">
      <alignment horizontal="center" vertical="center"/>
    </xf>
    <xf numFmtId="0" fontId="172" fillId="0" borderId="3" applyAlignment="1" pivotButton="0" quotePrefix="0" xfId="2">
      <alignment horizontal="center" vertical="center"/>
    </xf>
    <xf numFmtId="165" fontId="172" fillId="0" borderId="4" applyAlignment="1" pivotButton="0" quotePrefix="0" xfId="1">
      <alignment vertical="center"/>
    </xf>
    <xf numFmtId="167" fontId="172" fillId="39" borderId="4" applyAlignment="1" pivotButton="0" quotePrefix="0" xfId="14832">
      <alignment horizontal="center" vertical="center" wrapText="1"/>
    </xf>
    <xf numFmtId="0" fontId="172" fillId="39" borderId="4" applyAlignment="1" pivotButton="0" quotePrefix="0" xfId="0">
      <alignment horizontal="center" vertical="center" wrapText="1"/>
    </xf>
    <xf numFmtId="165" fontId="172" fillId="39" borderId="4" applyAlignment="1" pivotButton="0" quotePrefix="0" xfId="1">
      <alignment horizontal="right" vertical="center"/>
    </xf>
    <xf numFmtId="164" fontId="172" fillId="0" borderId="3" applyAlignment="1" pivotButton="0" quotePrefix="0" xfId="5749">
      <alignment horizontal="left" vertical="center"/>
    </xf>
    <xf numFmtId="167" fontId="172" fillId="0" borderId="4" applyAlignment="1" pivotButton="0" quotePrefix="0" xfId="0">
      <alignment horizontal="center" vertical="center"/>
    </xf>
    <xf numFmtId="167" fontId="172" fillId="0" borderId="4" applyAlignment="1" pivotButton="0" quotePrefix="0" xfId="0">
      <alignment horizontal="center" vertical="center"/>
    </xf>
    <xf numFmtId="165" fontId="172" fillId="0" borderId="4" applyAlignment="1" pivotButton="0" quotePrefix="0" xfId="1">
      <alignment horizontal="right" vertical="center"/>
    </xf>
    <xf numFmtId="0" fontId="172" fillId="0" borderId="4" applyAlignment="1" pivotButton="0" quotePrefix="0" xfId="0">
      <alignment horizontal="center" vertical="center"/>
    </xf>
    <xf numFmtId="167" fontId="172" fillId="0" borderId="4" applyAlignment="1" pivotButton="0" quotePrefix="0" xfId="5749">
      <alignment horizontal="center" vertical="center"/>
    </xf>
    <xf numFmtId="0" fontId="172" fillId="0" borderId="4" applyAlignment="1" pivotButton="0" quotePrefix="0" xfId="5749">
      <alignment horizontal="center" vertical="center"/>
    </xf>
    <xf numFmtId="167" fontId="172" fillId="0" borderId="4" applyAlignment="1" pivotButton="0" quotePrefix="0" xfId="5749">
      <alignment horizontal="center" vertical="center"/>
    </xf>
    <xf numFmtId="0" fontId="172" fillId="0" borderId="4" applyAlignment="1" pivotButton="0" quotePrefix="0" xfId="5749">
      <alignment horizontal="center" vertical="center" wrapText="1"/>
    </xf>
    <xf numFmtId="165" fontId="172" fillId="0" borderId="4" applyAlignment="1" pivotButton="0" quotePrefix="0" xfId="0">
      <alignment horizontal="center" vertical="center"/>
    </xf>
    <xf numFmtId="167" fontId="172" fillId="0" borderId="4" applyAlignment="1" pivotButton="0" quotePrefix="0" xfId="0">
      <alignment horizontal="center" vertical="center" wrapText="1"/>
    </xf>
    <xf numFmtId="167" fontId="172" fillId="39" borderId="4" applyAlignment="1" pivotButton="0" quotePrefix="0" xfId="5749">
      <alignment horizontal="center" vertical="center"/>
    </xf>
    <xf numFmtId="165" fontId="172" fillId="39" borderId="4" applyAlignment="1" pivotButton="0" quotePrefix="0" xfId="1">
      <alignment horizontal="right" vertical="center"/>
    </xf>
    <xf numFmtId="167" fontId="172" fillId="39" borderId="4" applyAlignment="1" pivotButton="0" quotePrefix="0" xfId="0">
      <alignment horizontal="center" vertical="center" wrapText="1"/>
    </xf>
    <xf numFmtId="0" fontId="163" fillId="39" borderId="4" applyAlignment="1" pivotButton="0" quotePrefix="0" xfId="0">
      <alignment horizontal="center" vertical="center" wrapText="1"/>
    </xf>
    <xf numFmtId="0" fontId="163" fillId="0" borderId="4" applyAlignment="1" pivotButton="0" quotePrefix="0" xfId="5749">
      <alignment horizontal="center" vertical="center" wrapText="1"/>
    </xf>
    <xf numFmtId="0" fontId="163" fillId="0" borderId="4" applyAlignment="1" pivotButton="0" quotePrefix="0" xfId="5749">
      <alignment horizontal="center" vertical="center"/>
    </xf>
    <xf numFmtId="165" fontId="163" fillId="0" borderId="4" applyAlignment="1" pivotButton="0" quotePrefix="0" xfId="0">
      <alignment horizontal="center" vertical="center"/>
    </xf>
    <xf numFmtId="0" fontId="172" fillId="38" borderId="4" applyAlignment="1" pivotButton="0" quotePrefix="0" xfId="2">
      <alignment horizontal="center" vertical="center"/>
    </xf>
    <xf numFmtId="165" fontId="172" fillId="38" borderId="4" applyAlignment="1" pivotButton="0" quotePrefix="0" xfId="1">
      <alignment vertical="center"/>
    </xf>
    <xf numFmtId="164" fontId="172" fillId="38" borderId="3" applyAlignment="1" pivotButton="0" quotePrefix="0" xfId="5749">
      <alignment horizontal="left" vertical="center"/>
    </xf>
    <xf numFmtId="0" fontId="172" fillId="0" borderId="4" applyAlignment="1" pivotButton="0" quotePrefix="0" xfId="0">
      <alignment horizontal="center" vertical="center" wrapText="1"/>
    </xf>
    <xf numFmtId="0" fontId="172" fillId="0" borderId="4" applyAlignment="1" pivotButton="0" quotePrefix="0" xfId="0">
      <alignment horizontal="center" vertical="center"/>
    </xf>
    <xf numFmtId="0" fontId="172" fillId="38" borderId="4" applyAlignment="1" pivotButton="0" quotePrefix="0" xfId="0">
      <alignment horizontal="center" vertical="center"/>
    </xf>
    <xf numFmtId="168" fontId="166" fillId="0" borderId="0" applyAlignment="1" pivotButton="0" quotePrefix="0" xfId="1">
      <alignment horizontal="center" vertical="center" shrinkToFit="1"/>
    </xf>
    <xf numFmtId="165" fontId="162" fillId="0" borderId="0" applyAlignment="1" pivotButton="0" quotePrefix="0" xfId="1">
      <alignment vertical="center"/>
    </xf>
    <xf numFmtId="165" fontId="163" fillId="0" borderId="0" applyAlignment="1" pivotButton="0" quotePrefix="0" xfId="1">
      <alignment vertical="center"/>
    </xf>
    <xf numFmtId="165" fontId="161" fillId="20" borderId="4" applyAlignment="1" pivotButton="0" quotePrefix="0" xfId="1">
      <alignment horizontal="center" vertical="center" wrapText="1"/>
    </xf>
    <xf numFmtId="165" fontId="162" fillId="0" borderId="4" applyAlignment="1" pivotButton="0" quotePrefix="0" xfId="1">
      <alignment vertical="center"/>
    </xf>
    <xf numFmtId="165" fontId="162" fillId="39" borderId="4" applyAlignment="1" pivotButton="0" quotePrefix="0" xfId="1">
      <alignment horizontal="right" vertical="center"/>
    </xf>
    <xf numFmtId="165" fontId="163" fillId="0" borderId="4" applyAlignment="1" pivotButton="0" quotePrefix="0" xfId="1">
      <alignment horizontal="right" vertical="center"/>
    </xf>
    <xf numFmtId="165" fontId="163" fillId="39" borderId="4" applyAlignment="1" pivotButton="0" quotePrefix="0" xfId="1">
      <alignment horizontal="right" vertical="center"/>
    </xf>
    <xf numFmtId="165" fontId="162" fillId="39" borderId="4" applyAlignment="1" pivotButton="0" quotePrefix="0" xfId="1">
      <alignment horizontal="right" vertical="center"/>
    </xf>
    <xf numFmtId="165" fontId="163" fillId="38" borderId="4" applyAlignment="1" pivotButton="0" quotePrefix="0" xfId="1">
      <alignment horizontal="right" vertical="center"/>
    </xf>
    <xf numFmtId="165" fontId="162" fillId="38" borderId="4" applyAlignment="1" pivotButton="0" quotePrefix="0" xfId="1">
      <alignment vertical="center"/>
    </xf>
    <xf numFmtId="165" fontId="162" fillId="0" borderId="4" applyAlignment="1" pivotButton="0" quotePrefix="0" xfId="1">
      <alignment horizontal="right" vertical="center"/>
    </xf>
    <xf numFmtId="165" fontId="162" fillId="40" borderId="3" applyAlignment="1" pivotButton="0" quotePrefix="0" xfId="1">
      <alignment horizontal="left" vertical="center"/>
    </xf>
    <xf numFmtId="165" fontId="162" fillId="21" borderId="3" applyAlignment="1" pivotButton="0" quotePrefix="0" xfId="1">
      <alignment horizontal="left" vertical="center"/>
    </xf>
    <xf numFmtId="165" fontId="166" fillId="0" borderId="0" applyAlignment="1" pivotButton="0" quotePrefix="0" xfId="1">
      <alignment horizontal="center" vertical="center" shrinkToFit="1"/>
    </xf>
    <xf numFmtId="164" fontId="162" fillId="21" borderId="3" applyAlignment="1" pivotButton="0" quotePrefix="0" xfId="1">
      <alignment horizontal="center" vertical="center"/>
    </xf>
    <xf numFmtId="164" fontId="162" fillId="40" borderId="3" applyAlignment="1" pivotButton="0" quotePrefix="0" xfId="1">
      <alignment horizontal="center" vertical="center"/>
    </xf>
    <xf numFmtId="164" fontId="172" fillId="21" borderId="3" applyAlignment="1" pivotButton="0" quotePrefix="0" xfId="5749">
      <alignment horizontal="left" vertical="center"/>
    </xf>
    <xf numFmtId="164" fontId="172" fillId="40" borderId="3" applyAlignment="1" pivotButton="0" quotePrefix="0" xfId="1">
      <alignment horizontal="left" vertical="center"/>
    </xf>
    <xf numFmtId="0" fontId="172" fillId="0" borderId="4" applyAlignment="1" pivotButton="0" quotePrefix="0" xfId="2">
      <alignment horizontal="center" vertical="center" shrinkToFit="1"/>
    </xf>
    <xf numFmtId="165" fontId="172" fillId="0" borderId="4" applyAlignment="1" pivotButton="0" quotePrefix="0" xfId="1">
      <alignment vertical="center" shrinkToFit="1"/>
    </xf>
    <xf numFmtId="0" fontId="172" fillId="0" borderId="70" applyAlignment="1" pivotButton="0" quotePrefix="0" xfId="2">
      <alignment horizontal="center" vertical="center" shrinkToFit="1"/>
    </xf>
    <xf numFmtId="165" fontId="172" fillId="0" borderId="3" applyAlignment="1" pivotButton="0" quotePrefix="0" xfId="1">
      <alignment vertical="center" shrinkToFit="1"/>
    </xf>
    <xf numFmtId="164" fontId="172" fillId="0" borderId="3" applyAlignment="1" pivotButton="0" quotePrefix="0" xfId="1">
      <alignment horizontal="left" vertical="center"/>
    </xf>
    <xf numFmtId="164" fontId="172" fillId="21" borderId="3" applyAlignment="1" pivotButton="0" quotePrefix="0" xfId="1">
      <alignment horizontal="left" vertical="center"/>
    </xf>
    <xf numFmtId="164" fontId="172" fillId="21" borderId="4" applyAlignment="1" pivotButton="0" quotePrefix="0" xfId="1">
      <alignment horizontal="left" vertical="center"/>
    </xf>
    <xf numFmtId="167" fontId="162" fillId="0" borderId="0" applyAlignment="1" pivotButton="0" quotePrefix="0" xfId="1">
      <alignment horizontal="center" vertical="center"/>
    </xf>
    <xf numFmtId="167" fontId="163" fillId="0" borderId="0" applyAlignment="1" pivotButton="0" quotePrefix="0" xfId="1">
      <alignment horizontal="center" vertical="center"/>
    </xf>
    <xf numFmtId="167" fontId="166" fillId="0" borderId="0" applyAlignment="1" pivotButton="0" quotePrefix="0" xfId="1">
      <alignment horizontal="center" vertical="center" shrinkToFit="1"/>
    </xf>
    <xf numFmtId="0" fontId="172" fillId="0" borderId="14" applyAlignment="1" pivotButton="0" quotePrefix="0" xfId="2">
      <alignment horizontal="center" vertical="center" shrinkToFit="1"/>
    </xf>
    <xf numFmtId="0" fontId="162" fillId="38" borderId="70" applyAlignment="1" pivotButton="0" quotePrefix="0" xfId="2">
      <alignment vertical="center"/>
    </xf>
    <xf numFmtId="0" fontId="162" fillId="38" borderId="77" applyAlignment="1" pivotButton="0" quotePrefix="0" xfId="2">
      <alignment vertical="center" shrinkToFit="1"/>
    </xf>
    <xf numFmtId="0" fontId="162" fillId="38" borderId="4" applyAlignment="1" pivotButton="0" quotePrefix="0" xfId="2">
      <alignment horizontal="center" vertical="center" shrinkToFit="1"/>
    </xf>
    <xf numFmtId="0" fontId="162" fillId="38" borderId="70" applyAlignment="1" pivotButton="0" quotePrefix="0" xfId="2">
      <alignment horizontal="center" vertical="center" shrinkToFit="1"/>
    </xf>
    <xf numFmtId="165" fontId="162" fillId="38" borderId="4" applyAlignment="1" pivotButton="0" quotePrefix="0" xfId="1">
      <alignment vertical="center" shrinkToFit="1"/>
    </xf>
    <xf numFmtId="165" fontId="162" fillId="38" borderId="80" applyAlignment="1" pivotButton="0" quotePrefix="0" xfId="1">
      <alignment horizontal="center" vertical="center"/>
    </xf>
    <xf numFmtId="0" fontId="172" fillId="38" borderId="4" applyAlignment="1" pivotButton="0" quotePrefix="0" xfId="2">
      <alignment horizontal="center" vertical="center" shrinkToFit="1"/>
    </xf>
    <xf numFmtId="0" fontId="172" fillId="38" borderId="70" applyAlignment="1" pivotButton="0" quotePrefix="0" xfId="2">
      <alignment horizontal="center" vertical="center" shrinkToFit="1"/>
    </xf>
    <xf numFmtId="165" fontId="172" fillId="38" borderId="3" applyAlignment="1" pivotButton="0" quotePrefix="0" xfId="1">
      <alignment vertical="center" shrinkToFit="1"/>
    </xf>
    <xf numFmtId="164" fontId="172" fillId="38" borderId="3" applyAlignment="1" pivotButton="0" quotePrefix="0" xfId="1">
      <alignment horizontal="left" vertical="center"/>
    </xf>
    <xf numFmtId="165" fontId="162" fillId="38" borderId="3" applyAlignment="1" pivotButton="0" quotePrefix="0" xfId="1">
      <alignment vertical="center" shrinkToFit="1"/>
    </xf>
    <xf numFmtId="165" fontId="162" fillId="38" borderId="4" applyAlignment="1" pivotButton="0" quotePrefix="0" xfId="1">
      <alignment horizontal="center" vertical="center"/>
    </xf>
    <xf numFmtId="165" fontId="172" fillId="38" borderId="4" applyAlignment="1" pivotButton="0" quotePrefix="0" xfId="1">
      <alignment vertical="center" shrinkToFit="1"/>
    </xf>
    <xf numFmtId="164" fontId="172" fillId="38" borderId="4" applyAlignment="1" pivotButton="0" quotePrefix="0" xfId="1">
      <alignment horizontal="left" vertical="center"/>
    </xf>
    <xf numFmtId="164" fontId="162" fillId="38" borderId="3" applyAlignment="1" pivotButton="0" quotePrefix="0" xfId="1">
      <alignment horizontal="center" vertical="center"/>
    </xf>
    <xf numFmtId="165" fontId="162" fillId="38" borderId="3" applyAlignment="1" pivotButton="0" quotePrefix="0" xfId="1">
      <alignment horizontal="left" vertical="center"/>
    </xf>
    <xf numFmtId="0" fontId="172" fillId="38" borderId="14" applyAlignment="1" pivotButton="0" quotePrefix="0" xfId="2">
      <alignment horizontal="center" vertical="center" shrinkToFit="1"/>
    </xf>
    <xf numFmtId="0" fontId="162" fillId="38" borderId="4" applyAlignment="1" pivotButton="0" quotePrefix="0" xfId="1">
      <alignment horizontal="center" vertical="center"/>
    </xf>
    <xf numFmtId="0" fontId="162" fillId="38" borderId="4" applyAlignment="1" pivotButton="0" quotePrefix="0" xfId="2">
      <alignment vertical="center" shrinkToFit="1"/>
    </xf>
    <xf numFmtId="164" fontId="162" fillId="0" borderId="0" applyAlignment="1" pivotButton="0" quotePrefix="0" xfId="1">
      <alignment horizontal="center" vertical="center"/>
    </xf>
    <xf numFmtId="0" fontId="162" fillId="38" borderId="4" applyAlignment="1" pivotButton="0" quotePrefix="0" xfId="2">
      <alignment horizontal="left" vertical="center"/>
    </xf>
    <xf numFmtId="0" fontId="172" fillId="0" borderId="36" applyAlignment="1" pivotButton="0" quotePrefix="0" xfId="2">
      <alignment horizontal="center" vertical="center"/>
    </xf>
    <xf numFmtId="165" fontId="172" fillId="0" borderId="60" applyAlignment="1" pivotButton="0" quotePrefix="0" xfId="1">
      <alignment vertical="center"/>
    </xf>
    <xf numFmtId="0" fontId="172" fillId="0" borderId="36" applyAlignment="1" pivotButton="0" quotePrefix="0" xfId="0">
      <alignment horizontal="center" vertical="center"/>
    </xf>
    <xf numFmtId="0" fontId="162" fillId="38" borderId="4" applyAlignment="1" pivotButton="0" quotePrefix="0" xfId="2">
      <alignment horizontal="center" vertical="center" wrapText="1"/>
    </xf>
    <xf numFmtId="0" fontId="162" fillId="38" borderId="26" applyAlignment="1" pivotButton="0" quotePrefix="0" xfId="2">
      <alignment horizontal="center" vertical="center"/>
    </xf>
    <xf numFmtId="0" fontId="162" fillId="38" borderId="25" applyAlignment="1" pivotButton="0" quotePrefix="0" xfId="2">
      <alignment horizontal="center" vertical="center"/>
    </xf>
    <xf numFmtId="0" fontId="162" fillId="38" borderId="17" applyAlignment="1" pivotButton="0" quotePrefix="0" xfId="2">
      <alignment horizontal="center" vertical="center"/>
    </xf>
    <xf numFmtId="0" fontId="162" fillId="38" borderId="4" applyAlignment="1" pivotButton="0" quotePrefix="0" xfId="16803">
      <alignment horizontal="left" vertical="center" wrapText="1"/>
    </xf>
    <xf numFmtId="165" fontId="162" fillId="38" borderId="4" applyAlignment="1" pivotButton="0" quotePrefix="0" xfId="0">
      <alignment horizontal="center" vertical="center"/>
    </xf>
    <xf numFmtId="165" fontId="162" fillId="38" borderId="4" applyAlignment="1" pivotButton="0" quotePrefix="0" xfId="1">
      <alignment horizontal="right" vertical="center"/>
    </xf>
    <xf numFmtId="164" fontId="161" fillId="20" borderId="3" applyAlignment="1" pivotButton="0" quotePrefix="0" xfId="1">
      <alignment horizontal="center" vertical="center" wrapText="1"/>
    </xf>
    <xf numFmtId="165" fontId="162" fillId="40" borderId="9" applyAlignment="1" pivotButton="0" quotePrefix="0" xfId="1">
      <alignment horizontal="center" vertical="center" shrinkToFit="1"/>
    </xf>
    <xf numFmtId="165" fontId="162" fillId="38" borderId="9" applyAlignment="1" pivotButton="0" quotePrefix="0" xfId="1">
      <alignment horizontal="center" vertical="center"/>
    </xf>
    <xf numFmtId="165" fontId="162" fillId="21" borderId="9" applyAlignment="1" pivotButton="0" quotePrefix="0" xfId="1">
      <alignment horizontal="center" vertical="center" shrinkToFit="1"/>
    </xf>
    <xf numFmtId="165" fontId="162" fillId="38" borderId="9" applyAlignment="1" pivotButton="0" quotePrefix="0" xfId="1">
      <alignment horizontal="center" vertical="center" shrinkToFit="1"/>
    </xf>
    <xf numFmtId="165" fontId="162" fillId="0" borderId="60" applyAlignment="1" pivotButton="0" quotePrefix="0" xfId="1">
      <alignment horizontal="center" vertical="center"/>
    </xf>
    <xf numFmtId="167" fontId="161" fillId="20" borderId="89" applyAlignment="1" pivotButton="0" quotePrefix="0" xfId="1">
      <alignment horizontal="center" vertical="center" wrapText="1"/>
    </xf>
    <xf numFmtId="168" fontId="161" fillId="20" borderId="90" applyAlignment="1" pivotButton="0" quotePrefix="0" xfId="1">
      <alignment horizontal="center" vertical="center" wrapText="1"/>
    </xf>
    <xf numFmtId="167" fontId="162" fillId="0" borderId="89" applyAlignment="1" pivotButton="0" quotePrefix="0" xfId="2">
      <alignment horizontal="center" vertical="center"/>
    </xf>
    <xf numFmtId="167" fontId="162" fillId="39" borderId="89" applyAlignment="1" pivotButton="0" quotePrefix="0" xfId="14832">
      <alignment horizontal="center" vertical="center" wrapText="1"/>
    </xf>
    <xf numFmtId="167" fontId="162" fillId="0" borderId="89" applyAlignment="1" pivotButton="0" quotePrefix="0" xfId="0">
      <alignment horizontal="center" vertical="center"/>
    </xf>
    <xf numFmtId="167" fontId="163" fillId="0" borderId="89" applyAlignment="1" pivotButton="0" quotePrefix="0" xfId="0">
      <alignment horizontal="center" vertical="center"/>
    </xf>
    <xf numFmtId="167" fontId="163" fillId="0" borderId="89" applyAlignment="1" pivotButton="0" quotePrefix="0" xfId="5749">
      <alignment horizontal="center" vertical="center"/>
    </xf>
    <xf numFmtId="167" fontId="163" fillId="0" borderId="89" applyAlignment="1" pivotButton="0" quotePrefix="0" xfId="5749">
      <alignment horizontal="center" vertical="center"/>
    </xf>
    <xf numFmtId="167" fontId="163" fillId="0" borderId="89" applyAlignment="1" pivotButton="0" quotePrefix="0" xfId="0">
      <alignment horizontal="center" vertical="center" wrapText="1"/>
    </xf>
    <xf numFmtId="167" fontId="162" fillId="39" borderId="89" applyAlignment="1" pivotButton="0" quotePrefix="0" xfId="5749">
      <alignment horizontal="center" vertical="center"/>
    </xf>
    <xf numFmtId="167" fontId="163" fillId="39" borderId="89" applyAlignment="1" pivotButton="0" quotePrefix="0" xfId="0">
      <alignment horizontal="center" vertical="center" wrapText="1"/>
    </xf>
    <xf numFmtId="167" fontId="163" fillId="0" borderId="89" applyAlignment="1" pivotButton="0" quotePrefix="0" xfId="0">
      <alignment horizontal="center" vertical="center"/>
    </xf>
    <xf numFmtId="167" fontId="163" fillId="38" borderId="89" applyAlignment="1" pivotButton="0" quotePrefix="0" xfId="0">
      <alignment horizontal="center" vertical="center"/>
    </xf>
    <xf numFmtId="167" fontId="162" fillId="0" borderId="89" applyAlignment="1" pivotButton="0" quotePrefix="0" xfId="0">
      <alignment horizontal="center" vertical="center"/>
    </xf>
    <xf numFmtId="167" fontId="162" fillId="38" borderId="89" applyAlignment="1" pivotButton="0" quotePrefix="0" xfId="0">
      <alignment horizontal="center" vertical="center"/>
    </xf>
    <xf numFmtId="167" fontId="162" fillId="38" borderId="91" applyAlignment="1" pivotButton="0" quotePrefix="0" xfId="1">
      <alignment horizontal="center" vertical="center"/>
    </xf>
    <xf numFmtId="167" fontId="162" fillId="38" borderId="89" applyAlignment="1" pivotButton="0" quotePrefix="0" xfId="1">
      <alignment horizontal="center" vertical="center"/>
    </xf>
    <xf numFmtId="167" fontId="162" fillId="0" borderId="89" applyAlignment="1" pivotButton="0" quotePrefix="0" xfId="2">
      <alignment horizontal="center" vertical="center" shrinkToFit="1"/>
    </xf>
    <xf numFmtId="167" fontId="162" fillId="38" borderId="89" applyAlignment="1" pivotButton="0" quotePrefix="0" xfId="2">
      <alignment horizontal="center" vertical="center" shrinkToFit="1"/>
    </xf>
    <xf numFmtId="0" fontId="162" fillId="0" borderId="89" applyAlignment="1" pivotButton="0" quotePrefix="0" xfId="2">
      <alignment horizontal="center" vertical="center" shrinkToFit="1"/>
    </xf>
    <xf numFmtId="0" fontId="162" fillId="38" borderId="89" applyAlignment="1" pivotButton="0" quotePrefix="0" xfId="2">
      <alignment horizontal="center" vertical="center" shrinkToFit="1"/>
    </xf>
    <xf numFmtId="167" fontId="162" fillId="21" borderId="91" applyAlignment="1" pivotButton="0" quotePrefix="0" xfId="1">
      <alignment horizontal="center" vertical="center"/>
    </xf>
    <xf numFmtId="0" fontId="162" fillId="0" borderId="89" applyAlignment="1" pivotButton="0" quotePrefix="0" xfId="2">
      <alignment horizontal="center" vertical="center"/>
    </xf>
    <xf numFmtId="0" fontId="162" fillId="0" borderId="97" applyAlignment="1" pivotButton="0" quotePrefix="0" xfId="2">
      <alignment horizontal="center" vertical="center"/>
    </xf>
    <xf numFmtId="0" fontId="162" fillId="0" borderId="97" applyAlignment="1" pivotButton="0" quotePrefix="0" xfId="0">
      <alignment horizontal="center" vertical="center"/>
    </xf>
    <xf numFmtId="167" fontId="162" fillId="40" borderId="91" applyAlignment="1" pivotButton="0" quotePrefix="0" xfId="1">
      <alignment horizontal="center" vertical="center"/>
    </xf>
    <xf numFmtId="167" fontId="162" fillId="0" borderId="89" applyAlignment="1" pivotButton="0" quotePrefix="0" xfId="1">
      <alignment horizontal="center" vertical="center"/>
    </xf>
    <xf numFmtId="167" fontId="162" fillId="0" borderId="91" applyAlignment="1" pivotButton="0" quotePrefix="0" xfId="1">
      <alignment horizontal="center" vertical="center"/>
    </xf>
    <xf numFmtId="167" fontId="163" fillId="0" borderId="89" applyAlignment="1" pivotButton="0" quotePrefix="0" xfId="16798">
      <alignment horizontal="center" vertical="center"/>
    </xf>
    <xf numFmtId="167" fontId="162" fillId="39" borderId="89" applyAlignment="1" pivotButton="0" quotePrefix="0" xfId="16798">
      <alignment horizontal="center" vertical="center"/>
    </xf>
    <xf numFmtId="167" fontId="162" fillId="38" borderId="89" applyAlignment="1" pivotButton="0" quotePrefix="0" xfId="16798">
      <alignment horizontal="center" vertical="center"/>
    </xf>
    <xf numFmtId="167" fontId="162" fillId="0" borderId="99" applyAlignment="1" pivotButton="0" quotePrefix="0" xfId="1">
      <alignment horizontal="center" vertical="center"/>
    </xf>
    <xf numFmtId="0" fontId="162" fillId="0" borderId="102" applyAlignment="1" pivotButton="0" quotePrefix="0" xfId="5749">
      <alignment horizontal="center" vertical="center"/>
    </xf>
    <xf numFmtId="0" fontId="162" fillId="0" borderId="103" applyAlignment="1" pivotButton="0" quotePrefix="0" xfId="2">
      <alignment horizontal="center" vertical="center"/>
    </xf>
    <xf numFmtId="168" fontId="161" fillId="40" borderId="90" applyAlignment="1" pivotButton="0" quotePrefix="0" xfId="1">
      <alignment horizontal="left" vertical="center"/>
    </xf>
    <xf numFmtId="168" fontId="161" fillId="21" borderId="90" applyAlignment="1" pivotButton="0" quotePrefix="0" xfId="5749">
      <alignment horizontal="left" vertical="center"/>
    </xf>
    <xf numFmtId="164" fontId="166" fillId="40" borderId="4" applyAlignment="1" pivotButton="0" quotePrefix="0" xfId="1">
      <alignment horizontal="left" vertical="center"/>
    </xf>
    <xf numFmtId="164" fontId="166" fillId="21" borderId="4" applyAlignment="1" pivotButton="0" quotePrefix="0" xfId="1">
      <alignment horizontal="left" vertical="center"/>
    </xf>
    <xf numFmtId="164" fontId="166" fillId="40" borderId="90" applyAlignment="1" pivotButton="0" quotePrefix="0" xfId="1">
      <alignment horizontal="left" vertical="center"/>
    </xf>
    <xf numFmtId="168" fontId="161" fillId="0" borderId="0" applyAlignment="1" pivotButton="0" quotePrefix="0" xfId="1">
      <alignment vertical="center"/>
    </xf>
    <xf numFmtId="168" fontId="170" fillId="0" borderId="0" applyAlignment="1" pivotButton="0" quotePrefix="0" xfId="1">
      <alignment vertical="center"/>
    </xf>
    <xf numFmtId="168" fontId="161" fillId="0" borderId="90" applyAlignment="1" pivotButton="0" quotePrefix="0" xfId="1">
      <alignment horizontal="left" vertical="center"/>
    </xf>
    <xf numFmtId="168" fontId="161" fillId="0" borderId="90" applyAlignment="1" pivotButton="0" quotePrefix="0" xfId="5749">
      <alignment horizontal="left" vertical="center"/>
    </xf>
    <xf numFmtId="168" fontId="161" fillId="0" borderId="93" applyAlignment="1" pivotButton="0" quotePrefix="0" xfId="5749">
      <alignment horizontal="left" vertical="center"/>
    </xf>
    <xf numFmtId="168" fontId="161" fillId="38" borderId="93" applyAlignment="1" pivotButton="0" quotePrefix="0" xfId="1">
      <alignment horizontal="left" vertical="center"/>
    </xf>
    <xf numFmtId="168" fontId="161" fillId="21" borderId="93" applyAlignment="1" pivotButton="0" quotePrefix="0" xfId="1">
      <alignment horizontal="left" vertical="center"/>
    </xf>
    <xf numFmtId="168" fontId="161" fillId="38" borderId="90" applyAlignment="1" pivotButton="0" quotePrefix="0" xfId="1">
      <alignment horizontal="left" vertical="center"/>
    </xf>
    <xf numFmtId="168" fontId="161" fillId="0" borderId="93" applyAlignment="1" pivotButton="0" quotePrefix="0" xfId="1">
      <alignment horizontal="left" vertical="center"/>
    </xf>
    <xf numFmtId="168" fontId="171" fillId="38" borderId="93" applyAlignment="1" pivotButton="0" quotePrefix="0" xfId="1">
      <alignment horizontal="left" vertical="center"/>
    </xf>
    <xf numFmtId="168" fontId="171" fillId="38" borderId="90" applyAlignment="1" pivotButton="0" quotePrefix="0" xfId="1">
      <alignment horizontal="left" vertical="center"/>
    </xf>
    <xf numFmtId="168" fontId="171" fillId="21" borderId="93" applyAlignment="1" pivotButton="0" quotePrefix="0" xfId="1">
      <alignment horizontal="left" vertical="center"/>
    </xf>
    <xf numFmtId="168" fontId="166" fillId="38" borderId="93" applyAlignment="1" pivotButton="0" quotePrefix="0" xfId="5749">
      <alignment horizontal="left" vertical="center"/>
    </xf>
    <xf numFmtId="168" fontId="166" fillId="38" borderId="90" applyAlignment="1" pivotButton="0" quotePrefix="0" xfId="5749">
      <alignment horizontal="left" vertical="center"/>
    </xf>
    <xf numFmtId="164" fontId="170" fillId="0" borderId="0" applyAlignment="1" pivotButton="0" quotePrefix="0" xfId="1">
      <alignment vertical="center"/>
    </xf>
    <xf numFmtId="164" fontId="170" fillId="20" borderId="4" applyAlignment="1" pivotButton="0" quotePrefix="0" xfId="1">
      <alignment horizontal="center" vertical="center" wrapText="1"/>
    </xf>
    <xf numFmtId="164" fontId="170" fillId="0" borderId="4" applyAlignment="1" pivotButton="0" quotePrefix="0" xfId="1">
      <alignment horizontal="left" vertical="center"/>
    </xf>
    <xf numFmtId="164" fontId="170" fillId="40" borderId="4" applyAlignment="1" pivotButton="0" quotePrefix="0" xfId="1">
      <alignment horizontal="left" vertical="center"/>
    </xf>
    <xf numFmtId="164" fontId="170" fillId="0" borderId="4" applyAlignment="1" pivotButton="0" quotePrefix="0" xfId="5749">
      <alignment horizontal="left" vertical="center"/>
    </xf>
    <xf numFmtId="164" fontId="170" fillId="21" borderId="3" applyAlignment="1" pivotButton="0" quotePrefix="0" xfId="5749">
      <alignment horizontal="left" vertical="center"/>
    </xf>
    <xf numFmtId="164" fontId="170" fillId="21" borderId="5" applyAlignment="1" pivotButton="0" quotePrefix="0" xfId="5749">
      <alignment horizontal="left" vertical="center"/>
    </xf>
    <xf numFmtId="164" fontId="170" fillId="40" borderId="3" applyAlignment="1" pivotButton="0" quotePrefix="0" xfId="1">
      <alignment horizontal="left" vertical="center"/>
    </xf>
    <xf numFmtId="164" fontId="170" fillId="38" borderId="4" applyAlignment="1" pivotButton="0" quotePrefix="0" xfId="1">
      <alignment horizontal="left" vertical="center"/>
    </xf>
    <xf numFmtId="164" fontId="170" fillId="21" borderId="4" applyAlignment="1" pivotButton="0" quotePrefix="0" xfId="1">
      <alignment horizontal="left" vertical="center"/>
    </xf>
    <xf numFmtId="164" fontId="170" fillId="0" borderId="0" applyAlignment="1" pivotButton="0" quotePrefix="0" xfId="1">
      <alignment horizontal="center" vertical="center" shrinkToFit="1"/>
    </xf>
    <xf numFmtId="168" fontId="166" fillId="21" borderId="92" applyAlignment="1" pivotButton="0" quotePrefix="0" xfId="5749">
      <alignment horizontal="left" vertical="center"/>
    </xf>
    <xf numFmtId="168" fontId="166" fillId="21" borderId="90" applyAlignment="1" pivotButton="0" quotePrefix="0" xfId="5749">
      <alignment horizontal="left" vertical="center"/>
    </xf>
    <xf numFmtId="164" fontId="172" fillId="21" borderId="5" applyAlignment="1" pivotButton="0" quotePrefix="0" xfId="5749">
      <alignment horizontal="left" vertical="center"/>
    </xf>
    <xf numFmtId="168" fontId="166" fillId="40" borderId="90" applyAlignment="1" pivotButton="0" quotePrefix="0" xfId="1">
      <alignment horizontal="left" vertical="center"/>
    </xf>
    <xf numFmtId="168" fontId="166" fillId="21" borderId="93" applyAlignment="1" pivotButton="0" quotePrefix="0" xfId="1">
      <alignment horizontal="left" vertical="center"/>
    </xf>
    <xf numFmtId="168" fontId="166" fillId="38" borderId="93" applyAlignment="1" pivotButton="0" quotePrefix="0" xfId="1">
      <alignment horizontal="left" vertical="center"/>
    </xf>
    <xf numFmtId="0" fontId="162" fillId="38" borderId="25" applyAlignment="1" pivotButton="0" quotePrefix="0" xfId="2">
      <alignment horizontal="left" vertical="center"/>
    </xf>
    <xf numFmtId="0" fontId="162" fillId="0" borderId="105" applyAlignment="1" pivotButton="0" quotePrefix="0" xfId="2">
      <alignment horizontal="center" vertical="center" shrinkToFit="1"/>
    </xf>
    <xf numFmtId="0" fontId="162" fillId="20" borderId="3" applyAlignment="1" pivotButton="0" quotePrefix="0" xfId="15917">
      <alignment horizontal="center" vertical="center"/>
    </xf>
    <xf numFmtId="0" fontId="162" fillId="20" borderId="13" applyAlignment="1" pivotButton="0" quotePrefix="0" xfId="15917">
      <alignment horizontal="center" vertical="center"/>
    </xf>
    <xf numFmtId="0" fontId="162" fillId="20" borderId="9" applyAlignment="1" pivotButton="0" quotePrefix="0" xfId="15917">
      <alignment horizontal="center" vertical="center"/>
    </xf>
    <xf numFmtId="165" fontId="162" fillId="20" borderId="13" applyAlignment="1" pivotButton="0" quotePrefix="0" xfId="1">
      <alignment horizontal="center" vertical="center" shrinkToFit="1"/>
    </xf>
    <xf numFmtId="0" fontId="162" fillId="20" borderId="9" applyAlignment="1" pivotButton="0" quotePrefix="0" xfId="15923">
      <alignment horizontal="center" vertical="center"/>
    </xf>
    <xf numFmtId="164" fontId="161" fillId="20" borderId="3" applyAlignment="1" pivotButton="0" quotePrefix="0" xfId="1">
      <alignment horizontal="center" vertical="center"/>
    </xf>
    <xf numFmtId="0" fontId="162" fillId="38" borderId="3" applyAlignment="1" pivotButton="0" quotePrefix="0" xfId="2">
      <alignment horizontal="center" vertical="center" shrinkToFit="1"/>
    </xf>
    <xf numFmtId="0" fontId="162" fillId="21" borderId="26" applyAlignment="1" pivotButton="0" quotePrefix="0" xfId="15923">
      <alignment horizontal="left" vertical="center"/>
    </xf>
    <xf numFmtId="0" fontId="162" fillId="38" borderId="4" applyAlignment="1" pivotButton="0" quotePrefix="0" xfId="2">
      <alignment vertical="center" wrapText="1"/>
    </xf>
    <xf numFmtId="0" fontId="162" fillId="38" borderId="9" applyAlignment="1" pivotButton="0" quotePrefix="0" xfId="2">
      <alignment horizontal="center" vertical="center"/>
    </xf>
    <xf numFmtId="167" fontId="172" fillId="0" borderId="4" applyAlignment="1" pivotButton="0" quotePrefix="0" xfId="16798">
      <alignment horizontal="center" vertical="center"/>
    </xf>
    <xf numFmtId="165" fontId="172" fillId="0" borderId="4" applyAlignment="1" pivotButton="0" quotePrefix="0" xfId="16798">
      <alignment horizontal="center" vertical="center"/>
    </xf>
    <xf numFmtId="167" fontId="172" fillId="39" borderId="4" applyAlignment="1" pivotButton="0" quotePrefix="0" xfId="16798">
      <alignment horizontal="center" vertical="center"/>
    </xf>
    <xf numFmtId="167" fontId="172" fillId="38" borderId="4" applyAlignment="1" pivotButton="0" quotePrefix="0" xfId="16798">
      <alignment horizontal="center" vertical="center"/>
    </xf>
    <xf numFmtId="165" fontId="172" fillId="38" borderId="4" applyAlignment="1" pivotButton="0" quotePrefix="0" xfId="0">
      <alignment horizontal="center" vertical="center"/>
    </xf>
    <xf numFmtId="165" fontId="172" fillId="38" borderId="4" applyAlignment="1" pivotButton="0" quotePrefix="0" xfId="1">
      <alignment horizontal="right" vertical="center"/>
    </xf>
    <xf numFmtId="0" fontId="172" fillId="0" borderId="65" applyAlignment="1" pivotButton="0" quotePrefix="0" xfId="2">
      <alignment horizontal="center" vertical="center" shrinkToFit="1"/>
    </xf>
    <xf numFmtId="165" fontId="172" fillId="0" borderId="81" applyAlignment="1" pivotButton="0" quotePrefix="0" xfId="1">
      <alignment vertical="center" shrinkToFit="1"/>
    </xf>
    <xf numFmtId="165" fontId="172" fillId="0" borderId="0" applyAlignment="1" pivotButton="0" quotePrefix="0" xfId="1">
      <alignment vertical="center" shrinkToFit="1"/>
    </xf>
    <xf numFmtId="0" fontId="172" fillId="0" borderId="37" applyAlignment="1" pivotButton="0" quotePrefix="0" xfId="0">
      <alignment horizontal="center" vertical="center"/>
    </xf>
    <xf numFmtId="0" fontId="172" fillId="0" borderId="37" applyAlignment="1" pivotButton="0" quotePrefix="0" xfId="2">
      <alignment horizontal="center" vertical="center" shrinkToFit="1"/>
    </xf>
    <xf numFmtId="165" fontId="172" fillId="0" borderId="80" applyAlignment="1" pivotButton="0" quotePrefix="0" xfId="1">
      <alignment vertical="center" shrinkToFit="1"/>
    </xf>
    <xf numFmtId="164" fontId="172" fillId="0" borderId="5" applyAlignment="1" pivotButton="0" quotePrefix="0" xfId="1">
      <alignment horizontal="left" vertical="center"/>
    </xf>
    <xf numFmtId="0" fontId="162" fillId="38" borderId="9" applyAlignment="1" pivotButton="0" quotePrefix="0" xfId="2">
      <alignment vertical="center" shrinkToFit="1"/>
    </xf>
    <xf numFmtId="168" fontId="170" fillId="20" borderId="3" applyAlignment="1" pivotButton="0" quotePrefix="0" xfId="1">
      <alignment horizontal="left" vertical="center" shrinkToFit="1"/>
    </xf>
    <xf numFmtId="168" fontId="171" fillId="38" borderId="90" applyAlignment="1" pivotButton="0" quotePrefix="0" xfId="5749">
      <alignment horizontal="left" vertical="center"/>
    </xf>
    <xf numFmtId="168" fontId="166" fillId="40" borderId="93" applyAlignment="1" pivotButton="0" quotePrefix="0" xfId="1">
      <alignment horizontal="left" vertical="center"/>
    </xf>
    <xf numFmtId="168" fontId="166" fillId="21" borderId="90" applyAlignment="1" pivotButton="0" quotePrefix="0" xfId="1">
      <alignment horizontal="left" vertical="center"/>
    </xf>
    <xf numFmtId="164" fontId="170" fillId="20" borderId="101" applyAlignment="1" pivotButton="0" quotePrefix="0" xfId="1">
      <alignment horizontal="left" vertical="center" shrinkToFit="1"/>
    </xf>
    <xf numFmtId="0" fontId="162" fillId="38" borderId="4" applyAlignment="1" pivotButton="0" quotePrefix="0" xfId="15917">
      <alignment horizontal="left" vertical="center"/>
    </xf>
    <xf numFmtId="0" fontId="162" fillId="38" borderId="4" applyAlignment="1" pivotButton="0" quotePrefix="0" xfId="15917">
      <alignment horizontal="left" vertical="center" wrapText="1"/>
    </xf>
    <xf numFmtId="165" fontId="172" fillId="38" borderId="4" applyAlignment="1" pivotButton="0" quotePrefix="0" xfId="1">
      <alignment horizontal="center" vertical="center"/>
    </xf>
    <xf numFmtId="0" fontId="162" fillId="41" borderId="4" applyAlignment="1" pivotButton="0" quotePrefix="0" xfId="2">
      <alignment vertical="center" shrinkToFit="1"/>
    </xf>
    <xf numFmtId="0" fontId="172" fillId="41" borderId="4" applyAlignment="1" pivotButton="0" quotePrefix="0" xfId="2">
      <alignment horizontal="center" vertical="center" shrinkToFit="1"/>
    </xf>
    <xf numFmtId="165" fontId="172" fillId="41" borderId="4" applyAlignment="1" pivotButton="0" quotePrefix="0" xfId="1">
      <alignment vertical="center" shrinkToFit="1"/>
    </xf>
    <xf numFmtId="164" fontId="172" fillId="41" borderId="3" applyAlignment="1" pivotButton="0" quotePrefix="0" xfId="1">
      <alignment horizontal="left" vertical="center"/>
    </xf>
    <xf numFmtId="167" fontId="162" fillId="41" borderId="91" applyAlignment="1" pivotButton="0" quotePrefix="0" xfId="1">
      <alignment horizontal="center" vertical="center"/>
    </xf>
    <xf numFmtId="0" fontId="162" fillId="41" borderId="4" applyAlignment="1" pivotButton="0" quotePrefix="0" xfId="2">
      <alignment horizontal="center" vertical="center" shrinkToFit="1"/>
    </xf>
    <xf numFmtId="165" fontId="162" fillId="41" borderId="3" applyAlignment="1" pivotButton="0" quotePrefix="0" xfId="1">
      <alignment vertical="center" shrinkToFit="1"/>
    </xf>
    <xf numFmtId="164" fontId="170" fillId="41" borderId="4" applyAlignment="1" pivotButton="0" quotePrefix="0" xfId="1">
      <alignment horizontal="left" vertical="center"/>
    </xf>
    <xf numFmtId="168" fontId="166" fillId="41" borderId="93" applyAlignment="1" pivotButton="0" quotePrefix="0" xfId="1">
      <alignment horizontal="left" vertical="center"/>
    </xf>
    <xf numFmtId="165" fontId="162" fillId="41" borderId="9" applyAlignment="1" pivotButton="0" quotePrefix="0" xfId="1">
      <alignment horizontal="center" vertical="center"/>
    </xf>
    <xf numFmtId="165" fontId="162" fillId="41" borderId="4" applyAlignment="1" pivotButton="0" quotePrefix="0" xfId="1">
      <alignment vertical="center" shrinkToFit="1"/>
    </xf>
    <xf numFmtId="164" fontId="172" fillId="41" borderId="3" applyAlignment="1" pivotButton="0" quotePrefix="0" xfId="5749">
      <alignment horizontal="left" vertical="center"/>
    </xf>
    <xf numFmtId="0" fontId="162" fillId="41" borderId="89" applyAlignment="1" pivotButton="0" quotePrefix="0" xfId="2">
      <alignment horizontal="center" vertical="center" shrinkToFit="1"/>
    </xf>
    <xf numFmtId="164" fontId="170" fillId="41" borderId="4" applyAlignment="1" pivotButton="0" quotePrefix="0" xfId="5749">
      <alignment horizontal="left" vertical="center"/>
    </xf>
    <xf numFmtId="168" fontId="166" fillId="41" borderId="90" applyAlignment="1" pivotButton="0" quotePrefix="0" xfId="5749">
      <alignment horizontal="left" vertical="center"/>
    </xf>
    <xf numFmtId="169" fontId="169" fillId="0" borderId="3" applyAlignment="1" pivotButton="0" quotePrefix="0" xfId="15899">
      <alignment horizontal="left" vertical="center" shrinkToFit="1"/>
    </xf>
    <xf numFmtId="0" fontId="162" fillId="41" borderId="77" applyAlignment="1" pivotButton="0" quotePrefix="0" xfId="2">
      <alignment vertical="center" shrinkToFit="1"/>
    </xf>
    <xf numFmtId="0" fontId="172" fillId="41" borderId="70" applyAlignment="1" pivotButton="0" quotePrefix="0" xfId="2">
      <alignment horizontal="center" vertical="center" shrinkToFit="1"/>
    </xf>
    <xf numFmtId="165" fontId="172" fillId="41" borderId="3" applyAlignment="1" pivotButton="0" quotePrefix="0" xfId="1">
      <alignment vertical="center" shrinkToFit="1"/>
    </xf>
    <xf numFmtId="164" fontId="162" fillId="41" borderId="3" applyAlignment="1" pivotButton="0" quotePrefix="0" xfId="1">
      <alignment horizontal="center" vertical="center"/>
    </xf>
    <xf numFmtId="165" fontId="162" fillId="41" borderId="3" applyAlignment="1" pivotButton="0" quotePrefix="0" xfId="1">
      <alignment horizontal="left" vertical="center"/>
    </xf>
    <xf numFmtId="164" fontId="161" fillId="20" borderId="4" applyAlignment="1" pivotButton="0" quotePrefix="0" xfId="1">
      <alignment horizontal="center" vertical="center" shrinkToFit="1"/>
    </xf>
    <xf numFmtId="0" fontId="161" fillId="20" borderId="109" applyAlignment="1" pivotButton="0" quotePrefix="0" xfId="15923">
      <alignment vertical="center"/>
    </xf>
    <xf numFmtId="164" fontId="173" fillId="42" borderId="4" applyAlignment="1" pivotButton="0" quotePrefix="0" xfId="1">
      <alignment horizontal="left" vertical="center" shrinkToFit="1"/>
    </xf>
    <xf numFmtId="0" fontId="162" fillId="38" borderId="17" applyAlignment="1" pivotButton="0" quotePrefix="0" xfId="2">
      <alignment horizontal="center" vertical="center"/>
    </xf>
    <xf numFmtId="0" fontId="162" fillId="38" borderId="25" applyAlignment="1" pivotButton="0" quotePrefix="0" xfId="2">
      <alignment horizontal="center" vertical="center"/>
    </xf>
    <xf numFmtId="0" fontId="162" fillId="38" borderId="17" applyAlignment="1" pivotButton="0" quotePrefix="0" xfId="2">
      <alignment horizontal="left" vertical="center"/>
    </xf>
    <xf numFmtId="164" fontId="172" fillId="21" borderId="5" applyAlignment="1" pivotButton="0" quotePrefix="0" xfId="1">
      <alignment horizontal="left" vertical="center"/>
    </xf>
    <xf numFmtId="0" fontId="163" fillId="43" borderId="4" applyAlignment="1" pivotButton="0" quotePrefix="0" xfId="0">
      <alignment horizontal="left" vertical="center" wrapText="1"/>
    </xf>
    <xf numFmtId="167" fontId="172" fillId="43" borderId="4" applyAlignment="1" pivotButton="0" quotePrefix="0" xfId="0">
      <alignment horizontal="center" vertical="center" wrapText="1"/>
    </xf>
    <xf numFmtId="165" fontId="172" fillId="43" borderId="4" applyAlignment="1" pivotButton="0" quotePrefix="0" xfId="0">
      <alignment horizontal="center" vertical="center"/>
    </xf>
    <xf numFmtId="165" fontId="172" fillId="43" borderId="4" applyAlignment="1" pivotButton="0" quotePrefix="0" xfId="1">
      <alignment horizontal="right" vertical="center"/>
    </xf>
    <xf numFmtId="164" fontId="172" fillId="43" borderId="3" applyAlignment="1" pivotButton="0" quotePrefix="0" xfId="5749">
      <alignment horizontal="left" vertical="center"/>
    </xf>
    <xf numFmtId="167" fontId="163" fillId="43" borderId="89" applyAlignment="1" pivotButton="0" quotePrefix="0" xfId="0">
      <alignment horizontal="center" vertical="center" wrapText="1"/>
    </xf>
    <xf numFmtId="165" fontId="162" fillId="43" borderId="4" applyAlignment="1" pivotButton="0" quotePrefix="0" xfId="0">
      <alignment horizontal="center" vertical="center"/>
    </xf>
    <xf numFmtId="165" fontId="163" fillId="43" borderId="4" applyAlignment="1" pivotButton="0" quotePrefix="0" xfId="1">
      <alignment horizontal="right" vertical="center"/>
    </xf>
    <xf numFmtId="164" fontId="170" fillId="43" borderId="4" applyAlignment="1" pivotButton="0" quotePrefix="0" xfId="5749">
      <alignment horizontal="left" vertical="center"/>
    </xf>
    <xf numFmtId="0" fontId="162" fillId="43" borderId="4" applyAlignment="1" pivotButton="0" quotePrefix="0" xfId="2">
      <alignment vertical="center" shrinkToFit="1"/>
    </xf>
    <xf numFmtId="0" fontId="172" fillId="43" borderId="4" applyAlignment="1" pivotButton="0" quotePrefix="0" xfId="2">
      <alignment horizontal="center" vertical="center" shrinkToFit="1"/>
    </xf>
    <xf numFmtId="165" fontId="172" fillId="43" borderId="4" applyAlignment="1" pivotButton="0" quotePrefix="0" xfId="1">
      <alignment vertical="center" shrinkToFit="1"/>
    </xf>
    <xf numFmtId="164" fontId="172" fillId="43" borderId="3" applyAlignment="1" pivotButton="0" quotePrefix="0" xfId="1">
      <alignment horizontal="left" vertical="center"/>
    </xf>
    <xf numFmtId="167" fontId="162" fillId="43" borderId="91" applyAlignment="1" pivotButton="0" quotePrefix="0" xfId="1">
      <alignment horizontal="center" vertical="center"/>
    </xf>
    <xf numFmtId="0" fontId="162" fillId="43" borderId="65" applyAlignment="1" pivotButton="0" quotePrefix="0" xfId="2">
      <alignment horizontal="center" vertical="center" shrinkToFit="1"/>
    </xf>
    <xf numFmtId="165" fontId="162" fillId="43" borderId="0" applyAlignment="1" pivotButton="0" quotePrefix="0" xfId="1">
      <alignment vertical="center" shrinkToFit="1"/>
    </xf>
    <xf numFmtId="164" fontId="170" fillId="43" borderId="4" applyAlignment="1" pivotButton="0" quotePrefix="0" xfId="1">
      <alignment horizontal="left" vertical="center"/>
    </xf>
    <xf numFmtId="168" fontId="166" fillId="43" borderId="93" applyAlignment="1" pivotButton="0" quotePrefix="0" xfId="1">
      <alignment horizontal="left" vertical="center"/>
    </xf>
    <xf numFmtId="165" fontId="162" fillId="43" borderId="80" applyAlignment="1" pivotButton="0" quotePrefix="0" xfId="1">
      <alignment horizontal="center" vertical="center"/>
    </xf>
    <xf numFmtId="0" fontId="162" fillId="43" borderId="4" applyAlignment="1" pivotButton="0" quotePrefix="0" xfId="2">
      <alignment horizontal="center" vertical="center"/>
    </xf>
    <xf numFmtId="167" fontId="162" fillId="43" borderId="99" applyAlignment="1" pivotButton="0" quotePrefix="0" xfId="1">
      <alignment horizontal="center" vertical="center"/>
    </xf>
    <xf numFmtId="0" fontId="162" fillId="43" borderId="77" applyAlignment="1" pivotButton="0" quotePrefix="0" xfId="2">
      <alignment horizontal="center" vertical="center" shrinkToFit="1"/>
    </xf>
    <xf numFmtId="165" fontId="162" fillId="43" borderId="26" applyAlignment="1" pivotButton="0" quotePrefix="0" xfId="1">
      <alignment vertical="center" shrinkToFit="1"/>
    </xf>
    <xf numFmtId="168" fontId="166" fillId="43" borderId="13" applyAlignment="1" pivotButton="0" quotePrefix="0" xfId="1">
      <alignment horizontal="left" vertical="center"/>
    </xf>
    <xf numFmtId="165" fontId="162" fillId="43" borderId="4" applyAlignment="1" pivotButton="0" quotePrefix="0" xfId="1">
      <alignment horizontal="center" vertical="center"/>
    </xf>
    <xf numFmtId="0" fontId="162" fillId="43" borderId="4" applyAlignment="1" pivotButton="0" quotePrefix="0" xfId="2">
      <alignment horizontal="center" vertical="center" shrinkToFit="1"/>
    </xf>
    <xf numFmtId="165" fontId="162" fillId="43" borderId="4" applyAlignment="1" pivotButton="0" quotePrefix="0" xfId="1">
      <alignment vertical="center" shrinkToFit="1"/>
    </xf>
    <xf numFmtId="0" fontId="162" fillId="43" borderId="4" applyAlignment="1" pivotButton="0" quotePrefix="0" xfId="2">
      <alignment horizontal="left" vertical="center"/>
    </xf>
    <xf numFmtId="0" fontId="162" fillId="43" borderId="4" applyAlignment="1" pivotButton="0" quotePrefix="0" xfId="2">
      <alignment vertical="center"/>
    </xf>
    <xf numFmtId="0" fontId="172" fillId="43" borderId="4" applyAlignment="1" pivotButton="0" quotePrefix="0" xfId="0">
      <alignment horizontal="center" vertical="center"/>
    </xf>
    <xf numFmtId="0" fontId="162" fillId="43" borderId="37" applyAlignment="1" pivotButton="0" quotePrefix="0" xfId="2">
      <alignment horizontal="center" vertical="center" shrinkToFit="1"/>
    </xf>
    <xf numFmtId="165" fontId="162" fillId="43" borderId="80" applyAlignment="1" pivotButton="0" quotePrefix="0" xfId="1">
      <alignment vertical="center" shrinkToFit="1"/>
    </xf>
    <xf numFmtId="165" fontId="162" fillId="43" borderId="9" applyAlignment="1" pivotButton="0" quotePrefix="0" xfId="1">
      <alignment horizontal="center" vertical="center"/>
    </xf>
    <xf numFmtId="0" fontId="162" fillId="43" borderId="4" applyAlignment="1" pivotButton="0" quotePrefix="0" xfId="2">
      <alignment horizontal="left" vertical="center" wrapText="1"/>
    </xf>
    <xf numFmtId="0" fontId="162" fillId="43" borderId="4" applyAlignment="1" pivotButton="0" quotePrefix="0" xfId="15917">
      <alignment horizontal="left" vertical="center"/>
    </xf>
    <xf numFmtId="0" fontId="172" fillId="43" borderId="4" applyAlignment="1" pivotButton="0" quotePrefix="0" xfId="15917">
      <alignment horizontal="center" vertical="center"/>
    </xf>
    <xf numFmtId="165" fontId="172" fillId="43" borderId="4" applyAlignment="1" pivotButton="0" quotePrefix="0" xfId="1">
      <alignment horizontal="center" vertical="center"/>
    </xf>
    <xf numFmtId="0" fontId="162" fillId="43" borderId="4" applyAlignment="1" pivotButton="0" quotePrefix="0" xfId="15917">
      <alignment horizontal="center" vertical="center"/>
    </xf>
    <xf numFmtId="167" fontId="162" fillId="43" borderId="89" applyAlignment="1" pivotButton="0" quotePrefix="0" xfId="1">
      <alignment horizontal="center" vertical="center"/>
    </xf>
    <xf numFmtId="164" fontId="166" fillId="21" borderId="90" applyAlignment="1" pivotButton="0" quotePrefix="0" xfId="1">
      <alignment horizontal="left" vertical="center"/>
    </xf>
    <xf numFmtId="168" fontId="166" fillId="43" borderId="90" applyAlignment="1" pivotButton="0" quotePrefix="0" xfId="5749">
      <alignment horizontal="left" vertical="center"/>
    </xf>
    <xf numFmtId="0" fontId="162" fillId="45" borderId="4" applyAlignment="1" pivotButton="0" quotePrefix="0" xfId="2">
      <alignment horizontal="center" vertical="center"/>
    </xf>
    <xf numFmtId="0" fontId="162" fillId="45" borderId="4" applyAlignment="1" pivotButton="0" quotePrefix="0" xfId="15917">
      <alignment horizontal="left" vertical="center"/>
    </xf>
    <xf numFmtId="0" fontId="172" fillId="45" borderId="4" applyAlignment="1" pivotButton="0" quotePrefix="0" xfId="2">
      <alignment horizontal="center" vertical="center" shrinkToFit="1"/>
    </xf>
    <xf numFmtId="165" fontId="172" fillId="45" borderId="4" applyAlignment="1" pivotButton="0" quotePrefix="0" xfId="1">
      <alignment horizontal="center" vertical="center"/>
    </xf>
    <xf numFmtId="164" fontId="172" fillId="45" borderId="3" applyAlignment="1" pivotButton="0" quotePrefix="0" xfId="1">
      <alignment horizontal="left" vertical="center"/>
    </xf>
    <xf numFmtId="167" fontId="162" fillId="45" borderId="91" applyAlignment="1" pivotButton="0" quotePrefix="0" xfId="1">
      <alignment horizontal="center" vertical="center"/>
    </xf>
    <xf numFmtId="0" fontId="162" fillId="45" borderId="4" applyAlignment="1" pivotButton="0" quotePrefix="0" xfId="2">
      <alignment horizontal="center" vertical="center" shrinkToFit="1"/>
    </xf>
    <xf numFmtId="165" fontId="162" fillId="45" borderId="4" applyAlignment="1" pivotButton="0" quotePrefix="0" xfId="1">
      <alignment horizontal="center" vertical="center"/>
    </xf>
    <xf numFmtId="164" fontId="170" fillId="45" borderId="4" applyAlignment="1" pivotButton="0" quotePrefix="0" xfId="1">
      <alignment horizontal="left" vertical="center"/>
    </xf>
    <xf numFmtId="165" fontId="162" fillId="45" borderId="9" applyAlignment="1" pivotButton="0" quotePrefix="0" xfId="1">
      <alignment horizontal="center" vertical="center"/>
    </xf>
    <xf numFmtId="165" fontId="172" fillId="45" borderId="4" applyAlignment="1" pivotButton="0" quotePrefix="0" xfId="1">
      <alignment vertical="center" shrinkToFit="1"/>
    </xf>
    <xf numFmtId="165" fontId="162" fillId="45" borderId="4" applyAlignment="1" pivotButton="0" quotePrefix="0" xfId="1">
      <alignment vertical="center" shrinkToFit="1"/>
    </xf>
    <xf numFmtId="0" fontId="172" fillId="45" borderId="4" applyAlignment="1" pivotButton="0" quotePrefix="0" xfId="15917">
      <alignment horizontal="center" vertical="center"/>
    </xf>
    <xf numFmtId="0" fontId="162" fillId="45" borderId="4" applyAlignment="1" pivotButton="0" quotePrefix="0" xfId="15917">
      <alignment horizontal="center" vertical="center"/>
    </xf>
    <xf numFmtId="168" fontId="166" fillId="45" borderId="93" applyAlignment="1" pivotButton="0" quotePrefix="0" xfId="1">
      <alignment horizontal="left" vertical="center"/>
    </xf>
    <xf numFmtId="0" fontId="162" fillId="45" borderId="4" applyAlignment="1" pivotButton="0" quotePrefix="0" xfId="2">
      <alignment horizontal="left" vertical="center"/>
    </xf>
    <xf numFmtId="0" fontId="162" fillId="45" borderId="4" applyAlignment="1" pivotButton="0" quotePrefix="0" xfId="2">
      <alignment vertical="center"/>
    </xf>
    <xf numFmtId="0" fontId="162" fillId="45" borderId="4" applyAlignment="1" pivotButton="0" quotePrefix="0" xfId="2">
      <alignment vertical="center" shrinkToFit="1"/>
    </xf>
    <xf numFmtId="164" fontId="172" fillId="45" borderId="3" applyAlignment="1" pivotButton="0" quotePrefix="0" xfId="5749">
      <alignment horizontal="left" vertical="center"/>
    </xf>
    <xf numFmtId="0" fontId="162" fillId="45" borderId="89" applyAlignment="1" pivotButton="0" quotePrefix="0" xfId="2">
      <alignment horizontal="center" vertical="center" shrinkToFit="1"/>
    </xf>
    <xf numFmtId="164" fontId="170" fillId="45" borderId="4" applyAlignment="1" pivotButton="0" quotePrefix="0" xfId="5749">
      <alignment horizontal="left" vertical="center"/>
    </xf>
    <xf numFmtId="168" fontId="171" fillId="45" borderId="90" applyAlignment="1" pivotButton="0" quotePrefix="0" xfId="5749">
      <alignment horizontal="left" vertical="center"/>
    </xf>
    <xf numFmtId="0" fontId="162" fillId="45" borderId="36" applyAlignment="1" pivotButton="0" quotePrefix="0" xfId="2">
      <alignment vertical="center"/>
    </xf>
    <xf numFmtId="0" fontId="172" fillId="45" borderId="36" applyAlignment="1" pivotButton="0" quotePrefix="0" xfId="2">
      <alignment horizontal="center" vertical="center"/>
    </xf>
    <xf numFmtId="165" fontId="172" fillId="45" borderId="60" applyAlignment="1" pivotButton="0" quotePrefix="0" xfId="1">
      <alignment vertical="center"/>
    </xf>
    <xf numFmtId="0" fontId="162" fillId="45" borderId="97" applyAlignment="1" pivotButton="0" quotePrefix="0" xfId="2">
      <alignment horizontal="center" vertical="center"/>
    </xf>
    <xf numFmtId="0" fontId="162" fillId="45" borderId="36" applyAlignment="1" pivotButton="0" quotePrefix="0" xfId="2">
      <alignment horizontal="center" vertical="center"/>
    </xf>
    <xf numFmtId="165" fontId="162" fillId="45" borderId="60" applyAlignment="1" pivotButton="0" quotePrefix="0" xfId="1">
      <alignment vertical="center"/>
    </xf>
    <xf numFmtId="168" fontId="171" fillId="45" borderId="93" applyAlignment="1" pivotButton="0" quotePrefix="0" xfId="1">
      <alignment horizontal="left" vertical="center"/>
    </xf>
    <xf numFmtId="165" fontId="162" fillId="45" borderId="60" applyAlignment="1" pivotButton="0" quotePrefix="0" xfId="1">
      <alignment horizontal="center" vertical="center"/>
    </xf>
    <xf numFmtId="0" fontId="162" fillId="45" borderId="9" applyAlignment="1" pivotButton="0" quotePrefix="0" xfId="2">
      <alignment vertical="center" shrinkToFit="1"/>
    </xf>
    <xf numFmtId="164" fontId="162" fillId="45" borderId="3" applyAlignment="1" pivotButton="0" quotePrefix="0" xfId="1">
      <alignment horizontal="center" vertical="center"/>
    </xf>
    <xf numFmtId="165" fontId="162" fillId="45" borderId="3" applyAlignment="1" pivotButton="0" quotePrefix="0" xfId="1">
      <alignment horizontal="left" vertical="center"/>
    </xf>
    <xf numFmtId="0" fontId="162" fillId="45" borderId="77" applyAlignment="1" pivotButton="0" quotePrefix="0" xfId="2">
      <alignment vertical="center" shrinkToFit="1"/>
    </xf>
    <xf numFmtId="0" fontId="172" fillId="45" borderId="70" applyAlignment="1" pivotButton="0" quotePrefix="0" xfId="2">
      <alignment horizontal="center" vertical="center" shrinkToFit="1"/>
    </xf>
    <xf numFmtId="165" fontId="172" fillId="45" borderId="3" applyAlignment="1" pivotButton="0" quotePrefix="0" xfId="1">
      <alignment vertical="center" shrinkToFit="1"/>
    </xf>
    <xf numFmtId="165" fontId="162" fillId="45" borderId="3" applyAlignment="1" pivotButton="0" quotePrefix="0" xfId="1">
      <alignment vertical="center" shrinkToFit="1"/>
    </xf>
    <xf numFmtId="0" fontId="162" fillId="38" borderId="26" applyAlignment="1" pivotButton="0" quotePrefix="0" xfId="2">
      <alignment vertical="center"/>
    </xf>
    <xf numFmtId="0" fontId="162" fillId="38" borderId="25" applyAlignment="1" pivotButton="0" quotePrefix="0" xfId="2">
      <alignment vertical="center"/>
    </xf>
    <xf numFmtId="0" fontId="162" fillId="38" borderId="17" applyAlignment="1" pivotButton="0" quotePrefix="0" xfId="2">
      <alignment vertical="center"/>
    </xf>
    <xf numFmtId="0" fontId="162" fillId="45" borderId="25" applyAlignment="1" pivotButton="0" quotePrefix="0" xfId="2">
      <alignment vertical="center"/>
    </xf>
    <xf numFmtId="0" fontId="162" fillId="45" borderId="9" applyAlignment="1" pivotButton="0" quotePrefix="0" xfId="15917">
      <alignment horizontal="center" vertical="center"/>
    </xf>
    <xf numFmtId="167" fontId="162" fillId="45" borderId="89" applyAlignment="1" pivotButton="0" quotePrefix="0" xfId="1">
      <alignment horizontal="center" vertical="center"/>
    </xf>
    <xf numFmtId="167" fontId="162" fillId="45" borderId="4" applyAlignment="1" pivotButton="0" quotePrefix="0" xfId="1">
      <alignment horizontal="center" vertical="center"/>
    </xf>
    <xf numFmtId="168" fontId="166" fillId="45" borderId="3" applyAlignment="1" pivotButton="0" quotePrefix="0" xfId="1">
      <alignment horizontal="left" vertical="center"/>
    </xf>
    <xf numFmtId="0" fontId="162" fillId="45" borderId="77" applyAlignment="1" pivotButton="0" quotePrefix="0" xfId="2">
      <alignment vertical="center" wrapText="1" shrinkToFit="1"/>
    </xf>
    <xf numFmtId="0" fontId="162" fillId="45" borderId="3" applyAlignment="1" pivotButton="0" quotePrefix="0" xfId="2">
      <alignment horizontal="center" vertical="center" shrinkToFit="1"/>
    </xf>
    <xf numFmtId="0" fontId="162" fillId="45" borderId="17" applyAlignment="1" pivotButton="0" quotePrefix="0" xfId="2">
      <alignment horizontal="center" vertical="center"/>
    </xf>
    <xf numFmtId="0" fontId="162" fillId="38" borderId="17" applyAlignment="1" pivotButton="0" quotePrefix="0" xfId="2">
      <alignment horizontal="center" vertical="center"/>
    </xf>
    <xf numFmtId="0" fontId="162" fillId="0" borderId="4" applyAlignment="1" pivotButton="0" quotePrefix="0" xfId="2">
      <alignment horizontal="center" vertical="center"/>
    </xf>
    <xf numFmtId="0" fontId="162" fillId="46" borderId="4" applyAlignment="1" pivotButton="0" quotePrefix="0" xfId="2">
      <alignment vertical="center"/>
    </xf>
    <xf numFmtId="0" fontId="172" fillId="46" borderId="4" applyAlignment="1" pivotButton="0" quotePrefix="0" xfId="2">
      <alignment horizontal="center" vertical="center"/>
    </xf>
    <xf numFmtId="165" fontId="172" fillId="46" borderId="4" applyAlignment="1" pivotButton="0" quotePrefix="0" xfId="1">
      <alignment vertical="center"/>
    </xf>
    <xf numFmtId="164" fontId="172" fillId="46" borderId="3" applyAlignment="1" pivotButton="0" quotePrefix="0" xfId="5749">
      <alignment horizontal="left" vertical="center"/>
    </xf>
    <xf numFmtId="167" fontId="162" fillId="46" borderId="89" applyAlignment="1" pivotButton="0" quotePrefix="0" xfId="2">
      <alignment horizontal="center" vertical="center"/>
    </xf>
    <xf numFmtId="0" fontId="162" fillId="46" borderId="4" applyAlignment="1" pivotButton="0" quotePrefix="0" xfId="2">
      <alignment horizontal="center" vertical="center"/>
    </xf>
    <xf numFmtId="165" fontId="162" fillId="46" borderId="4" applyAlignment="1" pivotButton="0" quotePrefix="0" xfId="1">
      <alignment vertical="center"/>
    </xf>
    <xf numFmtId="164" fontId="170" fillId="46" borderId="4" applyAlignment="1" pivotButton="0" quotePrefix="0" xfId="5749">
      <alignment horizontal="left" vertical="center"/>
    </xf>
    <xf numFmtId="168" fontId="171" fillId="46" borderId="93" applyAlignment="1" pivotButton="0" quotePrefix="0" xfId="5749">
      <alignment horizontal="left" vertical="center"/>
    </xf>
    <xf numFmtId="0" fontId="162" fillId="46" borderId="60" applyAlignment="1" pivotButton="0" quotePrefix="0" xfId="5749">
      <alignment horizontal="center" vertical="center"/>
    </xf>
    <xf numFmtId="168" fontId="166" fillId="46" borderId="93" applyAlignment="1" pivotButton="0" quotePrefix="0" xfId="5749">
      <alignment horizontal="left" vertical="center"/>
    </xf>
    <xf numFmtId="0" fontId="162" fillId="46" borderId="4" applyAlignment="1" pivotButton="0" quotePrefix="0" xfId="0">
      <alignment horizontal="left" vertical="center" wrapText="1"/>
    </xf>
    <xf numFmtId="0" fontId="172" fillId="46" borderId="4" applyAlignment="1" pivotButton="0" quotePrefix="0" xfId="0">
      <alignment horizontal="center" vertical="center" wrapText="1"/>
    </xf>
    <xf numFmtId="0" fontId="162" fillId="46" borderId="4" applyAlignment="1" pivotButton="0" quotePrefix="0" xfId="0">
      <alignment horizontal="center" vertical="center" wrapText="1"/>
    </xf>
    <xf numFmtId="0" fontId="172" fillId="46" borderId="4" applyAlignment="1" pivotButton="0" quotePrefix="0" xfId="0">
      <alignment horizontal="center" vertical="center"/>
    </xf>
    <xf numFmtId="167" fontId="162" fillId="46" borderId="89" applyAlignment="1" pivotButton="0" quotePrefix="0" xfId="0">
      <alignment horizontal="center" vertical="center"/>
    </xf>
    <xf numFmtId="0" fontId="162" fillId="46" borderId="4" applyAlignment="1" pivotButton="0" quotePrefix="0" xfId="2">
      <alignment horizontal="left" vertical="center"/>
    </xf>
    <xf numFmtId="164" fontId="172" fillId="46" borderId="3" applyAlignment="1" pivotButton="0" quotePrefix="0" xfId="1">
      <alignment horizontal="left" vertical="center"/>
    </xf>
    <xf numFmtId="0" fontId="162" fillId="46" borderId="89" applyAlignment="1" pivotButton="0" quotePrefix="0" xfId="2">
      <alignment horizontal="center" vertical="center"/>
    </xf>
    <xf numFmtId="165" fontId="162" fillId="46" borderId="4" applyAlignment="1" pivotButton="0" quotePrefix="0" xfId="1">
      <alignment vertical="center"/>
    </xf>
    <xf numFmtId="164" fontId="170" fillId="46" borderId="4" applyAlignment="1" pivotButton="0" quotePrefix="0" xfId="1">
      <alignment horizontal="left" vertical="center"/>
    </xf>
    <xf numFmtId="168" fontId="161" fillId="46" borderId="93" applyAlignment="1" pivotButton="0" quotePrefix="0" xfId="1">
      <alignment horizontal="left" vertical="center"/>
    </xf>
    <xf numFmtId="165" fontId="162" fillId="46" borderId="80" applyAlignment="1" pivotButton="0" quotePrefix="0" xfId="1">
      <alignment horizontal="center" vertical="center"/>
    </xf>
    <xf numFmtId="0" fontId="162" fillId="46" borderId="4" applyAlignment="1" pivotButton="0" quotePrefix="0" xfId="2">
      <alignment vertical="center" shrinkToFit="1"/>
    </xf>
    <xf numFmtId="0" fontId="172" fillId="46" borderId="4" applyAlignment="1" pivotButton="0" quotePrefix="0" xfId="2">
      <alignment horizontal="center" vertical="center" shrinkToFit="1"/>
    </xf>
    <xf numFmtId="165" fontId="172" fillId="46" borderId="4" applyAlignment="1" pivotButton="0" quotePrefix="0" xfId="1">
      <alignment vertical="center" shrinkToFit="1"/>
    </xf>
    <xf numFmtId="0" fontId="162" fillId="46" borderId="89" applyAlignment="1" pivotButton="0" quotePrefix="0" xfId="2">
      <alignment horizontal="center" vertical="center" shrinkToFit="1"/>
    </xf>
    <xf numFmtId="0" fontId="162" fillId="46" borderId="4" applyAlignment="1" pivotButton="0" quotePrefix="0" xfId="2">
      <alignment horizontal="center" vertical="center" shrinkToFit="1"/>
    </xf>
    <xf numFmtId="165" fontId="162" fillId="46" borderId="4" applyAlignment="1" pivotButton="0" quotePrefix="0" xfId="1">
      <alignment vertical="center" shrinkToFit="1"/>
    </xf>
    <xf numFmtId="168" fontId="166" fillId="46" borderId="90" applyAlignment="1" pivotButton="0" quotePrefix="0" xfId="5749">
      <alignment horizontal="left" vertical="center"/>
    </xf>
    <xf numFmtId="165" fontId="162" fillId="46" borderId="9" applyAlignment="1" pivotButton="0" quotePrefix="0" xfId="1">
      <alignment horizontal="center" vertical="center"/>
    </xf>
    <xf numFmtId="0" fontId="162" fillId="46" borderId="36" applyAlignment="1" pivotButton="0" quotePrefix="0" xfId="2">
      <alignment vertical="center"/>
    </xf>
    <xf numFmtId="0" fontId="172" fillId="46" borderId="36" applyAlignment="1" pivotButton="0" quotePrefix="0" xfId="2">
      <alignment horizontal="center" vertical="center"/>
    </xf>
    <xf numFmtId="165" fontId="172" fillId="46" borderId="60" applyAlignment="1" pivotButton="0" quotePrefix="0" xfId="1">
      <alignment vertical="center"/>
    </xf>
    <xf numFmtId="0" fontId="162" fillId="46" borderId="97" applyAlignment="1" pivotButton="0" quotePrefix="0" xfId="2">
      <alignment horizontal="center" vertical="center"/>
    </xf>
    <xf numFmtId="0" fontId="162" fillId="46" borderId="36" applyAlignment="1" pivotButton="0" quotePrefix="0" xfId="2">
      <alignment horizontal="center" vertical="center"/>
    </xf>
    <xf numFmtId="165" fontId="162" fillId="46" borderId="60" applyAlignment="1" pivotButton="0" quotePrefix="0" xfId="1">
      <alignment vertical="center"/>
    </xf>
    <xf numFmtId="165" fontId="162" fillId="46" borderId="60" applyAlignment="1" pivotButton="0" quotePrefix="0" xfId="1">
      <alignment horizontal="center" vertical="center"/>
    </xf>
    <xf numFmtId="0" fontId="162" fillId="46" borderId="37" applyAlignment="1" pivotButton="0" quotePrefix="0" xfId="2">
      <alignment vertical="center"/>
    </xf>
    <xf numFmtId="0" fontId="172" fillId="46" borderId="37" applyAlignment="1" pivotButton="0" quotePrefix="0" xfId="2">
      <alignment horizontal="center" vertical="center"/>
    </xf>
    <xf numFmtId="165" fontId="172" fillId="46" borderId="62" applyAlignment="1" pivotButton="0" quotePrefix="0" xfId="1">
      <alignment vertical="center"/>
    </xf>
    <xf numFmtId="0" fontId="162" fillId="46" borderId="98" applyAlignment="1" pivotButton="0" quotePrefix="0" xfId="2">
      <alignment horizontal="center" vertical="center"/>
    </xf>
    <xf numFmtId="0" fontId="162" fillId="46" borderId="37" applyAlignment="1" pivotButton="0" quotePrefix="0" xfId="2">
      <alignment horizontal="center" vertical="center"/>
    </xf>
    <xf numFmtId="165" fontId="162" fillId="46" borderId="62" applyAlignment="1" pivotButton="0" quotePrefix="0" xfId="1">
      <alignment vertical="center"/>
    </xf>
    <xf numFmtId="165" fontId="162" fillId="46" borderId="62" applyAlignment="1" pivotButton="0" quotePrefix="0" xfId="1">
      <alignment horizontal="center" vertical="center"/>
    </xf>
    <xf numFmtId="167" fontId="162" fillId="46" borderId="91" applyAlignment="1" pivotButton="0" quotePrefix="0" xfId="1">
      <alignment horizontal="center" vertical="center"/>
    </xf>
    <xf numFmtId="168" fontId="166" fillId="46" borderId="93" applyAlignment="1" pivotButton="0" quotePrefix="0" xfId="1">
      <alignment horizontal="left" vertical="center"/>
    </xf>
    <xf numFmtId="0" fontId="162" fillId="46" borderId="17" applyAlignment="1" pivotButton="0" quotePrefix="0" xfId="2">
      <alignment vertical="center"/>
    </xf>
    <xf numFmtId="0" fontId="162" fillId="46" borderId="4" applyAlignment="1" pivotButton="0" quotePrefix="0" xfId="2">
      <alignment horizontal="center" vertical="center" wrapText="1"/>
    </xf>
    <xf numFmtId="0" fontId="162" fillId="46" borderId="9" applyAlignment="1" pivotButton="0" quotePrefix="0" xfId="2">
      <alignment vertical="center" shrinkToFit="1"/>
    </xf>
    <xf numFmtId="164" fontId="162" fillId="46" borderId="3" applyAlignment="1" pivotButton="0" quotePrefix="0" xfId="1">
      <alignment horizontal="center" vertical="center"/>
    </xf>
    <xf numFmtId="165" fontId="162" fillId="46" borderId="3" applyAlignment="1" pivotButton="0" quotePrefix="0" xfId="1">
      <alignment horizontal="left" vertical="center"/>
    </xf>
    <xf numFmtId="164" fontId="162" fillId="46" borderId="4" applyAlignment="1" pivotButton="0" quotePrefix="0" xfId="1">
      <alignment horizontal="center" vertical="center"/>
    </xf>
    <xf numFmtId="165" fontId="162" fillId="46" borderId="4" applyAlignment="1" pivotButton="0" quotePrefix="0" xfId="1">
      <alignment horizontal="left" vertical="center"/>
    </xf>
    <xf numFmtId="168" fontId="171" fillId="46" borderId="93" applyAlignment="1" pivotButton="0" quotePrefix="0" xfId="1">
      <alignment horizontal="left" vertical="center"/>
    </xf>
    <xf numFmtId="0" fontId="162" fillId="46" borderId="17" applyAlignment="1" pivotButton="0" quotePrefix="0" xfId="2">
      <alignment horizontal="center" vertical="center"/>
    </xf>
    <xf numFmtId="165" fontId="162" fillId="46" borderId="3" applyAlignment="1" pivotButton="0" quotePrefix="0" xfId="1">
      <alignment vertical="center" shrinkToFit="1"/>
    </xf>
    <xf numFmtId="0" fontId="162" fillId="46" borderId="4" applyAlignment="1" pivotButton="0" quotePrefix="0" xfId="2">
      <alignment vertical="center" wrapText="1" shrinkToFit="1"/>
    </xf>
    <xf numFmtId="0" fontId="162" fillId="46" borderId="4" applyAlignment="1" pivotButton="0" quotePrefix="0" xfId="2">
      <alignment vertical="center" wrapText="1"/>
    </xf>
    <xf numFmtId="165" fontId="162" fillId="46" borderId="35" applyAlignment="1" pivotButton="0" quotePrefix="0" xfId="1">
      <alignment vertical="center" shrinkToFit="1"/>
    </xf>
    <xf numFmtId="165" fontId="162" fillId="46" borderId="9" applyAlignment="1" pivotButton="0" quotePrefix="0" xfId="1">
      <alignment vertical="center" shrinkToFit="1"/>
    </xf>
    <xf numFmtId="0" fontId="162" fillId="46" borderId="25" applyAlignment="1" pivotButton="0" quotePrefix="0" xfId="2">
      <alignment horizontal="left" vertical="center"/>
    </xf>
    <xf numFmtId="165" fontId="172" fillId="46" borderId="35" applyAlignment="1" pivotButton="0" quotePrefix="0" xfId="1">
      <alignment vertical="center" shrinkToFit="1"/>
    </xf>
    <xf numFmtId="0" fontId="162" fillId="46" borderId="91" applyAlignment="1" pivotButton="0" quotePrefix="0" xfId="2">
      <alignment horizontal="center" vertical="center" shrinkToFit="1"/>
    </xf>
    <xf numFmtId="165" fontId="162" fillId="46" borderId="0" applyAlignment="1" pivotButton="0" quotePrefix="0" xfId="1">
      <alignment horizontal="center" vertical="center"/>
    </xf>
    <xf numFmtId="0" fontId="162" fillId="46" borderId="4" applyAlignment="1" pivotButton="0" quotePrefix="0" xfId="15917">
      <alignment horizontal="left" vertical="center"/>
    </xf>
    <xf numFmtId="0" fontId="162" fillId="46" borderId="4" applyAlignment="1" pivotButton="0" quotePrefix="0" xfId="15917">
      <alignment horizontal="left" vertical="center" wrapText="1"/>
    </xf>
    <xf numFmtId="165" fontId="172" fillId="46" borderId="4" applyAlignment="1" pivotButton="0" quotePrefix="0" xfId="1">
      <alignment horizontal="center" vertical="center"/>
    </xf>
    <xf numFmtId="167" fontId="162" fillId="21" borderId="91" applyAlignment="1" pivotButton="0" quotePrefix="0" xfId="1">
      <alignment horizontal="center" vertical="center"/>
    </xf>
    <xf numFmtId="167" fontId="162" fillId="40" borderId="91" applyAlignment="1" pivotButton="0" quotePrefix="0" xfId="1">
      <alignment horizontal="center" vertical="center"/>
    </xf>
    <xf numFmtId="0" fontId="162" fillId="38" borderId="4" applyAlignment="1" pivotButton="0" quotePrefix="0" xfId="2">
      <alignment horizontal="center" vertical="center"/>
    </xf>
    <xf numFmtId="0" fontId="162" fillId="0" borderId="4" applyAlignment="1" pivotButton="0" quotePrefix="0" xfId="2">
      <alignment horizontal="center" vertical="center"/>
    </xf>
    <xf numFmtId="169" fontId="163" fillId="0" borderId="0" applyAlignment="1" pivotButton="0" quotePrefix="0" xfId="0">
      <alignment horizontal="center" vertical="center"/>
    </xf>
    <xf numFmtId="168" fontId="161" fillId="43" borderId="90" applyAlignment="1" pivotButton="0" quotePrefix="0" xfId="1">
      <alignment horizontal="left" vertical="center"/>
    </xf>
    <xf numFmtId="168" fontId="161" fillId="20" borderId="90" applyAlignment="1" pivotButton="0" quotePrefix="0" xfId="1">
      <alignment horizontal="left" vertical="center"/>
    </xf>
    <xf numFmtId="168" fontId="161" fillId="41" borderId="90" applyAlignment="1" pivotButton="0" quotePrefix="0" xfId="1">
      <alignment horizontal="left" vertical="center"/>
    </xf>
    <xf numFmtId="168" fontId="161" fillId="46" borderId="90" applyAlignment="1" pivotButton="0" quotePrefix="0" xfId="1">
      <alignment horizontal="left" vertical="center"/>
    </xf>
    <xf numFmtId="167" fontId="163" fillId="47" borderId="89" applyAlignment="1" pivotButton="0" quotePrefix="0" xfId="0">
      <alignment horizontal="center" vertical="center" wrapText="1"/>
    </xf>
    <xf numFmtId="165" fontId="162" fillId="47" borderId="4" applyAlignment="1" pivotButton="0" quotePrefix="0" xfId="0">
      <alignment horizontal="center" vertical="center"/>
    </xf>
    <xf numFmtId="165" fontId="163" fillId="47" borderId="4" applyAlignment="1" pivotButton="0" quotePrefix="0" xfId="1">
      <alignment horizontal="right" vertical="center"/>
    </xf>
    <xf numFmtId="164" fontId="170" fillId="47" borderId="4" applyAlignment="1" pivotButton="0" quotePrefix="0" xfId="5749">
      <alignment horizontal="left" vertical="center"/>
    </xf>
    <xf numFmtId="168" fontId="161" fillId="47" borderId="90" applyAlignment="1" pivotButton="0" quotePrefix="0" xfId="1">
      <alignment horizontal="left" vertical="center"/>
    </xf>
    <xf numFmtId="0" fontId="162" fillId="47" borderId="60" applyAlignment="1" pivotButton="0" quotePrefix="0" xfId="5749">
      <alignment horizontal="center" vertical="center"/>
    </xf>
    <xf numFmtId="0" fontId="162" fillId="47" borderId="71" applyAlignment="1" pivotButton="0" quotePrefix="0" xfId="2">
      <alignment horizontal="left" vertical="center"/>
    </xf>
    <xf numFmtId="167" fontId="162" fillId="47" borderId="89" applyAlignment="1" pivotButton="0" quotePrefix="0" xfId="0">
      <alignment horizontal="center" vertical="center"/>
    </xf>
    <xf numFmtId="0" fontId="162" fillId="47" borderId="4" applyAlignment="1" pivotButton="0" quotePrefix="0" xfId="0">
      <alignment horizontal="center" vertical="center" wrapText="1"/>
    </xf>
    <xf numFmtId="165" fontId="162" fillId="47" borderId="4" applyAlignment="1" pivotButton="0" quotePrefix="0" xfId="1">
      <alignment horizontal="right" vertical="center"/>
    </xf>
    <xf numFmtId="0" fontId="162" fillId="47" borderId="4" applyAlignment="1" pivotButton="0" quotePrefix="0" xfId="2">
      <alignment horizontal="center" vertical="center"/>
    </xf>
    <xf numFmtId="165" fontId="162" fillId="47" borderId="4" applyAlignment="1" pivotButton="0" quotePrefix="0" xfId="1">
      <alignment vertical="center"/>
    </xf>
    <xf numFmtId="0" fontId="162" fillId="47" borderId="9" applyAlignment="1" pivotButton="0" quotePrefix="0" xfId="5749">
      <alignment horizontal="center" vertical="center"/>
    </xf>
    <xf numFmtId="0" fontId="162" fillId="47" borderId="0" applyAlignment="1" pivotButton="0" quotePrefix="0" xfId="5749">
      <alignment horizontal="center" vertical="center"/>
    </xf>
    <xf numFmtId="167" fontId="162" fillId="47" borderId="89" applyAlignment="1" pivotButton="0" quotePrefix="0" xfId="2">
      <alignment horizontal="center" vertical="center" shrinkToFit="1"/>
    </xf>
    <xf numFmtId="0" fontId="162" fillId="47" borderId="70" applyAlignment="1" pivotButton="0" quotePrefix="0" xfId="2">
      <alignment horizontal="center" vertical="center" shrinkToFit="1"/>
    </xf>
    <xf numFmtId="165" fontId="162" fillId="47" borderId="3" applyAlignment="1" pivotButton="0" quotePrefix="0" xfId="1">
      <alignment vertical="center" shrinkToFit="1"/>
    </xf>
    <xf numFmtId="164" fontId="170" fillId="47" borderId="4" applyAlignment="1" pivotButton="0" quotePrefix="0" xfId="1">
      <alignment horizontal="left" vertical="center"/>
    </xf>
    <xf numFmtId="167" fontId="162" fillId="47" borderId="91" applyAlignment="1" pivotButton="0" quotePrefix="0" xfId="1">
      <alignment horizontal="center" vertical="center"/>
    </xf>
    <xf numFmtId="164" fontId="162" fillId="47" borderId="3" applyAlignment="1" pivotButton="0" quotePrefix="0" xfId="1">
      <alignment horizontal="center" vertical="center"/>
    </xf>
    <xf numFmtId="165" fontId="162" fillId="47" borderId="3" applyAlignment="1" pivotButton="0" quotePrefix="0" xfId="1">
      <alignment horizontal="left" vertical="center"/>
    </xf>
    <xf numFmtId="168" fontId="166" fillId="47" borderId="93" applyAlignment="1" pivotButton="0" quotePrefix="0" xfId="1">
      <alignment horizontal="left" vertical="center"/>
    </xf>
    <xf numFmtId="165" fontId="162" fillId="47" borderId="9" applyAlignment="1" pivotButton="0" quotePrefix="0" xfId="1">
      <alignment horizontal="center" vertical="center"/>
    </xf>
    <xf numFmtId="164" fontId="162" fillId="47" borderId="4" applyAlignment="1" pivotButton="0" quotePrefix="0" xfId="1">
      <alignment horizontal="center" vertical="center"/>
    </xf>
    <xf numFmtId="165" fontId="162" fillId="47" borderId="4" applyAlignment="1" pivotButton="0" quotePrefix="0" xfId="1">
      <alignment horizontal="left" vertical="center"/>
    </xf>
    <xf numFmtId="168" fontId="171" fillId="47" borderId="93" applyAlignment="1" pivotButton="0" quotePrefix="0" xfId="1">
      <alignment horizontal="left" vertical="center"/>
    </xf>
    <xf numFmtId="0" fontId="162" fillId="47" borderId="4" applyAlignment="1" pivotButton="0" quotePrefix="0" xfId="2">
      <alignment horizontal="center" vertical="center" shrinkToFit="1"/>
    </xf>
    <xf numFmtId="165" fontId="162" fillId="47" borderId="4" applyAlignment="1" pivotButton="0" quotePrefix="0" xfId="1">
      <alignment vertical="center" shrinkToFit="1"/>
    </xf>
    <xf numFmtId="0" fontId="162" fillId="47" borderId="13" applyAlignment="1" pivotButton="0" quotePrefix="0" xfId="2">
      <alignment horizontal="center" vertical="center" shrinkToFit="1"/>
    </xf>
    <xf numFmtId="165" fontId="162" fillId="47" borderId="9" applyAlignment="1" pivotButton="0" quotePrefix="0" xfId="1">
      <alignment vertical="center" shrinkToFit="1"/>
    </xf>
    <xf numFmtId="167" fontId="162" fillId="47" borderId="89" applyAlignment="1" pivotButton="0" quotePrefix="0" xfId="1">
      <alignment horizontal="center" vertical="center"/>
    </xf>
    <xf numFmtId="167" fontId="162" fillId="47" borderId="4" applyAlignment="1" pivotButton="0" quotePrefix="0" xfId="1">
      <alignment horizontal="center" vertical="center"/>
    </xf>
    <xf numFmtId="168" fontId="166" fillId="47" borderId="3" applyAlignment="1" pivotButton="0" quotePrefix="0" xfId="1">
      <alignment horizontal="left" vertical="center"/>
    </xf>
    <xf numFmtId="168" fontId="161" fillId="21" borderId="90" applyAlignment="1" pivotButton="0" quotePrefix="0" xfId="1">
      <alignment horizontal="left" vertical="center"/>
    </xf>
    <xf numFmtId="168" fontId="161" fillId="45" borderId="90" applyAlignment="1" pivotButton="0" quotePrefix="0" xfId="1">
      <alignment horizontal="left" vertical="center"/>
    </xf>
    <xf numFmtId="168" fontId="166" fillId="47" borderId="90" applyAlignment="1" pivotButton="0" quotePrefix="0" xfId="1">
      <alignment horizontal="left" vertical="center"/>
    </xf>
    <xf numFmtId="0" fontId="162" fillId="47" borderId="4" applyAlignment="1" pivotButton="0" quotePrefix="0" xfId="2">
      <alignment vertical="center" shrinkToFit="1"/>
    </xf>
    <xf numFmtId="164" fontId="172" fillId="47" borderId="3" applyAlignment="1" pivotButton="0" quotePrefix="0" xfId="1">
      <alignment horizontal="left" vertical="center"/>
    </xf>
    <xf numFmtId="0" fontId="162" fillId="47" borderId="4" applyAlignment="1" pivotButton="0" quotePrefix="0" xfId="15917">
      <alignment horizontal="left" vertical="center"/>
    </xf>
    <xf numFmtId="0" fontId="162" fillId="47" borderId="4" applyAlignment="1" pivotButton="0" quotePrefix="0" xfId="15917">
      <alignment horizontal="left" vertical="center" wrapText="1"/>
    </xf>
    <xf numFmtId="0" fontId="172" fillId="47" borderId="4" applyAlignment="1" pivotButton="0" quotePrefix="0" xfId="2">
      <alignment horizontal="center" vertical="center" shrinkToFit="1"/>
    </xf>
    <xf numFmtId="165" fontId="172" fillId="47" borderId="4" applyAlignment="1" pivotButton="0" quotePrefix="0" xfId="1">
      <alignment horizontal="center" vertical="center"/>
    </xf>
    <xf numFmtId="165" fontId="174" fillId="47" borderId="9" applyAlignment="1" pivotButton="0" quotePrefix="0" xfId="1">
      <alignment horizontal="center" vertical="center"/>
    </xf>
    <xf numFmtId="0" fontId="174" fillId="47" borderId="4" applyAlignment="1" pivotButton="0" quotePrefix="0" xfId="2">
      <alignment horizontal="center" vertical="center"/>
    </xf>
    <xf numFmtId="0" fontId="162" fillId="38" borderId="26" applyAlignment="1" pivotButton="0" quotePrefix="0" xfId="2">
      <alignment vertical="center" wrapText="1"/>
    </xf>
    <xf numFmtId="0" fontId="162" fillId="38" borderId="25" applyAlignment="1" pivotButton="0" quotePrefix="0" xfId="2">
      <alignment vertical="center" wrapText="1"/>
    </xf>
    <xf numFmtId="0" fontId="162" fillId="47" borderId="25" applyAlignment="1" pivotButton="0" quotePrefix="0" xfId="2">
      <alignment vertical="center" wrapText="1"/>
    </xf>
    <xf numFmtId="0" fontId="162" fillId="47" borderId="17" applyAlignment="1" pivotButton="0" quotePrefix="0" xfId="2">
      <alignment vertical="center"/>
    </xf>
    <xf numFmtId="0" fontId="162" fillId="47" borderId="4" applyAlignment="1" pivotButton="0" quotePrefix="0" xfId="2">
      <alignment vertical="center"/>
    </xf>
    <xf numFmtId="165" fontId="162" fillId="47" borderId="89" applyAlignment="1" pivotButton="0" quotePrefix="0" xfId="1">
      <alignment horizontal="center" vertical="center" shrinkToFit="1"/>
    </xf>
    <xf numFmtId="0" fontId="162" fillId="47" borderId="4" applyAlignment="1" pivotButton="0" quotePrefix="0" xfId="15923">
      <alignment horizontal="center" vertical="center"/>
    </xf>
    <xf numFmtId="0" fontId="162" fillId="47" borderId="26" applyAlignment="1" pivotButton="0" quotePrefix="0" xfId="2">
      <alignment vertical="center"/>
    </xf>
    <xf numFmtId="0" fontId="162" fillId="47" borderId="25" applyAlignment="1" pivotButton="0" quotePrefix="0" xfId="2">
      <alignment vertical="center"/>
    </xf>
    <xf numFmtId="167" fontId="162" fillId="47" borderId="13" applyAlignment="1" pivotButton="0" quotePrefix="0" xfId="1">
      <alignment horizontal="center" vertical="center"/>
    </xf>
    <xf numFmtId="167" fontId="162" fillId="21" borderId="91" applyAlignment="1" pivotButton="0" quotePrefix="0" xfId="1">
      <alignment horizontal="center" vertical="center"/>
    </xf>
    <xf numFmtId="167" fontId="162" fillId="40" borderId="91" applyAlignment="1" pivotButton="0" quotePrefix="0" xfId="1">
      <alignment horizontal="center" vertical="center"/>
    </xf>
    <xf numFmtId="0" fontId="162" fillId="0" borderId="4" applyAlignment="1" pivotButton="0" quotePrefix="0" xfId="2">
      <alignment horizontal="center" vertical="center"/>
    </xf>
    <xf numFmtId="167" fontId="173" fillId="48" borderId="113" applyAlignment="1" pivotButton="0" quotePrefix="0" xfId="1">
      <alignment horizontal="center" vertical="center" wrapText="1"/>
    </xf>
    <xf numFmtId="164" fontId="173" fillId="48" borderId="114" applyAlignment="1" pivotButton="0" quotePrefix="0" xfId="1">
      <alignment horizontal="center" vertical="center" wrapText="1"/>
    </xf>
    <xf numFmtId="165" fontId="173" fillId="48" borderId="114" applyAlignment="1" pivotButton="0" quotePrefix="0" xfId="1">
      <alignment horizontal="center" vertical="center" wrapText="1"/>
    </xf>
    <xf numFmtId="168" fontId="173" fillId="48" borderId="115" applyAlignment="1" pivotButton="0" quotePrefix="0" xfId="1">
      <alignment horizontal="center" vertical="center" wrapText="1"/>
    </xf>
    <xf numFmtId="167" fontId="162" fillId="21" borderId="91" applyAlignment="1" pivotButton="0" quotePrefix="0" xfId="1">
      <alignment horizontal="center" vertical="center"/>
    </xf>
    <xf numFmtId="167" fontId="162" fillId="40" borderId="91" applyAlignment="1" pivotButton="0" quotePrefix="0" xfId="1">
      <alignment horizontal="center" vertical="center"/>
    </xf>
    <xf numFmtId="0" fontId="162" fillId="0" borderId="4" applyAlignment="1" pivotButton="0" quotePrefix="0" xfId="2">
      <alignment horizontal="center" vertical="center"/>
    </xf>
    <xf numFmtId="0" fontId="162" fillId="0" borderId="4" applyAlignment="1" pivotButton="0" quotePrefix="0" xfId="2">
      <alignment horizontal="center" vertical="center"/>
    </xf>
    <xf numFmtId="167" fontId="175" fillId="49" borderId="91" applyAlignment="1" pivotButton="0" quotePrefix="0" xfId="1">
      <alignment horizontal="center" vertical="center"/>
    </xf>
    <xf numFmtId="0" fontId="175" fillId="49" borderId="4" applyAlignment="1" pivotButton="0" quotePrefix="0" xfId="2">
      <alignment horizontal="center" vertical="center" shrinkToFit="1"/>
    </xf>
    <xf numFmtId="164" fontId="173" fillId="49" borderId="4" applyAlignment="1" pivotButton="0" quotePrefix="0" xfId="1">
      <alignment horizontal="left" vertical="center"/>
    </xf>
    <xf numFmtId="168" fontId="173" fillId="49" borderId="93" applyAlignment="1" pivotButton="0" quotePrefix="0" xfId="1">
      <alignment horizontal="left" vertical="center"/>
    </xf>
    <xf numFmtId="167" fontId="175" fillId="44" borderId="91" applyAlignment="1" pivotButton="0" quotePrefix="0" xfId="1">
      <alignment horizontal="center" vertical="center"/>
    </xf>
    <xf numFmtId="0" fontId="175" fillId="44" borderId="4" applyAlignment="1" pivotButton="0" quotePrefix="0" xfId="2">
      <alignment horizontal="center" vertical="center" shrinkToFit="1"/>
    </xf>
    <xf numFmtId="165" fontId="175" fillId="44" borderId="4" applyAlignment="1" pivotButton="0" quotePrefix="0" xfId="1">
      <alignment horizontal="center" vertical="center"/>
    </xf>
    <xf numFmtId="164" fontId="173" fillId="44" borderId="4" applyAlignment="1" pivotButton="0" quotePrefix="0" xfId="1">
      <alignment horizontal="left" vertical="center"/>
    </xf>
    <xf numFmtId="168" fontId="173" fillId="44" borderId="93" applyAlignment="1" pivotButton="0" quotePrefix="0" xfId="1">
      <alignment horizontal="left" vertical="center"/>
    </xf>
    <xf numFmtId="165" fontId="162" fillId="44" borderId="9" applyAlignment="1" pivotButton="0" quotePrefix="0" xfId="1">
      <alignment horizontal="center" vertical="center"/>
    </xf>
    <xf numFmtId="0" fontId="175" fillId="44" borderId="4" applyAlignment="1" pivotButton="0" quotePrefix="0" xfId="2">
      <alignment horizontal="left" vertical="center"/>
    </xf>
    <xf numFmtId="165" fontId="175" fillId="49" borderId="9" applyAlignment="1" pivotButton="0" quotePrefix="0" xfId="1">
      <alignment horizontal="center" vertical="center"/>
    </xf>
    <xf numFmtId="0" fontId="175" fillId="49" borderId="4" applyAlignment="1" pivotButton="0" quotePrefix="0" xfId="2">
      <alignment horizontal="center" vertical="center"/>
    </xf>
    <xf numFmtId="167" fontId="162" fillId="44" borderId="91" applyAlignment="1" pivotButton="0" quotePrefix="0" xfId="1">
      <alignment horizontal="center" vertical="center"/>
    </xf>
    <xf numFmtId="0" fontId="162" fillId="44" borderId="4" applyAlignment="1" pivotButton="0" quotePrefix="0" xfId="2">
      <alignment horizontal="center" vertical="center" shrinkToFit="1"/>
    </xf>
    <xf numFmtId="164" fontId="170" fillId="44" borderId="4" applyAlignment="1" pivotButton="0" quotePrefix="0" xfId="1">
      <alignment horizontal="left" vertical="center"/>
    </xf>
    <xf numFmtId="165" fontId="175" fillId="44" borderId="9" applyAlignment="1" pivotButton="0" quotePrefix="0" xfId="1">
      <alignment horizontal="center" vertical="center"/>
    </xf>
    <xf numFmtId="0" fontId="172" fillId="44" borderId="4" applyAlignment="1" pivotButton="0" quotePrefix="0" xfId="2">
      <alignment horizontal="center" vertical="center" shrinkToFit="1"/>
    </xf>
    <xf numFmtId="165" fontId="172" fillId="44" borderId="4" applyAlignment="1" pivotButton="0" quotePrefix="0" xfId="1">
      <alignment horizontal="center" vertical="center"/>
    </xf>
    <xf numFmtId="164" fontId="172" fillId="44" borderId="3" applyAlignment="1" pivotButton="0" quotePrefix="0" xfId="1">
      <alignment horizontal="left" vertical="center"/>
    </xf>
    <xf numFmtId="0" fontId="175" fillId="44" borderId="4" applyAlignment="1" pivotButton="0" quotePrefix="0" xfId="15917">
      <alignment horizontal="left" vertical="center" wrapText="1"/>
    </xf>
    <xf numFmtId="167" fontId="162" fillId="44" borderId="13" applyAlignment="1" pivotButton="0" quotePrefix="0" xfId="1">
      <alignment horizontal="center" vertical="center"/>
    </xf>
    <xf numFmtId="0" fontId="162" fillId="44" borderId="13" applyAlignment="1" pivotButton="0" quotePrefix="0" xfId="2">
      <alignment horizontal="center" vertical="center" shrinkToFit="1"/>
    </xf>
    <xf numFmtId="168" fontId="166" fillId="44" borderId="93" applyAlignment="1" pivotButton="0" quotePrefix="0" xfId="1">
      <alignment horizontal="left" vertical="center"/>
    </xf>
    <xf numFmtId="168" fontId="166" fillId="44" borderId="90" applyAlignment="1" pivotButton="0" quotePrefix="0" xfId="1">
      <alignment horizontal="left" vertical="center"/>
    </xf>
    <xf numFmtId="0" fontId="175" fillId="44" borderId="4" applyAlignment="1" pivotButton="0" quotePrefix="0" xfId="2">
      <alignment horizontal="center" vertical="center"/>
    </xf>
    <xf numFmtId="0" fontId="175" fillId="44" borderId="36" applyAlignment="1" pivotButton="0" quotePrefix="0" xfId="0">
      <alignment horizontal="center" vertical="center"/>
    </xf>
    <xf numFmtId="0" fontId="175" fillId="44" borderId="36" applyAlignment="1" pivotButton="0" quotePrefix="0" xfId="2">
      <alignment horizontal="center" vertical="center"/>
    </xf>
    <xf numFmtId="165" fontId="175" fillId="44" borderId="60" applyAlignment="1" pivotButton="0" quotePrefix="0" xfId="1">
      <alignment vertical="center"/>
    </xf>
    <xf numFmtId="164" fontId="175" fillId="44" borderId="3" applyAlignment="1" pivotButton="0" quotePrefix="0" xfId="1">
      <alignment horizontal="left" vertical="center"/>
    </xf>
    <xf numFmtId="0" fontId="175" fillId="44" borderId="97" applyAlignment="1" pivotButton="0" quotePrefix="0" xfId="0">
      <alignment horizontal="center" vertical="center"/>
    </xf>
    <xf numFmtId="168" fontId="173" fillId="44" borderId="90" applyAlignment="1" pivotButton="0" quotePrefix="0" xfId="1">
      <alignment horizontal="left" vertical="center"/>
    </xf>
    <xf numFmtId="165" fontId="175" fillId="44" borderId="0" applyAlignment="1" pivotButton="0" quotePrefix="0" xfId="1">
      <alignment vertical="center"/>
    </xf>
    <xf numFmtId="0" fontId="175" fillId="44" borderId="104" applyAlignment="1" pivotButton="0" quotePrefix="0" xfId="0">
      <alignment horizontal="center" vertical="center"/>
    </xf>
    <xf numFmtId="0" fontId="175" fillId="44" borderId="4" applyAlignment="1" pivotButton="0" quotePrefix="1" xfId="15917">
      <alignment horizontal="left" vertical="center" wrapText="1" indent="3"/>
    </xf>
    <xf numFmtId="0" fontId="175" fillId="44" borderId="36" applyAlignment="1" pivotButton="0" quotePrefix="1" xfId="2">
      <alignment horizontal="left" vertical="center" indent="3"/>
    </xf>
    <xf numFmtId="0" fontId="175" fillId="44" borderId="36" applyAlignment="1" pivotButton="0" quotePrefix="1" xfId="0">
      <alignment horizontal="left" vertical="center" indent="3"/>
    </xf>
    <xf numFmtId="0" fontId="175" fillId="44" borderId="37" applyAlignment="1" pivotButton="0" quotePrefix="0" xfId="2">
      <alignment horizontal="center" vertical="center"/>
    </xf>
    <xf numFmtId="165" fontId="175" fillId="44" borderId="60" applyAlignment="1" pivotButton="0" quotePrefix="0" xfId="1">
      <alignment horizontal="center" vertical="center"/>
    </xf>
    <xf numFmtId="0" fontId="175" fillId="44" borderId="71" applyAlignment="1" pivotButton="0" quotePrefix="0" xfId="0">
      <alignment horizontal="center" vertical="center"/>
    </xf>
    <xf numFmtId="165" fontId="162" fillId="44" borderId="60" applyAlignment="1" pivotButton="0" quotePrefix="0" xfId="1">
      <alignment horizontal="center" vertical="center"/>
    </xf>
    <xf numFmtId="0" fontId="175" fillId="44" borderId="36" applyAlignment="1" pivotButton="0" quotePrefix="0" xfId="0">
      <alignment vertical="center"/>
    </xf>
    <xf numFmtId="0" fontId="175" fillId="44" borderId="36" applyAlignment="1" pivotButton="0" quotePrefix="0" xfId="2">
      <alignment vertical="center"/>
    </xf>
    <xf numFmtId="167" fontId="175" fillId="50" borderId="91" applyAlignment="1" pivotButton="0" quotePrefix="0" xfId="1">
      <alignment horizontal="center" vertical="center"/>
    </xf>
    <xf numFmtId="165" fontId="175" fillId="50" borderId="4" applyAlignment="1" pivotButton="0" quotePrefix="0" xfId="1">
      <alignment horizontal="center" vertical="center"/>
    </xf>
    <xf numFmtId="164" fontId="173" fillId="50" borderId="4" applyAlignment="1" pivotButton="0" quotePrefix="0" xfId="1">
      <alignment horizontal="left" vertical="center"/>
    </xf>
    <xf numFmtId="168" fontId="173" fillId="50" borderId="93" applyAlignment="1" pivotButton="0" quotePrefix="0" xfId="1">
      <alignment horizontal="left" vertical="center"/>
    </xf>
    <xf numFmtId="0" fontId="175" fillId="50" borderId="4" applyAlignment="1" pivotButton="0" quotePrefix="0" xfId="2">
      <alignment horizontal="left" vertical="center"/>
    </xf>
    <xf numFmtId="0" fontId="175" fillId="50" borderId="4" applyAlignment="1" pivotButton="0" quotePrefix="0" xfId="2">
      <alignment horizontal="center" vertical="center" shrinkToFit="1"/>
    </xf>
    <xf numFmtId="0" fontId="175" fillId="50" borderId="4" applyAlignment="1" pivotButton="0" quotePrefix="1" xfId="15917">
      <alignment horizontal="left" vertical="center" wrapText="1" indent="3"/>
    </xf>
    <xf numFmtId="0" fontId="161" fillId="20" borderId="13" applyAlignment="1" pivotButton="0" quotePrefix="0" xfId="15917">
      <alignment vertical="center"/>
    </xf>
    <xf numFmtId="0" fontId="161" fillId="20" borderId="9" applyAlignment="1" pivotButton="0" quotePrefix="0" xfId="15917">
      <alignment vertical="center"/>
    </xf>
    <xf numFmtId="0" fontId="175" fillId="44" borderId="4" applyAlignment="1" pivotButton="0" quotePrefix="1" xfId="0">
      <alignment horizontal="left" vertical="center" indent="3"/>
    </xf>
    <xf numFmtId="0" fontId="162" fillId="39" borderId="4" applyAlignment="1" pivotButton="0" quotePrefix="0" xfId="2">
      <alignment horizontal="center" vertical="center"/>
    </xf>
    <xf numFmtId="0" fontId="162" fillId="39" borderId="4" applyAlignment="1" pivotButton="0" quotePrefix="0" xfId="15917">
      <alignment horizontal="left" vertical="center"/>
    </xf>
    <xf numFmtId="0" fontId="172" fillId="39" borderId="4" applyAlignment="1" pivotButton="0" quotePrefix="0" xfId="15917">
      <alignment horizontal="center" vertical="center"/>
    </xf>
    <xf numFmtId="165" fontId="172" fillId="39" borderId="4" applyAlignment="1" pivotButton="0" quotePrefix="0" xfId="1">
      <alignment horizontal="center" vertical="center"/>
    </xf>
    <xf numFmtId="164" fontId="172" fillId="39" borderId="3" applyAlignment="1" pivotButton="0" quotePrefix="0" xfId="1">
      <alignment horizontal="left" vertical="center"/>
    </xf>
    <xf numFmtId="167" fontId="162" fillId="39" borderId="91" applyAlignment="1" pivotButton="0" quotePrefix="0" xfId="1">
      <alignment horizontal="center" vertical="center"/>
    </xf>
    <xf numFmtId="0" fontId="162" fillId="39" borderId="4" applyAlignment="1" pivotButton="0" quotePrefix="0" xfId="15917">
      <alignment horizontal="center" vertical="center"/>
    </xf>
    <xf numFmtId="165" fontId="162" fillId="39" borderId="4" applyAlignment="1" pivotButton="0" quotePrefix="0" xfId="1">
      <alignment horizontal="center" vertical="center"/>
    </xf>
    <xf numFmtId="164" fontId="170" fillId="39" borderId="4" applyAlignment="1" pivotButton="0" quotePrefix="0" xfId="1">
      <alignment horizontal="left" vertical="center"/>
    </xf>
    <xf numFmtId="168" fontId="161" fillId="39" borderId="93" applyAlignment="1" pivotButton="0" quotePrefix="0" xfId="1">
      <alignment horizontal="left" vertical="center"/>
    </xf>
    <xf numFmtId="168" fontId="161" fillId="39" borderId="90" applyAlignment="1" pivotButton="0" quotePrefix="0" xfId="1">
      <alignment horizontal="left" vertical="center"/>
    </xf>
    <xf numFmtId="165" fontId="162" fillId="39" borderId="9" applyAlignment="1" pivotButton="0" quotePrefix="0" xfId="1">
      <alignment horizontal="center" vertical="center"/>
    </xf>
    <xf numFmtId="0" fontId="0" fillId="39" borderId="0" applyAlignment="1" pivotButton="0" quotePrefix="0" xfId="0">
      <alignment vertical="center"/>
    </xf>
    <xf numFmtId="0" fontId="172" fillId="39" borderId="4" applyAlignment="1" pivotButton="0" quotePrefix="0" xfId="2">
      <alignment horizontal="center" vertical="center" shrinkToFit="1"/>
    </xf>
    <xf numFmtId="0" fontId="162" fillId="39" borderId="4" applyAlignment="1" pivotButton="0" quotePrefix="0" xfId="2">
      <alignment horizontal="center" vertical="center" shrinkToFit="1"/>
    </xf>
    <xf numFmtId="165" fontId="162" fillId="39" borderId="0" applyAlignment="1" pivotButton="0" quotePrefix="0" xfId="1">
      <alignment horizontal="center" vertical="center"/>
    </xf>
    <xf numFmtId="165" fontId="162" fillId="50" borderId="80" applyAlignment="1" pivotButton="0" quotePrefix="0" xfId="1">
      <alignment horizontal="center" vertical="center"/>
    </xf>
    <xf numFmtId="0" fontId="176" fillId="39" borderId="0" applyAlignment="1" pivotButton="0" quotePrefix="0" xfId="0">
      <alignment vertical="center"/>
    </xf>
    <xf numFmtId="0" fontId="175" fillId="44" borderId="4" applyAlignment="1" pivotButton="0" quotePrefix="0" xfId="15917">
      <alignment horizontal="left" vertical="center"/>
    </xf>
    <xf numFmtId="0" fontId="175" fillId="44" borderId="4" applyAlignment="1" pivotButton="0" quotePrefix="0" xfId="15917">
      <alignment horizontal="center" vertical="center"/>
    </xf>
    <xf numFmtId="0" fontId="175" fillId="50" borderId="70" applyAlignment="1" pivotButton="0" quotePrefix="0" xfId="2">
      <alignment vertical="center"/>
    </xf>
    <xf numFmtId="0" fontId="175" fillId="50" borderId="69" applyAlignment="1" pivotButton="0" quotePrefix="0" xfId="2">
      <alignment vertical="center" shrinkToFit="1"/>
    </xf>
    <xf numFmtId="0" fontId="175" fillId="50" borderId="65" applyAlignment="1" pivotButton="0" quotePrefix="0" xfId="2">
      <alignment horizontal="center" vertical="center" shrinkToFit="1"/>
    </xf>
    <xf numFmtId="165" fontId="175" fillId="50" borderId="0" applyAlignment="1" pivotButton="0" quotePrefix="0" xfId="1">
      <alignment vertical="center" shrinkToFit="1"/>
    </xf>
    <xf numFmtId="164" fontId="175" fillId="50" borderId="5" applyAlignment="1" pivotButton="0" quotePrefix="0" xfId="1">
      <alignment horizontal="left" vertical="center"/>
    </xf>
    <xf numFmtId="0" fontId="175" fillId="50" borderId="105" applyAlignment="1" pivotButton="0" quotePrefix="0" xfId="2">
      <alignment horizontal="center" vertical="center" shrinkToFit="1"/>
    </xf>
    <xf numFmtId="165" fontId="175" fillId="50" borderId="4" applyAlignment="1" pivotButton="0" quotePrefix="0" xfId="1">
      <alignment vertical="center" shrinkToFit="1"/>
    </xf>
    <xf numFmtId="168" fontId="173" fillId="50" borderId="90" applyAlignment="1" pivotButton="0" quotePrefix="0" xfId="1">
      <alignment horizontal="left" vertical="center"/>
    </xf>
    <xf numFmtId="165" fontId="175" fillId="50" borderId="80" applyAlignment="1" pivotButton="0" quotePrefix="0" xfId="1">
      <alignment horizontal="center" vertical="center"/>
    </xf>
    <xf numFmtId="0" fontId="175" fillId="50" borderId="4" applyAlignment="1" pivotButton="0" quotePrefix="0" xfId="2">
      <alignment vertical="center"/>
    </xf>
    <xf numFmtId="164" fontId="175" fillId="50" borderId="4" applyAlignment="1" pivotButton="0" quotePrefix="0" xfId="1">
      <alignment horizontal="left" vertical="center"/>
    </xf>
    <xf numFmtId="167" fontId="175" fillId="50" borderId="13" applyAlignment="1" pivotButton="0" quotePrefix="0" xfId="1">
      <alignment horizontal="center" vertical="center"/>
    </xf>
    <xf numFmtId="168" fontId="173" fillId="50" borderId="13" applyAlignment="1" pivotButton="0" quotePrefix="0" xfId="1">
      <alignment horizontal="left" vertical="center"/>
    </xf>
    <xf numFmtId="167" fontId="173" fillId="50" borderId="113" applyAlignment="1" pivotButton="0" quotePrefix="0" xfId="1">
      <alignment horizontal="center" vertical="center" wrapText="1"/>
    </xf>
    <xf numFmtId="164" fontId="173" fillId="50" borderId="114" applyAlignment="1" pivotButton="0" quotePrefix="0" xfId="1">
      <alignment horizontal="center" vertical="center" wrapText="1"/>
    </xf>
    <xf numFmtId="165" fontId="173" fillId="50" borderId="114" applyAlignment="1" pivotButton="0" quotePrefix="0" xfId="1">
      <alignment horizontal="center" vertical="center" wrapText="1"/>
    </xf>
    <xf numFmtId="168" fontId="173" fillId="50" borderId="115" applyAlignment="1" pivotButton="0" quotePrefix="0" xfId="1">
      <alignment horizontal="center" vertical="center" wrapText="1"/>
    </xf>
    <xf numFmtId="0" fontId="175" fillId="50" borderId="4" applyAlignment="1" pivotButton="0" quotePrefix="0" xfId="15917">
      <alignment horizontal="left" vertical="center" wrapText="1"/>
    </xf>
    <xf numFmtId="0" fontId="172" fillId="50" borderId="4" applyAlignment="1" pivotButton="0" quotePrefix="0" xfId="2">
      <alignment horizontal="center" vertical="center" shrinkToFit="1"/>
    </xf>
    <xf numFmtId="165" fontId="172" fillId="50" borderId="4" applyAlignment="1" pivotButton="0" quotePrefix="0" xfId="1">
      <alignment horizontal="center" vertical="center"/>
    </xf>
    <xf numFmtId="164" fontId="172" fillId="50" borderId="3" applyAlignment="1" pivotButton="0" quotePrefix="0" xfId="1">
      <alignment horizontal="left" vertical="center"/>
    </xf>
    <xf numFmtId="167" fontId="162" fillId="50" borderId="13" applyAlignment="1" pivotButton="0" quotePrefix="0" xfId="1">
      <alignment horizontal="center" vertical="center"/>
    </xf>
    <xf numFmtId="0" fontId="162" fillId="50" borderId="13" applyAlignment="1" pivotButton="0" quotePrefix="0" xfId="2">
      <alignment horizontal="center" vertical="center" shrinkToFit="1"/>
    </xf>
    <xf numFmtId="165" fontId="162" fillId="50" borderId="9" applyAlignment="1" pivotButton="0" quotePrefix="0" xfId="1">
      <alignment horizontal="center" vertical="center"/>
    </xf>
    <xf numFmtId="164" fontId="170" fillId="50" borderId="4" applyAlignment="1" pivotButton="0" quotePrefix="0" xfId="1">
      <alignment horizontal="left" vertical="center"/>
    </xf>
    <xf numFmtId="168" fontId="166" fillId="50" borderId="93" applyAlignment="1" pivotButton="0" quotePrefix="0" xfId="1">
      <alignment horizontal="left" vertical="center"/>
    </xf>
    <xf numFmtId="167" fontId="162" fillId="50" borderId="91" applyAlignment="1" pivotButton="0" quotePrefix="0" xfId="1">
      <alignment horizontal="center" vertical="center"/>
    </xf>
    <xf numFmtId="0" fontId="162" fillId="50" borderId="4" applyAlignment="1" pivotButton="0" quotePrefix="0" xfId="2">
      <alignment horizontal="center" vertical="center" shrinkToFit="1"/>
    </xf>
    <xf numFmtId="168" fontId="166" fillId="50" borderId="90" applyAlignment="1" pivotButton="0" quotePrefix="0" xfId="1">
      <alignment horizontal="left" vertical="center"/>
    </xf>
    <xf numFmtId="165" fontId="175" fillId="50" borderId="9" applyAlignment="1" pivotButton="0" quotePrefix="0" xfId="1">
      <alignment horizontal="center" vertical="center"/>
    </xf>
    <xf numFmtId="0" fontId="175" fillId="50" borderId="4" applyAlignment="1" pivotButton="0" quotePrefix="0" xfId="2">
      <alignment horizontal="center" vertical="center"/>
    </xf>
    <xf numFmtId="164" fontId="170" fillId="38" borderId="4" applyAlignment="1" pivotButton="0" quotePrefix="0" xfId="1">
      <alignment vertical="center"/>
    </xf>
    <xf numFmtId="164" fontId="170" fillId="51" borderId="4" applyAlignment="1" pivotButton="0" quotePrefix="0" xfId="1">
      <alignment vertical="center"/>
    </xf>
    <xf numFmtId="167" fontId="163" fillId="51" borderId="4" applyAlignment="1" pivotButton="0" quotePrefix="0" xfId="1">
      <alignment horizontal="center" vertical="center"/>
    </xf>
    <xf numFmtId="167" fontId="163" fillId="38" borderId="4" applyAlignment="1" pivotButton="0" quotePrefix="0" xfId="1">
      <alignment horizontal="center" vertical="center"/>
    </xf>
    <xf numFmtId="0" fontId="175" fillId="44" borderId="26" applyAlignment="1" pivotButton="0" quotePrefix="0" xfId="2">
      <alignment horizontal="center" vertical="center"/>
    </xf>
    <xf numFmtId="0" fontId="175" fillId="44" borderId="17" applyAlignment="1" pivotButton="0" quotePrefix="0" xfId="2">
      <alignment horizontal="center" vertical="center"/>
    </xf>
    <xf numFmtId="0" fontId="161" fillId="20" borderId="9" applyAlignment="1" pivotButton="0" quotePrefix="0" xfId="15923">
      <alignment horizontal="center" vertical="center"/>
    </xf>
    <xf numFmtId="0" fontId="175" fillId="44" borderId="117" applyAlignment="1" pivotButton="0" quotePrefix="0" xfId="2">
      <alignment horizontal="center" vertical="center"/>
    </xf>
    <xf numFmtId="0" fontId="175" fillId="44" borderId="118" applyAlignment="1" pivotButton="0" quotePrefix="0" xfId="2">
      <alignment horizontal="center" vertical="center"/>
    </xf>
    <xf numFmtId="164" fontId="170" fillId="47" borderId="26" applyAlignment="1" pivotButton="0" quotePrefix="0" xfId="1">
      <alignment horizontal="center" vertical="center"/>
    </xf>
    <xf numFmtId="164" fontId="170" fillId="47" borderId="25" applyAlignment="1" pivotButton="0" quotePrefix="0" xfId="1">
      <alignment horizontal="center" vertical="center"/>
    </xf>
    <xf numFmtId="164" fontId="170" fillId="47" borderId="17" applyAlignment="1" pivotButton="0" quotePrefix="0" xfId="1">
      <alignment horizontal="center" vertical="center"/>
    </xf>
    <xf numFmtId="168" fontId="161" fillId="47" borderId="92" applyAlignment="1" pivotButton="0" quotePrefix="0" xfId="1">
      <alignment horizontal="center" vertical="center"/>
    </xf>
    <xf numFmtId="168" fontId="161" fillId="47" borderId="116" applyAlignment="1" pivotButton="0" quotePrefix="0" xfId="1">
      <alignment horizontal="center" vertical="center"/>
    </xf>
    <xf numFmtId="168" fontId="161" fillId="47" borderId="25" applyAlignment="1" pivotButton="0" quotePrefix="0" xfId="17002">
      <alignment horizontal="center" vertical="center"/>
    </xf>
    <xf numFmtId="168" fontId="173" fillId="44" borderId="92" applyAlignment="1" pivotButton="0" quotePrefix="0" xfId="1">
      <alignment horizontal="center" vertical="center"/>
    </xf>
    <xf numFmtId="168" fontId="173" fillId="44" borderId="116" applyAlignment="1" pivotButton="0" quotePrefix="0" xfId="1">
      <alignment horizontal="center" vertical="center"/>
    </xf>
    <xf numFmtId="168" fontId="173" fillId="44" borderId="96" applyAlignment="1" pivotButton="0" quotePrefix="0" xfId="1">
      <alignment horizontal="center" vertical="center"/>
    </xf>
    <xf numFmtId="167" fontId="162" fillId="47" borderId="99" applyAlignment="1" pivotButton="0" quotePrefix="0" xfId="1">
      <alignment horizontal="center" vertical="center"/>
    </xf>
    <xf numFmtId="167" fontId="162" fillId="47" borderId="104" applyAlignment="1" pivotButton="0" quotePrefix="0" xfId="1">
      <alignment horizontal="center" vertical="center"/>
    </xf>
    <xf numFmtId="0" fontId="162" fillId="47" borderId="14" applyAlignment="1" pivotButton="0" quotePrefix="0" xfId="2">
      <alignment horizontal="center" vertical="center" shrinkToFit="1"/>
    </xf>
    <xf numFmtId="0" fontId="162" fillId="47" borderId="0" applyAlignment="1" pivotButton="0" quotePrefix="0" xfId="2">
      <alignment horizontal="center" vertical="center" shrinkToFit="1"/>
    </xf>
    <xf numFmtId="165" fontId="162" fillId="47" borderId="35" applyAlignment="1" pivotButton="0" quotePrefix="0" xfId="1">
      <alignment horizontal="center" vertical="center"/>
    </xf>
    <xf numFmtId="165" fontId="162" fillId="47" borderId="8" applyAlignment="1" pivotButton="0" quotePrefix="0" xfId="1">
      <alignment horizontal="center" vertical="center"/>
    </xf>
    <xf numFmtId="0" fontId="162" fillId="38" borderId="26" applyAlignment="1" pivotButton="0" quotePrefix="0" xfId="2">
      <alignment horizontal="center" vertical="center"/>
    </xf>
    <xf numFmtId="0" fontId="162" fillId="38" borderId="17" applyAlignment="1" pivotButton="0" quotePrefix="0" xfId="2">
      <alignment horizontal="center" vertical="center"/>
    </xf>
    <xf numFmtId="0" fontId="162" fillId="38" borderId="25" applyAlignment="1" pivotButton="0" quotePrefix="0" xfId="2">
      <alignment horizontal="center" vertical="center"/>
    </xf>
    <xf numFmtId="0" fontId="162" fillId="38" borderId="26" applyAlignment="1" pivotButton="0" quotePrefix="0" xfId="2">
      <alignment horizontal="center" vertical="center" wrapText="1"/>
    </xf>
    <xf numFmtId="0" fontId="162" fillId="21" borderId="5" applyAlignment="1" pivotButton="0" quotePrefix="0" xfId="15917">
      <alignment horizontal="center" vertical="center"/>
    </xf>
    <xf numFmtId="0" fontId="162" fillId="21" borderId="14" applyAlignment="1" pivotButton="0" quotePrefix="0" xfId="15917">
      <alignment horizontal="center" vertical="center"/>
    </xf>
    <xf numFmtId="0" fontId="162" fillId="21" borderId="35" applyAlignment="1" pivotButton="0" quotePrefix="0" xfId="15917">
      <alignment horizontal="center" vertical="center"/>
    </xf>
    <xf numFmtId="0" fontId="162" fillId="38" borderId="26" applyAlignment="1" pivotButton="0" quotePrefix="0" xfId="15923">
      <alignment horizontal="center" vertical="center"/>
    </xf>
    <xf numFmtId="0" fontId="162" fillId="38" borderId="25" applyAlignment="1" pivotButton="0" quotePrefix="0" xfId="15923">
      <alignment horizontal="center" vertical="center"/>
    </xf>
    <xf numFmtId="0" fontId="162" fillId="38" borderId="17" applyAlignment="1" pivotButton="0" quotePrefix="0" xfId="15923">
      <alignment horizontal="center" vertical="center"/>
    </xf>
    <xf numFmtId="167" fontId="162" fillId="21" borderId="91" applyAlignment="1" pivotButton="0" quotePrefix="0" xfId="1">
      <alignment horizontal="center" vertical="center"/>
    </xf>
    <xf numFmtId="167" fontId="162" fillId="21" borderId="13" applyAlignment="1" pivotButton="0" quotePrefix="0" xfId="1">
      <alignment horizontal="center" vertical="center"/>
    </xf>
    <xf numFmtId="167" fontId="162" fillId="21" borderId="9" applyAlignment="1" pivotButton="0" quotePrefix="0" xfId="1">
      <alignment horizontal="center" vertical="center"/>
    </xf>
    <xf numFmtId="0" fontId="175" fillId="44" borderId="26" applyAlignment="1" pivotButton="0" quotePrefix="0" xfId="15917">
      <alignment horizontal="center" vertical="center"/>
    </xf>
    <xf numFmtId="0" fontId="175" fillId="44" borderId="17" applyAlignment="1" pivotButton="0" quotePrefix="0" xfId="15917">
      <alignment horizontal="center" vertical="center"/>
    </xf>
    <xf numFmtId="0" fontId="172" fillId="45" borderId="14" applyAlignment="1" pivotButton="0" quotePrefix="0" xfId="2">
      <alignment horizontal="center" vertical="center" shrinkToFit="1"/>
    </xf>
    <xf numFmtId="0" fontId="172" fillId="45" borderId="0" applyAlignment="1" pivotButton="0" quotePrefix="0" xfId="2">
      <alignment horizontal="center" vertical="center" shrinkToFit="1"/>
    </xf>
    <xf numFmtId="164" fontId="172" fillId="45" borderId="92" applyAlignment="1" pivotButton="0" quotePrefix="0" xfId="1">
      <alignment horizontal="center" vertical="center"/>
    </xf>
    <xf numFmtId="164" fontId="172" fillId="45" borderId="116" applyAlignment="1" pivotButton="0" quotePrefix="0" xfId="1">
      <alignment horizontal="center" vertical="center"/>
    </xf>
    <xf numFmtId="0" fontId="175" fillId="44" borderId="25" applyAlignment="1" pivotButton="0" quotePrefix="0" xfId="15917">
      <alignment horizontal="center" vertical="center"/>
    </xf>
    <xf numFmtId="0" fontId="161" fillId="20" borderId="5" applyAlignment="1" pivotButton="0" quotePrefix="0" xfId="15923">
      <alignment horizontal="center" vertical="center"/>
    </xf>
    <xf numFmtId="0" fontId="161" fillId="20" borderId="14" applyAlignment="1" pivotButton="0" quotePrefix="0" xfId="15923">
      <alignment horizontal="center" vertical="center"/>
    </xf>
    <xf numFmtId="0" fontId="161" fillId="20" borderId="108" applyAlignment="1" pivotButton="0" quotePrefix="0" xfId="15923">
      <alignment horizontal="center" vertical="center"/>
    </xf>
    <xf numFmtId="0" fontId="161" fillId="20" borderId="87" applyAlignment="1" pivotButton="0" quotePrefix="0" xfId="15923">
      <alignment horizontal="center" vertical="center"/>
    </xf>
    <xf numFmtId="0" fontId="161" fillId="20" borderId="109" applyAlignment="1" pivotButton="0" quotePrefix="0" xfId="15923">
      <alignment horizontal="center" vertical="center"/>
    </xf>
    <xf numFmtId="0" fontId="162" fillId="47" borderId="5" applyAlignment="1" pivotButton="0" quotePrefix="0" xfId="2">
      <alignment horizontal="center" vertical="center" shrinkToFit="1"/>
    </xf>
    <xf numFmtId="0" fontId="162" fillId="47" borderId="61" applyAlignment="1" pivotButton="0" quotePrefix="0" xfId="2">
      <alignment horizontal="center" vertical="center" shrinkToFit="1"/>
    </xf>
    <xf numFmtId="0" fontId="162" fillId="47" borderId="79" applyAlignment="1" pivotButton="0" quotePrefix="0" xfId="2">
      <alignment horizontal="center" vertical="center" shrinkToFit="1"/>
    </xf>
    <xf numFmtId="167" fontId="162" fillId="47" borderId="94" applyAlignment="1" pivotButton="0" quotePrefix="0" xfId="1">
      <alignment horizontal="center" vertical="center"/>
    </xf>
    <xf numFmtId="167" fontId="162" fillId="47" borderId="119" applyAlignment="1" pivotButton="0" quotePrefix="0" xfId="1">
      <alignment horizontal="center" vertical="center"/>
    </xf>
    <xf numFmtId="167" fontId="162" fillId="47" borderId="95" applyAlignment="1" pivotButton="0" quotePrefix="0" xfId="1">
      <alignment horizontal="center" vertical="center"/>
    </xf>
    <xf numFmtId="0" fontId="162" fillId="47" borderId="26" applyAlignment="1" pivotButton="0" quotePrefix="0" xfId="2">
      <alignment horizontal="center" vertical="center" shrinkToFit="1"/>
    </xf>
    <xf numFmtId="0" fontId="162" fillId="47" borderId="25" applyAlignment="1" pivotButton="0" quotePrefix="0" xfId="2">
      <alignment horizontal="center" vertical="center" shrinkToFit="1"/>
    </xf>
    <xf numFmtId="167" fontId="162" fillId="40" borderId="91" applyAlignment="1" pivotButton="0" quotePrefix="0" xfId="1">
      <alignment horizontal="center" vertical="center"/>
    </xf>
    <xf numFmtId="167" fontId="162" fillId="40" borderId="13" applyAlignment="1" pivotButton="0" quotePrefix="0" xfId="1">
      <alignment horizontal="center" vertical="center"/>
    </xf>
    <xf numFmtId="167" fontId="162" fillId="40" borderId="9" applyAlignment="1" pivotButton="0" quotePrefix="0" xfId="1">
      <alignment horizontal="center" vertical="center"/>
    </xf>
    <xf numFmtId="167" fontId="162" fillId="45" borderId="99" applyAlignment="1" pivotButton="0" quotePrefix="0" xfId="1">
      <alignment horizontal="center" vertical="center"/>
    </xf>
    <xf numFmtId="167" fontId="162" fillId="45" borderId="104" applyAlignment="1" pivotButton="0" quotePrefix="0" xfId="1">
      <alignment horizontal="center" vertical="center"/>
    </xf>
    <xf numFmtId="0" fontId="175" fillId="44" borderId="25" applyAlignment="1" pivotButton="0" quotePrefix="0" xfId="2">
      <alignment horizontal="center" vertical="center"/>
    </xf>
    <xf numFmtId="0" fontId="162" fillId="38" borderId="5" applyAlignment="1" pivotButton="0" quotePrefix="0" xfId="2">
      <alignment horizontal="center" vertical="center"/>
    </xf>
    <xf numFmtId="0" fontId="162" fillId="38" borderId="61" applyAlignment="1" pivotButton="0" quotePrefix="0" xfId="2">
      <alignment horizontal="center" vertical="center"/>
    </xf>
    <xf numFmtId="0" fontId="162" fillId="0" borderId="26" applyAlignment="1" pivotButton="0" quotePrefix="0" xfId="2">
      <alignment horizontal="center" vertical="center"/>
    </xf>
    <xf numFmtId="0" fontId="162" fillId="0" borderId="25" applyAlignment="1" pivotButton="0" quotePrefix="0" xfId="2">
      <alignment horizontal="center" vertical="center"/>
    </xf>
    <xf numFmtId="0" fontId="162" fillId="0" borderId="17" applyAlignment="1" pivotButton="0" quotePrefix="0" xfId="2">
      <alignment horizontal="center" vertical="center"/>
    </xf>
    <xf numFmtId="0" fontId="162" fillId="0" borderId="26" applyAlignment="1" pivotButton="0" quotePrefix="0" xfId="2">
      <alignment horizontal="left" vertical="center"/>
    </xf>
    <xf numFmtId="0" fontId="162" fillId="0" borderId="17" applyAlignment="1" pivotButton="0" quotePrefix="0" xfId="2">
      <alignment horizontal="left" vertical="center"/>
    </xf>
    <xf numFmtId="0" fontId="162" fillId="40" borderId="3" applyAlignment="1" pivotButton="0" quotePrefix="0" xfId="15917">
      <alignment horizontal="center" vertical="center"/>
    </xf>
    <xf numFmtId="0" fontId="162" fillId="40" borderId="13" applyAlignment="1" pivotButton="0" quotePrefix="0" xfId="15917">
      <alignment horizontal="center" vertical="center"/>
    </xf>
    <xf numFmtId="0" fontId="162" fillId="40" borderId="9" applyAlignment="1" pivotButton="0" quotePrefix="0" xfId="15917">
      <alignment horizontal="center" vertical="center"/>
    </xf>
    <xf numFmtId="0" fontId="162" fillId="38" borderId="4" applyAlignment="1" pivotButton="0" quotePrefix="0" xfId="2">
      <alignment horizontal="center" vertical="center" wrapText="1"/>
    </xf>
    <xf numFmtId="0" fontId="162" fillId="38" borderId="4" applyAlignment="1" pivotButton="0" quotePrefix="0" xfId="2">
      <alignment horizontal="center" vertical="center"/>
    </xf>
    <xf numFmtId="0" fontId="162" fillId="38" borderId="68" applyAlignment="1" pivotButton="0" quotePrefix="0" xfId="2">
      <alignment horizontal="left" vertical="center"/>
    </xf>
    <xf numFmtId="0" fontId="162" fillId="38" borderId="78" applyAlignment="1" pivotButton="0" quotePrefix="0" xfId="2">
      <alignment horizontal="left" vertical="center"/>
    </xf>
    <xf numFmtId="0" fontId="162" fillId="38" borderId="25" applyAlignment="1" pivotButton="0" quotePrefix="0" xfId="2">
      <alignment horizontal="left" vertical="center"/>
    </xf>
    <xf numFmtId="0" fontId="162" fillId="38" borderId="17" applyAlignment="1" pivotButton="0" quotePrefix="0" xfId="2">
      <alignment horizontal="left" vertical="center"/>
    </xf>
    <xf numFmtId="0" fontId="162" fillId="38" borderId="26" applyAlignment="1" pivotButton="0" quotePrefix="0" xfId="2">
      <alignment horizontal="left" vertical="center"/>
    </xf>
    <xf numFmtId="164" fontId="170" fillId="38" borderId="26" applyAlignment="1" pivotButton="0" quotePrefix="0" xfId="1">
      <alignment horizontal="center" vertical="center"/>
    </xf>
    <xf numFmtId="164" fontId="170" fillId="38" borderId="17" applyAlignment="1" pivotButton="0" quotePrefix="0" xfId="1">
      <alignment horizontal="center" vertical="center"/>
    </xf>
    <xf numFmtId="167" fontId="162" fillId="21" borderId="104" applyAlignment="1" pivotButton="0" quotePrefix="0" xfId="1">
      <alignment horizontal="center" vertical="center"/>
    </xf>
    <xf numFmtId="167" fontId="162" fillId="21" borderId="0" applyAlignment="1" pivotButton="0" quotePrefix="0" xfId="1">
      <alignment horizontal="center" vertical="center"/>
    </xf>
    <xf numFmtId="167" fontId="162" fillId="21" borderId="8" applyAlignment="1" pivotButton="0" quotePrefix="0" xfId="1">
      <alignment horizontal="center" vertical="center"/>
    </xf>
    <xf numFmtId="168" fontId="166" fillId="38" borderId="92" applyAlignment="1" pivotButton="0" quotePrefix="0" xfId="1">
      <alignment horizontal="center" vertical="center"/>
    </xf>
    <xf numFmtId="168" fontId="166" fillId="38" borderId="96" applyAlignment="1" pivotButton="0" quotePrefix="0" xfId="1">
      <alignment horizontal="center" vertical="center"/>
    </xf>
    <xf numFmtId="0" fontId="162" fillId="21" borderId="91" applyAlignment="1" pivotButton="0" quotePrefix="0" xfId="1">
      <alignment horizontal="center" vertical="center"/>
    </xf>
    <xf numFmtId="0" fontId="162" fillId="21" borderId="13" applyAlignment="1" pivotButton="0" quotePrefix="0" xfId="1">
      <alignment horizontal="center" vertical="center"/>
    </xf>
    <xf numFmtId="0" fontId="162" fillId="21" borderId="9" applyAlignment="1" pivotButton="0" quotePrefix="0" xfId="1">
      <alignment horizontal="center" vertical="center"/>
    </xf>
    <xf numFmtId="0" fontId="162" fillId="45" borderId="14" applyAlignment="1" pivotButton="0" quotePrefix="0" xfId="2">
      <alignment horizontal="center" vertical="center" shrinkToFit="1"/>
    </xf>
    <xf numFmtId="0" fontId="162" fillId="45" borderId="0" applyAlignment="1" pivotButton="0" quotePrefix="0" xfId="2">
      <alignment horizontal="center" vertical="center" shrinkToFit="1"/>
    </xf>
    <xf numFmtId="165" fontId="162" fillId="45" borderId="35" applyAlignment="1" pivotButton="0" quotePrefix="0" xfId="1">
      <alignment horizontal="center" vertical="center"/>
    </xf>
    <xf numFmtId="165" fontId="162" fillId="45" borderId="8" applyAlignment="1" pivotButton="0" quotePrefix="0" xfId="1">
      <alignment horizontal="center" vertical="center"/>
    </xf>
    <xf numFmtId="164" fontId="170" fillId="45" borderId="26" applyAlignment="1" pivotButton="0" quotePrefix="0" xfId="1">
      <alignment horizontal="center" vertical="center"/>
    </xf>
    <xf numFmtId="164" fontId="170" fillId="45" borderId="25" applyAlignment="1" pivotButton="0" quotePrefix="0" xfId="1">
      <alignment horizontal="center" vertical="center"/>
    </xf>
    <xf numFmtId="168" fontId="161" fillId="45" borderId="92" applyAlignment="1" pivotButton="0" quotePrefix="0" xfId="1">
      <alignment horizontal="center" vertical="center"/>
    </xf>
    <xf numFmtId="168" fontId="161" fillId="45" borderId="116" applyAlignment="1" pivotButton="0" quotePrefix="0" xfId="1">
      <alignment horizontal="center" vertical="center"/>
    </xf>
    <xf numFmtId="164" fontId="172" fillId="38" borderId="5" applyAlignment="1" pivotButton="0" quotePrefix="0" xfId="1">
      <alignment horizontal="center" vertical="center"/>
    </xf>
    <xf numFmtId="164" fontId="172" fillId="38" borderId="79" applyAlignment="1" pivotButton="0" quotePrefix="0" xfId="1">
      <alignment horizontal="center" vertical="center"/>
    </xf>
    <xf numFmtId="167" fontId="162" fillId="38" borderId="94" applyAlignment="1" pivotButton="0" quotePrefix="0" xfId="1">
      <alignment horizontal="center" vertical="center"/>
    </xf>
    <xf numFmtId="167" fontId="162" fillId="38" borderId="95" applyAlignment="1" pivotButton="0" quotePrefix="0" xfId="1">
      <alignment horizontal="center" vertical="center"/>
    </xf>
    <xf numFmtId="164" fontId="162" fillId="38" borderId="26" applyAlignment="1" pivotButton="0" quotePrefix="0" xfId="1">
      <alignment horizontal="center" vertical="center"/>
    </xf>
    <xf numFmtId="164" fontId="162" fillId="38" borderId="17" applyAlignment="1" pivotButton="0" quotePrefix="0" xfId="1">
      <alignment horizontal="center" vertical="center"/>
    </xf>
    <xf numFmtId="165" fontId="162" fillId="38" borderId="26" applyAlignment="1" pivotButton="0" quotePrefix="0" xfId="1">
      <alignment horizontal="center" vertical="center"/>
    </xf>
    <xf numFmtId="165" fontId="162" fillId="38" borderId="17" applyAlignment="1" pivotButton="0" quotePrefix="0" xfId="1">
      <alignment horizontal="center" vertical="center"/>
    </xf>
    <xf numFmtId="165" fontId="162" fillId="38" borderId="35" applyAlignment="1" pivotButton="0" quotePrefix="0" xfId="1">
      <alignment horizontal="center" vertical="center"/>
    </xf>
    <xf numFmtId="165" fontId="162" fillId="38" borderId="85" applyAlignment="1" pivotButton="0" quotePrefix="0" xfId="1">
      <alignment horizontal="center" vertical="center"/>
    </xf>
    <xf numFmtId="0" fontId="163" fillId="38" borderId="26" applyAlignment="1" pivotButton="0" quotePrefix="0" xfId="0">
      <alignment horizontal="left" vertical="center"/>
    </xf>
    <xf numFmtId="0" fontId="163" fillId="38" borderId="25" applyAlignment="1" pivotButton="0" quotePrefix="0" xfId="0">
      <alignment horizontal="left" vertical="center"/>
    </xf>
    <xf numFmtId="0" fontId="163" fillId="38" borderId="17" applyAlignment="1" pivotButton="0" quotePrefix="0" xfId="0">
      <alignment horizontal="left" vertical="center"/>
    </xf>
    <xf numFmtId="0" fontId="162" fillId="0" borderId="5" applyAlignment="1" pivotButton="0" quotePrefix="0" xfId="2">
      <alignment horizontal="center" vertical="center" wrapText="1"/>
    </xf>
    <xf numFmtId="0" fontId="162" fillId="0" borderId="35" applyAlignment="1" pivotButton="0" quotePrefix="0" xfId="2">
      <alignment horizontal="center" vertical="center" wrapText="1"/>
    </xf>
    <xf numFmtId="0" fontId="162" fillId="0" borderId="61" applyAlignment="1" pivotButton="0" quotePrefix="0" xfId="2">
      <alignment horizontal="center" vertical="center" wrapText="1"/>
    </xf>
    <xf numFmtId="0" fontId="162" fillId="0" borderId="8" applyAlignment="1" pivotButton="0" quotePrefix="0" xfId="2">
      <alignment horizontal="center" vertical="center" wrapText="1"/>
    </xf>
    <xf numFmtId="0" fontId="162" fillId="0" borderId="79" applyAlignment="1" pivotButton="0" quotePrefix="0" xfId="2">
      <alignment horizontal="center" vertical="center" wrapText="1"/>
    </xf>
    <xf numFmtId="0" fontId="162" fillId="0" borderId="27" applyAlignment="1" pivotButton="0" quotePrefix="0" xfId="2">
      <alignment horizontal="center" vertical="center" wrapText="1"/>
    </xf>
    <xf numFmtId="167" fontId="162" fillId="21" borderId="91" applyAlignment="1" pivotButton="0" quotePrefix="0" xfId="5749">
      <alignment horizontal="center" vertical="center"/>
    </xf>
    <xf numFmtId="167" fontId="162" fillId="21" borderId="13" applyAlignment="1" pivotButton="0" quotePrefix="0" xfId="5749">
      <alignment horizontal="center" vertical="center"/>
    </xf>
    <xf numFmtId="167" fontId="162" fillId="21" borderId="9" applyAlignment="1" pivotButton="0" quotePrefix="0" xfId="5749">
      <alignment horizontal="center" vertical="center"/>
    </xf>
    <xf numFmtId="0" fontId="162" fillId="0" borderId="68" applyAlignment="1" pivotButton="0" quotePrefix="0" xfId="2">
      <alignment horizontal="left" vertical="center"/>
    </xf>
    <xf numFmtId="0" fontId="162" fillId="0" borderId="78" applyAlignment="1" pivotButton="0" quotePrefix="0" xfId="2">
      <alignment horizontal="left" vertical="center"/>
    </xf>
    <xf numFmtId="0" fontId="162" fillId="40" borderId="91" applyAlignment="1" pivotButton="0" quotePrefix="0" xfId="1">
      <alignment horizontal="center" vertical="center"/>
    </xf>
    <xf numFmtId="0" fontId="162" fillId="40" borderId="13" applyAlignment="1" pivotButton="0" quotePrefix="0" xfId="1">
      <alignment horizontal="center" vertical="center"/>
    </xf>
    <xf numFmtId="0" fontId="162" fillId="40" borderId="9" applyAlignment="1" pivotButton="0" quotePrefix="0" xfId="1">
      <alignment horizontal="center" vertical="center"/>
    </xf>
    <xf numFmtId="0" fontId="161" fillId="20" borderId="9" applyAlignment="1" pivotButton="0" quotePrefix="0" xfId="2">
      <alignment horizontal="center" vertical="center" wrapText="1"/>
    </xf>
    <xf numFmtId="0" fontId="161" fillId="20" borderId="4" applyAlignment="1" pivotButton="0" quotePrefix="0" xfId="2">
      <alignment horizontal="center" vertical="center"/>
    </xf>
    <xf numFmtId="164" fontId="170" fillId="20" borderId="86" applyAlignment="1" pivotButton="0" quotePrefix="0" xfId="1">
      <alignment horizontal="center" vertical="center"/>
    </xf>
    <xf numFmtId="164" fontId="170" fillId="20" borderId="87" applyAlignment="1" pivotButton="0" quotePrefix="0" xfId="1">
      <alignment horizontal="center" vertical="center"/>
    </xf>
    <xf numFmtId="164" fontId="170" fillId="20" borderId="88" applyAlignment="1" pivotButton="0" quotePrefix="0" xfId="1">
      <alignment horizontal="center" vertical="center"/>
    </xf>
    <xf numFmtId="164" fontId="162" fillId="40" borderId="91" applyAlignment="1" pivotButton="0" quotePrefix="0" xfId="1">
      <alignment horizontal="center" vertical="center"/>
    </xf>
    <xf numFmtId="164" fontId="162" fillId="40" borderId="13" applyAlignment="1" pivotButton="0" quotePrefix="0" xfId="1">
      <alignment horizontal="center" vertical="center"/>
    </xf>
    <xf numFmtId="164" fontId="162" fillId="40" borderId="9" applyAlignment="1" pivotButton="0" quotePrefix="0" xfId="1">
      <alignment horizontal="center" vertical="center"/>
    </xf>
    <xf numFmtId="164" fontId="162" fillId="21" borderId="91" applyAlignment="1" pivotButton="0" quotePrefix="0" xfId="5749">
      <alignment horizontal="center" vertical="center"/>
    </xf>
    <xf numFmtId="164" fontId="162" fillId="21" borderId="13" applyAlignment="1" pivotButton="0" quotePrefix="0" xfId="5749">
      <alignment horizontal="center" vertical="center"/>
    </xf>
    <xf numFmtId="164" fontId="162" fillId="21" borderId="9" applyAlignment="1" pivotButton="0" quotePrefix="0" xfId="5749">
      <alignment horizontal="center" vertical="center"/>
    </xf>
    <xf numFmtId="165" fontId="162" fillId="38" borderId="27" applyAlignment="1" pivotButton="0" quotePrefix="0" xfId="1">
      <alignment horizontal="center" vertical="center"/>
    </xf>
    <xf numFmtId="0" fontId="170" fillId="20" borderId="4" applyAlignment="1" pivotButton="0" quotePrefix="0" xfId="0">
      <alignment horizontal="center" vertical="center"/>
    </xf>
    <xf numFmtId="0" fontId="170" fillId="20" borderId="3" applyAlignment="1" pivotButton="0" quotePrefix="0" xfId="0">
      <alignment horizontal="center" vertical="center"/>
    </xf>
    <xf numFmtId="0" fontId="162" fillId="38" borderId="25" applyAlignment="1" pivotButton="0" quotePrefix="0" xfId="2">
      <alignment horizontal="center" vertical="center" wrapText="1"/>
    </xf>
    <xf numFmtId="0" fontId="162" fillId="0" borderId="26" applyAlignment="1" pivotButton="0" quotePrefix="0" xfId="2">
      <alignment horizontal="center" vertical="center" wrapText="1"/>
    </xf>
    <xf numFmtId="0" fontId="162" fillId="0" borderId="25" applyAlignment="1" pivotButton="0" quotePrefix="0" xfId="2">
      <alignment horizontal="center" vertical="center" wrapText="1"/>
    </xf>
    <xf numFmtId="0" fontId="162" fillId="0" borderId="17" applyAlignment="1" pivotButton="0" quotePrefix="0" xfId="2">
      <alignment horizontal="center" vertical="center" wrapText="1"/>
    </xf>
    <xf numFmtId="0" fontId="162" fillId="0" borderId="4" applyAlignment="1" pivotButton="0" quotePrefix="0" xfId="2">
      <alignment horizontal="left" vertical="center"/>
    </xf>
    <xf numFmtId="0" fontId="162" fillId="0" borderId="4" applyAlignment="1" pivotButton="0" quotePrefix="0" xfId="2">
      <alignment horizontal="center" vertical="center"/>
    </xf>
    <xf numFmtId="0" fontId="162" fillId="0" borderId="5" applyAlignment="1" pivotButton="0" quotePrefix="0" xfId="2">
      <alignment horizontal="center" vertical="center"/>
    </xf>
    <xf numFmtId="0" fontId="162" fillId="0" borderId="61" applyAlignment="1" pivotButton="0" quotePrefix="0" xfId="2">
      <alignment horizontal="center" vertical="center"/>
    </xf>
    <xf numFmtId="0" fontId="162" fillId="0" borderId="79" applyAlignment="1" pivotButton="0" quotePrefix="0" xfId="2">
      <alignment horizontal="center" vertical="center"/>
    </xf>
    <xf numFmtId="0" fontId="162" fillId="38" borderId="84" applyAlignment="1" pivotButton="0" quotePrefix="0" xfId="2">
      <alignment horizontal="left" vertical="center"/>
    </xf>
    <xf numFmtId="0" fontId="162" fillId="0" borderId="25" applyAlignment="1" pivotButton="0" quotePrefix="0" xfId="2">
      <alignment horizontal="left" vertical="center"/>
    </xf>
    <xf numFmtId="165" fontId="172" fillId="45" borderId="35" applyAlignment="1" pivotButton="0" quotePrefix="0" xfId="1">
      <alignment horizontal="center" vertical="center"/>
    </xf>
    <xf numFmtId="165" fontId="172" fillId="45" borderId="8" applyAlignment="1" pivotButton="0" quotePrefix="0" xfId="1">
      <alignment horizontal="center" vertical="center"/>
    </xf>
    <xf numFmtId="0" fontId="164" fillId="0" borderId="12" applyAlignment="1" pivotButton="0" quotePrefix="0" xfId="0">
      <alignment horizontal="center" vertical="center"/>
    </xf>
    <xf numFmtId="0" fontId="161" fillId="38" borderId="63" applyAlignment="1" pivotButton="0" quotePrefix="0" xfId="15899">
      <alignment horizontal="center" vertical="center" shrinkToFit="1"/>
    </xf>
    <xf numFmtId="0" fontId="161" fillId="38" borderId="15" applyAlignment="1" pivotButton="0" quotePrefix="0" xfId="15899">
      <alignment horizontal="center" vertical="center" shrinkToFit="1"/>
    </xf>
    <xf numFmtId="0" fontId="161" fillId="38" borderId="21" applyAlignment="1" pivotButton="0" quotePrefix="0" xfId="15899">
      <alignment horizontal="center" vertical="center" shrinkToFit="1"/>
    </xf>
    <xf numFmtId="0" fontId="161" fillId="38" borderId="63" applyAlignment="1" pivotButton="0" quotePrefix="0" xfId="15900">
      <alignment horizontal="center" vertical="center" shrinkToFit="1"/>
    </xf>
    <xf numFmtId="0" fontId="161" fillId="38" borderId="15" applyAlignment="1" pivotButton="0" quotePrefix="0" xfId="15900">
      <alignment horizontal="center" vertical="center" shrinkToFit="1"/>
    </xf>
    <xf numFmtId="0" fontId="161" fillId="38" borderId="21" applyAlignment="1" pivotButton="0" quotePrefix="0" xfId="15900">
      <alignment horizontal="center" vertical="center" shrinkToFit="1"/>
    </xf>
    <xf numFmtId="0" fontId="161" fillId="0" borderId="28" applyAlignment="1" pivotButton="0" quotePrefix="0" xfId="15899">
      <alignment horizontal="center" vertical="center"/>
    </xf>
    <xf numFmtId="0" fontId="161" fillId="0" borderId="9" applyAlignment="1" pivotButton="0" quotePrefix="0" xfId="15899">
      <alignment horizontal="center" vertical="center"/>
    </xf>
    <xf numFmtId="0" fontId="162" fillId="0" borderId="3" applyAlignment="1" pivotButton="0" quotePrefix="0" xfId="15899">
      <alignment horizontal="center" vertical="center" shrinkToFit="1"/>
    </xf>
    <xf numFmtId="0" fontId="162" fillId="0" borderId="18" applyAlignment="1" pivotButton="0" quotePrefix="0" xfId="15899">
      <alignment horizontal="center" vertical="center" shrinkToFit="1"/>
    </xf>
    <xf numFmtId="0" fontId="165" fillId="0" borderId="74" applyAlignment="1" pivotButton="0" quotePrefix="0" xfId="15899">
      <alignment horizontal="center" vertical="center"/>
    </xf>
    <xf numFmtId="0" fontId="165" fillId="0" borderId="75" applyAlignment="1" pivotButton="0" quotePrefix="0" xfId="15899">
      <alignment horizontal="center" vertical="center"/>
    </xf>
    <xf numFmtId="0" fontId="165" fillId="0" borderId="76" applyAlignment="1" pivotButton="0" quotePrefix="0" xfId="15899">
      <alignment horizontal="center" vertical="center"/>
    </xf>
    <xf numFmtId="0" fontId="165" fillId="0" borderId="19" applyAlignment="1" pivotButton="0" quotePrefix="0" xfId="15899">
      <alignment horizontal="center" vertical="center"/>
    </xf>
    <xf numFmtId="0" fontId="165" fillId="0" borderId="0" applyAlignment="1" pivotButton="0" quotePrefix="0" xfId="15899">
      <alignment horizontal="center" vertical="center"/>
    </xf>
    <xf numFmtId="0" fontId="165" fillId="0" borderId="72" applyAlignment="1" pivotButton="0" quotePrefix="0" xfId="15899">
      <alignment horizontal="center" vertical="center"/>
    </xf>
    <xf numFmtId="0" fontId="165" fillId="0" borderId="20" applyAlignment="1" pivotButton="0" quotePrefix="0" xfId="15899">
      <alignment horizontal="center" vertical="center"/>
    </xf>
    <xf numFmtId="0" fontId="165" fillId="0" borderId="12" applyAlignment="1" pivotButton="0" quotePrefix="0" xfId="15899">
      <alignment horizontal="center" vertical="center"/>
    </xf>
    <xf numFmtId="0" fontId="165" fillId="0" borderId="73" applyAlignment="1" pivotButton="0" quotePrefix="0" xfId="15899">
      <alignment horizontal="center" vertical="center"/>
    </xf>
    <xf numFmtId="0" fontId="161" fillId="0" borderId="28" applyAlignment="1" pivotButton="0" quotePrefix="0" xfId="15899">
      <alignment horizontal="center" vertical="center"/>
    </xf>
    <xf numFmtId="0" fontId="161" fillId="0" borderId="9" applyAlignment="1" pivotButton="0" quotePrefix="0" xfId="15899">
      <alignment horizontal="center" vertical="center"/>
    </xf>
    <xf numFmtId="0" fontId="161" fillId="0" borderId="28" applyAlignment="1" pivotButton="0" quotePrefix="0" xfId="15902">
      <alignment horizontal="center" vertical="center" shrinkToFit="1"/>
    </xf>
    <xf numFmtId="0" fontId="161" fillId="0" borderId="13" applyAlignment="1" pivotButton="0" quotePrefix="0" xfId="15902">
      <alignment horizontal="center" vertical="center" shrinkToFit="1"/>
    </xf>
    <xf numFmtId="0" fontId="161" fillId="0" borderId="9" applyAlignment="1" pivotButton="0" quotePrefix="0" xfId="15902">
      <alignment horizontal="center" vertical="center" shrinkToFit="1"/>
    </xf>
    <xf numFmtId="0" fontId="161" fillId="0" borderId="28" applyAlignment="1" pivotButton="0" quotePrefix="0" xfId="15902">
      <alignment horizontal="center" vertical="center" shrinkToFit="1"/>
    </xf>
    <xf numFmtId="0" fontId="161" fillId="0" borderId="13" applyAlignment="1" pivotButton="0" quotePrefix="0" xfId="15902">
      <alignment horizontal="center" vertical="center" shrinkToFit="1"/>
    </xf>
    <xf numFmtId="0" fontId="161" fillId="0" borderId="9" applyAlignment="1" pivotButton="0" quotePrefix="0" xfId="15902">
      <alignment horizontal="center" vertical="center" shrinkToFit="1"/>
    </xf>
    <xf numFmtId="0" fontId="161" fillId="0" borderId="67" applyAlignment="1" pivotButton="0" quotePrefix="0" xfId="15902">
      <alignment horizontal="center" vertical="center" shrinkToFit="1"/>
    </xf>
    <xf numFmtId="0" fontId="161" fillId="0" borderId="16" applyAlignment="1" pivotButton="0" quotePrefix="0" xfId="15902">
      <alignment horizontal="center" vertical="center" shrinkToFit="1"/>
    </xf>
    <xf numFmtId="0" fontId="161" fillId="0" borderId="11" applyAlignment="1" pivotButton="0" quotePrefix="0" xfId="15902">
      <alignment horizontal="center" vertical="center" shrinkToFit="1"/>
    </xf>
    <xf numFmtId="0" fontId="162" fillId="0" borderId="3" applyAlignment="1" pivotButton="0" quotePrefix="0" xfId="15902">
      <alignment horizontal="center" vertical="center" shrinkToFit="1"/>
    </xf>
    <xf numFmtId="0" fontId="162" fillId="0" borderId="13" applyAlignment="1" pivotButton="0" quotePrefix="0" xfId="15902">
      <alignment horizontal="center" vertical="center" shrinkToFit="1"/>
    </xf>
    <xf numFmtId="0" fontId="162" fillId="0" borderId="18" applyAlignment="1" pivotButton="0" quotePrefix="0" xfId="15902">
      <alignment horizontal="center" vertical="center" shrinkToFit="1"/>
    </xf>
    <xf numFmtId="0" fontId="161" fillId="0" borderId="22" applyAlignment="1" pivotButton="0" quotePrefix="0" xfId="15902">
      <alignment horizontal="center" vertical="center" shrinkToFit="1"/>
    </xf>
    <xf numFmtId="0" fontId="161" fillId="0" borderId="23" applyAlignment="1" pivotButton="0" quotePrefix="0" xfId="15902">
      <alignment horizontal="center" vertical="center" shrinkToFit="1"/>
    </xf>
    <xf numFmtId="0" fontId="161" fillId="20" borderId="91" applyAlignment="1" pivotButton="0" quotePrefix="0" xfId="15923">
      <alignment horizontal="center" vertical="center"/>
    </xf>
    <xf numFmtId="0" fontId="161" fillId="0" borderId="67" applyAlignment="1" pivotButton="0" quotePrefix="0" xfId="15899">
      <alignment horizontal="center" vertical="center"/>
    </xf>
    <xf numFmtId="0" fontId="161" fillId="0" borderId="11" applyAlignment="1" pivotButton="0" quotePrefix="0" xfId="15899">
      <alignment horizontal="center" vertical="center"/>
    </xf>
    <xf numFmtId="0" fontId="162" fillId="0" borderId="22" applyAlignment="1" pivotButton="0" quotePrefix="0" xfId="15899">
      <alignment horizontal="center" vertical="center" shrinkToFit="1"/>
    </xf>
    <xf numFmtId="0" fontId="162" fillId="0" borderId="23" applyAlignment="1" pivotButton="0" quotePrefix="0" xfId="15899">
      <alignment horizontal="center" vertical="center" shrinkToFit="1"/>
    </xf>
    <xf numFmtId="165" fontId="161" fillId="20" borderId="91" applyAlignment="1" pivotButton="0" quotePrefix="0" xfId="1">
      <alignment horizontal="center" vertical="center" shrinkToFit="1"/>
    </xf>
    <xf numFmtId="165" fontId="161" fillId="20" borderId="9" applyAlignment="1" pivotButton="0" quotePrefix="0" xfId="1">
      <alignment horizontal="center" vertical="center" shrinkToFit="1"/>
    </xf>
    <xf numFmtId="0" fontId="162" fillId="21" borderId="4" applyAlignment="1" pivotButton="0" quotePrefix="0" xfId="15917">
      <alignment horizontal="center" vertical="center"/>
    </xf>
    <xf numFmtId="0" fontId="162" fillId="40" borderId="4" applyAlignment="1" pivotButton="0" quotePrefix="0" xfId="15917">
      <alignment horizontal="center" vertical="center"/>
    </xf>
    <xf numFmtId="0" fontId="172" fillId="38" borderId="26" applyAlignment="1" pivotButton="0" quotePrefix="0" xfId="2">
      <alignment horizontal="center" vertical="center"/>
    </xf>
    <xf numFmtId="0" fontId="172" fillId="38" borderId="17" applyAlignment="1" pivotButton="0" quotePrefix="0" xfId="2">
      <alignment horizontal="center" vertical="center"/>
    </xf>
    <xf numFmtId="165" fontId="172" fillId="38" borderId="26" applyAlignment="1" pivotButton="0" quotePrefix="0" xfId="1">
      <alignment horizontal="center" vertical="center"/>
    </xf>
    <xf numFmtId="165" fontId="172" fillId="38" borderId="17" applyAlignment="1" pivotButton="0" quotePrefix="0" xfId="1">
      <alignment horizontal="center" vertical="center"/>
    </xf>
    <xf numFmtId="0" fontId="162" fillId="21" borderId="3" applyAlignment="1" pivotButton="0" quotePrefix="0" xfId="15917">
      <alignment horizontal="center" vertical="center"/>
    </xf>
    <xf numFmtId="0" fontId="162" fillId="21" borderId="13" applyAlignment="1" pivotButton="0" quotePrefix="0" xfId="15917">
      <alignment horizontal="center" vertical="center"/>
    </xf>
    <xf numFmtId="0" fontId="162" fillId="21" borderId="9" applyAlignment="1" pivotButton="0" quotePrefix="0" xfId="15917">
      <alignment horizontal="center" vertical="center"/>
    </xf>
    <xf numFmtId="0" fontId="162" fillId="0" borderId="35" applyAlignment="1" pivotButton="0" quotePrefix="0" xfId="2">
      <alignment horizontal="center" vertical="center"/>
    </xf>
    <xf numFmtId="0" fontId="162" fillId="0" borderId="8" applyAlignment="1" pivotButton="0" quotePrefix="0" xfId="2">
      <alignment horizontal="center" vertical="center"/>
    </xf>
    <xf numFmtId="0" fontId="162" fillId="0" borderId="27" applyAlignment="1" pivotButton="0" quotePrefix="0" xfId="2">
      <alignment horizontal="center" vertical="center"/>
    </xf>
    <xf numFmtId="0" fontId="162" fillId="0" borderId="14" applyAlignment="1" pivotButton="0" quotePrefix="0" xfId="2">
      <alignment horizontal="center" vertical="center" wrapText="1"/>
    </xf>
    <xf numFmtId="0" fontId="162" fillId="0" borderId="0" applyAlignment="1" pivotButton="0" quotePrefix="0" xfId="2">
      <alignment horizontal="center" vertical="center" wrapText="1"/>
    </xf>
    <xf numFmtId="0" fontId="162" fillId="0" borderId="82" applyAlignment="1" pivotButton="0" quotePrefix="0" xfId="2">
      <alignment horizontal="center" vertical="center" wrapText="1"/>
    </xf>
    <xf numFmtId="0" fontId="162" fillId="39" borderId="26" applyAlignment="1" pivotButton="0" quotePrefix="0" xfId="0">
      <alignment horizontal="left" vertical="center" wrapText="1"/>
    </xf>
    <xf numFmtId="0" fontId="162" fillId="39" borderId="25" applyAlignment="1" pivotButton="0" quotePrefix="0" xfId="0">
      <alignment horizontal="left" vertical="center" wrapText="1"/>
    </xf>
    <xf numFmtId="0" fontId="162" fillId="39" borderId="17" applyAlignment="1" pivotButton="0" quotePrefix="0" xfId="0">
      <alignment horizontal="left" vertical="center" wrapText="1"/>
    </xf>
    <xf numFmtId="0" fontId="162" fillId="0" borderId="26" applyAlignment="1" pivotButton="0" quotePrefix="0" xfId="2">
      <alignment horizontal="left" vertical="center" wrapText="1"/>
    </xf>
    <xf numFmtId="0" fontId="162" fillId="0" borderId="25" applyAlignment="1" pivotButton="0" quotePrefix="0" xfId="2">
      <alignment horizontal="left" vertical="center" wrapText="1"/>
    </xf>
    <xf numFmtId="0" fontId="162" fillId="0" borderId="17" applyAlignment="1" pivotButton="0" quotePrefix="0" xfId="2">
      <alignment horizontal="left" vertical="center" wrapText="1"/>
    </xf>
    <xf numFmtId="0" fontId="163" fillId="0" borderId="26" applyAlignment="1" pivotButton="0" quotePrefix="0" xfId="0">
      <alignment horizontal="left" vertical="center"/>
    </xf>
    <xf numFmtId="0" fontId="163" fillId="0" borderId="25" applyAlignment="1" pivotButton="0" quotePrefix="0" xfId="0">
      <alignment horizontal="left" vertical="center"/>
    </xf>
    <xf numFmtId="0" fontId="163" fillId="0" borderId="17" applyAlignment="1" pivotButton="0" quotePrefix="0" xfId="0">
      <alignment horizontal="left" vertical="center"/>
    </xf>
    <xf numFmtId="0" fontId="162" fillId="43" borderId="4" applyAlignment="1" pivotButton="0" quotePrefix="0" xfId="2">
      <alignment horizontal="center" vertical="center"/>
    </xf>
    <xf numFmtId="0" fontId="162" fillId="43" borderId="4" applyAlignment="1" pivotButton="0" quotePrefix="0" xfId="2">
      <alignment horizontal="left" vertical="center"/>
    </xf>
    <xf numFmtId="0" fontId="162" fillId="43" borderId="5" applyAlignment="1" pivotButton="0" quotePrefix="0" xfId="2">
      <alignment horizontal="center" vertical="center"/>
    </xf>
    <xf numFmtId="0" fontId="162" fillId="43" borderId="35" applyAlignment="1" pivotButton="0" quotePrefix="0" xfId="2">
      <alignment horizontal="center" vertical="center"/>
    </xf>
    <xf numFmtId="0" fontId="162" fillId="43" borderId="61" applyAlignment="1" pivotButton="0" quotePrefix="0" xfId="2">
      <alignment horizontal="center" vertical="center"/>
    </xf>
    <xf numFmtId="0" fontId="162" fillId="43" borderId="8" applyAlignment="1" pivotButton="0" quotePrefix="0" xfId="2">
      <alignment horizontal="center" vertical="center"/>
    </xf>
    <xf numFmtId="0" fontId="162" fillId="43" borderId="79" applyAlignment="1" pivotButton="0" quotePrefix="0" xfId="2">
      <alignment horizontal="center" vertical="center"/>
    </xf>
    <xf numFmtId="0" fontId="162" fillId="43" borderId="27" applyAlignment="1" pivotButton="0" quotePrefix="0" xfId="2">
      <alignment horizontal="center" vertical="center"/>
    </xf>
    <xf numFmtId="0" fontId="162" fillId="43" borderId="26" applyAlignment="1" pivotButton="0" quotePrefix="0" xfId="2">
      <alignment horizontal="center" vertical="center" wrapText="1"/>
    </xf>
    <xf numFmtId="0" fontId="162" fillId="43" borderId="25" applyAlignment="1" pivotButton="0" quotePrefix="0" xfId="2">
      <alignment horizontal="center" vertical="center" wrapText="1"/>
    </xf>
    <xf numFmtId="0" fontId="162" fillId="43" borderId="14" applyAlignment="1" pivotButton="0" quotePrefix="0" xfId="2">
      <alignment horizontal="center" vertical="center"/>
    </xf>
    <xf numFmtId="0" fontId="162" fillId="43" borderId="0" applyAlignment="1" pivotButton="0" quotePrefix="0" xfId="2">
      <alignment horizontal="center" vertical="center"/>
    </xf>
    <xf numFmtId="0" fontId="162" fillId="43" borderId="82" applyAlignment="1" pivotButton="0" quotePrefix="0" xfId="2">
      <alignment horizontal="center" vertical="center"/>
    </xf>
    <xf numFmtId="167" fontId="161" fillId="20" borderId="91" applyAlignment="1" pivotButton="0" quotePrefix="0" xfId="1">
      <alignment horizontal="center" vertical="center" wrapText="1"/>
    </xf>
    <xf numFmtId="167" fontId="161" fillId="20" borderId="13" applyAlignment="1" pivotButton="0" quotePrefix="0" xfId="1">
      <alignment horizontal="center" vertical="center" wrapText="1"/>
    </xf>
    <xf numFmtId="167" fontId="161" fillId="20" borderId="9" applyAlignment="1" pivotButton="0" quotePrefix="0" xfId="1">
      <alignment horizontal="center" vertical="center" wrapText="1"/>
    </xf>
    <xf numFmtId="167" fontId="161" fillId="20" borderId="91" applyAlignment="1" pivotButton="0" quotePrefix="0" xfId="1">
      <alignment horizontal="center" vertical="center" shrinkToFit="1"/>
    </xf>
    <xf numFmtId="167" fontId="161" fillId="20" borderId="13" applyAlignment="1" pivotButton="0" quotePrefix="0" xfId="1">
      <alignment horizontal="center" vertical="center" shrinkToFit="1"/>
    </xf>
    <xf numFmtId="167" fontId="161" fillId="20" borderId="9" applyAlignment="1" pivotButton="0" quotePrefix="0" xfId="1">
      <alignment horizontal="center" vertical="center" shrinkToFit="1"/>
    </xf>
    <xf numFmtId="0" fontId="162" fillId="47" borderId="3" applyAlignment="1" pivotButton="0" quotePrefix="0" xfId="2">
      <alignment horizontal="center" vertical="center"/>
    </xf>
    <xf numFmtId="0" fontId="162" fillId="47" borderId="13" applyAlignment="1" pivotButton="0" quotePrefix="0" xfId="2">
      <alignment horizontal="center" vertical="center"/>
    </xf>
    <xf numFmtId="167" fontId="161" fillId="20" borderId="100" applyAlignment="1" pivotButton="0" quotePrefix="0" xfId="1">
      <alignment horizontal="center" vertical="center" shrinkToFit="1"/>
    </xf>
    <xf numFmtId="167" fontId="161" fillId="20" borderId="106" applyAlignment="1" pivotButton="0" quotePrefix="0" xfId="1">
      <alignment horizontal="center" vertical="center" shrinkToFit="1"/>
    </xf>
    <xf numFmtId="167" fontId="161" fillId="20" borderId="107" applyAlignment="1" pivotButton="0" quotePrefix="0" xfId="1">
      <alignment horizontal="center" vertical="center" shrinkToFit="1"/>
    </xf>
    <xf numFmtId="164" fontId="173" fillId="48" borderId="110" applyAlignment="1" pivotButton="0" quotePrefix="0" xfId="1">
      <alignment horizontal="center" vertical="center"/>
    </xf>
    <xf numFmtId="164" fontId="173" fillId="48" borderId="111" applyAlignment="1" pivotButton="0" quotePrefix="0" xfId="1">
      <alignment horizontal="center" vertical="center"/>
    </xf>
    <xf numFmtId="164" fontId="173" fillId="48" borderId="112" applyAlignment="1" pivotButton="0" quotePrefix="0" xfId="1">
      <alignment horizontal="center" vertical="center"/>
    </xf>
    <xf numFmtId="165" fontId="162" fillId="47" borderId="26" applyAlignment="1" pivotButton="0" quotePrefix="0" xfId="1">
      <alignment horizontal="center" vertical="center"/>
    </xf>
    <xf numFmtId="165" fontId="162" fillId="47" borderId="25" applyAlignment="1" pivotButton="0" quotePrefix="0" xfId="1">
      <alignment horizontal="center" vertical="center"/>
    </xf>
    <xf numFmtId="165" fontId="162" fillId="47" borderId="17" applyAlignment="1" pivotButton="0" quotePrefix="0" xfId="1">
      <alignment horizontal="center" vertical="center"/>
    </xf>
    <xf numFmtId="164" fontId="173" fillId="50" borderId="110" applyAlignment="1" pivotButton="0" quotePrefix="0" xfId="1">
      <alignment horizontal="center" vertical="center"/>
    </xf>
    <xf numFmtId="164" fontId="173" fillId="50" borderId="111" applyAlignment="1" pivotButton="0" quotePrefix="0" xfId="1">
      <alignment horizontal="center" vertical="center"/>
    </xf>
    <xf numFmtId="164" fontId="173" fillId="50" borderId="112" applyAlignment="1" pivotButton="0" quotePrefix="0" xfId="1">
      <alignment horizontal="center" vertical="center"/>
    </xf>
    <xf numFmtId="165" fontId="166" fillId="0" borderId="14" applyAlignment="1" pivotButton="0" quotePrefix="0" xfId="1">
      <alignment horizontal="center" vertical="center" shrinkToFit="1"/>
    </xf>
    <xf numFmtId="0" fontId="161" fillId="20" borderId="3" applyAlignment="1" pivotButton="0" quotePrefix="0" xfId="15917">
      <alignment horizontal="right" vertical="center"/>
    </xf>
    <xf numFmtId="0" fontId="161" fillId="20" borderId="13" applyAlignment="1" pivotButton="0" quotePrefix="0" xfId="15917">
      <alignment horizontal="right" vertical="center"/>
    </xf>
    <xf numFmtId="165" fontId="163" fillId="0" borderId="0" applyAlignment="1" pivotButton="0" quotePrefix="0" xfId="1">
      <alignment vertical="center"/>
    </xf>
    <xf numFmtId="164" fontId="163" fillId="0" borderId="0" applyAlignment="1" pivotButton="0" quotePrefix="0" xfId="1">
      <alignment vertical="center"/>
    </xf>
    <xf numFmtId="167" fontId="163" fillId="0" borderId="0" applyAlignment="1" pivotButton="0" quotePrefix="0" xfId="1">
      <alignment horizontal="center" vertical="center"/>
    </xf>
    <xf numFmtId="164" fontId="163" fillId="0" borderId="0" applyAlignment="1" pivotButton="0" quotePrefix="0" xfId="1">
      <alignment horizontal="center" vertical="center"/>
    </xf>
    <xf numFmtId="164" fontId="170" fillId="0" borderId="0" applyAlignment="1" pivotButton="0" quotePrefix="0" xfId="1">
      <alignment vertical="center"/>
    </xf>
    <xf numFmtId="168" fontId="170" fillId="0" borderId="0" applyAlignment="1" pivotButton="0" quotePrefix="0" xfId="1">
      <alignment vertical="center"/>
    </xf>
    <xf numFmtId="0" fontId="0" fillId="0" borderId="12" pivotButton="0" quotePrefix="0" xfId="0"/>
    <xf numFmtId="0" fontId="161" fillId="38" borderId="132" applyAlignment="1" pivotButton="0" quotePrefix="0" xfId="15899">
      <alignment horizontal="center" vertical="center" shrinkToFit="1"/>
    </xf>
    <xf numFmtId="0" fontId="0" fillId="0" borderId="15" pivotButton="0" quotePrefix="0" xfId="0"/>
    <xf numFmtId="0" fontId="0" fillId="0" borderId="21" pivotButton="0" quotePrefix="0" xfId="0"/>
    <xf numFmtId="0" fontId="165" fillId="0" borderId="52" applyAlignment="1" pivotButton="0" quotePrefix="0" xfId="15899">
      <alignment horizontal="center" vertical="center"/>
    </xf>
    <xf numFmtId="0" fontId="0" fillId="0" borderId="75" pivotButton="0" quotePrefix="0" xfId="0"/>
    <xf numFmtId="0" fontId="0" fillId="0" borderId="76" pivotButton="0" quotePrefix="0" xfId="0"/>
    <xf numFmtId="0" fontId="161" fillId="38" borderId="132" applyAlignment="1" pivotButton="0" quotePrefix="0" xfId="15900">
      <alignment horizontal="center" vertical="center" shrinkToFit="1"/>
    </xf>
    <xf numFmtId="0" fontId="161" fillId="0" borderId="10" applyAlignment="1" pivotButton="0" quotePrefix="0" xfId="15899">
      <alignment horizontal="center" vertical="center"/>
    </xf>
    <xf numFmtId="0" fontId="0" fillId="0" borderId="9" pivotButton="0" quotePrefix="0" xfId="0"/>
    <xf numFmtId="0" fontId="162" fillId="0" borderId="24" applyAlignment="1" pivotButton="0" quotePrefix="0" xfId="15899">
      <alignment horizontal="center" vertical="center" shrinkToFit="1"/>
    </xf>
    <xf numFmtId="0" fontId="0" fillId="0" borderId="18" pivotButton="0" quotePrefix="0" xfId="0"/>
    <xf numFmtId="0" fontId="0" fillId="0" borderId="19" pivotButton="0" quotePrefix="0" xfId="0"/>
    <xf numFmtId="0" fontId="0" fillId="0" borderId="72" pivotButton="0" quotePrefix="0" xfId="0"/>
    <xf numFmtId="0" fontId="161" fillId="0" borderId="10" applyAlignment="1" pivotButton="0" quotePrefix="0" xfId="15902">
      <alignment horizontal="center" vertical="center" shrinkToFit="1"/>
    </xf>
    <xf numFmtId="0" fontId="0" fillId="0" borderId="13" pivotButton="0" quotePrefix="0" xfId="0"/>
    <xf numFmtId="0" fontId="162" fillId="0" borderId="24" applyAlignment="1" pivotButton="0" quotePrefix="0" xfId="15902">
      <alignment horizontal="center" vertical="center" shrinkToFit="1"/>
    </xf>
    <xf numFmtId="169" fontId="169" fillId="0" borderId="3" applyAlignment="1" pivotButton="0" quotePrefix="0" xfId="15899">
      <alignment horizontal="left" vertical="center" shrinkToFit="1"/>
    </xf>
    <xf numFmtId="0" fontId="161" fillId="0" borderId="129" applyAlignment="1" pivotButton="0" quotePrefix="0" xfId="15899">
      <alignment horizontal="center" vertical="center"/>
    </xf>
    <xf numFmtId="0" fontId="0" fillId="0" borderId="11" pivotButton="0" quotePrefix="0" xfId="0"/>
    <xf numFmtId="0" fontId="162" fillId="0" borderId="130" applyAlignment="1" pivotButton="0" quotePrefix="0" xfId="15899">
      <alignment horizontal="center" vertical="center" shrinkToFit="1"/>
    </xf>
    <xf numFmtId="0" fontId="0" fillId="0" borderId="23" pivotButton="0" quotePrefix="0" xfId="0"/>
    <xf numFmtId="0" fontId="0" fillId="0" borderId="20" pivotButton="0" quotePrefix="0" xfId="0"/>
    <xf numFmtId="0" fontId="0" fillId="0" borderId="73" pivotButton="0" quotePrefix="0" xfId="0"/>
    <xf numFmtId="0" fontId="161" fillId="0" borderId="129" applyAlignment="1" pivotButton="0" quotePrefix="0" xfId="15902">
      <alignment horizontal="center" vertical="center" shrinkToFit="1"/>
    </xf>
    <xf numFmtId="0" fontId="0" fillId="0" borderId="16" pivotButton="0" quotePrefix="0" xfId="0"/>
    <xf numFmtId="0" fontId="161" fillId="0" borderId="130" applyAlignment="1" pivotButton="0" quotePrefix="0" xfId="15902">
      <alignment horizontal="center" vertical="center" shrinkToFit="1"/>
    </xf>
    <xf numFmtId="165" fontId="162" fillId="0" borderId="0" applyAlignment="1" pivotButton="0" quotePrefix="0" xfId="1">
      <alignment vertical="center"/>
    </xf>
    <xf numFmtId="164" fontId="162" fillId="0" borderId="0" applyAlignment="1" pivotButton="0" quotePrefix="0" xfId="1">
      <alignment vertical="center"/>
    </xf>
    <xf numFmtId="167" fontId="162" fillId="0" borderId="0" applyAlignment="1" pivotButton="0" quotePrefix="0" xfId="1">
      <alignment horizontal="center" vertical="center"/>
    </xf>
    <xf numFmtId="164" fontId="162" fillId="0" borderId="0" applyAlignment="1" pivotButton="0" quotePrefix="0" xfId="1">
      <alignment horizontal="center" vertical="center"/>
    </xf>
    <xf numFmtId="168" fontId="161" fillId="0" borderId="0" applyAlignment="1" pivotButton="0" quotePrefix="0" xfId="1">
      <alignment vertical="center"/>
    </xf>
    <xf numFmtId="0" fontId="0" fillId="0" borderId="0" pivotButton="0" quotePrefix="0" xfId="0"/>
    <xf numFmtId="164" fontId="163" fillId="0" borderId="0" applyAlignment="1" pivotButton="0" quotePrefix="0" xfId="1">
      <alignment horizontal="right" vertical="top"/>
    </xf>
    <xf numFmtId="164" fontId="170" fillId="20" borderId="127" applyAlignment="1" pivotButton="0" quotePrefix="0" xfId="1">
      <alignment horizontal="center" vertical="center"/>
    </xf>
    <xf numFmtId="0" fontId="0" fillId="0" borderId="87" pivotButton="0" quotePrefix="0" xfId="0"/>
    <xf numFmtId="0" fontId="0" fillId="0" borderId="88" pivotButton="0" quotePrefix="0" xfId="0"/>
    <xf numFmtId="164" fontId="173" fillId="48" borderId="110" applyAlignment="1" pivotButton="0" quotePrefix="0" xfId="1">
      <alignment horizontal="center" vertical="center"/>
    </xf>
    <xf numFmtId="0" fontId="0" fillId="0" borderId="125" pivotButton="0" quotePrefix="0" xfId="0"/>
    <xf numFmtId="0" fontId="0" fillId="0" borderId="126" pivotButton="0" quotePrefix="0" xfId="0"/>
    <xf numFmtId="164" fontId="173" fillId="50" borderId="110" applyAlignment="1" pivotButton="0" quotePrefix="0" xfId="1">
      <alignment horizontal="center" vertical="center"/>
    </xf>
    <xf numFmtId="0" fontId="0" fillId="0" borderId="17" pivotButton="0" quotePrefix="0" xfId="0"/>
    <xf numFmtId="165" fontId="161" fillId="20" borderId="4" applyAlignment="1" pivotButton="0" quotePrefix="0" xfId="1">
      <alignment horizontal="center" vertical="center" wrapText="1"/>
    </xf>
    <xf numFmtId="164" fontId="161" fillId="20" borderId="3" applyAlignment="1" pivotButton="0" quotePrefix="0" xfId="1">
      <alignment horizontal="center" vertical="center" wrapText="1"/>
    </xf>
    <xf numFmtId="167" fontId="161" fillId="20" borderId="89" applyAlignment="1" pivotButton="0" quotePrefix="0" xfId="1">
      <alignment horizontal="center" vertical="center" wrapText="1"/>
    </xf>
    <xf numFmtId="164" fontId="161" fillId="20" borderId="4" applyAlignment="1" pivotButton="0" quotePrefix="0" xfId="1">
      <alignment horizontal="center" vertical="center" wrapText="1"/>
    </xf>
    <xf numFmtId="164" fontId="170" fillId="20" borderId="4" applyAlignment="1" pivotButton="0" quotePrefix="0" xfId="1">
      <alignment horizontal="center" vertical="center" wrapText="1"/>
    </xf>
    <xf numFmtId="168" fontId="161" fillId="20" borderId="90" applyAlignment="1" pivotButton="0" quotePrefix="0" xfId="1">
      <alignment horizontal="center" vertical="center" wrapText="1"/>
    </xf>
    <xf numFmtId="167" fontId="173" fillId="48" borderId="113" applyAlignment="1" pivotButton="0" quotePrefix="0" xfId="1">
      <alignment horizontal="center" vertical="center" wrapText="1"/>
    </xf>
    <xf numFmtId="164" fontId="173" fillId="48" borderId="114" applyAlignment="1" pivotButton="0" quotePrefix="0" xfId="1">
      <alignment horizontal="center" vertical="center" wrapText="1"/>
    </xf>
    <xf numFmtId="165" fontId="173" fillId="48" borderId="114" applyAlignment="1" pivotButton="0" quotePrefix="0" xfId="1">
      <alignment horizontal="center" vertical="center" wrapText="1"/>
    </xf>
    <xf numFmtId="168" fontId="173" fillId="48" borderId="115" applyAlignment="1" pivotButton="0" quotePrefix="0" xfId="1">
      <alignment horizontal="center" vertical="center" wrapText="1"/>
    </xf>
    <xf numFmtId="167" fontId="173" fillId="50" borderId="113" applyAlignment="1" pivotButton="0" quotePrefix="0" xfId="1">
      <alignment horizontal="center" vertical="center" wrapText="1"/>
    </xf>
    <xf numFmtId="164" fontId="173" fillId="50" borderId="114" applyAlignment="1" pivotButton="0" quotePrefix="0" xfId="1">
      <alignment horizontal="center" vertical="center" wrapText="1"/>
    </xf>
    <xf numFmtId="165" fontId="173" fillId="50" borderId="114" applyAlignment="1" pivotButton="0" quotePrefix="0" xfId="1">
      <alignment horizontal="center" vertical="center" wrapText="1"/>
    </xf>
    <xf numFmtId="168" fontId="173" fillId="50" borderId="115" applyAlignment="1" pivotButton="0" quotePrefix="0" xfId="1">
      <alignment horizontal="center" vertical="center" wrapText="1"/>
    </xf>
    <xf numFmtId="0" fontId="0" fillId="0" borderId="27" pivotButton="0" quotePrefix="0" xfId="0"/>
    <xf numFmtId="0" fontId="0" fillId="0" borderId="35" pivotButton="0" quotePrefix="0" xfId="0"/>
    <xf numFmtId="165" fontId="172" fillId="0" borderId="4" applyAlignment="1" pivotButton="0" quotePrefix="0" xfId="1">
      <alignment vertical="center"/>
    </xf>
    <xf numFmtId="164" fontId="172" fillId="0" borderId="3" applyAlignment="1" pivotButton="0" quotePrefix="0" xfId="1">
      <alignment horizontal="left" vertical="center"/>
    </xf>
    <xf numFmtId="167" fontId="162" fillId="0" borderId="89" applyAlignment="1" pivotButton="0" quotePrefix="0" xfId="2">
      <alignment horizontal="center" vertical="center"/>
    </xf>
    <xf numFmtId="165" fontId="162" fillId="0" borderId="4" applyAlignment="1" pivotButton="0" quotePrefix="0" xfId="1">
      <alignment vertical="center"/>
    </xf>
    <xf numFmtId="164" fontId="170" fillId="0" borderId="4" applyAlignment="1" pivotButton="0" quotePrefix="0" xfId="1">
      <alignment horizontal="left" vertical="center"/>
    </xf>
    <xf numFmtId="168" fontId="161" fillId="0" borderId="90" applyAlignment="1" pivotButton="0" quotePrefix="0" xfId="1">
      <alignment horizontal="left" vertical="center"/>
    </xf>
    <xf numFmtId="165" fontId="162" fillId="0" borderId="9" applyAlignment="1" pivotButton="0" quotePrefix="0" xfId="1">
      <alignment horizontal="center" vertical="center"/>
    </xf>
    <xf numFmtId="0" fontId="0" fillId="0" borderId="25" pivotButton="0" quotePrefix="0" xfId="0"/>
    <xf numFmtId="0" fontId="0" fillId="0" borderId="61" pivotButton="0" quotePrefix="0" xfId="0"/>
    <xf numFmtId="0" fontId="0" fillId="0" borderId="8" pivotButton="0" quotePrefix="0" xfId="0"/>
    <xf numFmtId="0" fontId="0" fillId="0" borderId="79" pivotButton="0" quotePrefix="0" xfId="0"/>
    <xf numFmtId="164" fontId="172" fillId="40" borderId="3" applyAlignment="1" pivotButton="0" quotePrefix="0" xfId="1">
      <alignment horizontal="left" vertical="center"/>
    </xf>
    <xf numFmtId="164" fontId="162" fillId="40" borderId="89" applyAlignment="1" pivotButton="0" quotePrefix="0" xfId="1">
      <alignment horizontal="center" vertical="center"/>
    </xf>
    <xf numFmtId="164" fontId="170" fillId="40" borderId="4" applyAlignment="1" pivotButton="0" quotePrefix="0" xfId="1">
      <alignment horizontal="left" vertical="center"/>
    </xf>
    <xf numFmtId="168" fontId="161" fillId="40" borderId="90" applyAlignment="1" pivotButton="0" quotePrefix="0" xfId="1">
      <alignment horizontal="left" vertical="center"/>
    </xf>
    <xf numFmtId="167" fontId="172" fillId="39" borderId="4" applyAlignment="1" pivotButton="0" quotePrefix="0" xfId="14832">
      <alignment horizontal="center" vertical="center" wrapText="1"/>
    </xf>
    <xf numFmtId="165" fontId="172" fillId="39" borderId="4" applyAlignment="1" pivotButton="0" quotePrefix="0" xfId="1">
      <alignment horizontal="right" vertical="center"/>
    </xf>
    <xf numFmtId="164" fontId="172" fillId="0" borderId="3" applyAlignment="1" pivotButton="0" quotePrefix="0" xfId="5749">
      <alignment horizontal="left" vertical="center"/>
    </xf>
    <xf numFmtId="167" fontId="162" fillId="39" borderId="89" applyAlignment="1" pivotButton="0" quotePrefix="0" xfId="14832">
      <alignment horizontal="center" vertical="center" wrapText="1"/>
    </xf>
    <xf numFmtId="165" fontId="162" fillId="39" borderId="4" applyAlignment="1" pivotButton="0" quotePrefix="0" xfId="1">
      <alignment horizontal="right" vertical="center"/>
    </xf>
    <xf numFmtId="164" fontId="170" fillId="0" borderId="4" applyAlignment="1" pivotButton="0" quotePrefix="0" xfId="5749">
      <alignment horizontal="left" vertical="center"/>
    </xf>
    <xf numFmtId="168" fontId="161" fillId="0" borderId="90" applyAlignment="1" pivotButton="0" quotePrefix="0" xfId="5749">
      <alignment horizontal="left" vertical="center"/>
    </xf>
    <xf numFmtId="167" fontId="172" fillId="0" borderId="4" applyAlignment="1" pivotButton="0" quotePrefix="0" xfId="0">
      <alignment horizontal="center" vertical="center"/>
    </xf>
    <xf numFmtId="167" fontId="162" fillId="0" borderId="89" applyAlignment="1" pivotButton="0" quotePrefix="0" xfId="0">
      <alignment horizontal="center" vertical="center"/>
    </xf>
    <xf numFmtId="165" fontId="172" fillId="0" borderId="4" applyAlignment="1" pivotButton="0" quotePrefix="0" xfId="1">
      <alignment horizontal="right" vertical="center"/>
    </xf>
    <xf numFmtId="167" fontId="163" fillId="0" borderId="89" applyAlignment="1" pivotButton="0" quotePrefix="0" xfId="0">
      <alignment horizontal="center" vertical="center"/>
    </xf>
    <xf numFmtId="165" fontId="163" fillId="0" borderId="4" applyAlignment="1" pivotButton="0" quotePrefix="0" xfId="1">
      <alignment horizontal="right" vertical="center"/>
    </xf>
    <xf numFmtId="167" fontId="172" fillId="0" borderId="4" applyAlignment="1" pivotButton="0" quotePrefix="0" xfId="5749">
      <alignment horizontal="center" vertical="center"/>
    </xf>
    <xf numFmtId="167" fontId="163" fillId="0" borderId="89" applyAlignment="1" pivotButton="0" quotePrefix="0" xfId="5749">
      <alignment horizontal="center" vertical="center"/>
    </xf>
    <xf numFmtId="165" fontId="163" fillId="39" borderId="4" applyAlignment="1" pivotButton="0" quotePrefix="0" xfId="1">
      <alignment horizontal="right" vertical="center"/>
    </xf>
    <xf numFmtId="165" fontId="172" fillId="0" borderId="4" applyAlignment="1" pivotButton="0" quotePrefix="0" xfId="0">
      <alignment horizontal="center" vertical="center"/>
    </xf>
    <xf numFmtId="165" fontId="162" fillId="0" borderId="4" applyAlignment="1" pivotButton="0" quotePrefix="0" xfId="0">
      <alignment horizontal="center" vertical="center"/>
    </xf>
    <xf numFmtId="167" fontId="172" fillId="0" borderId="4" applyAlignment="1" pivotButton="0" quotePrefix="0" xfId="0">
      <alignment horizontal="center" vertical="center" wrapText="1"/>
    </xf>
    <xf numFmtId="167" fontId="163" fillId="0" borderId="89" applyAlignment="1" pivotButton="0" quotePrefix="0" xfId="0">
      <alignment horizontal="center" vertical="center" wrapText="1"/>
    </xf>
    <xf numFmtId="167" fontId="172" fillId="43" borderId="4" applyAlignment="1" pivotButton="0" quotePrefix="0" xfId="0">
      <alignment horizontal="center" vertical="center" wrapText="1"/>
    </xf>
    <xf numFmtId="165" fontId="172" fillId="43" borderId="4" applyAlignment="1" pivotButton="0" quotePrefix="0" xfId="0">
      <alignment horizontal="center" vertical="center"/>
    </xf>
    <xf numFmtId="165" fontId="172" fillId="43" borderId="4" applyAlignment="1" pivotButton="0" quotePrefix="0" xfId="1">
      <alignment horizontal="right" vertical="center"/>
    </xf>
    <xf numFmtId="164" fontId="172" fillId="43" borderId="3" applyAlignment="1" pivotButton="0" quotePrefix="0" xfId="5749">
      <alignment horizontal="left" vertical="center"/>
    </xf>
    <xf numFmtId="167" fontId="163" fillId="43" borderId="89" applyAlignment="1" pivotButton="0" quotePrefix="0" xfId="0">
      <alignment horizontal="center" vertical="center" wrapText="1"/>
    </xf>
    <xf numFmtId="165" fontId="162" fillId="43" borderId="4" applyAlignment="1" pivotButton="0" quotePrefix="0" xfId="0">
      <alignment horizontal="center" vertical="center"/>
    </xf>
    <xf numFmtId="165" fontId="163" fillId="43" borderId="4" applyAlignment="1" pivotButton="0" quotePrefix="0" xfId="1">
      <alignment horizontal="right" vertical="center"/>
    </xf>
    <xf numFmtId="164" fontId="170" fillId="43" borderId="4" applyAlignment="1" pivotButton="0" quotePrefix="0" xfId="5749">
      <alignment horizontal="left" vertical="center"/>
    </xf>
    <xf numFmtId="168" fontId="166" fillId="43" borderId="90" applyAlignment="1" pivotButton="0" quotePrefix="0" xfId="5749">
      <alignment horizontal="left" vertical="center"/>
    </xf>
    <xf numFmtId="167" fontId="163" fillId="47" borderId="89" applyAlignment="1" pivotButton="0" quotePrefix="0" xfId="0">
      <alignment horizontal="center" vertical="center" wrapText="1"/>
    </xf>
    <xf numFmtId="165" fontId="162" fillId="47" borderId="4" applyAlignment="1" pivotButton="0" quotePrefix="0" xfId="0">
      <alignment horizontal="center" vertical="center"/>
    </xf>
    <xf numFmtId="165" fontId="163" fillId="47" borderId="4" applyAlignment="1" pivotButton="0" quotePrefix="0" xfId="1">
      <alignment horizontal="right" vertical="center"/>
    </xf>
    <xf numFmtId="164" fontId="170" fillId="47" borderId="4" applyAlignment="1" pivotButton="0" quotePrefix="0" xfId="5749">
      <alignment horizontal="left" vertical="center"/>
    </xf>
    <xf numFmtId="168" fontId="161" fillId="47" borderId="90" applyAlignment="1" pivotButton="0" quotePrefix="0" xfId="1">
      <alignment horizontal="left" vertical="center"/>
    </xf>
    <xf numFmtId="167" fontId="172" fillId="39" borderId="4" applyAlignment="1" pivotButton="0" quotePrefix="0" xfId="5749">
      <alignment horizontal="center" vertical="center"/>
    </xf>
    <xf numFmtId="167" fontId="162" fillId="39" borderId="89" applyAlignment="1" pivotButton="0" quotePrefix="0" xfId="5749">
      <alignment horizontal="center" vertical="center"/>
    </xf>
    <xf numFmtId="164" fontId="162" fillId="21" borderId="3" applyAlignment="1" pivotButton="0" quotePrefix="0" xfId="5749">
      <alignment horizontal="left" vertical="center"/>
    </xf>
    <xf numFmtId="167" fontId="162" fillId="21" borderId="89" applyAlignment="1" pivotButton="0" quotePrefix="0" xfId="5749">
      <alignment horizontal="center" vertical="center"/>
    </xf>
    <xf numFmtId="164" fontId="170" fillId="21" borderId="3" applyAlignment="1" pivotButton="0" quotePrefix="0" xfId="5749">
      <alignment horizontal="left" vertical="center"/>
    </xf>
    <xf numFmtId="168" fontId="161" fillId="21" borderId="90" applyAlignment="1" pivotButton="0" quotePrefix="0" xfId="5749">
      <alignment horizontal="left" vertical="center"/>
    </xf>
    <xf numFmtId="0" fontId="162" fillId="0" borderId="3" applyAlignment="1" pivotButton="0" quotePrefix="0" xfId="2">
      <alignment horizontal="center" vertical="center" wrapText="1"/>
    </xf>
    <xf numFmtId="0" fontId="0" fillId="0" borderId="14" pivotButton="0" quotePrefix="0" xfId="0"/>
    <xf numFmtId="167" fontId="172" fillId="39" borderId="4" applyAlignment="1" pivotButton="0" quotePrefix="0" xfId="0">
      <alignment horizontal="center" vertical="center" wrapText="1"/>
    </xf>
    <xf numFmtId="167" fontId="163" fillId="39" borderId="89" applyAlignment="1" pivotButton="0" quotePrefix="0" xfId="0">
      <alignment horizontal="center" vertical="center" wrapText="1"/>
    </xf>
    <xf numFmtId="165" fontId="163" fillId="0" borderId="4" applyAlignment="1" pivotButton="0" quotePrefix="0" xfId="0">
      <alignment horizontal="center" vertical="center"/>
    </xf>
    <xf numFmtId="0" fontId="0" fillId="0" borderId="82" pivotButton="0" quotePrefix="0" xfId="0"/>
    <xf numFmtId="167" fontId="163" fillId="38" borderId="4" applyAlignment="1" pivotButton="0" quotePrefix="0" xfId="0">
      <alignment horizontal="center" vertical="center"/>
    </xf>
    <xf numFmtId="165" fontId="163" fillId="38" borderId="4" applyAlignment="1" pivotButton="0" quotePrefix="0" xfId="1">
      <alignment horizontal="right" vertical="center"/>
    </xf>
    <xf numFmtId="164" fontId="163" fillId="38" borderId="3" applyAlignment="1" pivotButton="0" quotePrefix="0" xfId="5749">
      <alignment horizontal="left" vertical="center"/>
    </xf>
    <xf numFmtId="167" fontId="163" fillId="38" borderId="89" applyAlignment="1" pivotButton="0" quotePrefix="0" xfId="0">
      <alignment horizontal="center" vertical="center"/>
    </xf>
    <xf numFmtId="164" fontId="170" fillId="38" borderId="4" applyAlignment="1" pivotButton="0" quotePrefix="0" xfId="5749">
      <alignment horizontal="left" vertical="center"/>
    </xf>
    <xf numFmtId="168" fontId="166" fillId="38" borderId="90" applyAlignment="1" pivotButton="0" quotePrefix="0" xfId="5749">
      <alignment horizontal="left" vertical="center"/>
    </xf>
    <xf numFmtId="0" fontId="162" fillId="21" borderId="26" applyAlignment="1" pivotButton="0" quotePrefix="0" xfId="15917">
      <alignment horizontal="center" vertical="center"/>
    </xf>
    <xf numFmtId="164" fontId="172" fillId="21" borderId="5" applyAlignment="1" pivotButton="0" quotePrefix="0" xfId="5749">
      <alignment horizontal="left" vertical="center"/>
    </xf>
    <xf numFmtId="164" fontId="162" fillId="21" borderId="89" applyAlignment="1" pivotButton="0" quotePrefix="0" xfId="5749">
      <alignment horizontal="center" vertical="center"/>
    </xf>
    <xf numFmtId="164" fontId="170" fillId="21" borderId="5" applyAlignment="1" pivotButton="0" quotePrefix="0" xfId="5749">
      <alignment horizontal="left" vertical="center"/>
    </xf>
    <xf numFmtId="168" fontId="166" fillId="21" borderId="92" applyAlignment="1" pivotButton="0" quotePrefix="0" xfId="5749">
      <alignment horizontal="left" vertical="center"/>
    </xf>
    <xf numFmtId="165" fontId="172" fillId="46" borderId="4" applyAlignment="1" pivotButton="0" quotePrefix="0" xfId="1">
      <alignment vertical="center"/>
    </xf>
    <xf numFmtId="164" fontId="172" fillId="46" borderId="3" applyAlignment="1" pivotButton="0" quotePrefix="0" xfId="5749">
      <alignment horizontal="left" vertical="center"/>
    </xf>
    <xf numFmtId="167" fontId="162" fillId="46" borderId="89" applyAlignment="1" pivotButton="0" quotePrefix="0" xfId="2">
      <alignment horizontal="center" vertical="center"/>
    </xf>
    <xf numFmtId="165" fontId="162" fillId="46" borderId="4" applyAlignment="1" pivotButton="0" quotePrefix="0" xfId="1">
      <alignment vertical="center"/>
    </xf>
    <xf numFmtId="164" fontId="170" fillId="46" borderId="4" applyAlignment="1" pivotButton="0" quotePrefix="0" xfId="5749">
      <alignment horizontal="left" vertical="center"/>
    </xf>
    <xf numFmtId="168" fontId="171" fillId="46" borderId="93" applyAlignment="1" pivotButton="0" quotePrefix="0" xfId="5749">
      <alignment horizontal="left" vertical="center"/>
    </xf>
    <xf numFmtId="168" fontId="161" fillId="46" borderId="90" applyAlignment="1" pivotButton="0" quotePrefix="0" xfId="1">
      <alignment horizontal="left" vertical="center"/>
    </xf>
    <xf numFmtId="168" fontId="166" fillId="46" borderId="93" applyAlignment="1" pivotButton="0" quotePrefix="0" xfId="5749">
      <alignment horizontal="left" vertical="center"/>
    </xf>
    <xf numFmtId="165" fontId="162" fillId="0" borderId="4" applyAlignment="1" pivotButton="0" quotePrefix="0" xfId="1">
      <alignment horizontal="right" vertical="center"/>
    </xf>
    <xf numFmtId="168" fontId="161" fillId="0" borderId="93" applyAlignment="1" pivotButton="0" quotePrefix="0" xfId="5749">
      <alignment horizontal="left" vertical="center"/>
    </xf>
    <xf numFmtId="167" fontId="162" fillId="47" borderId="89" applyAlignment="1" pivotButton="0" quotePrefix="0" xfId="0">
      <alignment horizontal="center" vertical="center"/>
    </xf>
    <xf numFmtId="165" fontId="162" fillId="47" borderId="4" applyAlignment="1" pivotButton="0" quotePrefix="0" xfId="1">
      <alignment horizontal="right" vertical="center"/>
    </xf>
    <xf numFmtId="168" fontId="166" fillId="47" borderId="90" applyAlignment="1" pivotButton="0" quotePrefix="0" xfId="1">
      <alignment horizontal="left" vertical="center"/>
    </xf>
    <xf numFmtId="0" fontId="163" fillId="38" borderId="4" applyAlignment="1" pivotButton="0" quotePrefix="0" xfId="0">
      <alignment horizontal="left" vertical="center"/>
    </xf>
    <xf numFmtId="165" fontId="172" fillId="38" borderId="4" applyAlignment="1" pivotButton="0" quotePrefix="0" xfId="1">
      <alignment vertical="center"/>
    </xf>
    <xf numFmtId="164" fontId="172" fillId="38" borderId="3" applyAlignment="1" pivotButton="0" quotePrefix="0" xfId="5749">
      <alignment horizontal="left" vertical="center"/>
    </xf>
    <xf numFmtId="167" fontId="162" fillId="38" borderId="89" applyAlignment="1" pivotButton="0" quotePrefix="0" xfId="0">
      <alignment horizontal="center" vertical="center"/>
    </xf>
    <xf numFmtId="165" fontId="162" fillId="38" borderId="4" applyAlignment="1" pivotButton="0" quotePrefix="0" xfId="1">
      <alignment vertical="center"/>
    </xf>
    <xf numFmtId="168" fontId="166" fillId="38" borderId="93" applyAlignment="1" pivotButton="0" quotePrefix="0" xfId="5749">
      <alignment horizontal="left" vertical="center"/>
    </xf>
    <xf numFmtId="168" fontId="161" fillId="38" borderId="90" applyAlignment="1" pivotButton="0" quotePrefix="0" xfId="1">
      <alignment horizontal="left" vertical="center"/>
    </xf>
    <xf numFmtId="165" fontId="162" fillId="47" borderId="4" applyAlignment="1" pivotButton="0" quotePrefix="0" xfId="1">
      <alignment vertical="center"/>
    </xf>
    <xf numFmtId="167" fontId="162" fillId="46" borderId="89" applyAlignment="1" pivotButton="0" quotePrefix="0" xfId="0">
      <alignment horizontal="center" vertical="center"/>
    </xf>
    <xf numFmtId="164" fontId="172" fillId="21" borderId="3" applyAlignment="1" pivotButton="0" quotePrefix="0" xfId="5749">
      <alignment horizontal="left" vertical="center"/>
    </xf>
    <xf numFmtId="168" fontId="166" fillId="21" borderId="90" applyAlignment="1" pivotButton="0" quotePrefix="0" xfId="5749">
      <alignment horizontal="left" vertical="center"/>
    </xf>
    <xf numFmtId="168" fontId="161" fillId="21" borderId="90" applyAlignment="1" pivotButton="0" quotePrefix="0" xfId="1">
      <alignment horizontal="left" vertical="center"/>
    </xf>
    <xf numFmtId="0" fontId="162" fillId="40" borderId="89" applyAlignment="1" pivotButton="0" quotePrefix="0" xfId="1">
      <alignment horizontal="center" vertical="center"/>
    </xf>
    <xf numFmtId="164" fontId="170" fillId="40" borderId="3" applyAlignment="1" pivotButton="0" quotePrefix="0" xfId="1">
      <alignment horizontal="left" vertical="center"/>
    </xf>
    <xf numFmtId="168" fontId="166" fillId="40" borderId="90" applyAlignment="1" pivotButton="0" quotePrefix="0" xfId="1">
      <alignment horizontal="left" vertical="center"/>
    </xf>
    <xf numFmtId="165" fontId="162" fillId="40" borderId="9" applyAlignment="1" pivotButton="0" quotePrefix="0" xfId="1">
      <alignment horizontal="center" vertical="center" shrinkToFit="1"/>
    </xf>
    <xf numFmtId="165" fontId="172" fillId="38" borderId="4" applyAlignment="1" pivotButton="0" quotePrefix="0" xfId="1">
      <alignment vertical="center" shrinkToFit="1"/>
    </xf>
    <xf numFmtId="164" fontId="172" fillId="38" borderId="3" applyAlignment="1" pivotButton="0" quotePrefix="0" xfId="1">
      <alignment horizontal="left" vertical="center"/>
    </xf>
    <xf numFmtId="167" fontId="162" fillId="38" borderId="89" applyAlignment="1" pivotButton="0" quotePrefix="0" xfId="1">
      <alignment horizontal="center" vertical="center"/>
    </xf>
    <xf numFmtId="164" fontId="162" fillId="38" borderId="4" applyAlignment="1" pivotButton="0" quotePrefix="0" xfId="1">
      <alignment horizontal="center" vertical="center"/>
    </xf>
    <xf numFmtId="165" fontId="162" fillId="38" borderId="4" applyAlignment="1" pivotButton="0" quotePrefix="0" xfId="1">
      <alignment horizontal="center" vertical="center"/>
    </xf>
    <xf numFmtId="164" fontId="170" fillId="38" borderId="4" applyAlignment="1" pivotButton="0" quotePrefix="0" xfId="1">
      <alignment horizontal="center" vertical="center"/>
    </xf>
    <xf numFmtId="168" fontId="166" fillId="38" borderId="90" applyAlignment="1" pivotButton="0" quotePrefix="0" xfId="1">
      <alignment horizontal="center" vertical="center"/>
    </xf>
    <xf numFmtId="165" fontId="162" fillId="38" borderId="9" applyAlignment="1" pivotButton="0" quotePrefix="0" xfId="1">
      <alignment horizontal="center" vertical="center"/>
    </xf>
    <xf numFmtId="0" fontId="0" fillId="0" borderId="95" pivotButton="0" quotePrefix="0" xfId="0"/>
    <xf numFmtId="0" fontId="0" fillId="0" borderId="96" pivotButton="0" quotePrefix="0" xfId="0"/>
    <xf numFmtId="165" fontId="172" fillId="38" borderId="3" applyAlignment="1" pivotButton="0" quotePrefix="0" xfId="1">
      <alignment vertical="center" shrinkToFit="1"/>
    </xf>
    <xf numFmtId="167" fontId="162" fillId="38" borderId="91" applyAlignment="1" pivotButton="0" quotePrefix="0" xfId="1">
      <alignment horizontal="center" vertical="center"/>
    </xf>
    <xf numFmtId="164" fontId="162" fillId="38" borderId="3" applyAlignment="1" pivotButton="0" quotePrefix="0" xfId="1">
      <alignment horizontal="center" vertical="center"/>
    </xf>
    <xf numFmtId="165" fontId="162" fillId="38" borderId="3" applyAlignment="1" pivotButton="0" quotePrefix="0" xfId="1">
      <alignment horizontal="left" vertical="center"/>
    </xf>
    <xf numFmtId="164" fontId="170" fillId="38" borderId="4" applyAlignment="1" pivotButton="0" quotePrefix="0" xfId="1">
      <alignment horizontal="left" vertical="center"/>
    </xf>
    <xf numFmtId="168" fontId="171" fillId="38" borderId="93" applyAlignment="1" pivotButton="0" quotePrefix="0" xfId="1">
      <alignment horizontal="left" vertical="center"/>
    </xf>
    <xf numFmtId="164" fontId="172" fillId="21" borderId="3" applyAlignment="1" pivotButton="0" quotePrefix="0" xfId="1">
      <alignment horizontal="left" vertical="center"/>
    </xf>
    <xf numFmtId="0" fontId="162" fillId="21" borderId="89" applyAlignment="1" pivotButton="0" quotePrefix="0" xfId="1">
      <alignment horizontal="center" vertical="center"/>
    </xf>
    <xf numFmtId="164" fontId="170" fillId="21" borderId="4" applyAlignment="1" pivotButton="0" quotePrefix="0" xfId="1">
      <alignment horizontal="left" vertical="center"/>
    </xf>
    <xf numFmtId="168" fontId="166" fillId="21" borderId="93" applyAlignment="1" pivotButton="0" quotePrefix="0" xfId="1">
      <alignment horizontal="left" vertical="center"/>
    </xf>
    <xf numFmtId="165" fontId="162" fillId="21" borderId="9" applyAlignment="1" pivotButton="0" quotePrefix="0" xfId="1">
      <alignment horizontal="center" vertical="center" shrinkToFit="1"/>
    </xf>
    <xf numFmtId="0" fontId="162" fillId="38" borderId="133" applyAlignment="1" pivotButton="0" quotePrefix="0" xfId="2">
      <alignment horizontal="left" vertical="center"/>
    </xf>
    <xf numFmtId="168" fontId="171" fillId="38" borderId="90" applyAlignment="1" pivotButton="0" quotePrefix="0" xfId="1">
      <alignment horizontal="left" vertical="center"/>
    </xf>
    <xf numFmtId="165" fontId="162" fillId="38" borderId="9" applyAlignment="1" pivotButton="0" quotePrefix="0" xfId="1">
      <alignment horizontal="center" vertical="center" shrinkToFit="1"/>
    </xf>
    <xf numFmtId="0" fontId="162" fillId="38" borderId="4" applyAlignment="1" pivotButton="0" quotePrefix="0" xfId="15923">
      <alignment horizontal="center" vertical="center"/>
    </xf>
    <xf numFmtId="0" fontId="0" fillId="0" borderId="84" pivotButton="0" quotePrefix="0" xfId="0"/>
    <xf numFmtId="0" fontId="0" fillId="0" borderId="78" pivotButton="0" quotePrefix="0" xfId="0"/>
    <xf numFmtId="0" fontId="162" fillId="0" borderId="133" applyAlignment="1" pivotButton="0" quotePrefix="0" xfId="2">
      <alignment horizontal="left" vertical="center"/>
    </xf>
    <xf numFmtId="165" fontId="172" fillId="0" borderId="4" applyAlignment="1" pivotButton="0" quotePrefix="0" xfId="1">
      <alignment vertical="center" shrinkToFit="1"/>
    </xf>
    <xf numFmtId="167" fontId="162" fillId="0" borderId="89" applyAlignment="1" pivotButton="0" quotePrefix="0" xfId="2">
      <alignment horizontal="center" vertical="center" shrinkToFit="1"/>
    </xf>
    <xf numFmtId="165" fontId="162" fillId="0" borderId="4" applyAlignment="1" pivotButton="0" quotePrefix="0" xfId="1">
      <alignment vertical="center" shrinkToFit="1"/>
    </xf>
    <xf numFmtId="167" fontId="162" fillId="38" borderId="89" applyAlignment="1" pivotButton="0" quotePrefix="0" xfId="2">
      <alignment horizontal="center" vertical="center" shrinkToFit="1"/>
    </xf>
    <xf numFmtId="165" fontId="162" fillId="38" borderId="3" applyAlignment="1" pivotButton="0" quotePrefix="0" xfId="1">
      <alignment vertical="center" shrinkToFit="1"/>
    </xf>
    <xf numFmtId="167" fontId="162" fillId="47" borderId="89" applyAlignment="1" pivotButton="0" quotePrefix="0" xfId="2">
      <alignment horizontal="center" vertical="center" shrinkToFit="1"/>
    </xf>
    <xf numFmtId="165" fontId="162" fillId="47" borderId="3" applyAlignment="1" pivotButton="0" quotePrefix="0" xfId="1">
      <alignment vertical="center" shrinkToFit="1"/>
    </xf>
    <xf numFmtId="164" fontId="170" fillId="47" borderId="4" applyAlignment="1" pivotButton="0" quotePrefix="0" xfId="1">
      <alignment horizontal="left" vertical="center"/>
    </xf>
    <xf numFmtId="165" fontId="174" fillId="47" borderId="9" applyAlignment="1" pivotButton="0" quotePrefix="0" xfId="1">
      <alignment horizontal="center" vertical="center"/>
    </xf>
    <xf numFmtId="167" fontId="162" fillId="21" borderId="89" applyAlignment="1" pivotButton="0" quotePrefix="0" xfId="1">
      <alignment horizontal="center" vertical="center"/>
    </xf>
    <xf numFmtId="168" fontId="171" fillId="21" borderId="93" applyAlignment="1" pivotButton="0" quotePrefix="0" xfId="1">
      <alignment horizontal="left" vertical="center"/>
    </xf>
    <xf numFmtId="167" fontId="162" fillId="40" borderId="89" applyAlignment="1" pivotButton="0" quotePrefix="0" xfId="1">
      <alignment horizontal="center" vertical="center"/>
    </xf>
    <xf numFmtId="164" fontId="166" fillId="40" borderId="90" applyAlignment="1" pivotButton="0" quotePrefix="0" xfId="1">
      <alignment horizontal="left" vertical="center"/>
    </xf>
    <xf numFmtId="165" fontId="172" fillId="45" borderId="4" applyAlignment="1" pivotButton="0" quotePrefix="0" xfId="1">
      <alignment vertical="center" shrinkToFit="1"/>
    </xf>
    <xf numFmtId="164" fontId="172" fillId="45" borderId="3" applyAlignment="1" pivotButton="0" quotePrefix="0" xfId="5749">
      <alignment horizontal="left" vertical="center"/>
    </xf>
    <xf numFmtId="165" fontId="162" fillId="45" borderId="4" applyAlignment="1" pivotButton="0" quotePrefix="0" xfId="1">
      <alignment vertical="center" shrinkToFit="1"/>
    </xf>
    <xf numFmtId="164" fontId="170" fillId="45" borderId="4" applyAlignment="1" pivotButton="0" quotePrefix="0" xfId="5749">
      <alignment horizontal="left" vertical="center"/>
    </xf>
    <xf numFmtId="168" fontId="171" fillId="45" borderId="90" applyAlignment="1" pivotButton="0" quotePrefix="0" xfId="5749">
      <alignment horizontal="left" vertical="center"/>
    </xf>
    <xf numFmtId="168" fontId="161" fillId="45" borderId="90" applyAlignment="1" pivotButton="0" quotePrefix="0" xfId="1">
      <alignment horizontal="left" vertical="center"/>
    </xf>
    <xf numFmtId="165" fontId="162" fillId="45" borderId="9" applyAlignment="1" pivotButton="0" quotePrefix="0" xfId="1">
      <alignment horizontal="center" vertical="center"/>
    </xf>
    <xf numFmtId="165" fontId="162" fillId="38" borderId="4" applyAlignment="1" pivotButton="0" quotePrefix="0" xfId="1">
      <alignment vertical="center" shrinkToFit="1"/>
    </xf>
    <xf numFmtId="165" fontId="172" fillId="46" borderId="4" applyAlignment="1" pivotButton="0" quotePrefix="0" xfId="1">
      <alignment vertical="center" shrinkToFit="1"/>
    </xf>
    <xf numFmtId="165" fontId="162" fillId="46" borderId="4" applyAlignment="1" pivotButton="0" quotePrefix="0" xfId="1">
      <alignment vertical="center" shrinkToFit="1"/>
    </xf>
    <xf numFmtId="168" fontId="166" fillId="46" borderId="90" applyAlignment="1" pivotButton="0" quotePrefix="0" xfId="5749">
      <alignment horizontal="left" vertical="center"/>
    </xf>
    <xf numFmtId="165" fontId="162" fillId="46" borderId="9" applyAlignment="1" pivotButton="0" quotePrefix="0" xfId="1">
      <alignment horizontal="center" vertical="center"/>
    </xf>
    <xf numFmtId="167" fontId="162" fillId="21" borderId="91" applyAlignment="1" pivotButton="0" quotePrefix="0" xfId="1">
      <alignment horizontal="center" vertical="center"/>
    </xf>
    <xf numFmtId="164" fontId="162" fillId="21" borderId="3" applyAlignment="1" pivotButton="0" quotePrefix="0" xfId="1">
      <alignment horizontal="center" vertical="center"/>
    </xf>
    <xf numFmtId="165" fontId="162" fillId="21" borderId="3" applyAlignment="1" pivotButton="0" quotePrefix="0" xfId="1">
      <alignment horizontal="left" vertical="center"/>
    </xf>
    <xf numFmtId="165" fontId="172" fillId="38" borderId="4" applyAlignment="1" pivotButton="0" quotePrefix="0" xfId="1">
      <alignment horizontal="center" vertical="center"/>
    </xf>
    <xf numFmtId="164" fontId="172" fillId="38" borderId="3" applyAlignment="1" pivotButton="0" quotePrefix="0" xfId="1">
      <alignment horizontal="center" vertical="center"/>
    </xf>
    <xf numFmtId="165" fontId="162" fillId="38" borderId="134" applyAlignment="1" pivotButton="0" quotePrefix="0" xfId="1">
      <alignment horizontal="center" vertical="center"/>
    </xf>
    <xf numFmtId="0" fontId="0" fillId="0" borderId="85" pivotButton="0" quotePrefix="0" xfId="0"/>
    <xf numFmtId="168" fontId="166" fillId="38" borderId="93" applyAlignment="1" pivotButton="0" quotePrefix="0" xfId="1">
      <alignment horizontal="left" vertical="center"/>
    </xf>
    <xf numFmtId="165" fontId="162" fillId="38" borderId="80" applyAlignment="1" pivotButton="0" quotePrefix="0" xfId="1">
      <alignment horizontal="center" vertical="center"/>
    </xf>
    <xf numFmtId="164" fontId="172" fillId="46" borderId="3" applyAlignment="1" pivotButton="0" quotePrefix="0" xfId="1">
      <alignment horizontal="left" vertical="center"/>
    </xf>
    <xf numFmtId="164" fontId="170" fillId="46" borderId="4" applyAlignment="1" pivotButton="0" quotePrefix="0" xfId="1">
      <alignment horizontal="left" vertical="center"/>
    </xf>
    <xf numFmtId="168" fontId="161" fillId="46" borderId="93" applyAlignment="1" pivotButton="0" quotePrefix="0" xfId="1">
      <alignment horizontal="left" vertical="center"/>
    </xf>
    <xf numFmtId="165" fontId="162" fillId="46" borderId="80" applyAlignment="1" pivotButton="0" quotePrefix="0" xfId="1">
      <alignment horizontal="center" vertical="center"/>
    </xf>
    <xf numFmtId="168" fontId="161" fillId="0" borderId="93" applyAlignment="1" pivotButton="0" quotePrefix="0" xfId="1">
      <alignment horizontal="left" vertical="center"/>
    </xf>
    <xf numFmtId="165" fontId="162" fillId="0" borderId="80" applyAlignment="1" pivotButton="0" quotePrefix="0" xfId="1">
      <alignment horizontal="center" vertical="center"/>
    </xf>
    <xf numFmtId="165" fontId="172" fillId="0" borderId="60" applyAlignment="1" pivotButton="0" quotePrefix="0" xfId="1">
      <alignment vertical="center"/>
    </xf>
    <xf numFmtId="165" fontId="162" fillId="0" borderId="60" applyAlignment="1" pivotButton="0" quotePrefix="0" xfId="1">
      <alignment vertical="center"/>
    </xf>
    <xf numFmtId="165" fontId="162" fillId="0" borderId="60" applyAlignment="1" pivotButton="0" quotePrefix="0" xfId="1">
      <alignment horizontal="center" vertical="center"/>
    </xf>
    <xf numFmtId="165" fontId="172" fillId="45" borderId="60" applyAlignment="1" pivotButton="0" quotePrefix="0" xfId="1">
      <alignment vertical="center"/>
    </xf>
    <xf numFmtId="164" fontId="172" fillId="45" borderId="3" applyAlignment="1" pivotButton="0" quotePrefix="0" xfId="1">
      <alignment horizontal="left" vertical="center"/>
    </xf>
    <xf numFmtId="165" fontId="162" fillId="45" borderId="60" applyAlignment="1" pivotButton="0" quotePrefix="0" xfId="1">
      <alignment vertical="center"/>
    </xf>
    <xf numFmtId="164" fontId="170" fillId="45" borderId="4" applyAlignment="1" pivotButton="0" quotePrefix="0" xfId="1">
      <alignment horizontal="left" vertical="center"/>
    </xf>
    <xf numFmtId="168" fontId="171" fillId="45" borderId="93" applyAlignment="1" pivotButton="0" quotePrefix="0" xfId="1">
      <alignment horizontal="left" vertical="center"/>
    </xf>
    <xf numFmtId="165" fontId="162" fillId="45" borderId="60" applyAlignment="1" pivotButton="0" quotePrefix="0" xfId="1">
      <alignment horizontal="center" vertical="center"/>
    </xf>
    <xf numFmtId="165" fontId="175" fillId="44" borderId="60" applyAlignment="1" pivotButton="0" quotePrefix="0" xfId="1">
      <alignment vertical="center"/>
    </xf>
    <xf numFmtId="164" fontId="175" fillId="44" borderId="3" applyAlignment="1" pivotButton="0" quotePrefix="0" xfId="1">
      <alignment horizontal="left" vertical="center"/>
    </xf>
    <xf numFmtId="164" fontId="173" fillId="44" borderId="4" applyAlignment="1" pivotButton="0" quotePrefix="0" xfId="1">
      <alignment horizontal="left" vertical="center"/>
    </xf>
    <xf numFmtId="168" fontId="173" fillId="44" borderId="93" applyAlignment="1" pivotButton="0" quotePrefix="0" xfId="1">
      <alignment horizontal="left" vertical="center"/>
    </xf>
    <xf numFmtId="168" fontId="173" fillId="44" borderId="90" applyAlignment="1" pivotButton="0" quotePrefix="0" xfId="1">
      <alignment horizontal="left" vertical="center"/>
    </xf>
    <xf numFmtId="165" fontId="175" fillId="44" borderId="60" applyAlignment="1" pivotButton="0" quotePrefix="0" xfId="1">
      <alignment horizontal="center" vertical="center"/>
    </xf>
    <xf numFmtId="165" fontId="162" fillId="44" borderId="60" applyAlignment="1" pivotButton="0" quotePrefix="0" xfId="1">
      <alignment horizontal="center" vertical="center"/>
    </xf>
    <xf numFmtId="0" fontId="175" fillId="44" borderId="135" applyAlignment="1" pivotButton="0" quotePrefix="0" xfId="2">
      <alignment horizontal="center" vertical="center"/>
    </xf>
    <xf numFmtId="0" fontId="0" fillId="0" borderId="118" pivotButton="0" quotePrefix="0" xfId="0"/>
    <xf numFmtId="165" fontId="172" fillId="46" borderId="60" applyAlignment="1" pivotButton="0" quotePrefix="0" xfId="1">
      <alignment vertical="center"/>
    </xf>
    <xf numFmtId="165" fontId="162" fillId="46" borderId="60" applyAlignment="1" pivotButton="0" quotePrefix="0" xfId="1">
      <alignment vertical="center"/>
    </xf>
    <xf numFmtId="165" fontId="162" fillId="46" borderId="60" applyAlignment="1" pivotButton="0" quotePrefix="0" xfId="1">
      <alignment horizontal="center" vertical="center"/>
    </xf>
    <xf numFmtId="165" fontId="172" fillId="46" borderId="62" applyAlignment="1" pivotButton="0" quotePrefix="0" xfId="1">
      <alignment vertical="center"/>
    </xf>
    <xf numFmtId="165" fontId="162" fillId="46" borderId="62" applyAlignment="1" pivotButton="0" quotePrefix="0" xfId="1">
      <alignment vertical="center"/>
    </xf>
    <xf numFmtId="165" fontId="162" fillId="46" borderId="62" applyAlignment="1" pivotButton="0" quotePrefix="0" xfId="1">
      <alignment horizontal="center" vertical="center"/>
    </xf>
    <xf numFmtId="167" fontId="162" fillId="40" borderId="91" applyAlignment="1" pivotButton="0" quotePrefix="0" xfId="1">
      <alignment horizontal="center" vertical="center"/>
    </xf>
    <xf numFmtId="164" fontId="162" fillId="40" borderId="3" applyAlignment="1" pivotButton="0" quotePrefix="0" xfId="1">
      <alignment horizontal="center" vertical="center"/>
    </xf>
    <xf numFmtId="165" fontId="162" fillId="40" borderId="3" applyAlignment="1" pivotButton="0" quotePrefix="0" xfId="1">
      <alignment horizontal="left" vertical="center"/>
    </xf>
    <xf numFmtId="165" fontId="172" fillId="0" borderId="3" applyAlignment="1" pivotButton="0" quotePrefix="0" xfId="1">
      <alignment vertical="center" shrinkToFit="1"/>
    </xf>
    <xf numFmtId="167" fontId="162" fillId="0" borderId="89" applyAlignment="1" pivotButton="0" quotePrefix="0" xfId="1">
      <alignment horizontal="center" vertical="center"/>
    </xf>
    <xf numFmtId="165" fontId="162" fillId="0" borderId="3" applyAlignment="1" pivotButton="0" quotePrefix="0" xfId="1">
      <alignment vertical="center" shrinkToFit="1"/>
    </xf>
    <xf numFmtId="168" fontId="161" fillId="21" borderId="93" applyAlignment="1" pivotButton="0" quotePrefix="0" xfId="1">
      <alignment horizontal="left" vertical="center"/>
    </xf>
    <xf numFmtId="167" fontId="162" fillId="45" borderId="91" applyAlignment="1" pivotButton="0" quotePrefix="0" xfId="1">
      <alignment horizontal="center" vertical="center"/>
    </xf>
    <xf numFmtId="164" fontId="162" fillId="45" borderId="3" applyAlignment="1" pivotButton="0" quotePrefix="0" xfId="1">
      <alignment horizontal="center" vertical="center"/>
    </xf>
    <xf numFmtId="165" fontId="162" fillId="45" borderId="3" applyAlignment="1" pivotButton="0" quotePrefix="0" xfId="1">
      <alignment horizontal="left" vertical="center"/>
    </xf>
    <xf numFmtId="168" fontId="166" fillId="45" borderId="93" applyAlignment="1" pivotButton="0" quotePrefix="0" xfId="1">
      <alignment horizontal="left" vertical="center"/>
    </xf>
    <xf numFmtId="167" fontId="162" fillId="46" borderId="91" applyAlignment="1" pivotButton="0" quotePrefix="0" xfId="1">
      <alignment horizontal="center" vertical="center"/>
    </xf>
    <xf numFmtId="164" fontId="162" fillId="46" borderId="3" applyAlignment="1" pivotButton="0" quotePrefix="0" xfId="1">
      <alignment horizontal="center" vertical="center"/>
    </xf>
    <xf numFmtId="165" fontId="162" fillId="46" borderId="3" applyAlignment="1" pivotButton="0" quotePrefix="0" xfId="1">
      <alignment horizontal="left" vertical="center"/>
    </xf>
    <xf numFmtId="168" fontId="166" fillId="46" borderId="93" applyAlignment="1" pivotButton="0" quotePrefix="0" xfId="1">
      <alignment horizontal="left" vertical="center"/>
    </xf>
    <xf numFmtId="167" fontId="162" fillId="47" borderId="91" applyAlignment="1" pivotButton="0" quotePrefix="0" xfId="1">
      <alignment horizontal="center" vertical="center"/>
    </xf>
    <xf numFmtId="164" fontId="162" fillId="47" borderId="3" applyAlignment="1" pivotButton="0" quotePrefix="0" xfId="1">
      <alignment horizontal="center" vertical="center"/>
    </xf>
    <xf numFmtId="165" fontId="162" fillId="47" borderId="3" applyAlignment="1" pivotButton="0" quotePrefix="0" xfId="1">
      <alignment horizontal="left" vertical="center"/>
    </xf>
    <xf numFmtId="168" fontId="166" fillId="47" borderId="93" applyAlignment="1" pivotButton="0" quotePrefix="0" xfId="1">
      <alignment horizontal="left" vertical="center"/>
    </xf>
    <xf numFmtId="165" fontId="162" fillId="47" borderId="9" applyAlignment="1" pivotButton="0" quotePrefix="0" xfId="1">
      <alignment horizontal="center" vertical="center"/>
    </xf>
    <xf numFmtId="164" fontId="162" fillId="46" borderId="4" applyAlignment="1" pivotButton="0" quotePrefix="0" xfId="1">
      <alignment horizontal="center" vertical="center"/>
    </xf>
    <xf numFmtId="165" fontId="162" fillId="46" borderId="4" applyAlignment="1" pivotButton="0" quotePrefix="0" xfId="1">
      <alignment horizontal="left" vertical="center"/>
    </xf>
    <xf numFmtId="168" fontId="171" fillId="46" borderId="93" applyAlignment="1" pivotButton="0" quotePrefix="0" xfId="1">
      <alignment horizontal="left" vertical="center"/>
    </xf>
    <xf numFmtId="164" fontId="162" fillId="47" borderId="4" applyAlignment="1" pivotButton="0" quotePrefix="0" xfId="1">
      <alignment horizontal="center" vertical="center"/>
    </xf>
    <xf numFmtId="165" fontId="162" fillId="47" borderId="4" applyAlignment="1" pivotButton="0" quotePrefix="0" xfId="1">
      <alignment horizontal="left" vertical="center"/>
    </xf>
    <xf numFmtId="165" fontId="172" fillId="45" borderId="3" applyAlignment="1" pivotButton="0" quotePrefix="0" xfId="1">
      <alignment vertical="center" shrinkToFit="1"/>
    </xf>
    <xf numFmtId="165" fontId="162" fillId="45" borderId="3" applyAlignment="1" pivotButton="0" quotePrefix="0" xfId="1">
      <alignment vertical="center" shrinkToFit="1"/>
    </xf>
    <xf numFmtId="165" fontId="172" fillId="41" borderId="3" applyAlignment="1" pivotButton="0" quotePrefix="0" xfId="1">
      <alignment vertical="center" shrinkToFit="1"/>
    </xf>
    <xf numFmtId="164" fontId="172" fillId="41" borderId="3" applyAlignment="1" pivotButton="0" quotePrefix="0" xfId="1">
      <alignment horizontal="left" vertical="center"/>
    </xf>
    <xf numFmtId="167" fontId="162" fillId="41" borderId="91" applyAlignment="1" pivotButton="0" quotePrefix="0" xfId="1">
      <alignment horizontal="center" vertical="center"/>
    </xf>
    <xf numFmtId="164" fontId="162" fillId="41" borderId="3" applyAlignment="1" pivotButton="0" quotePrefix="0" xfId="1">
      <alignment horizontal="center" vertical="center"/>
    </xf>
    <xf numFmtId="165" fontId="162" fillId="41" borderId="3" applyAlignment="1" pivotButton="0" quotePrefix="0" xfId="1">
      <alignment horizontal="left" vertical="center"/>
    </xf>
    <xf numFmtId="164" fontId="170" fillId="41" borderId="4" applyAlignment="1" pivotButton="0" quotePrefix="0" xfId="1">
      <alignment horizontal="left" vertical="center"/>
    </xf>
    <xf numFmtId="168" fontId="166" fillId="41" borderId="93" applyAlignment="1" pivotButton="0" quotePrefix="0" xfId="1">
      <alignment horizontal="left" vertical="center"/>
    </xf>
    <xf numFmtId="168" fontId="171" fillId="47" borderId="93" applyAlignment="1" pivotButton="0" quotePrefix="0" xfId="1">
      <alignment horizontal="left" vertical="center"/>
    </xf>
    <xf numFmtId="165" fontId="172" fillId="41" borderId="4" applyAlignment="1" pivotButton="0" quotePrefix="0" xfId="1">
      <alignment vertical="center" shrinkToFit="1"/>
    </xf>
    <xf numFmtId="165" fontId="162" fillId="41" borderId="3" applyAlignment="1" pivotButton="0" quotePrefix="0" xfId="1">
      <alignment vertical="center" shrinkToFit="1"/>
    </xf>
    <xf numFmtId="168" fontId="161" fillId="41" borderId="90" applyAlignment="1" pivotButton="0" quotePrefix="0" xfId="1">
      <alignment horizontal="left" vertical="center"/>
    </xf>
    <xf numFmtId="165" fontId="162" fillId="41" borderId="9" applyAlignment="1" pivotButton="0" quotePrefix="0" xfId="1">
      <alignment horizontal="center" vertical="center"/>
    </xf>
    <xf numFmtId="165" fontId="162" fillId="46" borderId="3" applyAlignment="1" pivotButton="0" quotePrefix="0" xfId="1">
      <alignment vertical="center" shrinkToFit="1"/>
    </xf>
    <xf numFmtId="164" fontId="166" fillId="21" borderId="4" applyAlignment="1" pivotButton="0" quotePrefix="0" xfId="1">
      <alignment horizontal="left" vertical="center"/>
    </xf>
    <xf numFmtId="168" fontId="161" fillId="38" borderId="93" applyAlignment="1" pivotButton="0" quotePrefix="0" xfId="1">
      <alignment horizontal="left" vertical="center"/>
    </xf>
    <xf numFmtId="165" fontId="162" fillId="41" borderId="4" applyAlignment="1" pivotButton="0" quotePrefix="0" xfId="1">
      <alignment vertical="center" shrinkToFit="1"/>
    </xf>
    <xf numFmtId="164" fontId="172" fillId="38" borderId="4" applyAlignment="1" pivotButton="0" quotePrefix="0" xfId="1">
      <alignment horizontal="left" vertical="center"/>
    </xf>
    <xf numFmtId="164" fontId="172" fillId="21" borderId="4" applyAlignment="1" pivotButton="0" quotePrefix="0" xfId="1">
      <alignment horizontal="left" vertical="center"/>
    </xf>
    <xf numFmtId="165" fontId="162" fillId="47" borderId="4" applyAlignment="1" pivotButton="0" quotePrefix="0" xfId="1">
      <alignment vertical="center" shrinkToFit="1"/>
    </xf>
    <xf numFmtId="164" fontId="172" fillId="47" borderId="3" applyAlignment="1" pivotButton="0" quotePrefix="0" xfId="1">
      <alignment horizontal="left" vertical="center"/>
    </xf>
    <xf numFmtId="165" fontId="162" fillId="47" borderId="9" applyAlignment="1" pivotButton="0" quotePrefix="0" xfId="1">
      <alignment vertical="center" shrinkToFit="1"/>
    </xf>
    <xf numFmtId="168" fontId="171" fillId="38" borderId="90" applyAlignment="1" pivotButton="0" quotePrefix="0" xfId="5749">
      <alignment horizontal="left" vertical="center"/>
    </xf>
    <xf numFmtId="164" fontId="172" fillId="41" borderId="3" applyAlignment="1" pivotButton="0" quotePrefix="0" xfId="5749">
      <alignment horizontal="left" vertical="center"/>
    </xf>
    <xf numFmtId="164" fontId="170" fillId="41" borderId="4" applyAlignment="1" pivotButton="0" quotePrefix="0" xfId="5749">
      <alignment horizontal="left" vertical="center"/>
    </xf>
    <xf numFmtId="168" fontId="166" fillId="41" borderId="90" applyAlignment="1" pivotButton="0" quotePrefix="0" xfId="5749">
      <alignment horizontal="left" vertical="center"/>
    </xf>
    <xf numFmtId="165" fontId="162" fillId="46" borderId="35" applyAlignment="1" pivotButton="0" quotePrefix="0" xfId="1">
      <alignment vertical="center" shrinkToFit="1"/>
    </xf>
    <xf numFmtId="165" fontId="162" fillId="46" borderId="9" applyAlignment="1" pivotButton="0" quotePrefix="0" xfId="1">
      <alignment vertical="center" shrinkToFit="1"/>
    </xf>
    <xf numFmtId="164" fontId="166" fillId="40" borderId="4" applyAlignment="1" pivotButton="0" quotePrefix="0" xfId="1">
      <alignment horizontal="left" vertical="center"/>
    </xf>
    <xf numFmtId="167" fontId="172" fillId="0" borderId="4" applyAlignment="1" pivotButton="0" quotePrefix="0" xfId="16798">
      <alignment horizontal="center" vertical="center"/>
    </xf>
    <xf numFmtId="165" fontId="172" fillId="0" borderId="4" applyAlignment="1" pivotButton="0" quotePrefix="0" xfId="16798">
      <alignment horizontal="center" vertical="center"/>
    </xf>
    <xf numFmtId="167" fontId="163" fillId="0" borderId="89" applyAlignment="1" pivotButton="0" quotePrefix="0" xfId="16798">
      <alignment horizontal="center" vertical="center"/>
    </xf>
    <xf numFmtId="165" fontId="162" fillId="0" borderId="4" applyAlignment="1" pivotButton="0" quotePrefix="0" xfId="16798">
      <alignment horizontal="center" vertical="center"/>
    </xf>
    <xf numFmtId="167" fontId="172" fillId="39" borderId="4" applyAlignment="1" pivotButton="0" quotePrefix="0" xfId="16798">
      <alignment horizontal="center" vertical="center"/>
    </xf>
    <xf numFmtId="167" fontId="162" fillId="39" borderId="89" applyAlignment="1" pivotButton="0" quotePrefix="0" xfId="16798">
      <alignment horizontal="center" vertical="center"/>
    </xf>
    <xf numFmtId="167" fontId="172" fillId="38" borderId="4" applyAlignment="1" pivotButton="0" quotePrefix="0" xfId="16798">
      <alignment horizontal="center" vertical="center"/>
    </xf>
    <xf numFmtId="165" fontId="172" fillId="38" borderId="4" applyAlignment="1" pivotButton="0" quotePrefix="0" xfId="0">
      <alignment horizontal="center" vertical="center"/>
    </xf>
    <xf numFmtId="165" fontId="172" fillId="38" borderId="4" applyAlignment="1" pivotButton="0" quotePrefix="0" xfId="1">
      <alignment horizontal="right" vertical="center"/>
    </xf>
    <xf numFmtId="167" fontId="162" fillId="38" borderId="89" applyAlignment="1" pivotButton="0" quotePrefix="0" xfId="16798">
      <alignment horizontal="center" vertical="center"/>
    </xf>
    <xf numFmtId="165" fontId="162" fillId="38" borderId="4" applyAlignment="1" pivotButton="0" quotePrefix="0" xfId="0">
      <alignment horizontal="center" vertical="center"/>
    </xf>
    <xf numFmtId="165" fontId="162" fillId="38" borderId="4" applyAlignment="1" pivotButton="0" quotePrefix="0" xfId="1">
      <alignment horizontal="right" vertical="center"/>
    </xf>
    <xf numFmtId="165" fontId="172" fillId="46" borderId="35" applyAlignment="1" pivotButton="0" quotePrefix="0" xfId="1">
      <alignment vertical="center" shrinkToFit="1"/>
    </xf>
    <xf numFmtId="165" fontId="162" fillId="46" borderId="0" applyAlignment="1" pivotButton="0" quotePrefix="0" xfId="1">
      <alignment horizontal="center" vertical="center"/>
    </xf>
    <xf numFmtId="167" fontId="162" fillId="45" borderId="89" applyAlignment="1" pivotButton="0" quotePrefix="0" xfId="1">
      <alignment horizontal="center" vertical="center"/>
    </xf>
    <xf numFmtId="167" fontId="162" fillId="45" borderId="4" applyAlignment="1" pivotButton="0" quotePrefix="0" xfId="1">
      <alignment horizontal="center" vertical="center"/>
    </xf>
    <xf numFmtId="168" fontId="166" fillId="45" borderId="3" applyAlignment="1" pivotButton="0" quotePrefix="0" xfId="1">
      <alignment horizontal="left" vertical="center"/>
    </xf>
    <xf numFmtId="167" fontId="162" fillId="47" borderId="89" applyAlignment="1" pivotButton="0" quotePrefix="0" xfId="1">
      <alignment horizontal="center" vertical="center"/>
    </xf>
    <xf numFmtId="167" fontId="162" fillId="47" borderId="4" applyAlignment="1" pivotButton="0" quotePrefix="0" xfId="1">
      <alignment horizontal="center" vertical="center"/>
    </xf>
    <xf numFmtId="168" fontId="166" fillId="47" borderId="3" applyAlignment="1" pivotButton="0" quotePrefix="0" xfId="1">
      <alignment horizontal="left" vertical="center"/>
    </xf>
    <xf numFmtId="165" fontId="162" fillId="47" borderId="89" applyAlignment="1" pivotButton="0" quotePrefix="0" xfId="1">
      <alignment horizontal="center" vertical="center" shrinkToFit="1"/>
    </xf>
    <xf numFmtId="168" fontId="166" fillId="40" borderId="93" applyAlignment="1" pivotButton="0" quotePrefix="0" xfId="1">
      <alignment horizontal="left" vertical="center"/>
    </xf>
    <xf numFmtId="165" fontId="172" fillId="0" borderId="81" applyAlignment="1" pivotButton="0" quotePrefix="0" xfId="1">
      <alignment vertical="center" shrinkToFit="1"/>
    </xf>
    <xf numFmtId="167" fontId="162" fillId="0" borderId="91" applyAlignment="1" pivotButton="0" quotePrefix="0" xfId="1">
      <alignment horizontal="center" vertical="center"/>
    </xf>
    <xf numFmtId="165" fontId="162" fillId="0" borderId="0" applyAlignment="1" pivotButton="0" quotePrefix="0" xfId="1">
      <alignment vertical="center" shrinkToFit="1"/>
    </xf>
    <xf numFmtId="167" fontId="175" fillId="50" borderId="91" applyAlignment="1" pivotButton="0" quotePrefix="0" xfId="1">
      <alignment horizontal="center" vertical="center"/>
    </xf>
    <xf numFmtId="165" fontId="175" fillId="50" borderId="0" applyAlignment="1" pivotButton="0" quotePrefix="0" xfId="1">
      <alignment vertical="center" shrinkToFit="1"/>
    </xf>
    <xf numFmtId="164" fontId="173" fillId="50" borderId="4" applyAlignment="1" pivotButton="0" quotePrefix="0" xfId="1">
      <alignment horizontal="left" vertical="center"/>
    </xf>
    <xf numFmtId="168" fontId="173" fillId="50" borderId="93" applyAlignment="1" pivotButton="0" quotePrefix="0" xfId="1">
      <alignment horizontal="left" vertical="center"/>
    </xf>
    <xf numFmtId="165" fontId="175" fillId="50" borderId="80" applyAlignment="1" pivotButton="0" quotePrefix="0" xfId="1">
      <alignment horizontal="center" vertical="center"/>
    </xf>
    <xf numFmtId="165" fontId="172" fillId="0" borderId="0" applyAlignment="1" pivotButton="0" quotePrefix="0" xfId="1">
      <alignment vertical="center" shrinkToFit="1"/>
    </xf>
    <xf numFmtId="164" fontId="172" fillId="0" borderId="5" applyAlignment="1" pivotButton="0" quotePrefix="0" xfId="1">
      <alignment horizontal="left" vertical="center"/>
    </xf>
    <xf numFmtId="165" fontId="175" fillId="50" borderId="4" applyAlignment="1" pivotButton="0" quotePrefix="0" xfId="1">
      <alignment vertical="center" shrinkToFit="1"/>
    </xf>
    <xf numFmtId="165" fontId="162" fillId="50" borderId="80" applyAlignment="1" pivotButton="0" quotePrefix="0" xfId="1">
      <alignment horizontal="center" vertical="center"/>
    </xf>
    <xf numFmtId="164" fontId="175" fillId="50" borderId="5" applyAlignment="1" pivotButton="0" quotePrefix="0" xfId="1">
      <alignment horizontal="left" vertical="center"/>
    </xf>
    <xf numFmtId="168" fontId="173" fillId="50" borderId="90" applyAlignment="1" pivotButton="0" quotePrefix="0" xfId="1">
      <alignment horizontal="left" vertical="center"/>
    </xf>
    <xf numFmtId="164" fontId="175" fillId="50" borderId="4" applyAlignment="1" pivotButton="0" quotePrefix="0" xfId="1">
      <alignment horizontal="left" vertical="center"/>
    </xf>
    <xf numFmtId="167" fontId="175" fillId="50" borderId="13" applyAlignment="1" pivotButton="0" quotePrefix="0" xfId="1">
      <alignment horizontal="center" vertical="center"/>
    </xf>
    <xf numFmtId="168" fontId="173" fillId="50" borderId="13" applyAlignment="1" pivotButton="0" quotePrefix="0" xfId="1">
      <alignment horizontal="left" vertical="center"/>
    </xf>
    <xf numFmtId="165" fontId="175" fillId="50" borderId="4" applyAlignment="1" pivotButton="0" quotePrefix="0" xfId="1">
      <alignment horizontal="center" vertical="center"/>
    </xf>
    <xf numFmtId="167" fontId="162" fillId="21" borderId="119" applyAlignment="1" pivotButton="0" quotePrefix="0" xfId="1">
      <alignment horizontal="center" vertical="center"/>
    </xf>
    <xf numFmtId="165" fontId="172" fillId="0" borderId="80" applyAlignment="1" pivotButton="0" quotePrefix="0" xfId="1">
      <alignment vertical="center" shrinkToFit="1"/>
    </xf>
    <xf numFmtId="167" fontId="162" fillId="0" borderId="99" applyAlignment="1" pivotButton="0" quotePrefix="0" xfId="1">
      <alignment horizontal="center" vertical="center"/>
    </xf>
    <xf numFmtId="165" fontId="162" fillId="0" borderId="80" applyAlignment="1" pivotButton="0" quotePrefix="0" xfId="1">
      <alignment vertical="center" shrinkToFit="1"/>
    </xf>
    <xf numFmtId="165" fontId="172" fillId="39" borderId="4" applyAlignment="1" pivotButton="0" quotePrefix="0" xfId="1">
      <alignment horizontal="center" vertical="center"/>
    </xf>
    <xf numFmtId="164" fontId="172" fillId="39" borderId="3" applyAlignment="1" pivotButton="0" quotePrefix="0" xfId="1">
      <alignment horizontal="left" vertical="center"/>
    </xf>
    <xf numFmtId="167" fontId="162" fillId="39" borderId="91" applyAlignment="1" pivotButton="0" quotePrefix="0" xfId="1">
      <alignment horizontal="center" vertical="center"/>
    </xf>
    <xf numFmtId="165" fontId="162" fillId="39" borderId="4" applyAlignment="1" pivotButton="0" quotePrefix="0" xfId="1">
      <alignment horizontal="center" vertical="center"/>
    </xf>
    <xf numFmtId="164" fontId="170" fillId="39" borderId="4" applyAlignment="1" pivotButton="0" quotePrefix="0" xfId="1">
      <alignment horizontal="left" vertical="center"/>
    </xf>
    <xf numFmtId="168" fontId="161" fillId="39" borderId="93" applyAlignment="1" pivotButton="0" quotePrefix="0" xfId="1">
      <alignment horizontal="left" vertical="center"/>
    </xf>
    <xf numFmtId="168" fontId="161" fillId="39" borderId="90" applyAlignment="1" pivotButton="0" quotePrefix="0" xfId="1">
      <alignment horizontal="left" vertical="center"/>
    </xf>
    <xf numFmtId="165" fontId="162" fillId="39" borderId="9" applyAlignment="1" pivotButton="0" quotePrefix="0" xfId="1">
      <alignment horizontal="center" vertical="center"/>
    </xf>
    <xf numFmtId="165" fontId="162" fillId="39" borderId="0" applyAlignment="1" pivotButton="0" quotePrefix="0" xfId="1">
      <alignment horizontal="center" vertical="center"/>
    </xf>
    <xf numFmtId="165" fontId="172" fillId="45" borderId="35" applyAlignment="1" pivotButton="0" quotePrefix="0" xfId="1">
      <alignment horizontal="center" vertical="center"/>
    </xf>
    <xf numFmtId="164" fontId="172" fillId="45" borderId="92" applyAlignment="1" pivotButton="0" quotePrefix="0" xfId="1">
      <alignment horizontal="center" vertical="center"/>
    </xf>
    <xf numFmtId="167" fontId="162" fillId="45" borderId="99" applyAlignment="1" pivotButton="0" quotePrefix="0" xfId="1">
      <alignment horizontal="center" vertical="center"/>
    </xf>
    <xf numFmtId="165" fontId="162" fillId="45" borderId="35" applyAlignment="1" pivotButton="0" quotePrefix="0" xfId="1">
      <alignment horizontal="center" vertical="center"/>
    </xf>
    <xf numFmtId="164" fontId="170" fillId="45" borderId="26" applyAlignment="1" pivotButton="0" quotePrefix="0" xfId="1">
      <alignment horizontal="center" vertical="center"/>
    </xf>
    <xf numFmtId="168" fontId="161" fillId="45" borderId="92" applyAlignment="1" pivotButton="0" quotePrefix="0" xfId="1">
      <alignment horizontal="center" vertical="center"/>
    </xf>
    <xf numFmtId="167" fontId="162" fillId="47" borderId="99" applyAlignment="1" pivotButton="0" quotePrefix="0" xfId="1">
      <alignment horizontal="center" vertical="center"/>
    </xf>
    <xf numFmtId="165" fontId="162" fillId="47" borderId="35" applyAlignment="1" pivotButton="0" quotePrefix="0" xfId="1">
      <alignment horizontal="center" vertical="center"/>
    </xf>
    <xf numFmtId="164" fontId="170" fillId="47" borderId="26" applyAlignment="1" pivotButton="0" quotePrefix="0" xfId="1">
      <alignment horizontal="center" vertical="center"/>
    </xf>
    <xf numFmtId="168" fontId="161" fillId="47" borderId="92" applyAlignment="1" pivotButton="0" quotePrefix="0" xfId="1">
      <alignment horizontal="center" vertical="center"/>
    </xf>
    <xf numFmtId="0" fontId="162" fillId="47" borderId="3" applyAlignment="1" pivotButton="0" quotePrefix="0" xfId="2">
      <alignment horizontal="center" vertical="center" shrinkToFit="1"/>
    </xf>
    <xf numFmtId="165" fontId="162" fillId="47" borderId="4" applyAlignment="1" pivotButton="0" quotePrefix="0" xfId="1">
      <alignment horizontal="center" vertical="center"/>
    </xf>
    <xf numFmtId="164" fontId="170" fillId="47" borderId="4" applyAlignment="1" pivotButton="0" quotePrefix="0" xfId="1">
      <alignment horizontal="center" vertical="center"/>
    </xf>
    <xf numFmtId="167" fontId="175" fillId="44" borderId="91" applyAlignment="1" pivotButton="0" quotePrefix="0" xfId="1">
      <alignment horizontal="center" vertical="center"/>
    </xf>
    <xf numFmtId="165" fontId="175" fillId="44" borderId="4" applyAlignment="1" pivotButton="0" quotePrefix="0" xfId="1">
      <alignment horizontal="center" vertical="center"/>
    </xf>
    <xf numFmtId="165" fontId="175" fillId="44" borderId="9" applyAlignment="1" pivotButton="0" quotePrefix="0" xfId="1">
      <alignment horizontal="center" vertical="center"/>
    </xf>
    <xf numFmtId="0" fontId="0" fillId="0" borderId="116" pivotButton="0" quotePrefix="0" xfId="0"/>
    <xf numFmtId="0" fontId="0" fillId="0" borderId="104" pivotButton="0" quotePrefix="0" xfId="0"/>
    <xf numFmtId="0" fontId="0" fillId="0" borderId="119" pivotButton="0" quotePrefix="0" xfId="0"/>
    <xf numFmtId="168" fontId="173" fillId="44" borderId="90" applyAlignment="1" pivotButton="0" quotePrefix="0" xfId="1">
      <alignment horizontal="center" vertical="center"/>
    </xf>
    <xf numFmtId="165" fontId="175" fillId="44" borderId="0" applyAlignment="1" pivotButton="0" quotePrefix="0" xfId="1">
      <alignment vertical="center"/>
    </xf>
    <xf numFmtId="167" fontId="162" fillId="47" borderId="104" applyAlignment="1" pivotButton="0" quotePrefix="0" xfId="1">
      <alignment horizontal="center" vertical="center"/>
    </xf>
    <xf numFmtId="165" fontId="162" fillId="47" borderId="8" applyAlignment="1" pivotButton="0" quotePrefix="0" xfId="1">
      <alignment horizontal="center" vertical="center"/>
    </xf>
    <xf numFmtId="168" fontId="161" fillId="47" borderId="25" applyAlignment="1" pivotButton="0" quotePrefix="0" xfId="17002">
      <alignment horizontal="center" vertical="center"/>
    </xf>
    <xf numFmtId="168" fontId="161" fillId="47" borderId="116" applyAlignment="1" pivotButton="0" quotePrefix="0" xfId="1">
      <alignment horizontal="center" vertical="center"/>
    </xf>
    <xf numFmtId="168" fontId="173" fillId="44" borderId="116" applyAlignment="1" pivotButton="0" quotePrefix="0" xfId="1">
      <alignment horizontal="center" vertical="center"/>
    </xf>
    <xf numFmtId="165" fontId="162" fillId="44" borderId="9" applyAlignment="1" pivotButton="0" quotePrefix="0" xfId="1">
      <alignment horizontal="center" vertical="center"/>
    </xf>
    <xf numFmtId="165" fontId="172" fillId="44" borderId="4" applyAlignment="1" pivotButton="0" quotePrefix="0" xfId="1">
      <alignment horizontal="center" vertical="center"/>
    </xf>
    <xf numFmtId="164" fontId="172" fillId="44" borderId="3" applyAlignment="1" pivotButton="0" quotePrefix="0" xfId="1">
      <alignment horizontal="left" vertical="center"/>
    </xf>
    <xf numFmtId="167" fontId="162" fillId="44" borderId="13" applyAlignment="1" pivotButton="0" quotePrefix="0" xfId="1">
      <alignment horizontal="center" vertical="center"/>
    </xf>
    <xf numFmtId="164" fontId="170" fillId="44" borderId="4" applyAlignment="1" pivotButton="0" quotePrefix="0" xfId="1">
      <alignment horizontal="left" vertical="center"/>
    </xf>
    <xf numFmtId="168" fontId="166" fillId="44" borderId="93" applyAlignment="1" pivotButton="0" quotePrefix="0" xfId="1">
      <alignment horizontal="left" vertical="center"/>
    </xf>
    <xf numFmtId="167" fontId="162" fillId="44" borderId="91" applyAlignment="1" pivotButton="0" quotePrefix="0" xfId="1">
      <alignment horizontal="center" vertical="center"/>
    </xf>
    <xf numFmtId="168" fontId="166" fillId="44" borderId="90" applyAlignment="1" pivotButton="0" quotePrefix="0" xfId="1">
      <alignment horizontal="left" vertical="center"/>
    </xf>
    <xf numFmtId="165" fontId="172" fillId="50" borderId="4" applyAlignment="1" pivotButton="0" quotePrefix="0" xfId="1">
      <alignment horizontal="center" vertical="center"/>
    </xf>
    <xf numFmtId="164" fontId="172" fillId="50" borderId="3" applyAlignment="1" pivotButton="0" quotePrefix="0" xfId="1">
      <alignment horizontal="left" vertical="center"/>
    </xf>
    <xf numFmtId="167" fontId="162" fillId="50" borderId="13" applyAlignment="1" pivotButton="0" quotePrefix="0" xfId="1">
      <alignment horizontal="center" vertical="center"/>
    </xf>
    <xf numFmtId="165" fontId="162" fillId="50" borderId="9" applyAlignment="1" pivotButton="0" quotePrefix="0" xfId="1">
      <alignment horizontal="center" vertical="center"/>
    </xf>
    <xf numFmtId="164" fontId="170" fillId="50" borderId="4" applyAlignment="1" pivotButton="0" quotePrefix="0" xfId="1">
      <alignment horizontal="left" vertical="center"/>
    </xf>
    <xf numFmtId="168" fontId="166" fillId="50" borderId="93" applyAlignment="1" pivotButton="0" quotePrefix="0" xfId="1">
      <alignment horizontal="left" vertical="center"/>
    </xf>
    <xf numFmtId="167" fontId="162" fillId="50" borderId="91" applyAlignment="1" pivotButton="0" quotePrefix="0" xfId="1">
      <alignment horizontal="center" vertical="center"/>
    </xf>
    <xf numFmtId="168" fontId="166" fillId="50" borderId="90" applyAlignment="1" pivotButton="0" quotePrefix="0" xfId="1">
      <alignment horizontal="left" vertical="center"/>
    </xf>
    <xf numFmtId="165" fontId="175" fillId="50" borderId="9" applyAlignment="1" pivotButton="0" quotePrefix="0" xfId="1">
      <alignment horizontal="center" vertical="center"/>
    </xf>
    <xf numFmtId="165" fontId="172" fillId="46" borderId="4" applyAlignment="1" pivotButton="0" quotePrefix="0" xfId="1">
      <alignment horizontal="center" vertical="center"/>
    </xf>
    <xf numFmtId="165" fontId="172" fillId="47" borderId="4" applyAlignment="1" pivotButton="0" quotePrefix="0" xfId="1">
      <alignment horizontal="center" vertical="center"/>
    </xf>
    <xf numFmtId="167" fontId="162" fillId="47" borderId="13" applyAlignment="1" pivotButton="0" quotePrefix="0" xfId="1">
      <alignment horizontal="center" vertical="center"/>
    </xf>
    <xf numFmtId="167" fontId="175" fillId="49" borderId="91" applyAlignment="1" pivotButton="0" quotePrefix="0" xfId="1">
      <alignment horizontal="center" vertical="center"/>
    </xf>
    <xf numFmtId="165" fontId="175" fillId="49" borderId="9" applyAlignment="1" pivotButton="0" quotePrefix="0" xfId="1">
      <alignment horizontal="center" vertical="center"/>
    </xf>
    <xf numFmtId="164" fontId="173" fillId="49" borderId="4" applyAlignment="1" pivotButton="0" quotePrefix="0" xfId="1">
      <alignment horizontal="left" vertical="center"/>
    </xf>
    <xf numFmtId="168" fontId="173" fillId="49" borderId="93" applyAlignment="1" pivotButton="0" quotePrefix="0" xfId="1">
      <alignment horizontal="left" vertical="center"/>
    </xf>
    <xf numFmtId="168" fontId="166" fillId="21" borderId="90" applyAlignment="1" pivotButton="0" quotePrefix="0" xfId="1">
      <alignment horizontal="left" vertical="center"/>
    </xf>
    <xf numFmtId="165" fontId="172" fillId="43" borderId="4" applyAlignment="1" pivotButton="0" quotePrefix="0" xfId="1">
      <alignment vertical="center" shrinkToFit="1"/>
    </xf>
    <xf numFmtId="164" fontId="172" fillId="43" borderId="3" applyAlignment="1" pivotButton="0" quotePrefix="0" xfId="1">
      <alignment horizontal="left" vertical="center"/>
    </xf>
    <xf numFmtId="167" fontId="162" fillId="43" borderId="91" applyAlignment="1" pivotButton="0" quotePrefix="0" xfId="1">
      <alignment horizontal="center" vertical="center"/>
    </xf>
    <xf numFmtId="165" fontId="162" fillId="43" borderId="0" applyAlignment="1" pivotButton="0" quotePrefix="0" xfId="1">
      <alignment vertical="center" shrinkToFit="1"/>
    </xf>
    <xf numFmtId="164" fontId="170" fillId="43" borderId="4" applyAlignment="1" pivotButton="0" quotePrefix="0" xfId="1">
      <alignment horizontal="left" vertical="center"/>
    </xf>
    <xf numFmtId="168" fontId="166" fillId="43" borderId="93" applyAlignment="1" pivotButton="0" quotePrefix="0" xfId="1">
      <alignment horizontal="left" vertical="center"/>
    </xf>
    <xf numFmtId="168" fontId="161" fillId="43" borderId="90" applyAlignment="1" pivotButton="0" quotePrefix="0" xfId="1">
      <alignment horizontal="left" vertical="center"/>
    </xf>
    <xf numFmtId="165" fontId="162" fillId="43" borderId="80" applyAlignment="1" pivotButton="0" quotePrefix="0" xfId="1">
      <alignment horizontal="center" vertical="center"/>
    </xf>
    <xf numFmtId="167" fontId="162" fillId="43" borderId="99" applyAlignment="1" pivotButton="0" quotePrefix="0" xfId="1">
      <alignment horizontal="center" vertical="center"/>
    </xf>
    <xf numFmtId="165" fontId="162" fillId="43" borderId="26" applyAlignment="1" pivotButton="0" quotePrefix="0" xfId="1">
      <alignment vertical="center" shrinkToFit="1"/>
    </xf>
    <xf numFmtId="168" fontId="166" fillId="43" borderId="13" applyAlignment="1" pivotButton="0" quotePrefix="0" xfId="1">
      <alignment horizontal="left" vertical="center"/>
    </xf>
    <xf numFmtId="165" fontId="162" fillId="43" borderId="4" applyAlignment="1" pivotButton="0" quotePrefix="0" xfId="1">
      <alignment horizontal="center" vertical="center"/>
    </xf>
    <xf numFmtId="167" fontId="162" fillId="43" borderId="89" applyAlignment="1" pivotButton="0" quotePrefix="0" xfId="1">
      <alignment horizontal="center" vertical="center"/>
    </xf>
    <xf numFmtId="165" fontId="162" fillId="43" borderId="4" applyAlignment="1" pivotButton="0" quotePrefix="0" xfId="1">
      <alignment vertical="center" shrinkToFit="1"/>
    </xf>
    <xf numFmtId="165" fontId="162" fillId="43" borderId="9" applyAlignment="1" pivotButton="0" quotePrefix="0" xfId="1">
      <alignment horizontal="center" vertical="center"/>
    </xf>
    <xf numFmtId="164" fontId="172" fillId="21" borderId="5" applyAlignment="1" pivotButton="0" quotePrefix="0" xfId="1">
      <alignment horizontal="left" vertical="center"/>
    </xf>
    <xf numFmtId="165" fontId="162" fillId="43" borderId="80" applyAlignment="1" pivotButton="0" quotePrefix="0" xfId="1">
      <alignment vertical="center" shrinkToFit="1"/>
    </xf>
    <xf numFmtId="164" fontId="166" fillId="21" borderId="90" applyAlignment="1" pivotButton="0" quotePrefix="0" xfId="1">
      <alignment horizontal="left" vertical="center"/>
    </xf>
    <xf numFmtId="0" fontId="162" fillId="43" borderId="3" applyAlignment="1" pivotButton="0" quotePrefix="0" xfId="2">
      <alignment horizontal="center" vertical="center"/>
    </xf>
    <xf numFmtId="165" fontId="172" fillId="43" borderId="4" applyAlignment="1" pivotButton="0" quotePrefix="0" xfId="1">
      <alignment horizontal="center" vertical="center"/>
    </xf>
    <xf numFmtId="165" fontId="172" fillId="45" borderId="4" applyAlignment="1" pivotButton="0" quotePrefix="0" xfId="1">
      <alignment horizontal="center" vertical="center"/>
    </xf>
    <xf numFmtId="165" fontId="162" fillId="45" borderId="4" applyAlignment="1" pivotButton="0" quotePrefix="0" xfId="1">
      <alignment horizontal="center" vertical="center"/>
    </xf>
    <xf numFmtId="164" fontId="161" fillId="20" borderId="3" applyAlignment="1" pivotButton="0" quotePrefix="0" xfId="1">
      <alignment horizontal="center" vertical="center"/>
    </xf>
    <xf numFmtId="165" fontId="162" fillId="20" borderId="13" applyAlignment="1" pivotButton="0" quotePrefix="0" xfId="1">
      <alignment horizontal="center" vertical="center" shrinkToFit="1"/>
    </xf>
    <xf numFmtId="164" fontId="161" fillId="20" borderId="3" applyAlignment="1" pivotButton="0" quotePrefix="0" xfId="1">
      <alignment horizontal="center" vertical="center" shrinkToFit="1"/>
    </xf>
    <xf numFmtId="167" fontId="161" fillId="20" borderId="89" applyAlignment="1" pivotButton="0" quotePrefix="0" xfId="1">
      <alignment horizontal="center" vertical="center" shrinkToFit="1"/>
    </xf>
    <xf numFmtId="168" fontId="170" fillId="20" borderId="3" applyAlignment="1" pivotButton="0" quotePrefix="0" xfId="1">
      <alignment horizontal="left" vertical="center" shrinkToFit="1"/>
    </xf>
    <xf numFmtId="168" fontId="161" fillId="20" borderId="90" applyAlignment="1" pivotButton="0" quotePrefix="0" xfId="1">
      <alignment horizontal="left" vertical="center"/>
    </xf>
    <xf numFmtId="165" fontId="161" fillId="20" borderId="89" applyAlignment="1" pivotButton="0" quotePrefix="0" xfId="1">
      <alignment horizontal="center" vertical="center" shrinkToFit="1"/>
    </xf>
    <xf numFmtId="166" fontId="161" fillId="20" borderId="3" applyAlignment="1" pivotButton="0" quotePrefix="0" xfId="1">
      <alignment horizontal="center" vertical="center" shrinkToFit="1"/>
    </xf>
    <xf numFmtId="167" fontId="161" fillId="20" borderId="120" applyAlignment="1" pivotButton="0" quotePrefix="0" xfId="1">
      <alignment horizontal="center" vertical="center" shrinkToFit="1"/>
    </xf>
    <xf numFmtId="0" fontId="0" fillId="0" borderId="106" pivotButton="0" quotePrefix="0" xfId="0"/>
    <xf numFmtId="0" fontId="0" fillId="0" borderId="107" pivotButton="0" quotePrefix="0" xfId="0"/>
    <xf numFmtId="164" fontId="170" fillId="20" borderId="101" applyAlignment="1" pivotButton="0" quotePrefix="0" xfId="1">
      <alignment horizontal="left" vertical="center" shrinkToFit="1"/>
    </xf>
    <xf numFmtId="0" fontId="161" fillId="20" borderId="89" applyAlignment="1" pivotButton="0" quotePrefix="0" xfId="15923">
      <alignment horizontal="center" vertical="center"/>
    </xf>
    <xf numFmtId="164" fontId="161" fillId="20" borderId="4" applyAlignment="1" pivotButton="0" quotePrefix="0" xfId="1">
      <alignment horizontal="center" vertical="center" shrinkToFit="1"/>
    </xf>
    <xf numFmtId="0" fontId="161" fillId="20" borderId="121" applyAlignment="1" pivotButton="0" quotePrefix="0" xfId="15923">
      <alignment horizontal="center" vertical="center"/>
    </xf>
    <xf numFmtId="0" fontId="0" fillId="0" borderId="109" pivotButton="0" quotePrefix="0" xfId="0"/>
    <xf numFmtId="164" fontId="173" fillId="42" borderId="4" applyAlignment="1" pivotButton="0" quotePrefix="0" xfId="1">
      <alignment horizontal="left" vertical="center" shrinkToFit="1"/>
    </xf>
    <xf numFmtId="165" fontId="166" fillId="0" borderId="0" applyAlignment="1" pivotButton="0" quotePrefix="0" xfId="1">
      <alignment horizontal="right" vertical="center"/>
    </xf>
    <xf numFmtId="164" fontId="166" fillId="0" borderId="0" applyAlignment="1" pivotButton="0" quotePrefix="0" xfId="1">
      <alignment horizontal="center" vertical="center" shrinkToFit="1"/>
    </xf>
    <xf numFmtId="167" fontId="166" fillId="0" borderId="0" applyAlignment="1" pivotButton="0" quotePrefix="0" xfId="1">
      <alignment horizontal="center" vertical="center" shrinkToFit="1"/>
    </xf>
    <xf numFmtId="165" fontId="166" fillId="0" borderId="0" applyAlignment="1" pivotButton="0" quotePrefix="0" xfId="1">
      <alignment horizontal="center" vertical="center" shrinkToFit="1"/>
    </xf>
    <xf numFmtId="164" fontId="170" fillId="0" borderId="0" applyAlignment="1" pivotButton="0" quotePrefix="0" xfId="1">
      <alignment horizontal="center" vertical="center" shrinkToFit="1"/>
    </xf>
    <xf numFmtId="168" fontId="166" fillId="0" borderId="0" applyAlignment="1" pivotButton="0" quotePrefix="0" xfId="1">
      <alignment horizontal="center" vertical="center" shrinkToFit="1"/>
    </xf>
    <xf numFmtId="165" fontId="166" fillId="0" borderId="14" applyAlignment="1" pivotButton="0" quotePrefix="0" xfId="1">
      <alignment horizontal="center" vertical="center" shrinkToFit="1"/>
    </xf>
    <xf numFmtId="167" fontId="163" fillId="51" borderId="4" applyAlignment="1" pivotButton="0" quotePrefix="0" xfId="1">
      <alignment horizontal="center" vertical="center"/>
    </xf>
    <xf numFmtId="164" fontId="170" fillId="51" borderId="4" applyAlignment="1" pivotButton="0" quotePrefix="0" xfId="1">
      <alignment vertical="center"/>
    </xf>
    <xf numFmtId="169" fontId="163" fillId="0" borderId="0" applyAlignment="1" pivotButton="0" quotePrefix="0" xfId="0">
      <alignment horizontal="center" vertical="center"/>
    </xf>
    <xf numFmtId="167" fontId="163" fillId="38" borderId="4" applyAlignment="1" pivotButton="0" quotePrefix="0" xfId="1">
      <alignment horizontal="center" vertical="center"/>
    </xf>
    <xf numFmtId="164" fontId="170" fillId="38" borderId="4" applyAlignment="1" pivotButton="0" quotePrefix="0" xfId="1">
      <alignment vertical="center"/>
    </xf>
  </cellXfs>
  <cellStyles count="17003">
    <cellStyle name="표준" xfId="0" builtinId="0"/>
    <cellStyle name="쉼표 [0]" xfId="1" builtinId="6"/>
    <cellStyle name="표준 44" xfId="2"/>
    <cellStyle name=" " xfId="3"/>
    <cellStyle name="            386grabber=vga.3gr  " xfId="4"/>
    <cellStyle name="          _x000d__x000a_386grabber=vga.3gr_x000d__x000a_" xfId="5"/>
    <cellStyle name="  2" xfId="6"/>
    <cellStyle name="  3" xfId="7"/>
    <cellStyle name=" _97연말" xfId="8"/>
    <cellStyle name=" _97연말 2" xfId="9"/>
    <cellStyle name=" _97연말1" xfId="10"/>
    <cellStyle name=" _97연말1 2" xfId="11"/>
    <cellStyle name=" _Book1" xfId="12"/>
    <cellStyle name=" _Book1 2" xfId="13"/>
    <cellStyle name="_x0014_ 3" xfId="14"/>
    <cellStyle name="&quot;" xfId="15"/>
    <cellStyle name="#" xfId="16"/>
    <cellStyle name="# 2" xfId="17"/>
    <cellStyle name="# 2 2" xfId="18"/>
    <cellStyle name="# 2 2 2" xfId="19"/>
    <cellStyle name="# 2 2 3" xfId="20"/>
    <cellStyle name="# 2 2 4" xfId="21"/>
    <cellStyle name="# 2 2 5" xfId="22"/>
    <cellStyle name="# 3" xfId="23"/>
    <cellStyle name="# 3 2" xfId="24"/>
    <cellStyle name="# 3 3" xfId="25"/>
    <cellStyle name="# 3 4" xfId="26"/>
    <cellStyle name="# 3 5" xfId="27"/>
    <cellStyle name="#,##0" xfId="28"/>
    <cellStyle name="#,##0 10" xfId="29"/>
    <cellStyle name="#,##0 10 2" xfId="30"/>
    <cellStyle name="#,##0 10 2 2" xfId="31"/>
    <cellStyle name="#,##0 10 2 2 2" xfId="32"/>
    <cellStyle name="#,##0 10 2 2 3" xfId="33"/>
    <cellStyle name="#,##0 10 2 2 4" xfId="34"/>
    <cellStyle name="#,##0 10 2 2 5" xfId="35"/>
    <cellStyle name="#,##0 10 3" xfId="36"/>
    <cellStyle name="#,##0 10 3 2" xfId="37"/>
    <cellStyle name="#,##0 10 3 3" xfId="38"/>
    <cellStyle name="#,##0 10 3 4" xfId="39"/>
    <cellStyle name="#,##0 10 3 5" xfId="40"/>
    <cellStyle name="#,##0 11" xfId="41"/>
    <cellStyle name="#,##0 11 2" xfId="42"/>
    <cellStyle name="#,##0 11 2 2" xfId="43"/>
    <cellStyle name="#,##0 11 2 2 2" xfId="44"/>
    <cellStyle name="#,##0 11 2 2 3" xfId="45"/>
    <cellStyle name="#,##0 11 2 2 4" xfId="46"/>
    <cellStyle name="#,##0 11 2 2 5" xfId="47"/>
    <cellStyle name="#,##0 11 3" xfId="48"/>
    <cellStyle name="#,##0 11 3 2" xfId="49"/>
    <cellStyle name="#,##0 11 3 3" xfId="50"/>
    <cellStyle name="#,##0 11 3 4" xfId="51"/>
    <cellStyle name="#,##0 11 3 5" xfId="52"/>
    <cellStyle name="#,##0 12" xfId="53"/>
    <cellStyle name="#,##0 12 2" xfId="54"/>
    <cellStyle name="#,##0 12 2 2" xfId="55"/>
    <cellStyle name="#,##0 12 2 2 2" xfId="56"/>
    <cellStyle name="#,##0 12 2 2 3" xfId="57"/>
    <cellStyle name="#,##0 12 2 2 4" xfId="58"/>
    <cellStyle name="#,##0 12 2 2 5" xfId="59"/>
    <cellStyle name="#,##0 12 3" xfId="60"/>
    <cellStyle name="#,##0 12 3 2" xfId="61"/>
    <cellStyle name="#,##0 12 3 3" xfId="62"/>
    <cellStyle name="#,##0 12 3 4" xfId="63"/>
    <cellStyle name="#,##0 12 3 5" xfId="64"/>
    <cellStyle name="#,##0 13" xfId="65"/>
    <cellStyle name="#,##0 13 2" xfId="66"/>
    <cellStyle name="#,##0 13 2 2" xfId="67"/>
    <cellStyle name="#,##0 13 2 2 2" xfId="68"/>
    <cellStyle name="#,##0 13 2 2 3" xfId="69"/>
    <cellStyle name="#,##0 13 2 2 4" xfId="70"/>
    <cellStyle name="#,##0 13 2 2 5" xfId="71"/>
    <cellStyle name="#,##0 13 3" xfId="72"/>
    <cellStyle name="#,##0 13 3 2" xfId="73"/>
    <cellStyle name="#,##0 13 3 3" xfId="74"/>
    <cellStyle name="#,##0 13 3 4" xfId="75"/>
    <cellStyle name="#,##0 13 3 5" xfId="76"/>
    <cellStyle name="#,##0 14" xfId="77"/>
    <cellStyle name="#,##0 14 2" xfId="78"/>
    <cellStyle name="#,##0 14 2 2" xfId="79"/>
    <cellStyle name="#,##0 14 2 2 2" xfId="80"/>
    <cellStyle name="#,##0 14 2 2 3" xfId="81"/>
    <cellStyle name="#,##0 14 2 2 4" xfId="82"/>
    <cellStyle name="#,##0 14 2 2 5" xfId="83"/>
    <cellStyle name="#,##0 14 3" xfId="84"/>
    <cellStyle name="#,##0 14 3 2" xfId="85"/>
    <cellStyle name="#,##0 14 3 3" xfId="86"/>
    <cellStyle name="#,##0 14 3 4" xfId="87"/>
    <cellStyle name="#,##0 14 3 5" xfId="88"/>
    <cellStyle name="#,##0 15" xfId="89"/>
    <cellStyle name="#,##0 15 2" xfId="90"/>
    <cellStyle name="#,##0 15 2 2" xfId="91"/>
    <cellStyle name="#,##0 15 2 2 2" xfId="92"/>
    <cellStyle name="#,##0 15 2 2 3" xfId="93"/>
    <cellStyle name="#,##0 15 2 2 4" xfId="94"/>
    <cellStyle name="#,##0 15 2 2 5" xfId="95"/>
    <cellStyle name="#,##0 15 3" xfId="96"/>
    <cellStyle name="#,##0 15 3 2" xfId="97"/>
    <cellStyle name="#,##0 15 3 3" xfId="98"/>
    <cellStyle name="#,##0 15 3 4" xfId="99"/>
    <cellStyle name="#,##0 15 3 5" xfId="100"/>
    <cellStyle name="#,##0 16" xfId="101"/>
    <cellStyle name="#,##0 16 2" xfId="102"/>
    <cellStyle name="#,##0 16 2 2" xfId="103"/>
    <cellStyle name="#,##0 16 2 2 2" xfId="104"/>
    <cellStyle name="#,##0 16 2 2 3" xfId="105"/>
    <cellStyle name="#,##0 16 2 2 4" xfId="106"/>
    <cellStyle name="#,##0 16 2 2 5" xfId="107"/>
    <cellStyle name="#,##0 16 3" xfId="108"/>
    <cellStyle name="#,##0 16 3 2" xfId="109"/>
    <cellStyle name="#,##0 16 3 3" xfId="110"/>
    <cellStyle name="#,##0 16 3 4" xfId="111"/>
    <cellStyle name="#,##0 16 3 5" xfId="112"/>
    <cellStyle name="#,##0 17" xfId="113"/>
    <cellStyle name="#,##0 17 2" xfId="114"/>
    <cellStyle name="#,##0 17 2 2" xfId="115"/>
    <cellStyle name="#,##0 17 2 2 2" xfId="116"/>
    <cellStyle name="#,##0 17 2 2 3" xfId="117"/>
    <cellStyle name="#,##0 17 2 2 4" xfId="118"/>
    <cellStyle name="#,##0 17 2 2 5" xfId="119"/>
    <cellStyle name="#,##0 17 3" xfId="120"/>
    <cellStyle name="#,##0 17 3 2" xfId="121"/>
    <cellStyle name="#,##0 17 3 3" xfId="122"/>
    <cellStyle name="#,##0 17 3 4" xfId="123"/>
    <cellStyle name="#,##0 17 3 5" xfId="124"/>
    <cellStyle name="#,##0 18" xfId="125"/>
    <cellStyle name="#,##0 18 2" xfId="126"/>
    <cellStyle name="#,##0 18 2 2" xfId="127"/>
    <cellStyle name="#,##0 18 2 2 2" xfId="128"/>
    <cellStyle name="#,##0 18 2 2 3" xfId="129"/>
    <cellStyle name="#,##0 18 2 2 4" xfId="130"/>
    <cellStyle name="#,##0 18 2 2 5" xfId="131"/>
    <cellStyle name="#,##0 18 3" xfId="132"/>
    <cellStyle name="#,##0 18 3 2" xfId="133"/>
    <cellStyle name="#,##0 18 3 3" xfId="134"/>
    <cellStyle name="#,##0 18 3 4" xfId="135"/>
    <cellStyle name="#,##0 18 3 5" xfId="136"/>
    <cellStyle name="#,##0 19" xfId="137"/>
    <cellStyle name="#,##0 19 2" xfId="138"/>
    <cellStyle name="#,##0 19 2 2" xfId="139"/>
    <cellStyle name="#,##0 19 2 2 2" xfId="140"/>
    <cellStyle name="#,##0 19 2 2 3" xfId="141"/>
    <cellStyle name="#,##0 19 2 2 4" xfId="142"/>
    <cellStyle name="#,##0 19 2 2 5" xfId="143"/>
    <cellStyle name="#,##0 19 3" xfId="144"/>
    <cellStyle name="#,##0 19 3 2" xfId="145"/>
    <cellStyle name="#,##0 19 3 3" xfId="146"/>
    <cellStyle name="#,##0 19 3 4" xfId="147"/>
    <cellStyle name="#,##0 19 3 5" xfId="148"/>
    <cellStyle name="#,##0 2" xfId="149"/>
    <cellStyle name="#,##0 2 2" xfId="150"/>
    <cellStyle name="#,##0 2 2 2" xfId="151"/>
    <cellStyle name="#,##0 2 2 2 2" xfId="152"/>
    <cellStyle name="#,##0 2 2 2 3" xfId="153"/>
    <cellStyle name="#,##0 2 2 2 4" xfId="154"/>
    <cellStyle name="#,##0 2 2 2 5" xfId="155"/>
    <cellStyle name="#,##0 2 3" xfId="156"/>
    <cellStyle name="#,##0 2 3 2" xfId="157"/>
    <cellStyle name="#,##0 2 3 3" xfId="158"/>
    <cellStyle name="#,##0 2 3 4" xfId="159"/>
    <cellStyle name="#,##0 2 3 5" xfId="160"/>
    <cellStyle name="#,##0 20" xfId="161"/>
    <cellStyle name="#,##0 20 2" xfId="162"/>
    <cellStyle name="#,##0 20 2 2" xfId="163"/>
    <cellStyle name="#,##0 20 2 2 2" xfId="164"/>
    <cellStyle name="#,##0 20 2 2 3" xfId="165"/>
    <cellStyle name="#,##0 20 2 2 4" xfId="166"/>
    <cellStyle name="#,##0 20 2 2 5" xfId="167"/>
    <cellStyle name="#,##0 20 3" xfId="168"/>
    <cellStyle name="#,##0 20 3 2" xfId="169"/>
    <cellStyle name="#,##0 20 3 3" xfId="170"/>
    <cellStyle name="#,##0 20 3 4" xfId="171"/>
    <cellStyle name="#,##0 20 3 5" xfId="172"/>
    <cellStyle name="#,##0 21" xfId="173"/>
    <cellStyle name="#,##0 21 2" xfId="174"/>
    <cellStyle name="#,##0 21 2 2" xfId="175"/>
    <cellStyle name="#,##0 21 2 2 2" xfId="176"/>
    <cellStyle name="#,##0 21 2 2 3" xfId="177"/>
    <cellStyle name="#,##0 21 2 2 4" xfId="178"/>
    <cellStyle name="#,##0 21 2 2 5" xfId="179"/>
    <cellStyle name="#,##0 21 3" xfId="180"/>
    <cellStyle name="#,##0 21 3 2" xfId="181"/>
    <cellStyle name="#,##0 21 3 3" xfId="182"/>
    <cellStyle name="#,##0 21 3 4" xfId="183"/>
    <cellStyle name="#,##0 21 3 5" xfId="184"/>
    <cellStyle name="#,##0 22" xfId="185"/>
    <cellStyle name="#,##0 22 2" xfId="186"/>
    <cellStyle name="#,##0 22 2 2" xfId="187"/>
    <cellStyle name="#,##0 22 2 2 2" xfId="188"/>
    <cellStyle name="#,##0 22 2 2 3" xfId="189"/>
    <cellStyle name="#,##0 22 2 2 4" xfId="190"/>
    <cellStyle name="#,##0 22 2 2 5" xfId="191"/>
    <cellStyle name="#,##0 22 3" xfId="192"/>
    <cellStyle name="#,##0 22 3 2" xfId="193"/>
    <cellStyle name="#,##0 22 3 3" xfId="194"/>
    <cellStyle name="#,##0 22 3 4" xfId="195"/>
    <cellStyle name="#,##0 22 3 5" xfId="196"/>
    <cellStyle name="#,##0 23" xfId="197"/>
    <cellStyle name="#,##0 23 2" xfId="198"/>
    <cellStyle name="#,##0 23 2 2" xfId="199"/>
    <cellStyle name="#,##0 23 2 2 2" xfId="200"/>
    <cellStyle name="#,##0 23 2 2 3" xfId="201"/>
    <cellStyle name="#,##0 23 2 2 4" xfId="202"/>
    <cellStyle name="#,##0 23 2 2 5" xfId="203"/>
    <cellStyle name="#,##0 23 3" xfId="204"/>
    <cellStyle name="#,##0 23 3 2" xfId="205"/>
    <cellStyle name="#,##0 23 3 3" xfId="206"/>
    <cellStyle name="#,##0 23 3 4" xfId="207"/>
    <cellStyle name="#,##0 23 3 5" xfId="208"/>
    <cellStyle name="#,##0 24" xfId="209"/>
    <cellStyle name="#,##0 24 2" xfId="210"/>
    <cellStyle name="#,##0 24 2 2" xfId="211"/>
    <cellStyle name="#,##0 24 2 2 2" xfId="212"/>
    <cellStyle name="#,##0 24 2 2 3" xfId="213"/>
    <cellStyle name="#,##0 24 2 2 4" xfId="214"/>
    <cellStyle name="#,##0 24 2 2 5" xfId="215"/>
    <cellStyle name="#,##0 24 3" xfId="216"/>
    <cellStyle name="#,##0 24 3 2" xfId="217"/>
    <cellStyle name="#,##0 24 3 3" xfId="218"/>
    <cellStyle name="#,##0 24 3 4" xfId="219"/>
    <cellStyle name="#,##0 24 3 5" xfId="220"/>
    <cellStyle name="#,##0 25" xfId="221"/>
    <cellStyle name="#,##0 25 2" xfId="222"/>
    <cellStyle name="#,##0 25 2 2" xfId="223"/>
    <cellStyle name="#,##0 25 2 2 2" xfId="224"/>
    <cellStyle name="#,##0 25 2 2 3" xfId="225"/>
    <cellStyle name="#,##0 25 2 2 4" xfId="226"/>
    <cellStyle name="#,##0 25 2 2 5" xfId="227"/>
    <cellStyle name="#,##0 25 3" xfId="228"/>
    <cellStyle name="#,##0 25 3 2" xfId="229"/>
    <cellStyle name="#,##0 25 3 3" xfId="230"/>
    <cellStyle name="#,##0 25 3 4" xfId="231"/>
    <cellStyle name="#,##0 25 3 5" xfId="232"/>
    <cellStyle name="#,##0 26" xfId="233"/>
    <cellStyle name="#,##0 26 2" xfId="234"/>
    <cellStyle name="#,##0 26 2 2" xfId="235"/>
    <cellStyle name="#,##0 26 2 2 2" xfId="236"/>
    <cellStyle name="#,##0 26 2 2 3" xfId="237"/>
    <cellStyle name="#,##0 26 2 2 4" xfId="238"/>
    <cellStyle name="#,##0 26 2 2 5" xfId="239"/>
    <cellStyle name="#,##0 26 3" xfId="240"/>
    <cellStyle name="#,##0 26 3 2" xfId="241"/>
    <cellStyle name="#,##0 26 3 3" xfId="242"/>
    <cellStyle name="#,##0 26 3 4" xfId="243"/>
    <cellStyle name="#,##0 26 3 5" xfId="244"/>
    <cellStyle name="#,##0 27" xfId="245"/>
    <cellStyle name="#,##0 27 2" xfId="246"/>
    <cellStyle name="#,##0 27 2 2" xfId="247"/>
    <cellStyle name="#,##0 27 2 2 2" xfId="248"/>
    <cellStyle name="#,##0 27 2 2 3" xfId="249"/>
    <cellStyle name="#,##0 27 2 2 4" xfId="250"/>
    <cellStyle name="#,##0 27 2 2 5" xfId="251"/>
    <cellStyle name="#,##0 27 3" xfId="252"/>
    <cellStyle name="#,##0 27 3 2" xfId="253"/>
    <cellStyle name="#,##0 27 3 3" xfId="254"/>
    <cellStyle name="#,##0 27 3 4" xfId="255"/>
    <cellStyle name="#,##0 27 3 5" xfId="256"/>
    <cellStyle name="#,##0 28" xfId="257"/>
    <cellStyle name="#,##0 28 2" xfId="258"/>
    <cellStyle name="#,##0 28 2 2" xfId="259"/>
    <cellStyle name="#,##0 28 2 2 2" xfId="260"/>
    <cellStyle name="#,##0 28 2 2 3" xfId="261"/>
    <cellStyle name="#,##0 28 2 2 4" xfId="262"/>
    <cellStyle name="#,##0 28 2 2 5" xfId="263"/>
    <cellStyle name="#,##0 28 3" xfId="264"/>
    <cellStyle name="#,##0 28 3 2" xfId="265"/>
    <cellStyle name="#,##0 28 3 3" xfId="266"/>
    <cellStyle name="#,##0 28 3 4" xfId="267"/>
    <cellStyle name="#,##0 28 3 5" xfId="268"/>
    <cellStyle name="#,##0 29" xfId="269"/>
    <cellStyle name="#,##0 29 2" xfId="270"/>
    <cellStyle name="#,##0 29 2 2" xfId="271"/>
    <cellStyle name="#,##0 29 2 2 2" xfId="272"/>
    <cellStyle name="#,##0 29 2 2 3" xfId="273"/>
    <cellStyle name="#,##0 29 2 2 4" xfId="274"/>
    <cellStyle name="#,##0 29 2 2 5" xfId="275"/>
    <cellStyle name="#,##0 29 3" xfId="276"/>
    <cellStyle name="#,##0 29 3 2" xfId="277"/>
    <cellStyle name="#,##0 29 3 3" xfId="278"/>
    <cellStyle name="#,##0 29 3 4" xfId="279"/>
    <cellStyle name="#,##0 29 3 5" xfId="280"/>
    <cellStyle name="#,##0 3" xfId="281"/>
    <cellStyle name="#,##0 3 2" xfId="282"/>
    <cellStyle name="#,##0 3 2 2" xfId="283"/>
    <cellStyle name="#,##0 3 2 2 2" xfId="284"/>
    <cellStyle name="#,##0 3 2 2 3" xfId="285"/>
    <cellStyle name="#,##0 3 2 2 4" xfId="286"/>
    <cellStyle name="#,##0 3 2 2 5" xfId="287"/>
    <cellStyle name="#,##0 3 3" xfId="288"/>
    <cellStyle name="#,##0 3 3 2" xfId="289"/>
    <cellStyle name="#,##0 3 3 3" xfId="290"/>
    <cellStyle name="#,##0 3 3 4" xfId="291"/>
    <cellStyle name="#,##0 3 3 5" xfId="292"/>
    <cellStyle name="#,##0 30" xfId="293"/>
    <cellStyle name="#,##0 30 2" xfId="294"/>
    <cellStyle name="#,##0 30 2 2" xfId="295"/>
    <cellStyle name="#,##0 30 2 2 2" xfId="296"/>
    <cellStyle name="#,##0 30 2 2 3" xfId="297"/>
    <cellStyle name="#,##0 30 2 2 4" xfId="298"/>
    <cellStyle name="#,##0 30 2 2 5" xfId="299"/>
    <cellStyle name="#,##0 30 3" xfId="300"/>
    <cellStyle name="#,##0 30 3 2" xfId="301"/>
    <cellStyle name="#,##0 30 3 3" xfId="302"/>
    <cellStyle name="#,##0 30 3 4" xfId="303"/>
    <cellStyle name="#,##0 30 3 5" xfId="304"/>
    <cellStyle name="#,##0 31" xfId="305"/>
    <cellStyle name="#,##0 31 2" xfId="306"/>
    <cellStyle name="#,##0 31 2 2" xfId="307"/>
    <cellStyle name="#,##0 31 2 2 2" xfId="308"/>
    <cellStyle name="#,##0 31 2 2 3" xfId="309"/>
    <cellStyle name="#,##0 31 2 2 4" xfId="310"/>
    <cellStyle name="#,##0 31 2 2 5" xfId="311"/>
    <cellStyle name="#,##0 31 3" xfId="312"/>
    <cellStyle name="#,##0 31 3 2" xfId="313"/>
    <cellStyle name="#,##0 31 3 3" xfId="314"/>
    <cellStyle name="#,##0 31 3 4" xfId="315"/>
    <cellStyle name="#,##0 31 3 5" xfId="316"/>
    <cellStyle name="#,##0 32" xfId="317"/>
    <cellStyle name="#,##0 33" xfId="318"/>
    <cellStyle name="#,##0 34" xfId="319"/>
    <cellStyle name="#,##0 34 2" xfId="320"/>
    <cellStyle name="#,##0 34 3" xfId="321"/>
    <cellStyle name="#,##0 34 4" xfId="322"/>
    <cellStyle name="#,##0 34 5" xfId="323"/>
    <cellStyle name="#,##0 4" xfId="324"/>
    <cellStyle name="#,##0 4 2" xfId="325"/>
    <cellStyle name="#,##0 4 2 2" xfId="326"/>
    <cellStyle name="#,##0 4 2 2 2" xfId="327"/>
    <cellStyle name="#,##0 4 2 2 3" xfId="328"/>
    <cellStyle name="#,##0 4 2 2 4" xfId="329"/>
    <cellStyle name="#,##0 4 2 2 5" xfId="330"/>
    <cellStyle name="#,##0 4 3" xfId="331"/>
    <cellStyle name="#,##0 4 3 2" xfId="332"/>
    <cellStyle name="#,##0 4 3 3" xfId="333"/>
    <cellStyle name="#,##0 4 3 4" xfId="334"/>
    <cellStyle name="#,##0 4 3 5" xfId="335"/>
    <cellStyle name="#,##0 5" xfId="336"/>
    <cellStyle name="#,##0 5 2" xfId="337"/>
    <cellStyle name="#,##0 5 2 2" xfId="338"/>
    <cellStyle name="#,##0 5 2 2 2" xfId="339"/>
    <cellStyle name="#,##0 5 2 2 3" xfId="340"/>
    <cellStyle name="#,##0 5 2 2 4" xfId="341"/>
    <cellStyle name="#,##0 5 2 2 5" xfId="342"/>
    <cellStyle name="#,##0 5 3" xfId="343"/>
    <cellStyle name="#,##0 5 3 2" xfId="344"/>
    <cellStyle name="#,##0 5 3 3" xfId="345"/>
    <cellStyle name="#,##0 5 3 4" xfId="346"/>
    <cellStyle name="#,##0 5 3 5" xfId="347"/>
    <cellStyle name="#,##0 6" xfId="348"/>
    <cellStyle name="#,##0 6 2" xfId="349"/>
    <cellStyle name="#,##0 6 2 2" xfId="350"/>
    <cellStyle name="#,##0 6 2 2 2" xfId="351"/>
    <cellStyle name="#,##0 6 2 2 3" xfId="352"/>
    <cellStyle name="#,##0 6 2 2 4" xfId="353"/>
    <cellStyle name="#,##0 6 2 2 5" xfId="354"/>
    <cellStyle name="#,##0 6 3" xfId="355"/>
    <cellStyle name="#,##0 6 3 2" xfId="356"/>
    <cellStyle name="#,##0 6 3 3" xfId="357"/>
    <cellStyle name="#,##0 6 3 4" xfId="358"/>
    <cellStyle name="#,##0 6 3 5" xfId="359"/>
    <cellStyle name="#,##0 7" xfId="360"/>
    <cellStyle name="#,##0 7 2" xfId="361"/>
    <cellStyle name="#,##0 7 2 2" xfId="362"/>
    <cellStyle name="#,##0 7 2 2 2" xfId="363"/>
    <cellStyle name="#,##0 7 2 2 3" xfId="364"/>
    <cellStyle name="#,##0 7 2 2 4" xfId="365"/>
    <cellStyle name="#,##0 7 2 2 5" xfId="366"/>
    <cellStyle name="#,##0 7 3" xfId="367"/>
    <cellStyle name="#,##0 7 3 2" xfId="368"/>
    <cellStyle name="#,##0 7 3 3" xfId="369"/>
    <cellStyle name="#,##0 7 3 4" xfId="370"/>
    <cellStyle name="#,##0 7 3 5" xfId="371"/>
    <cellStyle name="#,##0 8" xfId="372"/>
    <cellStyle name="#,##0 8 2" xfId="373"/>
    <cellStyle name="#,##0 8 2 2" xfId="374"/>
    <cellStyle name="#,##0 8 2 2 2" xfId="375"/>
    <cellStyle name="#,##0 8 2 2 3" xfId="376"/>
    <cellStyle name="#,##0 8 2 2 4" xfId="377"/>
    <cellStyle name="#,##0 8 2 2 5" xfId="378"/>
    <cellStyle name="#,##0 8 3" xfId="379"/>
    <cellStyle name="#,##0 8 3 2" xfId="380"/>
    <cellStyle name="#,##0 8 3 3" xfId="381"/>
    <cellStyle name="#,##0 8 3 4" xfId="382"/>
    <cellStyle name="#,##0 8 3 5" xfId="383"/>
    <cellStyle name="#,##0 9" xfId="384"/>
    <cellStyle name="#,##0 9 2" xfId="385"/>
    <cellStyle name="#,##0 9 2 2" xfId="386"/>
    <cellStyle name="#,##0 9 2 2 2" xfId="387"/>
    <cellStyle name="#,##0 9 2 2 3" xfId="388"/>
    <cellStyle name="#,##0 9 2 2 4" xfId="389"/>
    <cellStyle name="#,##0 9 2 2 5" xfId="390"/>
    <cellStyle name="#,##0 9 3" xfId="391"/>
    <cellStyle name="#,##0 9 3 2" xfId="392"/>
    <cellStyle name="#,##0 9 3 3" xfId="393"/>
    <cellStyle name="#,##0 9 3 4" xfId="394"/>
    <cellStyle name="#,##0 9 3 5" xfId="395"/>
    <cellStyle name="#,##0.0" xfId="396"/>
    <cellStyle name="#,##0.0 2" xfId="397"/>
    <cellStyle name="#,##0.00" xfId="398"/>
    <cellStyle name="#,##0.00 2" xfId="399"/>
    <cellStyle name="#,##0.000" xfId="400"/>
    <cellStyle name="#,##0.000 2" xfId="401"/>
    <cellStyle name="#,##0_(060116)음향보정장치공사 내역서" xfId="402"/>
    <cellStyle name="#_cost9702 (2)_계통도 (2)_계통도 " xfId="403"/>
    <cellStyle name="#_cost9702 (2)_계통도 (2)_계통도  2" xfId="404"/>
    <cellStyle name="#_cost9702 (2)_계통도 (2)_계통도  2 2" xfId="405"/>
    <cellStyle name="#_cost9702 (2)_계통도 (2)_계통도  2 2 2" xfId="406"/>
    <cellStyle name="#_cost9702 (2)_계통도 (2)_계통도  2 2 3" xfId="407"/>
    <cellStyle name="#_cost9702 (2)_계통도 (2)_계통도  2 2 4" xfId="408"/>
    <cellStyle name="#_cost9702 (2)_계통도 (2)_계통도  2 2 5" xfId="409"/>
    <cellStyle name="#_cost9702 (2)_계통도 (2)_계통도  3" xfId="410"/>
    <cellStyle name="#_cost9702 (2)_계통도 (2)_계통도  3 2" xfId="411"/>
    <cellStyle name="#_cost9702 (2)_계통도 (2)_계통도  3 3" xfId="412"/>
    <cellStyle name="#_cost9702 (2)_계통도 (2)_계통도  3 4" xfId="413"/>
    <cellStyle name="#_cost9702 (2)_계통도 (2)_계통도  3 5" xfId="414"/>
    <cellStyle name="#_cost9702 (2)_공사비예산서 (2)_계통도 " xfId="415"/>
    <cellStyle name="#_cost9702 (2)_공사비예산서 (2)_계통도  2" xfId="416"/>
    <cellStyle name="#_cost9702 (2)_공사비예산서 (2)_계통도  2 2" xfId="417"/>
    <cellStyle name="#_cost9702 (2)_공사비예산서 (2)_계통도  2 2 2" xfId="418"/>
    <cellStyle name="#_cost9702 (2)_공사비예산서 (2)_계통도  2 2 3" xfId="419"/>
    <cellStyle name="#_cost9702 (2)_공사비예산서 (2)_계통도  2 2 4" xfId="420"/>
    <cellStyle name="#_cost9702 (2)_공사비예산서 (2)_계통도  2 2 5" xfId="421"/>
    <cellStyle name="#_cost9702 (2)_공사비예산서 (2)_계통도  3" xfId="422"/>
    <cellStyle name="#_cost9702 (2)_공사비예산서 (2)_계통도  3 2" xfId="423"/>
    <cellStyle name="#_cost9702 (2)_공사비예산서 (2)_계통도  3 3" xfId="424"/>
    <cellStyle name="#_cost9702 (2)_공사비예산서 (2)_계통도  3 4" xfId="425"/>
    <cellStyle name="#_cost9702 (2)_공사비예산서 (2)_계통도  3 5" xfId="426"/>
    <cellStyle name="#_cost9702 (2)_공사비예산서_계통도 " xfId="427"/>
    <cellStyle name="#_cost9702 (2)_공사비예산서_계통도  2" xfId="428"/>
    <cellStyle name="#_cost9702 (2)_공사비예산서_계통도  2 2" xfId="429"/>
    <cellStyle name="#_cost9702 (2)_공사비예산서_계통도  2 2 2" xfId="430"/>
    <cellStyle name="#_cost9702 (2)_공사비예산서_계통도  2 2 3" xfId="431"/>
    <cellStyle name="#_cost9702 (2)_공사비예산서_계통도  2 2 4" xfId="432"/>
    <cellStyle name="#_cost9702 (2)_공사비예산서_계통도  2 2 5" xfId="433"/>
    <cellStyle name="#_cost9702 (2)_공사비예산서_계통도  3" xfId="434"/>
    <cellStyle name="#_cost9702 (2)_공사비예산서_계통도  3 2" xfId="435"/>
    <cellStyle name="#_cost9702 (2)_공사비예산서_계통도  3 3" xfId="436"/>
    <cellStyle name="#_cost9702 (2)_공사비예산서_계통도  3 4" xfId="437"/>
    <cellStyle name="#_cost9702 (2)_공사비예산서_계통도  3 5" xfId="438"/>
    <cellStyle name="#_cost9702 (2)_예정공정표 (2)_계통도 " xfId="439"/>
    <cellStyle name="#_cost9702 (2)_예정공정표 (2)_계통도  2" xfId="440"/>
    <cellStyle name="#_cost9702 (2)_예정공정표 (2)_계통도  2 2" xfId="441"/>
    <cellStyle name="#_cost9702 (2)_예정공정표 (2)_계통도  2 2 2" xfId="442"/>
    <cellStyle name="#_cost9702 (2)_예정공정표 (2)_계통도  2 2 3" xfId="443"/>
    <cellStyle name="#_cost9702 (2)_예정공정표 (2)_계통도  2 2 4" xfId="444"/>
    <cellStyle name="#_cost9702 (2)_예정공정표 (2)_계통도  2 2 5" xfId="445"/>
    <cellStyle name="#_cost9702 (2)_예정공정표 (2)_계통도  3" xfId="446"/>
    <cellStyle name="#_cost9702 (2)_예정공정표 (2)_계통도  3 2" xfId="447"/>
    <cellStyle name="#_cost9702 (2)_예정공정표 (2)_계통도  3 3" xfId="448"/>
    <cellStyle name="#_cost9702 (2)_예정공정표 (2)_계통도  3 4" xfId="449"/>
    <cellStyle name="#_cost9702 (2)_예정공정표 (2)_계통도  3 5" xfId="450"/>
    <cellStyle name="#_cost9702 (2)_주요자재_계통도 " xfId="451"/>
    <cellStyle name="#_cost9702 (2)_주요자재_계통도  2" xfId="452"/>
    <cellStyle name="#_cost9702 (2)_주요자재_계통도  2 2" xfId="453"/>
    <cellStyle name="#_cost9702 (2)_주요자재_계통도  2 2 2" xfId="454"/>
    <cellStyle name="#_cost9702 (2)_주요자재_계통도  2 2 3" xfId="455"/>
    <cellStyle name="#_cost9702 (2)_주요자재_계통도  2 2 4" xfId="456"/>
    <cellStyle name="#_cost9702 (2)_주요자재_계통도  2 2 5" xfId="457"/>
    <cellStyle name="#_cost9702 (2)_주요자재_계통도  3" xfId="458"/>
    <cellStyle name="#_cost9702 (2)_주요자재_계통도  3 2" xfId="459"/>
    <cellStyle name="#_cost9702 (2)_주요자재_계통도  3 3" xfId="460"/>
    <cellStyle name="#_cost9702 (2)_주요자재_계통도  3 4" xfId="461"/>
    <cellStyle name="#_cost9702 (2)_주요자재_계통도  3 5" xfId="462"/>
    <cellStyle name="#_롯데 일산점 무대조명_총괄표_100503_수정" xfId="463"/>
    <cellStyle name="#_롯데 일산점 무대조명_총괄표_100503_수정 2" xfId="464"/>
    <cellStyle name="#_롯데 일산점 무대조명_총괄표_100503_수정 2 2" xfId="465"/>
    <cellStyle name="#_롯데 일산점 무대조명_총괄표_100503_수정 2 2 2" xfId="466"/>
    <cellStyle name="#_롯데 일산점 무대조명_총괄표_100503_수정 2 2 3" xfId="467"/>
    <cellStyle name="#_롯데 일산점 무대조명_총괄표_100503_수정 2 2 4" xfId="468"/>
    <cellStyle name="#_롯데 일산점 무대조명_총괄표_100503_수정 2 2 5" xfId="469"/>
    <cellStyle name="#_롯데 일산점 무대조명_총괄표_100503_수정 3" xfId="470"/>
    <cellStyle name="#_롯데 일산점 무대조명_총괄표_100503_수정 3 2" xfId="471"/>
    <cellStyle name="#_롯데 일산점 무대조명_총괄표_100503_수정 3 3" xfId="472"/>
    <cellStyle name="#_롯데 일산점 무대조명_총괄표_100503_수정 3 4" xfId="473"/>
    <cellStyle name="#_롯데 일산점 무대조명_총괄표_100503_수정 3 5" xfId="474"/>
    <cellStyle name="#_예정공정표_계통도 " xfId="475"/>
    <cellStyle name="#_예정공정표_계통도  2" xfId="476"/>
    <cellStyle name="#_예정공정표_계통도  2 2" xfId="477"/>
    <cellStyle name="#_예정공정표_계통도  2 2 2" xfId="478"/>
    <cellStyle name="#_예정공정표_계통도  2 2 3" xfId="479"/>
    <cellStyle name="#_예정공정표_계통도  2 2 4" xfId="480"/>
    <cellStyle name="#_예정공정표_계통도  2 2 5" xfId="481"/>
    <cellStyle name="#_예정공정표_계통도  3" xfId="482"/>
    <cellStyle name="#_예정공정표_계통도  3 2" xfId="483"/>
    <cellStyle name="#_예정공정표_계통도  3 3" xfId="484"/>
    <cellStyle name="#_예정공정표_계통도  3 4" xfId="485"/>
    <cellStyle name="#_예정공정표_계통도  3 5" xfId="486"/>
    <cellStyle name="#_전파진흥원_AV설비_설치공사_(원가포함)_SMT110903" xfId="487"/>
    <cellStyle name="#_전파진흥원_AV설비_설치공사_(원가포함)_SMT110903 2" xfId="488"/>
    <cellStyle name="#_전파진흥원_AV설비_설치공사_(원가포함)_SMT110903 2 2" xfId="489"/>
    <cellStyle name="#_전파진흥원_AV설비_설치공사_(원가포함)_SMT110903 2 2 2" xfId="490"/>
    <cellStyle name="#_전파진흥원_AV설비_설치공사_(원가포함)_SMT110903 2 2 3" xfId="491"/>
    <cellStyle name="#_전파진흥원_AV설비_설치공사_(원가포함)_SMT110903 2 2 4" xfId="492"/>
    <cellStyle name="#_전파진흥원_AV설비_설치공사_(원가포함)_SMT110903 2 2 5" xfId="493"/>
    <cellStyle name="#_전파진흥원_AV설비_설치공사_(원가포함)_SMT110903 3" xfId="494"/>
    <cellStyle name="#_전파진흥원_AV설비_설치공사_(원가포함)_SMT110903 3 2" xfId="495"/>
    <cellStyle name="#_전파진흥원_AV설비_설치공사_(원가포함)_SMT110903 3 3" xfId="496"/>
    <cellStyle name="#_전파진흥원_AV설비_설치공사_(원가포함)_SMT110903 3 4" xfId="497"/>
    <cellStyle name="#_전파진흥원_AV설비_설치공사_(원가포함)_SMT110903 3 5" xfId="498"/>
    <cellStyle name="#_품셈 " xfId="499"/>
    <cellStyle name="#_품셈  2" xfId="500"/>
    <cellStyle name="#_품셈  2 2" xfId="501"/>
    <cellStyle name="#_품셈  2 2 2" xfId="502"/>
    <cellStyle name="#_품셈  2 2 3" xfId="503"/>
    <cellStyle name="#_품셈  2 2 4" xfId="504"/>
    <cellStyle name="#_품셈  2 2 5" xfId="505"/>
    <cellStyle name="#_품셈  3" xfId="506"/>
    <cellStyle name="#_품셈  3 2" xfId="507"/>
    <cellStyle name="#_품셈  3 3" xfId="508"/>
    <cellStyle name="#_품셈  3 4" xfId="509"/>
    <cellStyle name="#_품셈  3 5" xfId="510"/>
    <cellStyle name="#_품셈_계통도 " xfId="511"/>
    <cellStyle name="#_품셈_계통도  2" xfId="512"/>
    <cellStyle name="#_품셈_계통도  2 2" xfId="513"/>
    <cellStyle name="#_품셈_계통도  2 2 2" xfId="514"/>
    <cellStyle name="#_품셈_계통도  2 2 3" xfId="515"/>
    <cellStyle name="#_품셈_계통도  2 2 4" xfId="516"/>
    <cellStyle name="#_품셈_계통도  2 2 5" xfId="517"/>
    <cellStyle name="#_품셈_계통도  3" xfId="518"/>
    <cellStyle name="#_품셈_계통도  3 2" xfId="519"/>
    <cellStyle name="#_품셈_계통도  3 3" xfId="520"/>
    <cellStyle name="#_품셈_계통도  3 4" xfId="521"/>
    <cellStyle name="#_품셈_계통도  3 5" xfId="522"/>
    <cellStyle name="$" xfId="523"/>
    <cellStyle name="$ 2" xfId="524"/>
    <cellStyle name="$ 3" xfId="525"/>
    <cellStyle name="$_db진흥" xfId="526"/>
    <cellStyle name="$_db진흥 2" xfId="527"/>
    <cellStyle name="$_SE40" xfId="528"/>
    <cellStyle name="$_SE40 2" xfId="529"/>
    <cellStyle name="$_견적2" xfId="530"/>
    <cellStyle name="$_견적2 2" xfId="531"/>
    <cellStyle name="$_기아" xfId="532"/>
    <cellStyle name="$_기아 2" xfId="533"/>
    <cellStyle name="(##.00)" xfId="534"/>
    <cellStyle name="(△콤마)" xfId="535"/>
    <cellStyle name="(△콤마) 2" xfId="536"/>
    <cellStyle name="(백분율)" xfId="537"/>
    <cellStyle name="(백분율) 2" xfId="538"/>
    <cellStyle name="(콤마)" xfId="539"/>
    <cellStyle name="(콤마) 2" xfId="540"/>
    <cellStyle name="(표준)" xfId="541"/>
    <cellStyle name="(표준) 2" xfId="542"/>
    <cellStyle name="(표준) 2 2" xfId="543"/>
    <cellStyle name="(표준) 2 3" xfId="544"/>
    <cellStyle name="(표준) 2 4" xfId="545"/>
    <cellStyle name="(표준) 2 5" xfId="546"/>
    <cellStyle name=";;;" xfId="547"/>
    <cellStyle name="?? [0.00]_PRODUCT DETAIL Q1" xfId="548"/>
    <cellStyle name="?? [0]_????? " xfId="549"/>
    <cellStyle name="??_x000c_둄_x001b_ |?_x0001_?_x0003__x0014__x0007__x0001__x0001_" xfId="550"/>
    <cellStyle name="??_x000c_둄_x001b__x000d_|?_x0001_?_x0003__x0014__x0007__x0001__x0001_" xfId="551"/>
    <cellStyle name="??&amp;5_x0007_?._x0007_9_x0008_??_x0007__x0001__x0001_" xfId="552"/>
    <cellStyle name="??&amp;5_x0007_?._x0007_9_x0008_??_x0007__x0001__x0001_ 2" xfId="553"/>
    <cellStyle name="??&amp;6_x0007_?/_x0007_9_x0008_??_x0007__x0001__x0001_" xfId="554"/>
    <cellStyle name="??&amp;6_x0007_?/_x0007_9_x0008_??_x0007__x0001__x0001_ 2" xfId="555"/>
    <cellStyle name="??&amp;O?&amp;H?_x0008__x000f__x0007_?_x0007__x0001__x0001_" xfId="556"/>
    <cellStyle name="??&amp;O?&amp;H?_x0008__x000f__x0007_?_x0007__x0001__x0001_ 2" xfId="557"/>
    <cellStyle name="??&amp;O?&amp;H?_x0008_??_x0007__x0001__x0001_" xfId="558"/>
    <cellStyle name="??&amp;O?&amp;H?_x0008_??_x0007__x0001__x0001_ 2" xfId="559"/>
    <cellStyle name="??&amp;O?&amp;H?_x0008_??_x0007__x0001__x0001_ 2 2" xfId="560"/>
    <cellStyle name="??&amp;O?&amp;H?_x0008_??_x0007__x0001__x0001_ 2 2 2" xfId="561"/>
    <cellStyle name="??&amp;O?&amp;H?_x0008_??_x0007__x0001__x0001_ 2 3" xfId="562"/>
    <cellStyle name="??&amp;O?&amp;H?_x0008_??_x0007__x0001__x0001_ 3" xfId="563"/>
    <cellStyle name="??&amp;O?&amp;H?_x0008_??_x0007__x0001__x0001_ 3 2" xfId="564"/>
    <cellStyle name="??&amp;O?&amp;H?_x0008_??_x0007__x0001__x0001_ 4" xfId="565"/>
    <cellStyle name="??&amp;O?&amp;H?_x0008_??_x0007__x0001__x0001_ 4 2" xfId="566"/>
    <cellStyle name="??&amp;O?&amp;H?_x0008_??_x0007__x0001__x0001_ 5" xfId="567"/>
    <cellStyle name="??&amp;멅?둃9_x0008_??_x0007__x0001__x0001_" xfId="568"/>
    <cellStyle name="??&amp;멅?둃9_x0008_??_x0007__x0001__x0001_ 2" xfId="569"/>
    <cellStyle name="??&amp;쏗?뷐9_x0008__x0011__x0007_?_x0007__x0001__x0001_" xfId="570"/>
    <cellStyle name="??&amp;쏗?뷐9_x0008__x0011__x0007_?_x0007__x0001__x0001_ 2" xfId="571"/>
    <cellStyle name="???­ [0]_¸???" xfId="572"/>
    <cellStyle name="????Æ?¸???" xfId="573"/>
    <cellStyle name="???­_¸???" xfId="574"/>
    <cellStyle name="???Ø_(?¤º¸º?¹?)¿?º°??¿ø°??¹" xfId="575"/>
    <cellStyle name="??_?.????" xfId="576"/>
    <cellStyle name="??¿¡ ¿?´? ????Æ?¸???" xfId="577"/>
    <cellStyle name="?Þ¸¶ [0]_¸???" xfId="578"/>
    <cellStyle name="?Þ¸¶_¸???" xfId="579"/>
    <cellStyle name="?W?_laroux" xfId="580"/>
    <cellStyle name="?曹%U?&amp;H?_x0008_?s _x0007__x0001__x0001_" xfId="581"/>
    <cellStyle name="?曹%U?&amp;H?_x0008_?s_x000a__x0007__x0001__x0001_" xfId="582"/>
    <cellStyle name="?珠??? " xfId="583"/>
    <cellStyle name="_(060116)음향보정장치공사 내역서" xfId="584"/>
    <cellStyle name="_(060116)음향보정장치공사 내역서 2" xfId="585"/>
    <cellStyle name="_(060510)안동문화회관-av현상설계" xfId="586"/>
    <cellStyle name="_(060510)안동문화회관-av현상설계 2" xfId="587"/>
    <cellStyle name="_▷기본자료기록" xfId="588"/>
    <cellStyle name="_▷기본자료기록 2" xfId="589"/>
    <cellStyle name="_▷기본자료들" xfId="590"/>
    <cellStyle name="_▷기본자료들 2" xfId="591"/>
    <cellStyle name="_02.LGT-견적(LAN_양근창D)_061012T" xfId="592"/>
    <cellStyle name="_02.LGT-견적(LAN_양근창D)_061012T 2" xfId="593"/>
    <cellStyle name="_0301무대음향내역(최종)1" xfId="594"/>
    <cellStyle name="_0301무대음향내역(최종)1 2" xfId="595"/>
    <cellStyle name="_05 산출근거(방송)" xfId="596"/>
    <cellStyle name="_05.4.11-2_농심CAMPUS 전력 및 조명제어공사" xfId="597"/>
    <cellStyle name="_05.4.11-2_농심CAMPUS 전력 및 조명제어공사 2" xfId="598"/>
    <cellStyle name="_050306-부경대학교공조설비일위대가" xfId="599"/>
    <cellStyle name="_050306-부경대학교공조설비일위대가 2" xfId="600"/>
    <cellStyle name="_0601-021-1 용인여성회관 음향장비구입" xfId="601"/>
    <cellStyle name="_0601-021-1 용인여성회관 음향장비구입 2" xfId="602"/>
    <cellStyle name="_1" xfId="603"/>
    <cellStyle name="_1 2" xfId="604"/>
    <cellStyle name="_1021_IPT_S8700_ LG가산_to ibs" xfId="605"/>
    <cellStyle name="_1021_IPT_S8700_ LG가산_to ibs 2" xfId="606"/>
    <cellStyle name="_11111" xfId="607"/>
    <cellStyle name="_11111 2" xfId="608"/>
    <cellStyle name="_2" xfId="609"/>
    <cellStyle name="_2 2" xfId="610"/>
    <cellStyle name="_2001-038(월마트부천)" xfId="611"/>
    <cellStyle name="_2001-038(월마트부천) 2" xfId="612"/>
    <cellStyle name="_2002-홈플러스목천점물류센타(동부확정)" xfId="613"/>
    <cellStyle name="_2002-홈플러스목천점물류센타(동부확정) 2" xfId="614"/>
    <cellStyle name="_20060627-3. 계약내역서(GS)" xfId="615"/>
    <cellStyle name="_20060627-3. 계약내역서(GS) 2" xfId="616"/>
    <cellStyle name="_210323-1g" xfId="617"/>
    <cellStyle name="_210323-1g 2" xfId="618"/>
    <cellStyle name="_210323g" xfId="619"/>
    <cellStyle name="_210323g 2" xfId="620"/>
    <cellStyle name="_231970g" xfId="621"/>
    <cellStyle name="_231970g 2" xfId="622"/>
    <cellStyle name="_240040G" xfId="623"/>
    <cellStyle name="_240040G 2" xfId="624"/>
    <cellStyle name="_3_DATA 통합운영 시스템 내역서_421" xfId="625"/>
    <cellStyle name="_3_DATA 통합운영 시스템 내역서_421 2" xfId="626"/>
    <cellStyle name="_3_DATA 통합운영 시스템 내역서_421_계약내역-관급-총괄" xfId="627"/>
    <cellStyle name="_3_DATA 통합운영 시스템 내역서_421_계약내역-관급-총괄 2" xfId="628"/>
    <cellStyle name="_3_자양취수장 내역서3" xfId="629"/>
    <cellStyle name="_3_자양취수장 내역서3 2" xfId="630"/>
    <cellStyle name="_3_자양취수장 내역서3_계약내역-관급-총괄" xfId="631"/>
    <cellStyle name="_3_자양취수장 내역서3_계약내역-관급-총괄 2" xfId="632"/>
    <cellStyle name="_30820ICG" xfId="633"/>
    <cellStyle name="_30820ICG 2" xfId="634"/>
    <cellStyle name="_4메인압력설계" xfId="635"/>
    <cellStyle name="_4메인압력설계 2" xfId="636"/>
    <cellStyle name="_5T감시제어설계" xfId="637"/>
    <cellStyle name="_5T감시제어설계 2" xfId="638"/>
    <cellStyle name="_8층 사장실" xfId="639"/>
    <cellStyle name="_8층 사장실 2" xfId="640"/>
    <cellStyle name="_99광통신간석외1개소" xfId="641"/>
    <cellStyle name="_99광통신간석외1개소 2" xfId="642"/>
    <cellStyle name="_99광통신간석외1개소_1" xfId="643"/>
    <cellStyle name="_99광통신간석외1개소_1 2" xfId="644"/>
    <cellStyle name="_99광통신간석외1개소_견적" xfId="645"/>
    <cellStyle name="_99광통신간석외1개소_견적 2" xfId="646"/>
    <cellStyle name="_99광통신간석외1개소_통합국사트레이" xfId="647"/>
    <cellStyle name="_99광통신간석외1개소_통합국사트레이 2" xfId="648"/>
    <cellStyle name="_99광통신간석외1개소_한미우석" xfId="649"/>
    <cellStyle name="_99광통신간석외1개소_한미우석 2" xfId="650"/>
    <cellStyle name="_99광통신간석외1개소_한미우석_견적" xfId="651"/>
    <cellStyle name="_99광통신간석외1개소_한미우석_견적 2" xfId="652"/>
    <cellStyle name="_99광통신간석외1개소_한미우석_계양등7개소" xfId="653"/>
    <cellStyle name="_99광통신간석외1개소_한미우석_계양등7개소 2" xfId="654"/>
    <cellStyle name="_99광통신간석외1개소_한미우석_통합국사전원선" xfId="655"/>
    <cellStyle name="_99광통신간석외1개소_한미우석_통합국사전원선 2" xfId="656"/>
    <cellStyle name="_99광통신간석외1개소_한미우석_통합국사트레이" xfId="657"/>
    <cellStyle name="_99광통신간석외1개소_한미우석_통합국사트레이 2" xfId="658"/>
    <cellStyle name="_99광통신간석외1개소_한미우석_한미은행1" xfId="659"/>
    <cellStyle name="_99광통신간석외1개소_한미우석_한미은행1 2" xfId="660"/>
    <cellStyle name="_99광통신간석외1개소_한미우석_한미은행1_통합국사트레이" xfId="661"/>
    <cellStyle name="_99광통신간석외1개소_한미우석_한미은행1_통합국사트레이 2" xfId="662"/>
    <cellStyle name="_99광통신간석외1개소_한미우석_한미은행2" xfId="663"/>
    <cellStyle name="_99광통신간석외1개소_한미우석_한미은행2 2" xfId="664"/>
    <cellStyle name="_99광통신간석외1개소_한미우석_한미은행2_견적" xfId="665"/>
    <cellStyle name="_99광통신간석외1개소_한미우석_한미은행2_견적 2" xfId="666"/>
    <cellStyle name="_99광통신간석외1개소_한미우석_한미은행2_통합국사트레이" xfId="667"/>
    <cellStyle name="_99광통신간석외1개소_한미우석_한미은행2_통합국사트레이 2" xfId="668"/>
    <cellStyle name="_99광통신간석외1개소_한미우석_한미은행본사" xfId="669"/>
    <cellStyle name="_99광통신간석외1개소_한미우석_한미은행본사 2" xfId="670"/>
    <cellStyle name="_99광통신간석외1개소_한미우석_한미은행본사_견적" xfId="671"/>
    <cellStyle name="_99광통신간석외1개소_한미우석_한미은행본사_견적 2" xfId="672"/>
    <cellStyle name="_99광통신간석외1개소_한미우석_한미은행본사_통합국사트레이" xfId="673"/>
    <cellStyle name="_99광통신간석외1개소_한미우석_한미은행본사_통합국사트레이 2" xfId="674"/>
    <cellStyle name="_99광통신간석외1개소_한미우석_한미은행본사1" xfId="675"/>
    <cellStyle name="_99광통신간석외1개소_한미우석_한미은행본사1 2" xfId="676"/>
    <cellStyle name="_99광통신간석외1개소_한미우석_한미은행본사1_견적" xfId="677"/>
    <cellStyle name="_99광통신간석외1개소_한미우석_한미은행본사1_견적 2" xfId="678"/>
    <cellStyle name="_99광통신간석외1개소_한미우석_한미은행본사1_통합국사트레이" xfId="679"/>
    <cellStyle name="_99광통신간석외1개소_한미우석_한미은행본사1_통합국사트레이 2" xfId="680"/>
    <cellStyle name="_99광통신간석외1개소_한미은행본사" xfId="681"/>
    <cellStyle name="_99광통신간석외1개소_한미은행본사 2" xfId="682"/>
    <cellStyle name="_99광통신간석외1개소_한미은행본사_견적" xfId="683"/>
    <cellStyle name="_99광통신간석외1개소_한미은행본사_견적 2" xfId="684"/>
    <cellStyle name="_99광통신간석외1개소_한미은행본사_계양등7개소" xfId="685"/>
    <cellStyle name="_99광통신간석외1개소_한미은행본사_계양등7개소 2" xfId="686"/>
    <cellStyle name="_99광통신간석외1개소_한미은행본사_통합국사전원선" xfId="687"/>
    <cellStyle name="_99광통신간석외1개소_한미은행본사_통합국사전원선 2" xfId="688"/>
    <cellStyle name="_99광통신간석외1개소_한미은행본사_통합국사트레이" xfId="689"/>
    <cellStyle name="_99광통신간석외1개소_한미은행본사_통합국사트레이 2" xfId="690"/>
    <cellStyle name="_99광통신간석외1개소_한미은행본사_한미은행1" xfId="691"/>
    <cellStyle name="_99광통신간석외1개소_한미은행본사_한미은행1 2" xfId="692"/>
    <cellStyle name="_99광통신간석외1개소_한미은행본사_한미은행1_통합국사트레이" xfId="693"/>
    <cellStyle name="_99광통신간석외1개소_한미은행본사_한미은행1_통합국사트레이 2" xfId="694"/>
    <cellStyle name="_99광통신간석외1개소_한미은행본사_한미은행2" xfId="695"/>
    <cellStyle name="_99광통신간석외1개소_한미은행본사_한미은행2 2" xfId="696"/>
    <cellStyle name="_99광통신간석외1개소_한미은행본사_한미은행2_견적" xfId="697"/>
    <cellStyle name="_99광통신간석외1개소_한미은행본사_한미은행2_견적 2" xfId="698"/>
    <cellStyle name="_99광통신간석외1개소_한미은행본사_한미은행2_통합국사트레이" xfId="699"/>
    <cellStyle name="_99광통신간석외1개소_한미은행본사_한미은행2_통합국사트레이 2" xfId="700"/>
    <cellStyle name="_99광통신간석외1개소_한미은행본사_한미은행본사" xfId="701"/>
    <cellStyle name="_99광통신간석외1개소_한미은행본사_한미은행본사 2" xfId="702"/>
    <cellStyle name="_99광통신간석외1개소_한미은행본사_한미은행본사_견적" xfId="703"/>
    <cellStyle name="_99광통신간석외1개소_한미은행본사_한미은행본사_견적 2" xfId="704"/>
    <cellStyle name="_99광통신간석외1개소_한미은행본사_한미은행본사_통합국사트레이" xfId="705"/>
    <cellStyle name="_99광통신간석외1개소_한미은행본사_한미은행본사_통합국사트레이 2" xfId="706"/>
    <cellStyle name="_99광통신간석외1개소_한미은행본사_한미은행본사1" xfId="707"/>
    <cellStyle name="_99광통신간석외1개소_한미은행본사_한미은행본사1 2" xfId="708"/>
    <cellStyle name="_99광통신간석외1개소_한미은행본사_한미은행본사1_견적" xfId="709"/>
    <cellStyle name="_99광통신간석외1개소_한미은행본사_한미은행본사1_견적 2" xfId="710"/>
    <cellStyle name="_99광통신간석외1개소_한미은행본사_한미은행본사1_통합국사트레이" xfId="711"/>
    <cellStyle name="_99광통신간석외1개소_한미은행본사_한미은행본사1_통합국사트레이 2" xfId="712"/>
    <cellStyle name="_99광통신간석외1개소_한미케이블" xfId="713"/>
    <cellStyle name="_99광통신간석외1개소_한미케이블 2" xfId="714"/>
    <cellStyle name="_99광통신간석외1개소_한미케이블_견적" xfId="715"/>
    <cellStyle name="_99광통신간석외1개소_한미케이블_견적 2" xfId="716"/>
    <cellStyle name="_99광통신간석외1개소_한미케이블_계양등7개소" xfId="717"/>
    <cellStyle name="_99광통신간석외1개소_한미케이블_계양등7개소 2" xfId="718"/>
    <cellStyle name="_99광통신간석외1개소_한미케이블_통합국사전원선" xfId="719"/>
    <cellStyle name="_99광통신간석외1개소_한미케이블_통합국사전원선 2" xfId="720"/>
    <cellStyle name="_99광통신간석외1개소_한미케이블_통합국사트레이" xfId="721"/>
    <cellStyle name="_99광통신간석외1개소_한미케이블_통합국사트레이 2" xfId="722"/>
    <cellStyle name="_99광통신간석외1개소_한미케이블_한미은행1" xfId="723"/>
    <cellStyle name="_99광통신간석외1개소_한미케이블_한미은행1 2" xfId="724"/>
    <cellStyle name="_99광통신간석외1개소_한미케이블_한미은행1_통합국사트레이" xfId="725"/>
    <cellStyle name="_99광통신간석외1개소_한미케이블_한미은행1_통합국사트레이 2" xfId="726"/>
    <cellStyle name="_99광통신간석외1개소_한미케이블_한미은행2" xfId="727"/>
    <cellStyle name="_99광통신간석외1개소_한미케이블_한미은행2 2" xfId="728"/>
    <cellStyle name="_99광통신간석외1개소_한미케이블_한미은행2_견적" xfId="729"/>
    <cellStyle name="_99광통신간석외1개소_한미케이블_한미은행2_견적 2" xfId="730"/>
    <cellStyle name="_99광통신간석외1개소_한미케이블_한미은행2_통합국사트레이" xfId="731"/>
    <cellStyle name="_99광통신간석외1개소_한미케이블_한미은행2_통합국사트레이 2" xfId="732"/>
    <cellStyle name="_99광통신간석외1개소_한미케이블_한미은행본사" xfId="733"/>
    <cellStyle name="_99광통신간석외1개소_한미케이블_한미은행본사 2" xfId="734"/>
    <cellStyle name="_99광통신간석외1개소_한미케이블_한미은행본사_견적" xfId="735"/>
    <cellStyle name="_99광통신간석외1개소_한미케이블_한미은행본사_견적 2" xfId="736"/>
    <cellStyle name="_99광통신간석외1개소_한미케이블_한미은행본사_통합국사트레이" xfId="737"/>
    <cellStyle name="_99광통신간석외1개소_한미케이블_한미은행본사_통합국사트레이 2" xfId="738"/>
    <cellStyle name="_99광통신간석외1개소_한미케이블_한미은행본사1" xfId="739"/>
    <cellStyle name="_99광통신간석외1개소_한미케이블_한미은행본사1 2" xfId="740"/>
    <cellStyle name="_99광통신간석외1개소_한미케이블_한미은행본사1_견적" xfId="741"/>
    <cellStyle name="_99광통신간석외1개소_한미케이블_한미은행본사1_견적 2" xfId="742"/>
    <cellStyle name="_99광통신간석외1개소_한미케이블_한미은행본사1_통합국사트레이" xfId="743"/>
    <cellStyle name="_99광통신간석외1개소_한미케이블_한미은행본사1_통합국사트레이 2" xfId="744"/>
    <cellStyle name="_99광통신네트워크 중구 연안지역 보강공사" xfId="745"/>
    <cellStyle name="_99광통신네트워크 중구 연안지역 보강공사 2" xfId="746"/>
    <cellStyle name="_99광통신네트워크 중구 연안지역 보강공사_1" xfId="747"/>
    <cellStyle name="_99광통신네트워크 중구 연안지역 보강공사_1 2" xfId="748"/>
    <cellStyle name="_99광통신네트워크 중구 연안지역 보강공사_견적" xfId="749"/>
    <cellStyle name="_99광통신네트워크 중구 연안지역 보강공사_견적 2" xfId="750"/>
    <cellStyle name="_99광통신네트워크 중구 연안지역 보강공사_통합국사트레이" xfId="751"/>
    <cellStyle name="_99광통신네트워크 중구 연안지역 보강공사_통합국사트레이 2" xfId="752"/>
    <cellStyle name="_99광통신네트워크 중구 연안지역 보강공사_한미우석" xfId="753"/>
    <cellStyle name="_99광통신네트워크 중구 연안지역 보강공사_한미우석 2" xfId="754"/>
    <cellStyle name="_99광통신네트워크 중구 연안지역 보강공사_한미우석_견적" xfId="755"/>
    <cellStyle name="_99광통신네트워크 중구 연안지역 보강공사_한미우석_견적 2" xfId="756"/>
    <cellStyle name="_99광통신네트워크 중구 연안지역 보강공사_한미우석_계양등7개소" xfId="757"/>
    <cellStyle name="_99광통신네트워크 중구 연안지역 보강공사_한미우석_계양등7개소 2" xfId="758"/>
    <cellStyle name="_99광통신네트워크 중구 연안지역 보강공사_한미우석_통합국사전원선" xfId="759"/>
    <cellStyle name="_99광통신네트워크 중구 연안지역 보강공사_한미우석_통합국사전원선 2" xfId="760"/>
    <cellStyle name="_99광통신네트워크 중구 연안지역 보강공사_한미우석_통합국사트레이" xfId="761"/>
    <cellStyle name="_99광통신네트워크 중구 연안지역 보강공사_한미우석_통합국사트레이 2" xfId="762"/>
    <cellStyle name="_99광통신네트워크 중구 연안지역 보강공사_한미우석_한미은행1" xfId="763"/>
    <cellStyle name="_99광통신네트워크 중구 연안지역 보강공사_한미우석_한미은행1 2" xfId="764"/>
    <cellStyle name="_99광통신네트워크 중구 연안지역 보강공사_한미우석_한미은행1_통합국사트레이" xfId="765"/>
    <cellStyle name="_99광통신네트워크 중구 연안지역 보강공사_한미우석_한미은행1_통합국사트레이 2" xfId="766"/>
    <cellStyle name="_99광통신네트워크 중구 연안지역 보강공사_한미우석_한미은행2" xfId="767"/>
    <cellStyle name="_99광통신네트워크 중구 연안지역 보강공사_한미우석_한미은행2 2" xfId="768"/>
    <cellStyle name="_99광통신네트워크 중구 연안지역 보강공사_한미우석_한미은행2_견적" xfId="769"/>
    <cellStyle name="_99광통신네트워크 중구 연안지역 보강공사_한미우석_한미은행2_견적 2" xfId="770"/>
    <cellStyle name="_99광통신네트워크 중구 연안지역 보강공사_한미우석_한미은행2_통합국사트레이" xfId="771"/>
    <cellStyle name="_99광통신네트워크 중구 연안지역 보강공사_한미우석_한미은행2_통합국사트레이 2" xfId="772"/>
    <cellStyle name="_99광통신네트워크 중구 연안지역 보강공사_한미우석_한미은행본사" xfId="773"/>
    <cellStyle name="_99광통신네트워크 중구 연안지역 보강공사_한미우석_한미은행본사 2" xfId="774"/>
    <cellStyle name="_99광통신네트워크 중구 연안지역 보강공사_한미우석_한미은행본사_견적" xfId="775"/>
    <cellStyle name="_99광통신네트워크 중구 연안지역 보강공사_한미우석_한미은행본사_견적 2" xfId="776"/>
    <cellStyle name="_99광통신네트워크 중구 연안지역 보강공사_한미우석_한미은행본사_통합국사트레이" xfId="777"/>
    <cellStyle name="_99광통신네트워크 중구 연안지역 보강공사_한미우석_한미은행본사_통합국사트레이 2" xfId="778"/>
    <cellStyle name="_99광통신네트워크 중구 연안지역 보강공사_한미우석_한미은행본사1" xfId="779"/>
    <cellStyle name="_99광통신네트워크 중구 연안지역 보강공사_한미우석_한미은행본사1 2" xfId="780"/>
    <cellStyle name="_99광통신네트워크 중구 연안지역 보강공사_한미우석_한미은행본사1_견적" xfId="781"/>
    <cellStyle name="_99광통신네트워크 중구 연안지역 보강공사_한미우석_한미은행본사1_견적 2" xfId="782"/>
    <cellStyle name="_99광통신네트워크 중구 연안지역 보강공사_한미우석_한미은행본사1_통합국사트레이" xfId="783"/>
    <cellStyle name="_99광통신네트워크 중구 연안지역 보강공사_한미우석_한미은행본사1_통합국사트레이 2" xfId="784"/>
    <cellStyle name="_99광통신네트워크 중구 연안지역 보강공사_한미은행본사" xfId="785"/>
    <cellStyle name="_99광통신네트워크 중구 연안지역 보강공사_한미은행본사 2" xfId="786"/>
    <cellStyle name="_99광통신네트워크 중구 연안지역 보강공사_한미은행본사_견적" xfId="787"/>
    <cellStyle name="_99광통신네트워크 중구 연안지역 보강공사_한미은행본사_견적 2" xfId="788"/>
    <cellStyle name="_99광통신네트워크 중구 연안지역 보강공사_한미은행본사_계양등7개소" xfId="789"/>
    <cellStyle name="_99광통신네트워크 중구 연안지역 보강공사_한미은행본사_계양등7개소 2" xfId="790"/>
    <cellStyle name="_99광통신네트워크 중구 연안지역 보강공사_한미은행본사_통합국사전원선" xfId="791"/>
    <cellStyle name="_99광통신네트워크 중구 연안지역 보강공사_한미은행본사_통합국사전원선 2" xfId="792"/>
    <cellStyle name="_99광통신네트워크 중구 연안지역 보강공사_한미은행본사_통합국사트레이" xfId="793"/>
    <cellStyle name="_99광통신네트워크 중구 연안지역 보강공사_한미은행본사_통합국사트레이 2" xfId="794"/>
    <cellStyle name="_99광통신네트워크 중구 연안지역 보강공사_한미은행본사_한미은행1" xfId="795"/>
    <cellStyle name="_99광통신네트워크 중구 연안지역 보강공사_한미은행본사_한미은행1 2" xfId="796"/>
    <cellStyle name="_99광통신네트워크 중구 연안지역 보강공사_한미은행본사_한미은행1_통합국사트레이" xfId="797"/>
    <cellStyle name="_99광통신네트워크 중구 연안지역 보강공사_한미은행본사_한미은행1_통합국사트레이 2" xfId="798"/>
    <cellStyle name="_99광통신네트워크 중구 연안지역 보강공사_한미은행본사_한미은행2" xfId="799"/>
    <cellStyle name="_99광통신네트워크 중구 연안지역 보강공사_한미은행본사_한미은행2 2" xfId="800"/>
    <cellStyle name="_99광통신네트워크 중구 연안지역 보강공사_한미은행본사_한미은행2_견적" xfId="801"/>
    <cellStyle name="_99광통신네트워크 중구 연안지역 보강공사_한미은행본사_한미은행2_견적 2" xfId="802"/>
    <cellStyle name="_99광통신네트워크 중구 연안지역 보강공사_한미은행본사_한미은행2_통합국사트레이" xfId="803"/>
    <cellStyle name="_99광통신네트워크 중구 연안지역 보강공사_한미은행본사_한미은행2_통합국사트레이 2" xfId="804"/>
    <cellStyle name="_99광통신네트워크 중구 연안지역 보강공사_한미은행본사_한미은행본사" xfId="805"/>
    <cellStyle name="_99광통신네트워크 중구 연안지역 보강공사_한미은행본사_한미은행본사 2" xfId="806"/>
    <cellStyle name="_99광통신네트워크 중구 연안지역 보강공사_한미은행본사_한미은행본사_견적" xfId="807"/>
    <cellStyle name="_99광통신네트워크 중구 연안지역 보강공사_한미은행본사_한미은행본사_견적 2" xfId="808"/>
    <cellStyle name="_99광통신네트워크 중구 연안지역 보강공사_한미은행본사_한미은행본사_통합국사트레이" xfId="809"/>
    <cellStyle name="_99광통신네트워크 중구 연안지역 보강공사_한미은행본사_한미은행본사_통합국사트레이 2" xfId="810"/>
    <cellStyle name="_99광통신네트워크 중구 연안지역 보강공사_한미은행본사_한미은행본사1" xfId="811"/>
    <cellStyle name="_99광통신네트워크 중구 연안지역 보강공사_한미은행본사_한미은행본사1 2" xfId="812"/>
    <cellStyle name="_99광통신네트워크 중구 연안지역 보강공사_한미은행본사_한미은행본사1_견적" xfId="813"/>
    <cellStyle name="_99광통신네트워크 중구 연안지역 보강공사_한미은행본사_한미은행본사1_견적 2" xfId="814"/>
    <cellStyle name="_99광통신네트워크 중구 연안지역 보강공사_한미은행본사_한미은행본사1_통합국사트레이" xfId="815"/>
    <cellStyle name="_99광통신네트워크 중구 연안지역 보강공사_한미은행본사_한미은행본사1_통합국사트레이 2" xfId="816"/>
    <cellStyle name="_99광통신네트워크 중구 연안지역 보강공사_한미케이블" xfId="817"/>
    <cellStyle name="_99광통신네트워크 중구 연안지역 보강공사_한미케이블 2" xfId="818"/>
    <cellStyle name="_99광통신네트워크 중구 연안지역 보강공사_한미케이블_견적" xfId="819"/>
    <cellStyle name="_99광통신네트워크 중구 연안지역 보강공사_한미케이블_견적 2" xfId="820"/>
    <cellStyle name="_99광통신네트워크 중구 연안지역 보강공사_한미케이블_계양등7개소" xfId="821"/>
    <cellStyle name="_99광통신네트워크 중구 연안지역 보강공사_한미케이블_계양등7개소 2" xfId="822"/>
    <cellStyle name="_99광통신네트워크 중구 연안지역 보강공사_한미케이블_통합국사전원선" xfId="823"/>
    <cellStyle name="_99광통신네트워크 중구 연안지역 보강공사_한미케이블_통합국사전원선 2" xfId="824"/>
    <cellStyle name="_99광통신네트워크 중구 연안지역 보강공사_한미케이블_통합국사트레이" xfId="825"/>
    <cellStyle name="_99광통신네트워크 중구 연안지역 보강공사_한미케이블_통합국사트레이 2" xfId="826"/>
    <cellStyle name="_99광통신네트워크 중구 연안지역 보강공사_한미케이블_한미은행1" xfId="827"/>
    <cellStyle name="_99광통신네트워크 중구 연안지역 보강공사_한미케이블_한미은행1 2" xfId="828"/>
    <cellStyle name="_99광통신네트워크 중구 연안지역 보강공사_한미케이블_한미은행1_통합국사트레이" xfId="829"/>
    <cellStyle name="_99광통신네트워크 중구 연안지역 보강공사_한미케이블_한미은행1_통합국사트레이 2" xfId="830"/>
    <cellStyle name="_99광통신네트워크 중구 연안지역 보강공사_한미케이블_한미은행2" xfId="831"/>
    <cellStyle name="_99광통신네트워크 중구 연안지역 보강공사_한미케이블_한미은행2 2" xfId="832"/>
    <cellStyle name="_99광통신네트워크 중구 연안지역 보강공사_한미케이블_한미은행2_견적" xfId="833"/>
    <cellStyle name="_99광통신네트워크 중구 연안지역 보강공사_한미케이블_한미은행2_견적 2" xfId="834"/>
    <cellStyle name="_99광통신네트워크 중구 연안지역 보강공사_한미케이블_한미은행2_통합국사트레이" xfId="835"/>
    <cellStyle name="_99광통신네트워크 중구 연안지역 보강공사_한미케이블_한미은행2_통합국사트레이 2" xfId="836"/>
    <cellStyle name="_99광통신네트워크 중구 연안지역 보강공사_한미케이블_한미은행본사" xfId="837"/>
    <cellStyle name="_99광통신네트워크 중구 연안지역 보강공사_한미케이블_한미은행본사 2" xfId="838"/>
    <cellStyle name="_99광통신네트워크 중구 연안지역 보강공사_한미케이블_한미은행본사_견적" xfId="839"/>
    <cellStyle name="_99광통신네트워크 중구 연안지역 보강공사_한미케이블_한미은행본사_견적 2" xfId="840"/>
    <cellStyle name="_99광통신네트워크 중구 연안지역 보강공사_한미케이블_한미은행본사_통합국사트레이" xfId="841"/>
    <cellStyle name="_99광통신네트워크 중구 연안지역 보강공사_한미케이블_한미은행본사_통합국사트레이 2" xfId="842"/>
    <cellStyle name="_99광통신네트워크 중구 연안지역 보강공사_한미케이블_한미은행본사1" xfId="843"/>
    <cellStyle name="_99광통신네트워크 중구 연안지역 보강공사_한미케이블_한미은행본사1 2" xfId="844"/>
    <cellStyle name="_99광통신네트워크 중구 연안지역 보강공사_한미케이블_한미은행본사1_견적" xfId="845"/>
    <cellStyle name="_99광통신네트워크 중구 연안지역 보강공사_한미케이블_한미은행본사1_견적 2" xfId="846"/>
    <cellStyle name="_99광통신네트워크 중구 연안지역 보강공사_한미케이블_한미은행본사1_통합국사트레이" xfId="847"/>
    <cellStyle name="_99광통신네트워크 중구 연안지역 보강공사_한미케이블_한미은행본사1_통합국사트레이 2" xfId="848"/>
    <cellStyle name="_99광통신네트워크남구용현외1개소" xfId="849"/>
    <cellStyle name="_99광통신네트워크남구용현외1개소 2" xfId="850"/>
    <cellStyle name="_99광통신네트워크남구용현외1개소_1" xfId="851"/>
    <cellStyle name="_99광통신네트워크남구용현외1개소_1 2" xfId="852"/>
    <cellStyle name="_99광통신네트워크남구용현외1개소_1_견적" xfId="853"/>
    <cellStyle name="_99광통신네트워크남구용현외1개소_1_견적 2" xfId="854"/>
    <cellStyle name="_99광통신네트워크남구용현외1개소_1_용현한양외계약및준공관련" xfId="855"/>
    <cellStyle name="_99광통신네트워크남구용현외1개소_1_용현한양외계약및준공관련 2" xfId="856"/>
    <cellStyle name="_99광통신네트워크남구용현외1개소_1_통합국사트레이" xfId="857"/>
    <cellStyle name="_99광통신네트워크남구용현외1개소_1_통합국사트레이 2" xfId="858"/>
    <cellStyle name="_99광통신네트워크남구용현외1개소_1_파워콤간이공사관련" xfId="859"/>
    <cellStyle name="_99광통신네트워크남구용현외1개소_1_파워콤간이공사관련 2" xfId="860"/>
    <cellStyle name="_99광통신네트워크남구용현외1개소_1_한미우석" xfId="861"/>
    <cellStyle name="_99광통신네트워크남구용현외1개소_1_한미우석 2" xfId="862"/>
    <cellStyle name="_99광통신네트워크남구용현외1개소_1_한미우석_견적" xfId="863"/>
    <cellStyle name="_99광통신네트워크남구용현외1개소_1_한미우석_견적 2" xfId="864"/>
    <cellStyle name="_99광통신네트워크남구용현외1개소_1_한미우석_계양등7개소" xfId="865"/>
    <cellStyle name="_99광통신네트워크남구용현외1개소_1_한미우석_계양등7개소 2" xfId="866"/>
    <cellStyle name="_99광통신네트워크남구용현외1개소_1_한미우석_통합국사전원선" xfId="867"/>
    <cellStyle name="_99광통신네트워크남구용현외1개소_1_한미우석_통합국사전원선 2" xfId="868"/>
    <cellStyle name="_99광통신네트워크남구용현외1개소_1_한미우석_통합국사트레이" xfId="869"/>
    <cellStyle name="_99광통신네트워크남구용현외1개소_1_한미우석_통합국사트레이 2" xfId="870"/>
    <cellStyle name="_99광통신네트워크남구용현외1개소_1_한미우석_한미은행1" xfId="871"/>
    <cellStyle name="_99광통신네트워크남구용현외1개소_1_한미우석_한미은행1 2" xfId="872"/>
    <cellStyle name="_99광통신네트워크남구용현외1개소_1_한미우석_한미은행1_통합국사트레이" xfId="873"/>
    <cellStyle name="_99광통신네트워크남구용현외1개소_1_한미우석_한미은행1_통합국사트레이 2" xfId="874"/>
    <cellStyle name="_99광통신네트워크남구용현외1개소_1_한미우석_한미은행2" xfId="875"/>
    <cellStyle name="_99광통신네트워크남구용현외1개소_1_한미우석_한미은행2 2" xfId="876"/>
    <cellStyle name="_99광통신네트워크남구용현외1개소_1_한미우석_한미은행2_견적" xfId="877"/>
    <cellStyle name="_99광통신네트워크남구용현외1개소_1_한미우석_한미은행2_견적 2" xfId="878"/>
    <cellStyle name="_99광통신네트워크남구용현외1개소_1_한미우석_한미은행2_통합국사트레이" xfId="879"/>
    <cellStyle name="_99광통신네트워크남구용현외1개소_1_한미우석_한미은행2_통합국사트레이 2" xfId="880"/>
    <cellStyle name="_99광통신네트워크남구용현외1개소_1_한미우석_한미은행본사" xfId="881"/>
    <cellStyle name="_99광통신네트워크남구용현외1개소_1_한미우석_한미은행본사 2" xfId="882"/>
    <cellStyle name="_99광통신네트워크남구용현외1개소_1_한미우석_한미은행본사_견적" xfId="883"/>
    <cellStyle name="_99광통신네트워크남구용현외1개소_1_한미우석_한미은행본사_견적 2" xfId="884"/>
    <cellStyle name="_99광통신네트워크남구용현외1개소_1_한미우석_한미은행본사_통합국사트레이" xfId="885"/>
    <cellStyle name="_99광통신네트워크남구용현외1개소_1_한미우석_한미은행본사_통합국사트레이 2" xfId="886"/>
    <cellStyle name="_99광통신네트워크남구용현외1개소_1_한미우석_한미은행본사1" xfId="887"/>
    <cellStyle name="_99광통신네트워크남구용현외1개소_1_한미우석_한미은행본사1 2" xfId="888"/>
    <cellStyle name="_99광통신네트워크남구용현외1개소_1_한미우석_한미은행본사1_견적" xfId="889"/>
    <cellStyle name="_99광통신네트워크남구용현외1개소_1_한미우석_한미은행본사1_견적 2" xfId="890"/>
    <cellStyle name="_99광통신네트워크남구용현외1개소_1_한미우석_한미은행본사1_통합국사트레이" xfId="891"/>
    <cellStyle name="_99광통신네트워크남구용현외1개소_1_한미우석_한미은행본사1_통합국사트레이 2" xfId="892"/>
    <cellStyle name="_99광통신네트워크남구용현외1개소_1_한미은행본사" xfId="893"/>
    <cellStyle name="_99광통신네트워크남구용현외1개소_1_한미은행본사 2" xfId="894"/>
    <cellStyle name="_99광통신네트워크남구용현외1개소_1_한미은행본사_견적" xfId="895"/>
    <cellStyle name="_99광통신네트워크남구용현외1개소_1_한미은행본사_견적 2" xfId="896"/>
    <cellStyle name="_99광통신네트워크남구용현외1개소_1_한미은행본사_계양등7개소" xfId="897"/>
    <cellStyle name="_99광통신네트워크남구용현외1개소_1_한미은행본사_계양등7개소 2" xfId="898"/>
    <cellStyle name="_99광통신네트워크남구용현외1개소_1_한미은행본사_통합국사전원선" xfId="899"/>
    <cellStyle name="_99광통신네트워크남구용현외1개소_1_한미은행본사_통합국사전원선 2" xfId="900"/>
    <cellStyle name="_99광통신네트워크남구용현외1개소_1_한미은행본사_통합국사트레이" xfId="901"/>
    <cellStyle name="_99광통신네트워크남구용현외1개소_1_한미은행본사_통합국사트레이 2" xfId="902"/>
    <cellStyle name="_99광통신네트워크남구용현외1개소_1_한미은행본사_한미은행1" xfId="903"/>
    <cellStyle name="_99광통신네트워크남구용현외1개소_1_한미은행본사_한미은행1 2" xfId="904"/>
    <cellStyle name="_99광통신네트워크남구용현외1개소_1_한미은행본사_한미은행1_통합국사트레이" xfId="905"/>
    <cellStyle name="_99광통신네트워크남구용현외1개소_1_한미은행본사_한미은행1_통합국사트레이 2" xfId="906"/>
    <cellStyle name="_99광통신네트워크남구용현외1개소_1_한미은행본사_한미은행2" xfId="907"/>
    <cellStyle name="_99광통신네트워크남구용현외1개소_1_한미은행본사_한미은행2 2" xfId="908"/>
    <cellStyle name="_99광통신네트워크남구용현외1개소_1_한미은행본사_한미은행2_견적" xfId="909"/>
    <cellStyle name="_99광통신네트워크남구용현외1개소_1_한미은행본사_한미은행2_견적 2" xfId="910"/>
    <cellStyle name="_99광통신네트워크남구용현외1개소_1_한미은행본사_한미은행2_통합국사트레이" xfId="911"/>
    <cellStyle name="_99광통신네트워크남구용현외1개소_1_한미은행본사_한미은행2_통합국사트레이 2" xfId="912"/>
    <cellStyle name="_99광통신네트워크남구용현외1개소_1_한미은행본사_한미은행본사" xfId="913"/>
    <cellStyle name="_99광통신네트워크남구용현외1개소_1_한미은행본사_한미은행본사 2" xfId="914"/>
    <cellStyle name="_99광통신네트워크남구용현외1개소_1_한미은행본사_한미은행본사_견적" xfId="915"/>
    <cellStyle name="_99광통신네트워크남구용현외1개소_1_한미은행본사_한미은행본사_견적 2" xfId="916"/>
    <cellStyle name="_99광통신네트워크남구용현외1개소_1_한미은행본사_한미은행본사_통합국사트레이" xfId="917"/>
    <cellStyle name="_99광통신네트워크남구용현외1개소_1_한미은행본사_한미은행본사_통합국사트레이 2" xfId="918"/>
    <cellStyle name="_99광통신네트워크남구용현외1개소_1_한미은행본사_한미은행본사1" xfId="919"/>
    <cellStyle name="_99광통신네트워크남구용현외1개소_1_한미은행본사_한미은행본사1 2" xfId="920"/>
    <cellStyle name="_99광통신네트워크남구용현외1개소_1_한미은행본사_한미은행본사1_견적" xfId="921"/>
    <cellStyle name="_99광통신네트워크남구용현외1개소_1_한미은행본사_한미은행본사1_견적 2" xfId="922"/>
    <cellStyle name="_99광통신네트워크남구용현외1개소_1_한미은행본사_한미은행본사1_통합국사트레이" xfId="923"/>
    <cellStyle name="_99광통신네트워크남구용현외1개소_1_한미은행본사_한미은행본사1_통합국사트레이 2" xfId="924"/>
    <cellStyle name="_99광통신네트워크남구용현외1개소_1_한미케이블" xfId="925"/>
    <cellStyle name="_99광통신네트워크남구용현외1개소_1_한미케이블 2" xfId="926"/>
    <cellStyle name="_99광통신네트워크남구용현외1개소_1_한미케이블_견적" xfId="927"/>
    <cellStyle name="_99광통신네트워크남구용현외1개소_1_한미케이블_견적 2" xfId="928"/>
    <cellStyle name="_99광통신네트워크남구용현외1개소_1_한미케이블_계양등7개소" xfId="929"/>
    <cellStyle name="_99광통신네트워크남구용현외1개소_1_한미케이블_계양등7개소 2" xfId="930"/>
    <cellStyle name="_99광통신네트워크남구용현외1개소_1_한미케이블_통합국사전원선" xfId="931"/>
    <cellStyle name="_99광통신네트워크남구용현외1개소_1_한미케이블_통합국사전원선 2" xfId="932"/>
    <cellStyle name="_99광통신네트워크남구용현외1개소_1_한미케이블_통합국사트레이" xfId="933"/>
    <cellStyle name="_99광통신네트워크남구용현외1개소_1_한미케이블_통합국사트레이 2" xfId="934"/>
    <cellStyle name="_99광통신네트워크남구용현외1개소_1_한미케이블_한미은행1" xfId="935"/>
    <cellStyle name="_99광통신네트워크남구용현외1개소_1_한미케이블_한미은행1 2" xfId="936"/>
    <cellStyle name="_99광통신네트워크남구용현외1개소_1_한미케이블_한미은행1_통합국사트레이" xfId="937"/>
    <cellStyle name="_99광통신네트워크남구용현외1개소_1_한미케이블_한미은행1_통합국사트레이 2" xfId="938"/>
    <cellStyle name="_99광통신네트워크남구용현외1개소_1_한미케이블_한미은행2" xfId="939"/>
    <cellStyle name="_99광통신네트워크남구용현외1개소_1_한미케이블_한미은행2 2" xfId="940"/>
    <cellStyle name="_99광통신네트워크남구용현외1개소_1_한미케이블_한미은행2_견적" xfId="941"/>
    <cellStyle name="_99광통신네트워크남구용현외1개소_1_한미케이블_한미은행2_견적 2" xfId="942"/>
    <cellStyle name="_99광통신네트워크남구용현외1개소_1_한미케이블_한미은행2_통합국사트레이" xfId="943"/>
    <cellStyle name="_99광통신네트워크남구용현외1개소_1_한미케이블_한미은행2_통합국사트레이 2" xfId="944"/>
    <cellStyle name="_99광통신네트워크남구용현외1개소_1_한미케이블_한미은행본사" xfId="945"/>
    <cellStyle name="_99광통신네트워크남구용현외1개소_1_한미케이블_한미은행본사 2" xfId="946"/>
    <cellStyle name="_99광통신네트워크남구용현외1개소_1_한미케이블_한미은행본사_견적" xfId="947"/>
    <cellStyle name="_99광통신네트워크남구용현외1개소_1_한미케이블_한미은행본사_견적 2" xfId="948"/>
    <cellStyle name="_99광통신네트워크남구용현외1개소_1_한미케이블_한미은행본사_통합국사트레이" xfId="949"/>
    <cellStyle name="_99광통신네트워크남구용현외1개소_1_한미케이블_한미은행본사_통합국사트레이 2" xfId="950"/>
    <cellStyle name="_99광통신네트워크남구용현외1개소_1_한미케이블_한미은행본사1" xfId="951"/>
    <cellStyle name="_99광통신네트워크남구용현외1개소_1_한미케이블_한미은행본사1 2" xfId="952"/>
    <cellStyle name="_99광통신네트워크남구용현외1개소_1_한미케이블_한미은행본사1_견적" xfId="953"/>
    <cellStyle name="_99광통신네트워크남구용현외1개소_1_한미케이블_한미은행본사1_견적 2" xfId="954"/>
    <cellStyle name="_99광통신네트워크남구용현외1개소_1_한미케이블_한미은행본사1_통합국사트레이" xfId="955"/>
    <cellStyle name="_99광통신네트워크남구용현외1개소_1_한미케이블_한미은행본사1_통합국사트레이 2" xfId="956"/>
    <cellStyle name="_99광통신네트워크남구용현외1개소_용현한양외계약및준공관련" xfId="957"/>
    <cellStyle name="_99광통신네트워크남구용현외1개소_용현한양외계약및준공관련 2" xfId="958"/>
    <cellStyle name="_99광통신네트워크남구용현외1개소_용현한양외계약및준공관련_견적" xfId="959"/>
    <cellStyle name="_99광통신네트워크남구용현외1개소_용현한양외계약및준공관련_견적 2" xfId="960"/>
    <cellStyle name="_99광통신네트워크남구용현외1개소_용현한양외계약및준공관련_통합국사트레이" xfId="961"/>
    <cellStyle name="_99광통신네트워크남구용현외1개소_용현한양외계약및준공관련_통합국사트레이 2" xfId="962"/>
    <cellStyle name="_99광통신네트워크남구용현외1개소_용현한양외계약및준공관련_한미우석" xfId="963"/>
    <cellStyle name="_99광통신네트워크남구용현외1개소_용현한양외계약및준공관련_한미우석 2" xfId="964"/>
    <cellStyle name="_99광통신네트워크남구용현외1개소_용현한양외계약및준공관련_한미우석_견적" xfId="965"/>
    <cellStyle name="_99광통신네트워크남구용현외1개소_용현한양외계약및준공관련_한미우석_견적 2" xfId="966"/>
    <cellStyle name="_99광통신네트워크남구용현외1개소_용현한양외계약및준공관련_한미우석_계양등7개소" xfId="967"/>
    <cellStyle name="_99광통신네트워크남구용현외1개소_용현한양외계약및준공관련_한미우석_계양등7개소 2" xfId="968"/>
    <cellStyle name="_99광통신네트워크남구용현외1개소_용현한양외계약및준공관련_한미우석_통합국사전원선" xfId="969"/>
    <cellStyle name="_99광통신네트워크남구용현외1개소_용현한양외계약및준공관련_한미우석_통합국사전원선 2" xfId="970"/>
    <cellStyle name="_99광통신네트워크남구용현외1개소_용현한양외계약및준공관련_한미우석_통합국사트레이" xfId="971"/>
    <cellStyle name="_99광통신네트워크남구용현외1개소_용현한양외계약및준공관련_한미우석_통합국사트레이 2" xfId="972"/>
    <cellStyle name="_99광통신네트워크남구용현외1개소_용현한양외계약및준공관련_한미우석_한미은행1" xfId="973"/>
    <cellStyle name="_99광통신네트워크남구용현외1개소_용현한양외계약및준공관련_한미우석_한미은행1 2" xfId="974"/>
    <cellStyle name="_99광통신네트워크남구용현외1개소_용현한양외계약및준공관련_한미우석_한미은행1_통합국사트레이" xfId="975"/>
    <cellStyle name="_99광통신네트워크남구용현외1개소_용현한양외계약및준공관련_한미우석_한미은행1_통합국사트레이 2" xfId="976"/>
    <cellStyle name="_99광통신네트워크남구용현외1개소_용현한양외계약및준공관련_한미우석_한미은행2" xfId="977"/>
    <cellStyle name="_99광통신네트워크남구용현외1개소_용현한양외계약및준공관련_한미우석_한미은행2 2" xfId="978"/>
    <cellStyle name="_99광통신네트워크남구용현외1개소_용현한양외계약및준공관련_한미우석_한미은행2_견적" xfId="979"/>
    <cellStyle name="_99광통신네트워크남구용현외1개소_용현한양외계약및준공관련_한미우석_한미은행2_견적 2" xfId="980"/>
    <cellStyle name="_99광통신네트워크남구용현외1개소_용현한양외계약및준공관련_한미우석_한미은행2_통합국사트레이" xfId="981"/>
    <cellStyle name="_99광통신네트워크남구용현외1개소_용현한양외계약및준공관련_한미우석_한미은행2_통합국사트레이 2" xfId="982"/>
    <cellStyle name="_99광통신네트워크남구용현외1개소_용현한양외계약및준공관련_한미우석_한미은행본사" xfId="983"/>
    <cellStyle name="_99광통신네트워크남구용현외1개소_용현한양외계약및준공관련_한미우석_한미은행본사 2" xfId="984"/>
    <cellStyle name="_99광통신네트워크남구용현외1개소_용현한양외계약및준공관련_한미우석_한미은행본사_견적" xfId="985"/>
    <cellStyle name="_99광통신네트워크남구용현외1개소_용현한양외계약및준공관련_한미우석_한미은행본사_견적 2" xfId="986"/>
    <cellStyle name="_99광통신네트워크남구용현외1개소_용현한양외계약및준공관련_한미우석_한미은행본사_통합국사트레이" xfId="987"/>
    <cellStyle name="_99광통신네트워크남구용현외1개소_용현한양외계약및준공관련_한미우석_한미은행본사_통합국사트레이 2" xfId="988"/>
    <cellStyle name="_99광통신네트워크남구용현외1개소_용현한양외계약및준공관련_한미우석_한미은행본사1" xfId="989"/>
    <cellStyle name="_99광통신네트워크남구용현외1개소_용현한양외계약및준공관련_한미우석_한미은행본사1 2" xfId="990"/>
    <cellStyle name="_99광통신네트워크남구용현외1개소_용현한양외계약및준공관련_한미우석_한미은행본사1_견적" xfId="991"/>
    <cellStyle name="_99광통신네트워크남구용현외1개소_용현한양외계약및준공관련_한미우석_한미은행본사1_견적 2" xfId="992"/>
    <cellStyle name="_99광통신네트워크남구용현외1개소_용현한양외계약및준공관련_한미우석_한미은행본사1_통합국사트레이" xfId="993"/>
    <cellStyle name="_99광통신네트워크남구용현외1개소_용현한양외계약및준공관련_한미우석_한미은행본사1_통합국사트레이 2" xfId="994"/>
    <cellStyle name="_99광통신네트워크남구용현외1개소_용현한양외계약및준공관련_한미은행본사" xfId="995"/>
    <cellStyle name="_99광통신네트워크남구용현외1개소_용현한양외계약및준공관련_한미은행본사 2" xfId="996"/>
    <cellStyle name="_99광통신네트워크남구용현외1개소_용현한양외계약및준공관련_한미은행본사_견적" xfId="997"/>
    <cellStyle name="_99광통신네트워크남구용현외1개소_용현한양외계약및준공관련_한미은행본사_견적 2" xfId="998"/>
    <cellStyle name="_99광통신네트워크남구용현외1개소_용현한양외계약및준공관련_한미은행본사_계양등7개소" xfId="999"/>
    <cellStyle name="_99광통신네트워크남구용현외1개소_용현한양외계약및준공관련_한미은행본사_계양등7개소 2" xfId="1000"/>
    <cellStyle name="_99광통신네트워크남구용현외1개소_용현한양외계약및준공관련_한미은행본사_통합국사전원선" xfId="1001"/>
    <cellStyle name="_99광통신네트워크남구용현외1개소_용현한양외계약및준공관련_한미은행본사_통합국사전원선 2" xfId="1002"/>
    <cellStyle name="_99광통신네트워크남구용현외1개소_용현한양외계약및준공관련_한미은행본사_통합국사트레이" xfId="1003"/>
    <cellStyle name="_99광통신네트워크남구용현외1개소_용현한양외계약및준공관련_한미은행본사_통합국사트레이 2" xfId="1004"/>
    <cellStyle name="_99광통신네트워크남구용현외1개소_용현한양외계약및준공관련_한미은행본사_한미은행1" xfId="1005"/>
    <cellStyle name="_99광통신네트워크남구용현외1개소_용현한양외계약및준공관련_한미은행본사_한미은행1 2" xfId="1006"/>
    <cellStyle name="_99광통신네트워크남구용현외1개소_용현한양외계약및준공관련_한미은행본사_한미은행1_통합국사트레이" xfId="1007"/>
    <cellStyle name="_99광통신네트워크남구용현외1개소_용현한양외계약및준공관련_한미은행본사_한미은행1_통합국사트레이 2" xfId="1008"/>
    <cellStyle name="_99광통신네트워크남구용현외1개소_용현한양외계약및준공관련_한미은행본사_한미은행2" xfId="1009"/>
    <cellStyle name="_99광통신네트워크남구용현외1개소_용현한양외계약및준공관련_한미은행본사_한미은행2 2" xfId="1010"/>
    <cellStyle name="_99광통신네트워크남구용현외1개소_용현한양외계약및준공관련_한미은행본사_한미은행2_견적" xfId="1011"/>
    <cellStyle name="_99광통신네트워크남구용현외1개소_용현한양외계약및준공관련_한미은행본사_한미은행2_견적 2" xfId="1012"/>
    <cellStyle name="_99광통신네트워크남구용현외1개소_용현한양외계약및준공관련_한미은행본사_한미은행2_통합국사트레이" xfId="1013"/>
    <cellStyle name="_99광통신네트워크남구용현외1개소_용현한양외계약및준공관련_한미은행본사_한미은행2_통합국사트레이 2" xfId="1014"/>
    <cellStyle name="_99광통신네트워크남구용현외1개소_용현한양외계약및준공관련_한미은행본사_한미은행본사" xfId="1015"/>
    <cellStyle name="_99광통신네트워크남구용현외1개소_용현한양외계약및준공관련_한미은행본사_한미은행본사 2" xfId="1016"/>
    <cellStyle name="_99광통신네트워크남구용현외1개소_용현한양외계약및준공관련_한미은행본사_한미은행본사_견적" xfId="1017"/>
    <cellStyle name="_99광통신네트워크남구용현외1개소_용현한양외계약및준공관련_한미은행본사_한미은행본사_견적 2" xfId="1018"/>
    <cellStyle name="_99광통신네트워크남구용현외1개소_용현한양외계약및준공관련_한미은행본사_한미은행본사_통합국사트레이" xfId="1019"/>
    <cellStyle name="_99광통신네트워크남구용현외1개소_용현한양외계약및준공관련_한미은행본사_한미은행본사_통합국사트레이 2" xfId="1020"/>
    <cellStyle name="_99광통신네트워크남구용현외1개소_용현한양외계약및준공관련_한미은행본사_한미은행본사1" xfId="1021"/>
    <cellStyle name="_99광통신네트워크남구용현외1개소_용현한양외계약및준공관련_한미은행본사_한미은행본사1 2" xfId="1022"/>
    <cellStyle name="_99광통신네트워크남구용현외1개소_용현한양외계약및준공관련_한미은행본사_한미은행본사1_견적" xfId="1023"/>
    <cellStyle name="_99광통신네트워크남구용현외1개소_용현한양외계약및준공관련_한미은행본사_한미은행본사1_견적 2" xfId="1024"/>
    <cellStyle name="_99광통신네트워크남구용현외1개소_용현한양외계약및준공관련_한미은행본사_한미은행본사1_통합국사트레이" xfId="1025"/>
    <cellStyle name="_99광통신네트워크남구용현외1개소_용현한양외계약및준공관련_한미은행본사_한미은행본사1_통합국사트레이 2" xfId="1026"/>
    <cellStyle name="_99광통신네트워크남구용현외1개소_용현한양외계약및준공관련_한미케이블" xfId="1027"/>
    <cellStyle name="_99광통신네트워크남구용현외1개소_용현한양외계약및준공관련_한미케이블 2" xfId="1028"/>
    <cellStyle name="_99광통신네트워크남구용현외1개소_용현한양외계약및준공관련_한미케이블_견적" xfId="1029"/>
    <cellStyle name="_99광통신네트워크남구용현외1개소_용현한양외계약및준공관련_한미케이블_견적 2" xfId="1030"/>
    <cellStyle name="_99광통신네트워크남구용현외1개소_용현한양외계약및준공관련_한미케이블_계양등7개소" xfId="1031"/>
    <cellStyle name="_99광통신네트워크남구용현외1개소_용현한양외계약및준공관련_한미케이블_계양등7개소 2" xfId="1032"/>
    <cellStyle name="_99광통신네트워크남구용현외1개소_용현한양외계약및준공관련_한미케이블_통합국사전원선" xfId="1033"/>
    <cellStyle name="_99광통신네트워크남구용현외1개소_용현한양외계약및준공관련_한미케이블_통합국사전원선 2" xfId="1034"/>
    <cellStyle name="_99광통신네트워크남구용현외1개소_용현한양외계약및준공관련_한미케이블_통합국사트레이" xfId="1035"/>
    <cellStyle name="_99광통신네트워크남구용현외1개소_용현한양외계약및준공관련_한미케이블_통합국사트레이 2" xfId="1036"/>
    <cellStyle name="_99광통신네트워크남구용현외1개소_용현한양외계약및준공관련_한미케이블_한미은행1" xfId="1037"/>
    <cellStyle name="_99광통신네트워크남구용현외1개소_용현한양외계약및준공관련_한미케이블_한미은행1 2" xfId="1038"/>
    <cellStyle name="_99광통신네트워크남구용현외1개소_용현한양외계약및준공관련_한미케이블_한미은행1_통합국사트레이" xfId="1039"/>
    <cellStyle name="_99광통신네트워크남구용현외1개소_용현한양외계약및준공관련_한미케이블_한미은행1_통합국사트레이 2" xfId="1040"/>
    <cellStyle name="_99광통신네트워크남구용현외1개소_용현한양외계약및준공관련_한미케이블_한미은행2" xfId="1041"/>
    <cellStyle name="_99광통신네트워크남구용현외1개소_용현한양외계약및준공관련_한미케이블_한미은행2 2" xfId="1042"/>
    <cellStyle name="_99광통신네트워크남구용현외1개소_용현한양외계약및준공관련_한미케이블_한미은행2_견적" xfId="1043"/>
    <cellStyle name="_99광통신네트워크남구용현외1개소_용현한양외계약및준공관련_한미케이블_한미은행2_견적 2" xfId="1044"/>
    <cellStyle name="_99광통신네트워크남구용현외1개소_용현한양외계약및준공관련_한미케이블_한미은행2_통합국사트레이" xfId="1045"/>
    <cellStyle name="_99광통신네트워크남구용현외1개소_용현한양외계약및준공관련_한미케이블_한미은행2_통합국사트레이 2" xfId="1046"/>
    <cellStyle name="_99광통신네트워크남구용현외1개소_용현한양외계약및준공관련_한미케이블_한미은행본사" xfId="1047"/>
    <cellStyle name="_99광통신네트워크남구용현외1개소_용현한양외계약및준공관련_한미케이블_한미은행본사 2" xfId="1048"/>
    <cellStyle name="_99광통신네트워크남구용현외1개소_용현한양외계약및준공관련_한미케이블_한미은행본사_견적" xfId="1049"/>
    <cellStyle name="_99광통신네트워크남구용현외1개소_용현한양외계약및준공관련_한미케이블_한미은행본사_견적 2" xfId="1050"/>
    <cellStyle name="_99광통신네트워크남구용현외1개소_용현한양외계약및준공관련_한미케이블_한미은행본사_통합국사트레이" xfId="1051"/>
    <cellStyle name="_99광통신네트워크남구용현외1개소_용현한양외계약및준공관련_한미케이블_한미은행본사_통합국사트레이 2" xfId="1052"/>
    <cellStyle name="_99광통신네트워크남구용현외1개소_용현한양외계약및준공관련_한미케이블_한미은행본사1" xfId="1053"/>
    <cellStyle name="_99광통신네트워크남구용현외1개소_용현한양외계약및준공관련_한미케이블_한미은행본사1 2" xfId="1054"/>
    <cellStyle name="_99광통신네트워크남구용현외1개소_용현한양외계약및준공관련_한미케이블_한미은행본사1_견적" xfId="1055"/>
    <cellStyle name="_99광통신네트워크남구용현외1개소_용현한양외계약및준공관련_한미케이블_한미은행본사1_견적 2" xfId="1056"/>
    <cellStyle name="_99광통신네트워크남구용현외1개소_용현한양외계약및준공관련_한미케이블_한미은행본사1_통합국사트레이" xfId="1057"/>
    <cellStyle name="_99광통신네트워크남구용현외1개소_용현한양외계약및준공관련_한미케이블_한미은행본사1_통합국사트레이 2" xfId="1058"/>
    <cellStyle name="_99광통신네트워크남구용현외1개소_파워콤간이공사관련" xfId="1059"/>
    <cellStyle name="_99광통신네트워크남구용현외1개소_파워콤간이공사관련 2" xfId="1060"/>
    <cellStyle name="_99광통신네트워크남구용현외1개소_파워콤간이공사관련_견적" xfId="1061"/>
    <cellStyle name="_99광통신네트워크남구용현외1개소_파워콤간이공사관련_견적 2" xfId="1062"/>
    <cellStyle name="_99광통신네트워크남구용현외1개소_파워콤간이공사관련_통합국사트레이" xfId="1063"/>
    <cellStyle name="_99광통신네트워크남구용현외1개소_파워콤간이공사관련_통합국사트레이 2" xfId="1064"/>
    <cellStyle name="_99광통신네트워크남구용현외1개소_파워콤간이공사관련_한미우석" xfId="1065"/>
    <cellStyle name="_99광통신네트워크남구용현외1개소_파워콤간이공사관련_한미우석 2" xfId="1066"/>
    <cellStyle name="_99광통신네트워크남구용현외1개소_파워콤간이공사관련_한미우석_견적" xfId="1067"/>
    <cellStyle name="_99광통신네트워크남구용현외1개소_파워콤간이공사관련_한미우석_견적 2" xfId="1068"/>
    <cellStyle name="_99광통신네트워크남구용현외1개소_파워콤간이공사관련_한미우석_계양등7개소" xfId="1069"/>
    <cellStyle name="_99광통신네트워크남구용현외1개소_파워콤간이공사관련_한미우석_계양등7개소 2" xfId="1070"/>
    <cellStyle name="_99광통신네트워크남구용현외1개소_파워콤간이공사관련_한미우석_통합국사전원선" xfId="1071"/>
    <cellStyle name="_99광통신네트워크남구용현외1개소_파워콤간이공사관련_한미우석_통합국사전원선 2" xfId="1072"/>
    <cellStyle name="_99광통신네트워크남구용현외1개소_파워콤간이공사관련_한미우석_통합국사트레이" xfId="1073"/>
    <cellStyle name="_99광통신네트워크남구용현외1개소_파워콤간이공사관련_한미우석_통합국사트레이 2" xfId="1074"/>
    <cellStyle name="_99광통신네트워크남구용현외1개소_파워콤간이공사관련_한미우석_한미은행1" xfId="1075"/>
    <cellStyle name="_99광통신네트워크남구용현외1개소_파워콤간이공사관련_한미우석_한미은행1 2" xfId="1076"/>
    <cellStyle name="_99광통신네트워크남구용현외1개소_파워콤간이공사관련_한미우석_한미은행1_통합국사트레이" xfId="1077"/>
    <cellStyle name="_99광통신네트워크남구용현외1개소_파워콤간이공사관련_한미우석_한미은행1_통합국사트레이 2" xfId="1078"/>
    <cellStyle name="_99광통신네트워크남구용현외1개소_파워콤간이공사관련_한미우석_한미은행2" xfId="1079"/>
    <cellStyle name="_99광통신네트워크남구용현외1개소_파워콤간이공사관련_한미우석_한미은행2 2" xfId="1080"/>
    <cellStyle name="_99광통신네트워크남구용현외1개소_파워콤간이공사관련_한미우석_한미은행2_견적" xfId="1081"/>
    <cellStyle name="_99광통신네트워크남구용현외1개소_파워콤간이공사관련_한미우석_한미은행2_견적 2" xfId="1082"/>
    <cellStyle name="_99광통신네트워크남구용현외1개소_파워콤간이공사관련_한미우석_한미은행2_통합국사트레이" xfId="1083"/>
    <cellStyle name="_99광통신네트워크남구용현외1개소_파워콤간이공사관련_한미우석_한미은행2_통합국사트레이 2" xfId="1084"/>
    <cellStyle name="_99광통신네트워크남구용현외1개소_파워콤간이공사관련_한미우석_한미은행본사" xfId="1085"/>
    <cellStyle name="_99광통신네트워크남구용현외1개소_파워콤간이공사관련_한미우석_한미은행본사 2" xfId="1086"/>
    <cellStyle name="_99광통신네트워크남구용현외1개소_파워콤간이공사관련_한미우석_한미은행본사_견적" xfId="1087"/>
    <cellStyle name="_99광통신네트워크남구용현외1개소_파워콤간이공사관련_한미우석_한미은행본사_견적 2" xfId="1088"/>
    <cellStyle name="_99광통신네트워크남구용현외1개소_파워콤간이공사관련_한미우석_한미은행본사_통합국사트레이" xfId="1089"/>
    <cellStyle name="_99광통신네트워크남구용현외1개소_파워콤간이공사관련_한미우석_한미은행본사_통합국사트레이 2" xfId="1090"/>
    <cellStyle name="_99광통신네트워크남구용현외1개소_파워콤간이공사관련_한미우석_한미은행본사1" xfId="1091"/>
    <cellStyle name="_99광통신네트워크남구용현외1개소_파워콤간이공사관련_한미우석_한미은행본사1 2" xfId="1092"/>
    <cellStyle name="_99광통신네트워크남구용현외1개소_파워콤간이공사관련_한미우석_한미은행본사1_견적" xfId="1093"/>
    <cellStyle name="_99광통신네트워크남구용현외1개소_파워콤간이공사관련_한미우석_한미은행본사1_견적 2" xfId="1094"/>
    <cellStyle name="_99광통신네트워크남구용현외1개소_파워콤간이공사관련_한미우석_한미은행본사1_통합국사트레이" xfId="1095"/>
    <cellStyle name="_99광통신네트워크남구용현외1개소_파워콤간이공사관련_한미우석_한미은행본사1_통합국사트레이 2" xfId="1096"/>
    <cellStyle name="_99광통신네트워크남구용현외1개소_파워콤간이공사관련_한미은행본사" xfId="1097"/>
    <cellStyle name="_99광통신네트워크남구용현외1개소_파워콤간이공사관련_한미은행본사 2" xfId="1098"/>
    <cellStyle name="_99광통신네트워크남구용현외1개소_파워콤간이공사관련_한미은행본사_견적" xfId="1099"/>
    <cellStyle name="_99광통신네트워크남구용현외1개소_파워콤간이공사관련_한미은행본사_견적 2" xfId="1100"/>
    <cellStyle name="_99광통신네트워크남구용현외1개소_파워콤간이공사관련_한미은행본사_계양등7개소" xfId="1101"/>
    <cellStyle name="_99광통신네트워크남구용현외1개소_파워콤간이공사관련_한미은행본사_계양등7개소 2" xfId="1102"/>
    <cellStyle name="_99광통신네트워크남구용현외1개소_파워콤간이공사관련_한미은행본사_통합국사전원선" xfId="1103"/>
    <cellStyle name="_99광통신네트워크남구용현외1개소_파워콤간이공사관련_한미은행본사_통합국사전원선 2" xfId="1104"/>
    <cellStyle name="_99광통신네트워크남구용현외1개소_파워콤간이공사관련_한미은행본사_통합국사트레이" xfId="1105"/>
    <cellStyle name="_99광통신네트워크남구용현외1개소_파워콤간이공사관련_한미은행본사_통합국사트레이 2" xfId="1106"/>
    <cellStyle name="_99광통신네트워크남구용현외1개소_파워콤간이공사관련_한미은행본사_한미은행1" xfId="1107"/>
    <cellStyle name="_99광통신네트워크남구용현외1개소_파워콤간이공사관련_한미은행본사_한미은행1 2" xfId="1108"/>
    <cellStyle name="_99광통신네트워크남구용현외1개소_파워콤간이공사관련_한미은행본사_한미은행1_통합국사트레이" xfId="1109"/>
    <cellStyle name="_99광통신네트워크남구용현외1개소_파워콤간이공사관련_한미은행본사_한미은행1_통합국사트레이 2" xfId="1110"/>
    <cellStyle name="_99광통신네트워크남구용현외1개소_파워콤간이공사관련_한미은행본사_한미은행2" xfId="1111"/>
    <cellStyle name="_99광통신네트워크남구용현외1개소_파워콤간이공사관련_한미은행본사_한미은행2 2" xfId="1112"/>
    <cellStyle name="_99광통신네트워크남구용현외1개소_파워콤간이공사관련_한미은행본사_한미은행2_견적" xfId="1113"/>
    <cellStyle name="_99광통신네트워크남구용현외1개소_파워콤간이공사관련_한미은행본사_한미은행2_견적 2" xfId="1114"/>
    <cellStyle name="_99광통신네트워크남구용현외1개소_파워콤간이공사관련_한미은행본사_한미은행2_통합국사트레이" xfId="1115"/>
    <cellStyle name="_99광통신네트워크남구용현외1개소_파워콤간이공사관련_한미은행본사_한미은행2_통합국사트레이 2" xfId="1116"/>
    <cellStyle name="_99광통신네트워크남구용현외1개소_파워콤간이공사관련_한미은행본사_한미은행본사" xfId="1117"/>
    <cellStyle name="_99광통신네트워크남구용현외1개소_파워콤간이공사관련_한미은행본사_한미은행본사 2" xfId="1118"/>
    <cellStyle name="_99광통신네트워크남구용현외1개소_파워콤간이공사관련_한미은행본사_한미은행본사_견적" xfId="1119"/>
    <cellStyle name="_99광통신네트워크남구용현외1개소_파워콤간이공사관련_한미은행본사_한미은행본사_견적 2" xfId="1120"/>
    <cellStyle name="_99광통신네트워크남구용현외1개소_파워콤간이공사관련_한미은행본사_한미은행본사_통합국사트레이" xfId="1121"/>
    <cellStyle name="_99광통신네트워크남구용현외1개소_파워콤간이공사관련_한미은행본사_한미은행본사_통합국사트레이 2" xfId="1122"/>
    <cellStyle name="_99광통신네트워크남구용현외1개소_파워콤간이공사관련_한미은행본사_한미은행본사1" xfId="1123"/>
    <cellStyle name="_99광통신네트워크남구용현외1개소_파워콤간이공사관련_한미은행본사_한미은행본사1 2" xfId="1124"/>
    <cellStyle name="_99광통신네트워크남구용현외1개소_파워콤간이공사관련_한미은행본사_한미은행본사1_견적" xfId="1125"/>
    <cellStyle name="_99광통신네트워크남구용현외1개소_파워콤간이공사관련_한미은행본사_한미은행본사1_견적 2" xfId="1126"/>
    <cellStyle name="_99광통신네트워크남구용현외1개소_파워콤간이공사관련_한미은행본사_한미은행본사1_통합국사트레이" xfId="1127"/>
    <cellStyle name="_99광통신네트워크남구용현외1개소_파워콤간이공사관련_한미은행본사_한미은행본사1_통합국사트레이 2" xfId="1128"/>
    <cellStyle name="_99광통신네트워크남구용현외1개소_파워콤간이공사관련_한미케이블" xfId="1129"/>
    <cellStyle name="_99광통신네트워크남구용현외1개소_파워콤간이공사관련_한미케이블 2" xfId="1130"/>
    <cellStyle name="_99광통신네트워크남구용현외1개소_파워콤간이공사관련_한미케이블_견적" xfId="1131"/>
    <cellStyle name="_99광통신네트워크남구용현외1개소_파워콤간이공사관련_한미케이블_견적 2" xfId="1132"/>
    <cellStyle name="_99광통신네트워크남구용현외1개소_파워콤간이공사관련_한미케이블_계양등7개소" xfId="1133"/>
    <cellStyle name="_99광통신네트워크남구용현외1개소_파워콤간이공사관련_한미케이블_계양등7개소 2" xfId="1134"/>
    <cellStyle name="_99광통신네트워크남구용현외1개소_파워콤간이공사관련_한미케이블_통합국사전원선" xfId="1135"/>
    <cellStyle name="_99광통신네트워크남구용현외1개소_파워콤간이공사관련_한미케이블_통합국사전원선 2" xfId="1136"/>
    <cellStyle name="_99광통신네트워크남구용현외1개소_파워콤간이공사관련_한미케이블_통합국사트레이" xfId="1137"/>
    <cellStyle name="_99광통신네트워크남구용현외1개소_파워콤간이공사관련_한미케이블_통합국사트레이 2" xfId="1138"/>
    <cellStyle name="_99광통신네트워크남구용현외1개소_파워콤간이공사관련_한미케이블_한미은행1" xfId="1139"/>
    <cellStyle name="_99광통신네트워크남구용현외1개소_파워콤간이공사관련_한미케이블_한미은행1 2" xfId="1140"/>
    <cellStyle name="_99광통신네트워크남구용현외1개소_파워콤간이공사관련_한미케이블_한미은행1_통합국사트레이" xfId="1141"/>
    <cellStyle name="_99광통신네트워크남구용현외1개소_파워콤간이공사관련_한미케이블_한미은행1_통합국사트레이 2" xfId="1142"/>
    <cellStyle name="_99광통신네트워크남구용현외1개소_파워콤간이공사관련_한미케이블_한미은행2" xfId="1143"/>
    <cellStyle name="_99광통신네트워크남구용현외1개소_파워콤간이공사관련_한미케이블_한미은행2 2" xfId="1144"/>
    <cellStyle name="_99광통신네트워크남구용현외1개소_파워콤간이공사관련_한미케이블_한미은행2_견적" xfId="1145"/>
    <cellStyle name="_99광통신네트워크남구용현외1개소_파워콤간이공사관련_한미케이블_한미은행2_견적 2" xfId="1146"/>
    <cellStyle name="_99광통신네트워크남구용현외1개소_파워콤간이공사관련_한미케이블_한미은행2_통합국사트레이" xfId="1147"/>
    <cellStyle name="_99광통신네트워크남구용현외1개소_파워콤간이공사관련_한미케이블_한미은행2_통합국사트레이 2" xfId="1148"/>
    <cellStyle name="_99광통신네트워크남구용현외1개소_파워콤간이공사관련_한미케이블_한미은행본사" xfId="1149"/>
    <cellStyle name="_99광통신네트워크남구용현외1개소_파워콤간이공사관련_한미케이블_한미은행본사 2" xfId="1150"/>
    <cellStyle name="_99광통신네트워크남구용현외1개소_파워콤간이공사관련_한미케이블_한미은행본사_견적" xfId="1151"/>
    <cellStyle name="_99광통신네트워크남구용현외1개소_파워콤간이공사관련_한미케이블_한미은행본사_견적 2" xfId="1152"/>
    <cellStyle name="_99광통신네트워크남구용현외1개소_파워콤간이공사관련_한미케이블_한미은행본사_통합국사트레이" xfId="1153"/>
    <cellStyle name="_99광통신네트워크남구용현외1개소_파워콤간이공사관련_한미케이블_한미은행본사_통합국사트레이 2" xfId="1154"/>
    <cellStyle name="_99광통신네트워크남구용현외1개소_파워콤간이공사관련_한미케이블_한미은행본사1" xfId="1155"/>
    <cellStyle name="_99광통신네트워크남구용현외1개소_파워콤간이공사관련_한미케이블_한미은행본사1 2" xfId="1156"/>
    <cellStyle name="_99광통신네트워크남구용현외1개소_파워콤간이공사관련_한미케이블_한미은행본사1_견적" xfId="1157"/>
    <cellStyle name="_99광통신네트워크남구용현외1개소_파워콤간이공사관련_한미케이블_한미은행본사1_견적 2" xfId="1158"/>
    <cellStyle name="_99광통신네트워크남구용현외1개소_파워콤간이공사관련_한미케이블_한미은행본사1_통합국사트레이" xfId="1159"/>
    <cellStyle name="_99광통신네트워크남구용현외1개소_파워콤간이공사관련_한미케이블_한미은행본사1_통합국사트레이 2" xfId="1160"/>
    <cellStyle name="_99광통신시흥방산" xfId="1161"/>
    <cellStyle name="_99광통신시흥방산 2" xfId="1162"/>
    <cellStyle name="_99광통신시흥방산_1" xfId="1163"/>
    <cellStyle name="_99광통신시흥방산_1 2" xfId="1164"/>
    <cellStyle name="_99광통신시흥방산_1_견적" xfId="1165"/>
    <cellStyle name="_99광통신시흥방산_1_견적 2" xfId="1166"/>
    <cellStyle name="_99광통신시흥방산_1_통합국사트레이" xfId="1167"/>
    <cellStyle name="_99광통신시흥방산_1_통합국사트레이 2" xfId="1168"/>
    <cellStyle name="_99광통신시흥방산_1_한미우석" xfId="1169"/>
    <cellStyle name="_99광통신시흥방산_1_한미우석 2" xfId="1170"/>
    <cellStyle name="_99광통신시흥방산_1_한미우석_견적" xfId="1171"/>
    <cellStyle name="_99광통신시흥방산_1_한미우석_견적 2" xfId="1172"/>
    <cellStyle name="_99광통신시흥방산_1_한미우석_계양등7개소" xfId="1173"/>
    <cellStyle name="_99광통신시흥방산_1_한미우석_계양등7개소 2" xfId="1174"/>
    <cellStyle name="_99광통신시흥방산_1_한미우석_통합국사전원선" xfId="1175"/>
    <cellStyle name="_99광통신시흥방산_1_한미우석_통합국사전원선 2" xfId="1176"/>
    <cellStyle name="_99광통신시흥방산_1_한미우석_통합국사트레이" xfId="1177"/>
    <cellStyle name="_99광통신시흥방산_1_한미우석_통합국사트레이 2" xfId="1178"/>
    <cellStyle name="_99광통신시흥방산_1_한미우석_한미은행1" xfId="1179"/>
    <cellStyle name="_99광통신시흥방산_1_한미우석_한미은행1 2" xfId="1180"/>
    <cellStyle name="_99광통신시흥방산_1_한미우석_한미은행1_통합국사트레이" xfId="1181"/>
    <cellStyle name="_99광통신시흥방산_1_한미우석_한미은행1_통합국사트레이 2" xfId="1182"/>
    <cellStyle name="_99광통신시흥방산_1_한미우석_한미은행2" xfId="1183"/>
    <cellStyle name="_99광통신시흥방산_1_한미우석_한미은행2 2" xfId="1184"/>
    <cellStyle name="_99광통신시흥방산_1_한미우석_한미은행2_견적" xfId="1185"/>
    <cellStyle name="_99광통신시흥방산_1_한미우석_한미은행2_견적 2" xfId="1186"/>
    <cellStyle name="_99광통신시흥방산_1_한미우석_한미은행2_통합국사트레이" xfId="1187"/>
    <cellStyle name="_99광통신시흥방산_1_한미우석_한미은행2_통합국사트레이 2" xfId="1188"/>
    <cellStyle name="_99광통신시흥방산_1_한미우석_한미은행본사" xfId="1189"/>
    <cellStyle name="_99광통신시흥방산_1_한미우석_한미은행본사 2" xfId="1190"/>
    <cellStyle name="_99광통신시흥방산_1_한미우석_한미은행본사_견적" xfId="1191"/>
    <cellStyle name="_99광통신시흥방산_1_한미우석_한미은행본사_견적 2" xfId="1192"/>
    <cellStyle name="_99광통신시흥방산_1_한미우석_한미은행본사_통합국사트레이" xfId="1193"/>
    <cellStyle name="_99광통신시흥방산_1_한미우석_한미은행본사_통합국사트레이 2" xfId="1194"/>
    <cellStyle name="_99광통신시흥방산_1_한미우석_한미은행본사1" xfId="1195"/>
    <cellStyle name="_99광통신시흥방산_1_한미우석_한미은행본사1 2" xfId="1196"/>
    <cellStyle name="_99광통신시흥방산_1_한미우석_한미은행본사1_견적" xfId="1197"/>
    <cellStyle name="_99광통신시흥방산_1_한미우석_한미은행본사1_견적 2" xfId="1198"/>
    <cellStyle name="_99광통신시흥방산_1_한미우석_한미은행본사1_통합국사트레이" xfId="1199"/>
    <cellStyle name="_99광통신시흥방산_1_한미우석_한미은행본사1_통합국사트레이 2" xfId="1200"/>
    <cellStyle name="_99광통신시흥방산_1_한미은행본사" xfId="1201"/>
    <cellStyle name="_99광통신시흥방산_1_한미은행본사 2" xfId="1202"/>
    <cellStyle name="_99광통신시흥방산_1_한미은행본사_견적" xfId="1203"/>
    <cellStyle name="_99광통신시흥방산_1_한미은행본사_견적 2" xfId="1204"/>
    <cellStyle name="_99광통신시흥방산_1_한미은행본사_계양등7개소" xfId="1205"/>
    <cellStyle name="_99광통신시흥방산_1_한미은행본사_계양등7개소 2" xfId="1206"/>
    <cellStyle name="_99광통신시흥방산_1_한미은행본사_통합국사전원선" xfId="1207"/>
    <cellStyle name="_99광통신시흥방산_1_한미은행본사_통합국사전원선 2" xfId="1208"/>
    <cellStyle name="_99광통신시흥방산_1_한미은행본사_통합국사트레이" xfId="1209"/>
    <cellStyle name="_99광통신시흥방산_1_한미은행본사_통합국사트레이 2" xfId="1210"/>
    <cellStyle name="_99광통신시흥방산_1_한미은행본사_한미은행1" xfId="1211"/>
    <cellStyle name="_99광통신시흥방산_1_한미은행본사_한미은행1 2" xfId="1212"/>
    <cellStyle name="_99광통신시흥방산_1_한미은행본사_한미은행1_통합국사트레이" xfId="1213"/>
    <cellStyle name="_99광통신시흥방산_1_한미은행본사_한미은행1_통합국사트레이 2" xfId="1214"/>
    <cellStyle name="_99광통신시흥방산_1_한미은행본사_한미은행2" xfId="1215"/>
    <cellStyle name="_99광통신시흥방산_1_한미은행본사_한미은행2 2" xfId="1216"/>
    <cellStyle name="_99광통신시흥방산_1_한미은행본사_한미은행2_견적" xfId="1217"/>
    <cellStyle name="_99광통신시흥방산_1_한미은행본사_한미은행2_견적 2" xfId="1218"/>
    <cellStyle name="_99광통신시흥방산_1_한미은행본사_한미은행2_통합국사트레이" xfId="1219"/>
    <cellStyle name="_99광통신시흥방산_1_한미은행본사_한미은행2_통합국사트레이 2" xfId="1220"/>
    <cellStyle name="_99광통신시흥방산_1_한미은행본사_한미은행본사" xfId="1221"/>
    <cellStyle name="_99광통신시흥방산_1_한미은행본사_한미은행본사 2" xfId="1222"/>
    <cellStyle name="_99광통신시흥방산_1_한미은행본사_한미은행본사_견적" xfId="1223"/>
    <cellStyle name="_99광통신시흥방산_1_한미은행본사_한미은행본사_견적 2" xfId="1224"/>
    <cellStyle name="_99광통신시흥방산_1_한미은행본사_한미은행본사_통합국사트레이" xfId="1225"/>
    <cellStyle name="_99광통신시흥방산_1_한미은행본사_한미은행본사_통합국사트레이 2" xfId="1226"/>
    <cellStyle name="_99광통신시흥방산_1_한미은행본사_한미은행본사1" xfId="1227"/>
    <cellStyle name="_99광통신시흥방산_1_한미은행본사_한미은행본사1 2" xfId="1228"/>
    <cellStyle name="_99광통신시흥방산_1_한미은행본사_한미은행본사1_견적" xfId="1229"/>
    <cellStyle name="_99광통신시흥방산_1_한미은행본사_한미은행본사1_견적 2" xfId="1230"/>
    <cellStyle name="_99광통신시흥방산_1_한미은행본사_한미은행본사1_통합국사트레이" xfId="1231"/>
    <cellStyle name="_99광통신시흥방산_1_한미은행본사_한미은행본사1_통합국사트레이 2" xfId="1232"/>
    <cellStyle name="_99광통신시흥방산_1_한미케이블" xfId="1233"/>
    <cellStyle name="_99광통신시흥방산_1_한미케이블 2" xfId="1234"/>
    <cellStyle name="_99광통신시흥방산_1_한미케이블_견적" xfId="1235"/>
    <cellStyle name="_99광통신시흥방산_1_한미케이블_견적 2" xfId="1236"/>
    <cellStyle name="_99광통신시흥방산_1_한미케이블_계양등7개소" xfId="1237"/>
    <cellStyle name="_99광통신시흥방산_1_한미케이블_계양등7개소 2" xfId="1238"/>
    <cellStyle name="_99광통신시흥방산_1_한미케이블_통합국사전원선" xfId="1239"/>
    <cellStyle name="_99광통신시흥방산_1_한미케이블_통합국사전원선 2" xfId="1240"/>
    <cellStyle name="_99광통신시흥방산_1_한미케이블_통합국사트레이" xfId="1241"/>
    <cellStyle name="_99광통신시흥방산_1_한미케이블_통합국사트레이 2" xfId="1242"/>
    <cellStyle name="_99광통신시흥방산_1_한미케이블_한미은행1" xfId="1243"/>
    <cellStyle name="_99광통신시흥방산_1_한미케이블_한미은행1 2" xfId="1244"/>
    <cellStyle name="_99광통신시흥방산_1_한미케이블_한미은행1_통합국사트레이" xfId="1245"/>
    <cellStyle name="_99광통신시흥방산_1_한미케이블_한미은행1_통합국사트레이 2" xfId="1246"/>
    <cellStyle name="_99광통신시흥방산_1_한미케이블_한미은행2" xfId="1247"/>
    <cellStyle name="_99광통신시흥방산_1_한미케이블_한미은행2 2" xfId="1248"/>
    <cellStyle name="_99광통신시흥방산_1_한미케이블_한미은행2_견적" xfId="1249"/>
    <cellStyle name="_99광통신시흥방산_1_한미케이블_한미은행2_견적 2" xfId="1250"/>
    <cellStyle name="_99광통신시흥방산_1_한미케이블_한미은행2_통합국사트레이" xfId="1251"/>
    <cellStyle name="_99광통신시흥방산_1_한미케이블_한미은행2_통합국사트레이 2" xfId="1252"/>
    <cellStyle name="_99광통신시흥방산_1_한미케이블_한미은행본사" xfId="1253"/>
    <cellStyle name="_99광통신시흥방산_1_한미케이블_한미은행본사 2" xfId="1254"/>
    <cellStyle name="_99광통신시흥방산_1_한미케이블_한미은행본사_견적" xfId="1255"/>
    <cellStyle name="_99광통신시흥방산_1_한미케이블_한미은행본사_견적 2" xfId="1256"/>
    <cellStyle name="_99광통신시흥방산_1_한미케이블_한미은행본사_통합국사트레이" xfId="1257"/>
    <cellStyle name="_99광통신시흥방산_1_한미케이블_한미은행본사_통합국사트레이 2" xfId="1258"/>
    <cellStyle name="_99광통신시흥방산_1_한미케이블_한미은행본사1" xfId="1259"/>
    <cellStyle name="_99광통신시흥방산_1_한미케이블_한미은행본사1 2" xfId="1260"/>
    <cellStyle name="_99광통신시흥방산_1_한미케이블_한미은행본사1_견적" xfId="1261"/>
    <cellStyle name="_99광통신시흥방산_1_한미케이블_한미은행본사1_견적 2" xfId="1262"/>
    <cellStyle name="_99광통신시흥방산_1_한미케이블_한미은행본사1_통합국사트레이" xfId="1263"/>
    <cellStyle name="_99광통신시흥방산_1_한미케이블_한미은행본사1_통합국사트레이 2" xfId="1264"/>
    <cellStyle name="_99광통신시흥방산_2" xfId="1265"/>
    <cellStyle name="_99광통신시흥방산_2 2" xfId="1266"/>
    <cellStyle name="_99신현외1개소보강" xfId="1267"/>
    <cellStyle name="_99신현외1개소보강 2" xfId="1268"/>
    <cellStyle name="_acrovista 제출(검토)" xfId="1269"/>
    <cellStyle name="_acrovista 제출(검토) 2" xfId="1270"/>
    <cellStyle name="_AV-1" xfId="1271"/>
    <cellStyle name="_AV-1 2" xfId="1272"/>
    <cellStyle name="_B&amp;S미디어(인하대)" xfId="1273"/>
    <cellStyle name="_B&amp;S미디어(인하대) 2" xfId="1274"/>
    <cellStyle name="_Book1" xfId="1275"/>
    <cellStyle name="_Book1 2" xfId="1276"/>
    <cellStyle name="_Book2" xfId="1277"/>
    <cellStyle name="_Book2 2" xfId="1278"/>
    <cellStyle name="_Cisco_spec(To_LGCNS) 견적" xfId="1279"/>
    <cellStyle name="_Cisco_spec(To_LGCNS) 견적 2" xfId="1280"/>
    <cellStyle name="_DATA저장시스템물량내역서_광암06" xfId="1281"/>
    <cellStyle name="_DATA저장시스템물량내역서_광암06 2" xfId="1282"/>
    <cellStyle name="_DATA저장시스템물량내역서_광암06_3_DATA 통합운영 시스템 내역서_421" xfId="1283"/>
    <cellStyle name="_DATA저장시스템물량내역서_광암06_3_DATA 통합운영 시스템 내역서_421 2" xfId="1284"/>
    <cellStyle name="_DATA저장시스템물량내역서_광암06_3_DATA 통합운영 시스템 내역서_421_계약내역-관급-총괄" xfId="1285"/>
    <cellStyle name="_DATA저장시스템물량내역서_광암06_3_DATA 통합운영 시스템 내역서_421_계약내역-관급-총괄 2" xfId="1286"/>
    <cellStyle name="_DATA저장시스템물량내역서_광암06_3_자양취수장 내역서3" xfId="1287"/>
    <cellStyle name="_DATA저장시스템물량내역서_광암06_3_자양취수장 내역서3 2" xfId="1288"/>
    <cellStyle name="_DATA저장시스템물량내역서_광암06_3_자양취수장 내역서3_계약내역-관급-총괄" xfId="1289"/>
    <cellStyle name="_DATA저장시스템물량내역서_광암06_3_자양취수장 내역서3_계약내역-관급-총괄 2" xfId="1290"/>
    <cellStyle name="_DATA저장시스템물량내역서_광암06_계약내역-관급-총괄" xfId="1291"/>
    <cellStyle name="_DATA저장시스템물량내역서_광암06_계약내역-관급-총괄 2" xfId="1292"/>
    <cellStyle name="_EL" xfId="1293"/>
    <cellStyle name="_EL 2" xfId="1294"/>
    <cellStyle name="_fax양식" xfId="1295"/>
    <cellStyle name="_fax양식 2" xfId="1296"/>
    <cellStyle name="_IM-1" xfId="1297"/>
    <cellStyle name="_IM-1 2" xfId="1298"/>
    <cellStyle name="_KBS홀(전동마이크교체)예산안" xfId="1299"/>
    <cellStyle name="_LG전자 가산종합연구단지 시스템통합산출내역서-도면 변경에 따른 내역 변경에 의함(2005.10.31)" xfId="1300"/>
    <cellStyle name="_LG전자 가산종합연구단지 시스템통합산출내역서-도면 변경에 따른 내역 변경에 의함(2005.10.31) 2" xfId="1301"/>
    <cellStyle name="_LG전자 가산종합연구단지 통합SI 견적_실행" xfId="1302"/>
    <cellStyle name="_LG전자 가산종합연구단지 통합SI 견적_실행 2" xfId="1303"/>
    <cellStyle name="_MCC및분전반" xfId="1304"/>
    <cellStyle name="_MCC및분전반 2" xfId="1305"/>
    <cellStyle name="_mw" xfId="1306"/>
    <cellStyle name="_mw 2" xfId="1307"/>
    <cellStyle name="_port" xfId="1308"/>
    <cellStyle name="_port 2" xfId="1309"/>
    <cellStyle name="_R3VOD_공사_추가견적서_SMT061010" xfId="1310"/>
    <cellStyle name="_R3VOD_공사_추가견적서_SMT061010 2" xfId="1311"/>
    <cellStyle name="_R3VOD_시스템_견적서_SMT060615" xfId="1312"/>
    <cellStyle name="_R3VOD_시스템_견적서_SMT060615 2" xfId="1313"/>
    <cellStyle name="_RESULTS" xfId="1314"/>
    <cellStyle name="_RESULTS 2" xfId="1315"/>
    <cellStyle name="_Sheet1" xfId="1316"/>
    <cellStyle name="_Sheet1 2" xfId="1317"/>
    <cellStyle name="_Sheet1_1" xfId="1318"/>
    <cellStyle name="_Sheet1_1 2" xfId="1319"/>
    <cellStyle name="_Sheet2" xfId="1320"/>
    <cellStyle name="_Sheet2 2" xfId="1321"/>
    <cellStyle name="_Sheet2_1" xfId="1322"/>
    <cellStyle name="_Sheet2_1 2" xfId="1323"/>
    <cellStyle name="_Sheet3" xfId="1324"/>
    <cellStyle name="_Sheet3 2" xfId="1325"/>
    <cellStyle name="_Sheet3_1" xfId="1326"/>
    <cellStyle name="_Sheet3_1 2" xfId="1327"/>
    <cellStyle name="_SK 판교탈레시스 CCTV 견적서(명신원본_080820)" xfId="1328"/>
    <cellStyle name="_SK건설추정견적" xfId="1329"/>
    <cellStyle name="_SK건설추정견적 2" xfId="1330"/>
    <cellStyle name="_ss" xfId="1331"/>
    <cellStyle name="_ss 2" xfId="1332"/>
    <cellStyle name="_tm견적" xfId="1333"/>
    <cellStyle name="_tm견적 2" xfId="1334"/>
    <cellStyle name="_utla 대전1-2" xfId="1335"/>
    <cellStyle name="_Virus" xfId="1336"/>
    <cellStyle name="_Virus 2" xfId="1337"/>
    <cellStyle name="_가산동" xfId="1338"/>
    <cellStyle name="_가산동 2" xfId="1339"/>
    <cellStyle name="_갑지양식" xfId="1340"/>
    <cellStyle name="_갑지양식 2" xfId="1341"/>
    <cellStyle name="_강릉e-mart" xfId="1342"/>
    <cellStyle name="_강릉e-mart 2" xfId="1343"/>
    <cellStyle name="_강릉남산교-제출본" xfId="1344"/>
    <cellStyle name="_강릉남산교-제출본 2" xfId="1345"/>
    <cellStyle name="_개신초등학교 다목적강당 방송설비" xfId="1346"/>
    <cellStyle name="_거게관광호텔 일위대가" xfId="1347"/>
    <cellStyle name="_거창군공설운동장1203" xfId="1348"/>
    <cellStyle name="_건물내역비교" xfId="1349"/>
    <cellStyle name="_건물내역비교 2" xfId="1350"/>
    <cellStyle name="_견적" xfId="1351"/>
    <cellStyle name="_견적 2" xfId="1352"/>
    <cellStyle name="_견적(LAN_양동)_060302T" xfId="1353"/>
    <cellStyle name="_견적(LAN_양동)_060302T 2" xfId="1354"/>
    <cellStyle name="_견적(LAN-Cisco외_LGE서초R&amp;D)_060913T" xfId="1355"/>
    <cellStyle name="_견적(LAN-Cisco외_LGE서초R&amp;D)_060913T 2" xfId="1356"/>
    <cellStyle name="_견적_요청서" xfId="1357"/>
    <cellStyle name="_견적_요청서 2" xfId="1358"/>
    <cellStyle name="_견적비교" xfId="1359"/>
    <cellStyle name="_견적비교 2" xfId="1360"/>
    <cellStyle name="_견적샘플" xfId="1361"/>
    <cellStyle name="_견적서 Cable(울산대병원_한국네트워크)" xfId="1362"/>
    <cellStyle name="_견적서 Cable(울산대병원_한국네트워크) 2" xfId="1363"/>
    <cellStyle name="_견적서 Cable(울산대병원_한국네트워크)2" xfId="1364"/>
    <cellStyle name="_견적서 Cable(울산대병원_한국네트워크)2 2" xfId="1365"/>
    <cellStyle name="_견적서 양식" xfId="1366"/>
    <cellStyle name="_견적서 양식 2" xfId="1367"/>
    <cellStyle name="_견적서 케이블공사(서울대병원_포어링크)" xfId="1368"/>
    <cellStyle name="_견적서 케이블공사(서울대병원_포어링크) 2" xfId="1369"/>
    <cellStyle name="_견적서 케이블공사(서울대병원2_포어링크_517Node)" xfId="1370"/>
    <cellStyle name="_견적서 케이블공사(서울대병원2_포어링크_517Node) 2" xfId="1371"/>
    <cellStyle name="_견적서(5월14일)" xfId="1372"/>
    <cellStyle name="_견적서(5월14일) 2" xfId="1373"/>
    <cellStyle name="_견적서갑지양식" xfId="1374"/>
    <cellStyle name="_견적서갑지양식 2" xfId="1375"/>
    <cellStyle name="_견적서양식" xfId="1376"/>
    <cellStyle name="_견적서양식 2" xfId="1377"/>
    <cellStyle name="_계량기내역서" xfId="1378"/>
    <cellStyle name="_계량기내역서 2" xfId="1379"/>
    <cellStyle name="_계약내역" xfId="1380"/>
    <cellStyle name="_계약내역 2" xfId="1381"/>
    <cellStyle name="_계약내역-관급-총괄" xfId="1382"/>
    <cellStyle name="_계약내역-관급-총괄 2" xfId="1383"/>
    <cellStyle name="_계원정산건(최종)" xfId="1384"/>
    <cellStyle name="_계원정산건(최종) 2" xfId="1385"/>
    <cellStyle name="_계장(SK)" xfId="1386"/>
    <cellStyle name="_계장(SK) 2" xfId="1387"/>
    <cellStyle name="_고대100주년(산출)" xfId="1388"/>
    <cellStyle name="_고대100주년(산출) 2" xfId="1389"/>
    <cellStyle name="_고려-수원미네시티(작업)" xfId="1390"/>
    <cellStyle name="_고려-수원미네시티(작업) 2" xfId="1391"/>
    <cellStyle name="_공내역서(금오)R1" xfId="1392"/>
    <cellStyle name="_공내역서(금오)R1 2" xfId="1393"/>
    <cellStyle name="_공량산출1105" xfId="1394"/>
    <cellStyle name="_공량산출양식_2003.11" xfId="1395"/>
    <cellStyle name="_공량산출양식_2003.11 2" xfId="1396"/>
    <cellStyle name="_공문 " xfId="1397"/>
    <cellStyle name="_공사비산출" xfId="1398"/>
    <cellStyle name="_공사원가계산서_06.09.23_3개소" xfId="1399"/>
    <cellStyle name="_공사원가계산서_06.09.23_3개소 2" xfId="1400"/>
    <cellStyle name="_공연장내역(0511)_제출가격" xfId="1401"/>
    <cellStyle name="_공정표" xfId="1402"/>
    <cellStyle name="_공정표 2" xfId="1403"/>
    <cellStyle name="_관급서류(재출용)" xfId="1404"/>
    <cellStyle name="_관급서류(재출용) 2" xfId="1405"/>
    <cellStyle name="_광교내역서_06.08.30_2차" xfId="1406"/>
    <cellStyle name="_광교내역서_06.08.30_2차 2" xfId="1407"/>
    <cellStyle name="_광교정수장 및 배수지 원격제어 시스템 설치공사 내역서" xfId="1408"/>
    <cellStyle name="_광교정수장 및 배수지 원격제어 시스템 설치공사 내역서 2" xfId="1409"/>
    <cellStyle name="_광교정수장 및 배수지 유량계 교체공사_1억5천6백" xfId="1410"/>
    <cellStyle name="_광교정수장 및 배수지 유량계 교체공사_1억5천6백 2" xfId="1411"/>
    <cellStyle name="_광암변전실탈수기동_물량내역서" xfId="1412"/>
    <cellStyle name="_광암변전실탈수기동_물량내역서 2" xfId="1413"/>
    <cellStyle name="_광암변전실탈수기동_물량내역서_3_DATA 통합운영 시스템 내역서_421" xfId="1414"/>
    <cellStyle name="_광암변전실탈수기동_물량내역서_3_DATA 통합운영 시스템 내역서_421 2" xfId="1415"/>
    <cellStyle name="_광암변전실탈수기동_물량내역서_3_DATA 통합운영 시스템 내역서_421_계약내역-관급-총괄" xfId="1416"/>
    <cellStyle name="_광암변전실탈수기동_물량내역서_3_DATA 통합운영 시스템 내역서_421_계약내역-관급-총괄 2" xfId="1417"/>
    <cellStyle name="_광암변전실탈수기동_물량내역서_3_자양취수장 내역서3" xfId="1418"/>
    <cellStyle name="_광암변전실탈수기동_물량내역서_3_자양취수장 내역서3 2" xfId="1419"/>
    <cellStyle name="_광암변전실탈수기동_물량내역서_3_자양취수장 내역서3_계약내역-관급-총괄" xfId="1420"/>
    <cellStyle name="_광암변전실탈수기동_물량내역서_3_자양취수장 내역서3_계약내역-관급-총괄 2" xfId="1421"/>
    <cellStyle name="_광암변전실탈수기동_물량내역서_계약내역-관급-총괄" xfId="1422"/>
    <cellStyle name="_광암변전실탈수기동_물량내역서_계약내역-관급-총괄 2" xfId="1423"/>
    <cellStyle name="_광암변전실탈수기동_물량내역서02" xfId="1424"/>
    <cellStyle name="_광암변전실탈수기동_물량내역서02 2" xfId="1425"/>
    <cellStyle name="_광암변전실탈수기동_물량내역서02_3_DATA 통합운영 시스템 내역서_421" xfId="1426"/>
    <cellStyle name="_광암변전실탈수기동_물량내역서02_3_DATA 통합운영 시스템 내역서_421 2" xfId="1427"/>
    <cellStyle name="_광암변전실탈수기동_물량내역서02_3_DATA 통합운영 시스템 내역서_421_계약내역-관급-총괄" xfId="1428"/>
    <cellStyle name="_광암변전실탈수기동_물량내역서02_3_DATA 통합운영 시스템 내역서_421_계약내역-관급-총괄 2" xfId="1429"/>
    <cellStyle name="_광암변전실탈수기동_물량내역서02_3_자양취수장 내역서3" xfId="1430"/>
    <cellStyle name="_광암변전실탈수기동_물량내역서02_3_자양취수장 내역서3 2" xfId="1431"/>
    <cellStyle name="_광암변전실탈수기동_물량내역서02_3_자양취수장 내역서3_계약내역-관급-총괄" xfId="1432"/>
    <cellStyle name="_광암변전실탈수기동_물량내역서02_3_자양취수장 내역서3_계약내역-관급-총괄 2" xfId="1433"/>
    <cellStyle name="_광암변전실탈수기동_물량내역서02_계약내역-관급-총괄" xfId="1434"/>
    <cellStyle name="_광암변전실탈수기동_물량내역서02_계약내역-관급-총괄 2" xfId="1435"/>
    <cellStyle name="_광주점 리뉴얼 약전설비계약내역서(갱신본)" xfId="1436"/>
    <cellStyle name="_광주점 리뉴얼 약전설비계약내역서(갱신본) 2" xfId="1437"/>
    <cellStyle name="_광주퇴촌면주택" xfId="1438"/>
    <cellStyle name="_광주퇴촌면주택 2" xfId="1439"/>
    <cellStyle name="_광탄내역서(050722)" xfId="1440"/>
    <cellStyle name="_광탄내역서(050722) 2" xfId="1441"/>
    <cellStyle name="_교원그룹 낙산 숙박시설 신축공사" xfId="1442"/>
    <cellStyle name="_교원그룹 낙산 숙박시설 신축공사 2" xfId="1443"/>
    <cellStyle name="_국립극장_0622" xfId="1444"/>
    <cellStyle name="_금감원_통신공사 공내역_030808(윈미디제출)" xfId="1445"/>
    <cellStyle name="_금감원_통신공사 공내역_030808(윈미디제출) 2" xfId="1446"/>
    <cellStyle name="_금융감독원 업체견적(통신공사)-윈미디텍" xfId="1447"/>
    <cellStyle name="_금융감독원 업체견적(통신공사)-윈미디텍 2" xfId="1448"/>
    <cellStyle name="_금호_총괄내역서" xfId="1449"/>
    <cellStyle name="_금호_총괄내역서 2" xfId="1450"/>
    <cellStyle name="_기계약대비" xfId="1451"/>
    <cellStyle name="_기계약대비 2" xfId="1452"/>
    <cellStyle name="_기별명세서(견본양식)" xfId="1453"/>
    <cellStyle name="_기별명세서(견본양식) 2" xfId="1454"/>
    <cellStyle name="_기본설계1" xfId="1455"/>
    <cellStyle name="_기본설계1 2" xfId="1456"/>
    <cellStyle name="_기흥14라인_071231" xfId="1457"/>
    <cellStyle name="_기흥14라인_071231 2" xfId="1458"/>
    <cellStyle name="_난계국악당일위대가" xfId="1459"/>
    <cellStyle name="_난계국악당일위대가 2" xfId="1460"/>
    <cellStyle name="_난계국악당일위대가_1" xfId="1461"/>
    <cellStyle name="_난계국악당일위대가_1 2" xfId="1462"/>
    <cellStyle name="_난계국악당일위대가_2" xfId="1463"/>
    <cellStyle name="_난계국악당일위대가_2 2" xfId="1464"/>
    <cellStyle name="_남양계전" xfId="1465"/>
    <cellStyle name="_남양계전 2" xfId="1466"/>
    <cellStyle name="_내역(02.04.16)선우대교" xfId="1467"/>
    <cellStyle name="_내역(02.04.16)선우대교_☆남악2-3공구가실행" xfId="1468"/>
    <cellStyle name="_내역(02.04.17)선우대교" xfId="1469"/>
    <cellStyle name="_내역(02.04.17)선우대교_☆남악2-3공구가실행" xfId="1470"/>
    <cellStyle name="_내역(02.04.17)추모공원" xfId="1471"/>
    <cellStyle name="_내역(02.04.17)추모공원_☆남악2-3공구가실행" xfId="1472"/>
    <cellStyle name="_내역(02.09.30)신령-영천(2공구)" xfId="1473"/>
    <cellStyle name="_내역(02.09.30)신령-영천(2공구)_☆남악2-3공구가실행" xfId="1474"/>
    <cellStyle name="_내역(02.10.14)신령-영천(2공구)-0.3312" xfId="1475"/>
    <cellStyle name="_내역(02.10.14)신령-영천(2공구)-0.3312_☆남악2-3공구가실행" xfId="1476"/>
    <cellStyle name="_내역(02.11.07)강변북로(청담대교-성수대교)확장공사" xfId="1477"/>
    <cellStyle name="_내역(02.11.07)강변북로(청담대교-성수대교)확장공사_☆남악2-3공구가실행" xfId="1478"/>
    <cellStyle name="_내역(02.11.27)무안~광주간 건설공사(제2공구)투찰" xfId="1479"/>
    <cellStyle name="_내역(02.11.27)무안~광주간 건설공사(제2공구)투찰_☆남악2-3공구가실행" xfId="1480"/>
    <cellStyle name="_내역서" xfId="1481"/>
    <cellStyle name="_내역서 2" xfId="1482"/>
    <cellStyle name="_내역서(LAN_LGE서초R&amp;D)_060913T" xfId="1483"/>
    <cellStyle name="_내역서(LAN_LGE서초R&amp;D)_060913T 2" xfId="1484"/>
    <cellStyle name="_내역서(밀양교육청051004)" xfId="1485"/>
    <cellStyle name="_내역서(밀양교육청051004) 2" xfId="1486"/>
    <cellStyle name="_내역서(세미나실)" xfId="1487"/>
    <cellStyle name="_내역서(세미나실) 2" xfId="1488"/>
    <cellStyle name="_내역서(연무체육센터050926)" xfId="1489"/>
    <cellStyle name="_내역서(연무체육센터050926) 2" xfId="1490"/>
    <cellStyle name="_내역서(전광판)-1" xfId="1491"/>
    <cellStyle name="_내역서(전광판)-1 2" xfId="1492"/>
    <cellStyle name="_내역서_1" xfId="1493"/>
    <cellStyle name="_내역서_1 2" xfId="1494"/>
    <cellStyle name="_내역서1작업" xfId="1495"/>
    <cellStyle name="_내역서1작업 2" xfId="1496"/>
    <cellStyle name="_내역서최종" xfId="1497"/>
    <cellStyle name="_내역서최종 2" xfId="1498"/>
    <cellStyle name="_단가 산출조서" xfId="1499"/>
    <cellStyle name="_단가견적비교표-1" xfId="1500"/>
    <cellStyle name="_단가견적비교표-1 2" xfId="1501"/>
    <cellStyle name="_단가견적서(광탄)" xfId="1502"/>
    <cellStyle name="_단가견적서(광탄) 2" xfId="1503"/>
    <cellStyle name="_단가조사표" xfId="1504"/>
    <cellStyle name="_단가조사표 2" xfId="1505"/>
    <cellStyle name="_대구백화점제출견적(2001년5월22일)" xfId="1506"/>
    <cellStyle name="_대구백화점제출견적(2001년5월22일) 2" xfId="1507"/>
    <cellStyle name="_대구산업정보대방송설비견적(0409)" xfId="1508"/>
    <cellStyle name="_대구산업정보대방송설비견적(0409) 2" xfId="1509"/>
    <cellStyle name="_대구역사약전내역(자재부제출)" xfId="1510"/>
    <cellStyle name="_대구역사약전내역(자재부제출) 2" xfId="1511"/>
    <cellStyle name="_대구점" xfId="1512"/>
    <cellStyle name="_대구점 2" xfId="1513"/>
    <cellStyle name="_대구점 역사" xfId="1514"/>
    <cellStyle name="_대구점 역사 2" xfId="1515"/>
    <cellStyle name="_대안투찰내역(0221)" xfId="1516"/>
    <cellStyle name="_대안투찰내역(0223)" xfId="1517"/>
    <cellStyle name="_대안투찰내역(확정본0226)" xfId="1518"/>
    <cellStyle name="_대야늘푸른벽산 보강설계" xfId="1519"/>
    <cellStyle name="_대야늘푸른벽산 보강설계 2" xfId="1520"/>
    <cellStyle name="_대호전기" xfId="1521"/>
    <cellStyle name="_대호전기 2" xfId="1522"/>
    <cellStyle name="_도급실행0211" xfId="1523"/>
    <cellStyle name="_동래점" xfId="1524"/>
    <cellStyle name="_동래점 2" xfId="1525"/>
    <cellStyle name="_동래점 일반전기 3공구" xfId="1526"/>
    <cellStyle name="_동래점 일반전기 3공구 2" xfId="1527"/>
    <cellStyle name="_동부 조계사 견적서 (제출)" xfId="1528"/>
    <cellStyle name="_동부 조계사 견적서 (제출) 2" xfId="1529"/>
    <cellStyle name="_두원전설" xfId="1530"/>
    <cellStyle name="_두원전설 2" xfId="1531"/>
    <cellStyle name="_롯데 마그넷 목포점 전기공사" xfId="1532"/>
    <cellStyle name="_롯데 마그넷 목포점 전기공사 2" xfId="1533"/>
    <cellStyle name="_롯데2층일위대가-1" xfId="1534"/>
    <cellStyle name="_롯데2층일위대가-1 2" xfId="1535"/>
    <cellStyle name="_롯데2층일위대가-1_1" xfId="1536"/>
    <cellStyle name="_롯데2층일위대가-1_1 2" xfId="1537"/>
    <cellStyle name="_롯데본점 신관지하1층" xfId="1538"/>
    <cellStyle name="_롯데본점 신관지하1층 2" xfId="1539"/>
    <cellStyle name="_롯데쇼핑(주) 롯데 마그넷 영등포점 신축공사" xfId="1540"/>
    <cellStyle name="_롯데쇼핑(주) 롯데 마그넷 영등포점 신축공사 2" xfId="1541"/>
    <cellStyle name="_롯데쇼핑(주)소공동호텔분전반제작납품공사" xfId="1542"/>
    <cellStyle name="_롯데쇼핑(주)소공동호텔분전반제작납품공사 2" xfId="1543"/>
    <cellStyle name="_리뉴얼일반전기(이전)" xfId="1544"/>
    <cellStyle name="_리뉴얼일반전기(이전) 2" xfId="1545"/>
    <cellStyle name="_마가레트 호텔" xfId="1546"/>
    <cellStyle name="_마가레트 호텔 2" xfId="1547"/>
    <cellStyle name="_마그넷 도봉점" xfId="1548"/>
    <cellStyle name="_마그넷 도봉점 2" xfId="1549"/>
    <cellStyle name="_마그넷 도봉점(전력)" xfId="1550"/>
    <cellStyle name="_마그넷 도봉점(전력) 2" xfId="1551"/>
    <cellStyle name="_마그넷 도봉점_1" xfId="1552"/>
    <cellStyle name="_마그넷 도봉점_1 2" xfId="1553"/>
    <cellStyle name="_마그넷 도봉점_광주점 리뉴얼 약전설비계약내역서(갱신본)" xfId="1554"/>
    <cellStyle name="_마그넷 도봉점_광주점 리뉴얼 약전설비계약내역서(갱신본) 2" xfId="1555"/>
    <cellStyle name="_마그넷 도봉점_마그넷 도봉점" xfId="1556"/>
    <cellStyle name="_마그넷 도봉점_마그넷 도봉점 2" xfId="1557"/>
    <cellStyle name="_마그넷 도봉점_마그넷 첨단점" xfId="1558"/>
    <cellStyle name="_마그넷 도봉점_마그넷 첨단점 2" xfId="1559"/>
    <cellStyle name="_마그넷 도봉점_마그넷 포항점" xfId="1560"/>
    <cellStyle name="_마그넷 도봉점_마그넷 포항점 2" xfId="1561"/>
    <cellStyle name="_마그넷 마산점" xfId="1562"/>
    <cellStyle name="_마그넷 마산점 2" xfId="1563"/>
    <cellStyle name="_마그넷 마산-총괄" xfId="1564"/>
    <cellStyle name="_마그넷 마산-총괄 2" xfId="1565"/>
    <cellStyle name="_마그넷 영등포점" xfId="1566"/>
    <cellStyle name="_마그넷 영등포점 2" xfId="1567"/>
    <cellStyle name="_마그넷 오산점" xfId="1568"/>
    <cellStyle name="_마그넷 오산점 2" xfId="1569"/>
    <cellStyle name="_마그넷 오산점_1" xfId="1570"/>
    <cellStyle name="_마그넷 오산점_1 2" xfId="1571"/>
    <cellStyle name="_마그넷 의왕점(최종)" xfId="1572"/>
    <cellStyle name="_마그넷 의왕점(최종) 2" xfId="1573"/>
    <cellStyle name="_마그넷 중계점" xfId="1574"/>
    <cellStyle name="_마그넷 중계점 2" xfId="1575"/>
    <cellStyle name="_마그넷 첨단점" xfId="1576"/>
    <cellStyle name="_마그넷 첨단점 2" xfId="1577"/>
    <cellStyle name="_마그넷 포항점" xfId="1578"/>
    <cellStyle name="_마그넷 포항점 2" xfId="1579"/>
    <cellStyle name="_마그넷마산점" xfId="1580"/>
    <cellStyle name="_마그넷마산점 2" xfId="1581"/>
    <cellStyle name="_마그넷마산점소방전기공사" xfId="1582"/>
    <cellStyle name="_마그넷마산점소방전기공사 2" xfId="1583"/>
    <cellStyle name="_마그넷서산점전력간선공사" xfId="1584"/>
    <cellStyle name="_마그넷서산점전력간선공사 2" xfId="1585"/>
    <cellStyle name="_마그넷의왕점(소방)" xfId="1586"/>
    <cellStyle name="_마그넷의왕점(소방) 2" xfId="1587"/>
    <cellStyle name="_마그넷전력간선연간단가(2001년 BM)" xfId="1588"/>
    <cellStyle name="_마그넷전력간선연간단가(2001년 BM) 2" xfId="1589"/>
    <cellStyle name="_마산점시가로등" xfId="1590"/>
    <cellStyle name="_마산점시가로등 2" xfId="1591"/>
    <cellStyle name="_만나교회도매가 NEGO합계표(0515)" xfId="1592"/>
    <cellStyle name="_만나교회도매가 NEGO합계표(최종)" xfId="1593"/>
    <cellStyle name="_명품가약전" xfId="1594"/>
    <cellStyle name="_명품가약전 2" xfId="1595"/>
    <cellStyle name="_명품가조명제어" xfId="1596"/>
    <cellStyle name="_명품가조명제어 2" xfId="1597"/>
    <cellStyle name="_목천물류" xfId="1598"/>
    <cellStyle name="_목천물류 2" xfId="1599"/>
    <cellStyle name="_목포약전계약내역" xfId="1600"/>
    <cellStyle name="_목포약전계약내역 2" xfId="1601"/>
    <cellStyle name="_물량산출-호암관(CA,PA)(20050616)-1" xfId="1602"/>
    <cellStyle name="_물량산출-호암관(CA,PA)(20050616)-1 2" xfId="1603"/>
    <cellStyle name="_방배동 센트레빌 물량산출" xfId="1604"/>
    <cellStyle name="_방배동 센트레빌 물량산출 2" xfId="1605"/>
    <cellStyle name="_방송및cctv" xfId="1606"/>
    <cellStyle name="_방송및cctv 2" xfId="1607"/>
    <cellStyle name="_배관배선" xfId="1608"/>
    <cellStyle name="_배관배선 2" xfId="1609"/>
    <cellStyle name="_배관배선산출서&amp;일위대가" xfId="1610"/>
    <cellStyle name="_배관배선산출서&amp;일위대가 2" xfId="1611"/>
    <cellStyle name="_배관배선산출서_070707" xfId="1612"/>
    <cellStyle name="_배관배선산출서_070707 2" xfId="1613"/>
    <cellStyle name="_배수펌프설계서(최종)수정" xfId="1614"/>
    <cellStyle name="_배수펌프설계서(최종)수정 2" xfId="1615"/>
    <cellStyle name="_배출수동설계" xfId="1616"/>
    <cellStyle name="_배출수동설계 2" xfId="1617"/>
    <cellStyle name="_백석대내역서" xfId="1618"/>
    <cellStyle name="_백석대학교 백석홀 견적서-20070124" xfId="1619"/>
    <cellStyle name="_백석홀-디지털060927" xfId="1620"/>
    <cellStyle name="_백화점 일반전기 1공구" xfId="1621"/>
    <cellStyle name="_백화점 일반전기 1공구 2" xfId="1622"/>
    <cellStyle name="_백화점동래점소방전기공사" xfId="1623"/>
    <cellStyle name="_백화점동래점소방전기공사 2" xfId="1624"/>
    <cellStyle name="_백화점동래점승강설비" xfId="1625"/>
    <cellStyle name="_백화점동래점승강설비 2" xfId="1626"/>
    <cellStyle name="_백화점품의 확인완료(발전기 - STX)" xfId="1627"/>
    <cellStyle name="_백화점품의 확인완료(발전기 - STX) 2" xfId="1628"/>
    <cellStyle name="_백화점품의(일반전기2공구-신안전기)감리" xfId="1629"/>
    <cellStyle name="_백화점품의(일반전기2공구-신안전기)감리 2" xfId="1630"/>
    <cellStyle name="_베관배선산출&amp;일위대가(051029)" xfId="1631"/>
    <cellStyle name="_베관배선산출&amp;일위대가(051029) 2" xfId="1632"/>
    <cellStyle name="_보건소(상부)" xfId="1633"/>
    <cellStyle name="_보건소(상부) 2" xfId="1634"/>
    <cellStyle name="_보성우회도로(투찰)" xfId="1635"/>
    <cellStyle name="_보성우회도로(투찰)_조0203(1000억이상)" xfId="1636"/>
    <cellStyle name="_본사용(원가분석)" xfId="1637"/>
    <cellStyle name="_본사용(원가분석) 2" xfId="1638"/>
    <cellStyle name="_본점(최종)" xfId="1639"/>
    <cellStyle name="_본점(최종) 2" xfId="1640"/>
    <cellStyle name="_본점본관" xfId="1641"/>
    <cellStyle name="_본점본관 2" xfId="1642"/>
    <cellStyle name="_부경대학교-견적" xfId="1643"/>
    <cellStyle name="_부경대학교-견적 2" xfId="1644"/>
    <cellStyle name="_부에나비스타 빌라 설계견적" xfId="1645"/>
    <cellStyle name="_부에나비스타 빌라 설계견적 2" xfId="1646"/>
    <cellStyle name="_부용전기" xfId="1647"/>
    <cellStyle name="_부용전기 2" xfId="1648"/>
    <cellStyle name="_부천범박동" xfId="1649"/>
    <cellStyle name="_부천범박동 2" xfId="1650"/>
    <cellStyle name="_부평점정산내역" xfId="1651"/>
    <cellStyle name="_부평점정산내역 2" xfId="1652"/>
    <cellStyle name="_북한산I'PARK1공구_일반전기  견적서" xfId="1653"/>
    <cellStyle name="_북한산I'PARK1공구_일반전기  견적서 2" xfId="1654"/>
    <cellStyle name="_분당E마트bm" xfId="1655"/>
    <cellStyle name="_분당E마트bm 2" xfId="1656"/>
    <cellStyle name="_분전반~1" xfId="1657"/>
    <cellStyle name="_분전반~1 2" xfId="1658"/>
    <cellStyle name="_비교표" xfId="1659"/>
    <cellStyle name="_비교표 2" xfId="1660"/>
    <cellStyle name="_비상발전기(현대중공업)" xfId="1661"/>
    <cellStyle name="_비상발전기(현대중공업) 2" xfId="1662"/>
    <cellStyle name="_비컴견적" xfId="1663"/>
    <cellStyle name="_비컴견적 2" xfId="1664"/>
    <cellStyle name="_산동 농협동로지소 청사 신축공사-1" xfId="1665"/>
    <cellStyle name="_산동 농협동로지소 청사 신축공사-1 2" xfId="1666"/>
    <cellStyle name="_산동 농협동로지소 청사 신축공사-1_1" xfId="1667"/>
    <cellStyle name="_산동 농협동로지소 청사 신축공사-1_1 2" xfId="1668"/>
    <cellStyle name="_삼미디텍(강당)수정" xfId="1669"/>
    <cellStyle name="_삼미디텍(강당)수정 2" xfId="1670"/>
    <cellStyle name="_삼미디텍(강당)수정_1" xfId="1671"/>
    <cellStyle name="_삼미디텍(강당)수정_1 2" xfId="1672"/>
    <cellStyle name="_삼미디텍(강당)수정-2(배관수정)" xfId="1673"/>
    <cellStyle name="_삼미디텍(강당)수정-2(배관수정) 2" xfId="1674"/>
    <cellStyle name="_삼미디텍(식당조명설비)수정-2(배관수정)" xfId="1675"/>
    <cellStyle name="_삼미디텍(식당조명설비)수정-2(배관수정) 2" xfId="1676"/>
    <cellStyle name="_서대전일반전기정산내역서" xfId="1677"/>
    <cellStyle name="_서대전일반전기정산내역서 2" xfId="1678"/>
    <cellStyle name="_서대전정산내역서(MCC)" xfId="1679"/>
    <cellStyle name="_서대전정산내역서(MCC) 2" xfId="1680"/>
    <cellStyle name="_서대전정산내역서(전력제어)" xfId="1681"/>
    <cellStyle name="_서대전정산내역서(전력제어) 2" xfId="1682"/>
    <cellStyle name="_서산점" xfId="1683"/>
    <cellStyle name="_서산점 2" xfId="1684"/>
    <cellStyle name="_서산점 mcc" xfId="1685"/>
    <cellStyle name="_서산점 mcc 2" xfId="1686"/>
    <cellStyle name="_서산점(약전)자재부최종확정" xfId="1687"/>
    <cellStyle name="_서산점(약전)자재부최종확정 2" xfId="1688"/>
    <cellStyle name="_서산점약전내역(자재부확정)" xfId="1689"/>
    <cellStyle name="_서산점약전내역(자재부확정) 2" xfId="1690"/>
    <cellStyle name="_서산점정산내역" xfId="1691"/>
    <cellStyle name="_서산점정산내역 2" xfId="1692"/>
    <cellStyle name="_서울보훈병원견적_Alcatel" xfId="1693"/>
    <cellStyle name="_서울보훈병원견적_Alcatel 2" xfId="1694"/>
    <cellStyle name="_서초C블럭_홍보관_설치공사_내역서_SMT071214" xfId="1695"/>
    <cellStyle name="_서초C블럭_홍보관_설치공사_내역서_SMT071214 2" xfId="1696"/>
    <cellStyle name="_서초C블럭_홍보관_일위대가_080131_삼미디어텍" xfId="1697"/>
    <cellStyle name="_서초C블럭_홍보관_일위대가_080131_삼미디어텍 2" xfId="1698"/>
    <cellStyle name="_서호천-계측감시제어내역서(현장제출0706)" xfId="1699"/>
    <cellStyle name="_석고보드-차음시트" xfId="1700"/>
    <cellStyle name="_석고보드-차음시트 2" xfId="1701"/>
    <cellStyle name="_설계변경0913" xfId="1702"/>
    <cellStyle name="_설계변경0913 2" xfId="1703"/>
    <cellStyle name="_성남" xfId="1704"/>
    <cellStyle name="_성남 2" xfId="1705"/>
    <cellStyle name="_성남 실내체육관 영상,음향 장비 설치구매 내역서" xfId="1706"/>
    <cellStyle name="_성남 전관방송 공사_final(05.06.24)" xfId="1707"/>
    <cellStyle name="_성남분기점계측설비설계" xfId="1708"/>
    <cellStyle name="_성남분기점계측설비설계 2" xfId="1709"/>
    <cellStyle name="_세기기전" xfId="1710"/>
    <cellStyle name="_세기기전 2" xfId="1711"/>
    <cellStyle name="_세원IBS-한림대학교" xfId="1712"/>
    <cellStyle name="_소방전기(최종)" xfId="1713"/>
    <cellStyle name="_소방전기(최종) 2" xfId="1714"/>
    <cellStyle name="_소프트웨어산출(05년기준)" xfId="1715"/>
    <cellStyle name="_소프트웨어산출(05년기준) 2" xfId="1716"/>
    <cellStyle name="_송도국제학교_신축(내역서)(060420)" xfId="1717"/>
    <cellStyle name="_송도국제학교_신축(내역서)(060420) 2" xfId="1718"/>
    <cellStyle name="_송현실행내역" xfId="1719"/>
    <cellStyle name="_송현실행내역 2" xfId="1720"/>
    <cellStyle name="_수도권1~6계측설비설계" xfId="1721"/>
    <cellStyle name="_수도권1~6계측설비설계 2" xfId="1722"/>
    <cellStyle name="_수도권1~6계측설비설계(수정)" xfId="1723"/>
    <cellStyle name="_수도권1~6계측설비설계(수정) 2" xfId="1724"/>
    <cellStyle name="_수원시_견적서_2222" xfId="1725"/>
    <cellStyle name="_수원시_견적서_2222 2" xfId="1726"/>
    <cellStyle name="_수정본 - 배출수동설계" xfId="1727"/>
    <cellStyle name="_수정본 - 배출수동설계 2" xfId="1728"/>
    <cellStyle name="_수지점 준공정산확인서(CM전기팀표준양식)-1" xfId="1729"/>
    <cellStyle name="_수지점 준공정산확인서(CM전기팀표준양식)-1 2" xfId="1730"/>
    <cellStyle name="_수통압력설계서최종" xfId="1731"/>
    <cellStyle name="_수통압력설계서최종 2" xfId="1732"/>
    <cellStyle name="_스노멜팅(미사엔지니어링)" xfId="1733"/>
    <cellStyle name="_스노멜팅(미사엔지니어링) 2" xfId="1734"/>
    <cellStyle name="_스튜디오" xfId="1735"/>
    <cellStyle name="_스튜디오 2" xfId="1736"/>
    <cellStyle name="_시중노임단가표" xfId="1737"/>
    <cellStyle name="_시중노임단가표 2" xfId="1738"/>
    <cellStyle name="_시행결의(소방)" xfId="1739"/>
    <cellStyle name="_시흥설계" xfId="1740"/>
    <cellStyle name="_시흥설계 2" xfId="1741"/>
    <cellStyle name="_신관지하1층약전(2공구)자재부제출" xfId="1742"/>
    <cellStyle name="_신관지하1층약전(2공구)자재부제출 2" xfId="1743"/>
    <cellStyle name="_신안전기" xfId="1744"/>
    <cellStyle name="_신안전기 2" xfId="1745"/>
    <cellStyle name="_실행 갑지(설비.07.11.28)" xfId="1746"/>
    <cellStyle name="_실행(갑지)" xfId="1747"/>
    <cellStyle name="_실행(갑지) 2" xfId="1748"/>
    <cellStyle name="_실행내역서" xfId="1749"/>
    <cellStyle name="_실행내역서 2" xfId="1750"/>
    <cellStyle name="_실행예산(구로비둘기.08.01.15)" xfId="1751"/>
    <cellStyle name="_실행예산(구미문성경남)" xfId="1752"/>
    <cellStyle name="_실행예산(성남판교턴키A7-2BL)" xfId="1753"/>
    <cellStyle name="_안양점" xfId="1754"/>
    <cellStyle name="_안양점 2" xfId="1755"/>
    <cellStyle name="_알리안츠생보사옥 견적" xfId="1756"/>
    <cellStyle name="_알리안츠생보사옥 견적 2" xfId="1757"/>
    <cellStyle name="_압력설계서(최종)" xfId="1758"/>
    <cellStyle name="_압력설계서(최종) 2" xfId="1759"/>
    <cellStyle name="_앙골라_총괄내역서_080513" xfId="1760"/>
    <cellStyle name="_앙골라_총괄내역서_080513 2" xfId="1761"/>
    <cellStyle name="_약전설비1공구(최종)" xfId="1762"/>
    <cellStyle name="_약전설비1공구(최종) 2" xfId="1763"/>
    <cellStyle name="_약전설비년간단가" xfId="1764"/>
    <cellStyle name="_약전설비년간단가 2" xfId="1765"/>
    <cellStyle name="_양식" xfId="1766"/>
    <cellStyle name="_양식 2" xfId="1767"/>
    <cellStyle name="_양천고등학교" xfId="1768"/>
    <cellStyle name="_양천고등학교 2" xfId="1769"/>
    <cellStyle name="_언주중-1" xfId="1770"/>
    <cellStyle name="_언주중-1 2" xfId="1771"/>
    <cellStyle name="_엘리베이터" xfId="1772"/>
    <cellStyle name="_엘리베이터 2" xfId="1773"/>
    <cellStyle name="_여의도 파크스위트신축공사-송부" xfId="1774"/>
    <cellStyle name="_여의도 파크스위트신축공사-송부 2" xfId="1775"/>
    <cellStyle name="_역삼성진" xfId="1776"/>
    <cellStyle name="_역삼성진 2" xfId="1777"/>
    <cellStyle name="_연수전기BM" xfId="1778"/>
    <cellStyle name="_연수전기BM 2" xfId="1779"/>
    <cellStyle name="_연희,마전,가정,크리스탈" xfId="1780"/>
    <cellStyle name="_연희,마전,가정,크리스탈 2" xfId="1781"/>
    <cellStyle name="_영등포점 영화관" xfId="1782"/>
    <cellStyle name="_영등포점 영화관 2" xfId="1783"/>
    <cellStyle name="_영등포점 정산내역서" xfId="1784"/>
    <cellStyle name="_영등포점 정산내역서 2" xfId="1785"/>
    <cellStyle name="_영등포점약전내역(자재부제출)" xfId="1786"/>
    <cellStyle name="_영등포점약전내역(자재부제출) 2" xfId="1787"/>
    <cellStyle name="_영상장비내역서(060509)" xfId="1788"/>
    <cellStyle name="_영주국도대체도로" xfId="1789"/>
    <cellStyle name="_영통배수지_06.09.18" xfId="1790"/>
    <cellStyle name="_영통배수지_06.09.18 2" xfId="1791"/>
    <cellStyle name="_영화관약전설비(수정)" xfId="1792"/>
    <cellStyle name="_영화관약전설비(수정) 2" xfId="1793"/>
    <cellStyle name="_올림피아홀 조명 및 방송설비 설계서" xfId="1794"/>
    <cellStyle name="_올림피아홀 조명 및 방송설비 설계서 2" xfId="1795"/>
    <cellStyle name="_올림픽파크텔(개보수)-최종(원가계산)" xfId="1796"/>
    <cellStyle name="_올림픽파크텔(개보수)-최종(원가계산) 2" xfId="1797"/>
    <cellStyle name="_요금고지유량계계약" xfId="1798"/>
    <cellStyle name="_요금고지유량계계약 2" xfId="1799"/>
    <cellStyle name="_용인수지점약전설비정산" xfId="1800"/>
    <cellStyle name="_용인수지점약전설비정산 2" xfId="1801"/>
    <cellStyle name="_용현점변경계약내역" xfId="1802"/>
    <cellStyle name="_용현점변경계약내역 2" xfId="1803"/>
    <cellStyle name="_용현한양외계약및준공관련" xfId="1804"/>
    <cellStyle name="_용현한양외계약및준공관련 2" xfId="1805"/>
    <cellStyle name="_울산A" xfId="1806"/>
    <cellStyle name="_울산A 2" xfId="1807"/>
    <cellStyle name="_울산B부지 백화점 약전2,3공구" xfId="1808"/>
    <cellStyle name="_울산B부지 백화점 약전2,3공구 2" xfId="1809"/>
    <cellStyle name="_울산롯데호텔소방전기견적서" xfId="1810"/>
    <cellStyle name="_울산롯데호텔소방전기견적서 2" xfId="1811"/>
    <cellStyle name="_울산백화점 발의내역(계약단가적용)" xfId="1812"/>
    <cellStyle name="_울산백화점 발의내역(계약단가적용) 2" xfId="1813"/>
    <cellStyle name="_울산점 영화관" xfId="1814"/>
    <cellStyle name="_울산점 영화관 2" xfId="1815"/>
    <cellStyle name="_울산점소방전기공사(발주)" xfId="1816"/>
    <cellStyle name="_울산점소방전기공사(발주) 2" xfId="1817"/>
    <cellStyle name="_울산증축마그넷약전내역" xfId="1818"/>
    <cellStyle name="_울산증축마그넷약전내역 2" xfId="1819"/>
    <cellStyle name="_울산호텔 MCC및 분전반" xfId="1820"/>
    <cellStyle name="_울산호텔 MCC및 분전반 2" xfId="1821"/>
    <cellStyle name="_울산호텔 MCC및 분전반(최종)" xfId="1822"/>
    <cellStyle name="_울산호텔 MCC및 분전반(최종) 2" xfId="1823"/>
    <cellStyle name="_울산호텔 외곽조명(1차)" xfId="1824"/>
    <cellStyle name="_울산호텔 외곽조명(1차) 2" xfId="1825"/>
    <cellStyle name="_원가계산서" xfId="1826"/>
    <cellStyle name="_원가계산서 2" xfId="1827"/>
    <cellStyle name="_원광조명" xfId="1828"/>
    <cellStyle name="_원광조명 2" xfId="1829"/>
    <cellStyle name="_원석학원본관개축견적" xfId="1830"/>
    <cellStyle name="_원석학원본관개축견적 2" xfId="1831"/>
    <cellStyle name="_원석학원작업" xfId="1832"/>
    <cellStyle name="_원석학원작업 2" xfId="1833"/>
    <cellStyle name="_윈-단가(pipe,cable)" xfId="1834"/>
    <cellStyle name="_윈-단가(pipe,cable) 2" xfId="1835"/>
    <cellStyle name="_윈-단가견(통합배선)" xfId="1836"/>
    <cellStyle name="_윈-단가견(통합배선) 2" xfId="1837"/>
    <cellStyle name="_윈미드텍0705" xfId="1838"/>
    <cellStyle name="_윈미드텍0705 2" xfId="1839"/>
    <cellStyle name="_유기전기1(동영ENG내역)" xfId="1840"/>
    <cellStyle name="_유기전기1(동영ENG내역) 2" xfId="1841"/>
    <cellStyle name="_유량계실 설계서(가시설제거-1)" xfId="1842"/>
    <cellStyle name="_유량계실 설계서(가시설제거-1) 2" xfId="1843"/>
    <cellStyle name="_유량계실 설계서(변경설계서)" xfId="1844"/>
    <cellStyle name="_유량계실 설계서(변경설계서) 2" xfId="1845"/>
    <cellStyle name="_유성약전발의내역1" xfId="1846"/>
    <cellStyle name="_유성약전발의내역1 2" xfId="1847"/>
    <cellStyle name="_유성점단가계약(N0)" xfId="1848"/>
    <cellStyle name="_유성점단가계약(N0) 2" xfId="1849"/>
    <cellStyle name="_을지" xfId="1850"/>
    <cellStyle name="_을지 2" xfId="1851"/>
    <cellStyle name="_을지병원 설계예산서" xfId="1852"/>
    <cellStyle name="_을지병원 설계예산서 2" xfId="1853"/>
    <cellStyle name="_음향보정장치" xfId="1854"/>
    <cellStyle name="_음향보정장치 2" xfId="1855"/>
    <cellStyle name="_음향설계변경 (0828) -1" xfId="1856"/>
    <cellStyle name="_음향설계변경 (0828) -1 2" xfId="1857"/>
    <cellStyle name="_의정부" xfId="1858"/>
    <cellStyle name="_의정부 2" xfId="1859"/>
    <cellStyle name="_의정부 정산내역서" xfId="1860"/>
    <cellStyle name="_의정부 정산내역서 2" xfId="1861"/>
    <cellStyle name="_의정부금오점(100%)" xfId="1862"/>
    <cellStyle name="_의정부금오점(100%) 2" xfId="1863"/>
    <cellStyle name="_이의가압장_06.09.18" xfId="1864"/>
    <cellStyle name="_이의가압장_06.09.18 2" xfId="1865"/>
    <cellStyle name="_이자훈차장님" xfId="1866"/>
    <cellStyle name="_이자훈차장님 2" xfId="1867"/>
    <cellStyle name="_익산점내역" xfId="1868"/>
    <cellStyle name="_익산점내역 2" xfId="1869"/>
    <cellStyle name="_익산점일반전기정산내역서(자재부)" xfId="1870"/>
    <cellStyle name="_익산점일반전기정산내역서(자재부) 2" xfId="1871"/>
    <cellStyle name="_익산점전력간선정산내역서" xfId="1872"/>
    <cellStyle name="_익산점전력간선정산내역서 2" xfId="1873"/>
    <cellStyle name="_인수인계 및 완료확인서" xfId="1874"/>
    <cellStyle name="_인수인계 및 완료확인서 2" xfId="1875"/>
    <cellStyle name="_인원계획표 " xfId="1876"/>
    <cellStyle name="_인원계획표  2" xfId="1877"/>
    <cellStyle name="_인원계획표 _건국대병원" xfId="1878"/>
    <cellStyle name="_인원계획표 _건국대병원 2" xfId="1879"/>
    <cellStyle name="_인원계획표 _건국대병원_건국대학교공내역1028" xfId="1880"/>
    <cellStyle name="_인원계획표 _건국대병원_건국대학교공내역1028 2" xfId="1881"/>
    <cellStyle name="_인원계획표 _건국대병원_건국대학교공내역1028_건국대학교공내역1028" xfId="1882"/>
    <cellStyle name="_인원계획표 _건국대병원_건국대학교공내역1028_건국대학교공내역1028 2" xfId="1883"/>
    <cellStyle name="_인원계획표 _건국대병원_건국대학교공내역1028_건국대학교공내역1028_협조전" xfId="1884"/>
    <cellStyle name="_인원계획표 _건국대병원_건국대학교공내역1028_건국대학교공내역1028_협조전 2" xfId="1885"/>
    <cellStyle name="_인원계획표 _건국대병원_건국대학교공내역1028_건국대학교공내역1028_협조전_협조전" xfId="1886"/>
    <cellStyle name="_인원계획표 _건국대병원_건국대학교공내역1028_건국대학교공내역1028_협조전_협조전 2" xfId="1887"/>
    <cellStyle name="_인원계획표 _건국대병원_건국대학교공내역1028_협조전" xfId="1888"/>
    <cellStyle name="_인원계획표 _건국대병원_건국대학교공내역1028_협조전 2" xfId="1889"/>
    <cellStyle name="_인원계획표 _건국대병원_건국대학교공내역1028_협조전_협조전" xfId="1890"/>
    <cellStyle name="_인원계획표 _건국대병원_건국대학교공내역1028_협조전_협조전 2" xfId="1891"/>
    <cellStyle name="_인원계획표 _건국대병원_협조전" xfId="1892"/>
    <cellStyle name="_인원계획표 _건국대병원_협조전 2" xfId="1893"/>
    <cellStyle name="_인원계획표 _건국대병원_협조전_협조전" xfId="1894"/>
    <cellStyle name="_인원계획표 _건국대병원_협조전_협조전 2" xfId="1895"/>
    <cellStyle name="_인원계획표 _건국대학교공내역1028" xfId="1896"/>
    <cellStyle name="_인원계획표 _건국대학교공내역1028 2" xfId="1897"/>
    <cellStyle name="_인원계획표 _건국대학교공내역1028_협조전" xfId="1898"/>
    <cellStyle name="_인원계획표 _건국대학교공내역1028_협조전 2" xfId="1899"/>
    <cellStyle name="_인원계획표 _건국대학교공내역1028_협조전_협조전" xfId="1900"/>
    <cellStyle name="_인원계획표 _건국대학교공내역1028_협조전_협조전 2" xfId="1901"/>
    <cellStyle name="_인원계획표 _건국대학교병원 견적_미동" xfId="1902"/>
    <cellStyle name="_인원계획표 _건국대학교병원 견적_미동 2" xfId="1903"/>
    <cellStyle name="_인원계획표 _건국대학교병원 견적_미동_건국대학교공내역1028" xfId="1904"/>
    <cellStyle name="_인원계획표 _건국대학교병원 견적_미동_건국대학교공내역1028 2" xfId="1905"/>
    <cellStyle name="_인원계획표 _건국대학교병원 견적_미동_건국대학교공내역1028_건국대학교공내역1028" xfId="1906"/>
    <cellStyle name="_인원계획표 _건국대학교병원 견적_미동_건국대학교공내역1028_건국대학교공내역1028 2" xfId="1907"/>
    <cellStyle name="_인원계획표 _건국대학교병원 견적_미동_건국대학교공내역1028_건국대학교공내역1028_협조전" xfId="1908"/>
    <cellStyle name="_인원계획표 _건국대학교병원 견적_미동_건국대학교공내역1028_건국대학교공내역1028_협조전 2" xfId="1909"/>
    <cellStyle name="_인원계획표 _건국대학교병원 견적_미동_건국대학교공내역1028_건국대학교공내역1028_협조전_협조전" xfId="1910"/>
    <cellStyle name="_인원계획표 _건국대학교병원 견적_미동_건국대학교공내역1028_건국대학교공내역1028_협조전_협조전 2" xfId="1911"/>
    <cellStyle name="_인원계획표 _건국대학교병원 견적_미동_건국대학교공내역1028_협조전" xfId="1912"/>
    <cellStyle name="_인원계획표 _건국대학교병원 견적_미동_건국대학교공내역1028_협조전 2" xfId="1913"/>
    <cellStyle name="_인원계획표 _건국대학교병원 견적_미동_건국대학교공내역1028_협조전_협조전" xfId="1914"/>
    <cellStyle name="_인원계획표 _건국대학교병원 견적_미동_건국대학교공내역1028_협조전_협조전 2" xfId="1915"/>
    <cellStyle name="_인원계획표 _건국대학교병원 견적_미동_협조전" xfId="1916"/>
    <cellStyle name="_인원계획표 _건국대학교병원 견적_미동_협조전 2" xfId="1917"/>
    <cellStyle name="_인원계획표 _건국대학교병원 견적_미동_협조전_협조전" xfId="1918"/>
    <cellStyle name="_인원계획표 _건국대학교병원 견적_미동_협조전_협조전 2" xfId="1919"/>
    <cellStyle name="_인원계획표 _건국대학교부대입찰업체견적서" xfId="1920"/>
    <cellStyle name="_인원계획표 _건국대학교부대입찰업체견적서 2" xfId="1921"/>
    <cellStyle name="_인원계획표 _건국대학교부대입찰업체견적서_건국대학교공내역1028" xfId="1922"/>
    <cellStyle name="_인원계획표 _건국대학교부대입찰업체견적서_건국대학교공내역1028 2" xfId="1923"/>
    <cellStyle name="_인원계획표 _건국대학교부대입찰업체견적서_건국대학교공내역1028_건국대학교공내역1028" xfId="1924"/>
    <cellStyle name="_인원계획표 _건국대학교부대입찰업체견적서_건국대학교공내역1028_건국대학교공내역1028 2" xfId="1925"/>
    <cellStyle name="_인원계획표 _건국대학교부대입찰업체견적서_건국대학교공내역1028_건국대학교공내역1028_협조전" xfId="1926"/>
    <cellStyle name="_인원계획표 _건국대학교부대입찰업체견적서_건국대학교공내역1028_건국대학교공내역1028_협조전 2" xfId="1927"/>
    <cellStyle name="_인원계획표 _건국대학교부대입찰업체견적서_건국대학교공내역1028_건국대학교공내역1028_협조전_협조전" xfId="1928"/>
    <cellStyle name="_인원계획표 _건국대학교부대입찰업체견적서_건국대학교공내역1028_건국대학교공내역1028_협조전_협조전 2" xfId="1929"/>
    <cellStyle name="_인원계획표 _건국대학교부대입찰업체견적서_건국대학교공내역1028_협조전" xfId="1930"/>
    <cellStyle name="_인원계획표 _건국대학교부대입찰업체견적서_건국대학교공내역1028_협조전 2" xfId="1931"/>
    <cellStyle name="_인원계획표 _건국대학교부대입찰업체견적서_건국대학교공내역1028_협조전_협조전" xfId="1932"/>
    <cellStyle name="_인원계획표 _건국대학교부대입찰업체견적서_건국대학교공내역1028_협조전_협조전 2" xfId="1933"/>
    <cellStyle name="_인원계획표 _건국대학교부대입찰업체견적서_협조전" xfId="1934"/>
    <cellStyle name="_인원계획표 _건국대학교부대입찰업체견적서_협조전 2" xfId="1935"/>
    <cellStyle name="_인원계획표 _건국대학교부대입찰업체견적서_협조전_협조전" xfId="1936"/>
    <cellStyle name="_인원계획표 _건국대학교부대입찰업체견적서_협조전_협조전 2" xfId="1937"/>
    <cellStyle name="_인원계획표 _내역(02.04.16)선우대교" xfId="1938"/>
    <cellStyle name="_인원계획표 _내역(02.04.16)선우대교_☆남악2-3공구가실행" xfId="1939"/>
    <cellStyle name="_인원계획표 _내역(02.04.17)선우대교" xfId="1940"/>
    <cellStyle name="_인원계획표 _내역(02.04.17)선우대교_☆남악2-3공구가실행" xfId="1941"/>
    <cellStyle name="_인원계획표 _내역(02.04.17)추모공원" xfId="1942"/>
    <cellStyle name="_인원계획표 _내역(02.04.17)추모공원_☆남악2-3공구가실행" xfId="1943"/>
    <cellStyle name="_인원계획표 _내역(02.09.30)신령-영천(2공구)" xfId="1944"/>
    <cellStyle name="_인원계획표 _내역(02.09.30)신령-영천(2공구)_☆남악2-3공구가실행" xfId="1945"/>
    <cellStyle name="_인원계획표 _내역(02.10.14)신령-영천(2공구)-0.3312" xfId="1946"/>
    <cellStyle name="_인원계획표 _내역(02.10.14)신령-영천(2공구)-0.3312_☆남악2-3공구가실행" xfId="1947"/>
    <cellStyle name="_인원계획표 _내역(02.11.07)강변북로(청담대교-성수대교)확장공사" xfId="1948"/>
    <cellStyle name="_인원계획표 _내역(02.11.07)강변북로(청담대교-성수대교)확장공사_☆남악2-3공구가실행" xfId="1949"/>
    <cellStyle name="_인원계획표 _내역(02.11.27)무안~광주간 건설공사(제2공구)투찰" xfId="1950"/>
    <cellStyle name="_인원계획표 _내역(02.11.27)무안~광주간 건설공사(제2공구)투찰_☆남악2-3공구가실행" xfId="1951"/>
    <cellStyle name="_인원계획표 _대안투찰내역(0221)" xfId="1952"/>
    <cellStyle name="_인원계획표 _대안투찰내역(0223)" xfId="1953"/>
    <cellStyle name="_인원계획표 _대안투찰내역(확정본0226)" xfId="1954"/>
    <cellStyle name="_인원계획표 _도급실행0211" xfId="1955"/>
    <cellStyle name="_인원계획표 _부산남천동병원내역서(남일)" xfId="1956"/>
    <cellStyle name="_인원계획표 _부산남천동병원내역서(남일) 2" xfId="1957"/>
    <cellStyle name="_인원계획표 _부산남천동병원내역서(남일)_2도급내역(계약분)" xfId="1958"/>
    <cellStyle name="_인원계획표 _부산남천동병원내역서(남일)_2도급내역(계약분) 2" xfId="1959"/>
    <cellStyle name="_인원계획표 _부산남천동병원내역서(남일)_2도급내역(계약분)_협조전" xfId="1960"/>
    <cellStyle name="_인원계획표 _부산남천동병원내역서(남일)_2도급내역(계약분)_협조전 2" xfId="1961"/>
    <cellStyle name="_인원계획표 _부산남천동병원내역서(남일)_2도급내역(계약분)_협조전_협조전" xfId="1962"/>
    <cellStyle name="_인원계획표 _부산남천동병원내역서(남일)_2도급내역(계약분)_협조전_협조전 2" xfId="1963"/>
    <cellStyle name="_인원계획표 _부산남천동병원내역서(남일)_공정표" xfId="1964"/>
    <cellStyle name="_인원계획표 _부산남천동병원내역서(남일)_공정표 2" xfId="1965"/>
    <cellStyle name="_인원계획표 _부산남천동병원내역서(남일)_공정표_협조전" xfId="1966"/>
    <cellStyle name="_인원계획표 _부산남천동병원내역서(남일)_공정표_협조전 2" xfId="1967"/>
    <cellStyle name="_인원계획표 _부산남천동병원내역서(남일)_공정표_협조전_협조전" xfId="1968"/>
    <cellStyle name="_인원계획표 _부산남천동병원내역서(남일)_공정표_협조전_협조전 2" xfId="1969"/>
    <cellStyle name="_인원계획표 _부산남천동병원내역서(남일)_세종회관입찰보고서" xfId="1970"/>
    <cellStyle name="_인원계획표 _부산남천동병원내역서(남일)_세종회관입찰보고서 2" xfId="1971"/>
    <cellStyle name="_인원계획표 _부산남천동병원내역서(남일)_세종회관입찰보고서_협조전" xfId="1972"/>
    <cellStyle name="_인원계획표 _부산남천동병원내역서(남일)_세종회관입찰보고서_협조전 2" xfId="1973"/>
    <cellStyle name="_인원계획표 _부산남천동병원내역서(남일)_세종회관입찰보고서_협조전_협조전" xfId="1974"/>
    <cellStyle name="_인원계획표 _부산남천동병원내역서(남일)_세종회관입찰보고서_협조전_협조전 2" xfId="1975"/>
    <cellStyle name="_인원계획표 _부산남천동병원내역서(남일)_입찰보고서" xfId="1976"/>
    <cellStyle name="_인원계획표 _부산남천동병원내역서(남일)_입찰보고서 2" xfId="1977"/>
    <cellStyle name="_인원계획표 _부산남천동병원내역서(남일)_입찰보고서_협조전" xfId="1978"/>
    <cellStyle name="_인원계획표 _부산남천동병원내역서(남일)_입찰보고서_협조전 2" xfId="1979"/>
    <cellStyle name="_인원계획표 _부산남천동병원내역서(남일)_입찰보고서_협조전_협조전" xfId="1980"/>
    <cellStyle name="_인원계획표 _부산남천동병원내역서(남일)_입찰보고서_협조전_협조전 2" xfId="1981"/>
    <cellStyle name="_인원계획표 _부산남천동병원내역서(남일)_협조전" xfId="1982"/>
    <cellStyle name="_인원계획표 _부산남천동병원내역서(남일)_협조전 2" xfId="1983"/>
    <cellStyle name="_인원계획표 _부산남천동병원내역서(남일)_협조전_협조전" xfId="1984"/>
    <cellStyle name="_인원계획표 _부산남천동병원내역서(남일)_협조전_협조전 2" xfId="1985"/>
    <cellStyle name="_인원계획표 _월곳집행(본사)" xfId="1986"/>
    <cellStyle name="_인원계획표 _월곳집행(본사) 2" xfId="1987"/>
    <cellStyle name="_인원계획표 _월곳집행(본사)_공내역서(소방)" xfId="1988"/>
    <cellStyle name="_인원계획표 _월곳집행(본사)_공내역서(소방) 2" xfId="1989"/>
    <cellStyle name="_인원계획표 _월곳집행(본사)_공내역서(소방final)" xfId="1990"/>
    <cellStyle name="_인원계획표 _월곳집행(본사)_공내역서(소방final) 2" xfId="1991"/>
    <cellStyle name="_인원계획표 _의정부" xfId="1992"/>
    <cellStyle name="_인원계획표 _의정부 2" xfId="1993"/>
    <cellStyle name="_인원계획표 _의정부_건국대학교공내역1028" xfId="1994"/>
    <cellStyle name="_인원계획표 _의정부_건국대학교공내역1028 2" xfId="1995"/>
    <cellStyle name="_인원계획표 _의정부_건국대학교공내역1028_건국대학교공내역1028" xfId="1996"/>
    <cellStyle name="_인원계획표 _의정부_건국대학교공내역1028_건국대학교공내역1028 2" xfId="1997"/>
    <cellStyle name="_인원계획표 _의정부_건국대학교공내역1028_건국대학교공내역1028_협조전" xfId="1998"/>
    <cellStyle name="_인원계획표 _의정부_건국대학교공내역1028_건국대학교공내역1028_협조전 2" xfId="1999"/>
    <cellStyle name="_인원계획표 _의정부_건국대학교공내역1028_건국대학교공내역1028_협조전_협조전" xfId="2000"/>
    <cellStyle name="_인원계획표 _의정부_건국대학교공내역1028_건국대학교공내역1028_협조전_협조전 2" xfId="2001"/>
    <cellStyle name="_인원계획표 _의정부_건국대학교공내역1028_협조전" xfId="2002"/>
    <cellStyle name="_인원계획표 _의정부_건국대학교공내역1028_협조전 2" xfId="2003"/>
    <cellStyle name="_인원계획표 _의정부_건국대학교공내역1028_협조전_협조전" xfId="2004"/>
    <cellStyle name="_인원계획표 _의정부_건국대학교공내역1028_협조전_협조전 2" xfId="2005"/>
    <cellStyle name="_인원계획표 _의정부_협조전" xfId="2006"/>
    <cellStyle name="_인원계획표 _의정부_협조전 2" xfId="2007"/>
    <cellStyle name="_인원계획표 _의정부_협조전_협조전" xfId="2008"/>
    <cellStyle name="_인원계획표 _의정부_협조전_협조전 2" xfId="2009"/>
    <cellStyle name="_인원계획표 _의정부성모병원" xfId="2010"/>
    <cellStyle name="_인원계획표 _의정부성모병원 2" xfId="2011"/>
    <cellStyle name="_인원계획표 _의정부성모병원_건국대학교공내역1028" xfId="2012"/>
    <cellStyle name="_인원계획표 _의정부성모병원_건국대학교공내역1028 2" xfId="2013"/>
    <cellStyle name="_인원계획표 _의정부성모병원_건국대학교공내역1028_건국대학교공내역1028" xfId="2014"/>
    <cellStyle name="_인원계획표 _의정부성모병원_건국대학교공내역1028_건국대학교공내역1028 2" xfId="2015"/>
    <cellStyle name="_인원계획표 _의정부성모병원_건국대학교공내역1028_건국대학교공내역1028_협조전" xfId="2016"/>
    <cellStyle name="_인원계획표 _의정부성모병원_건국대학교공내역1028_건국대학교공내역1028_협조전 2" xfId="2017"/>
    <cellStyle name="_인원계획표 _의정부성모병원_건국대학교공내역1028_건국대학교공내역1028_협조전_협조전" xfId="2018"/>
    <cellStyle name="_인원계획표 _의정부성모병원_건국대학교공내역1028_건국대학교공내역1028_협조전_협조전 2" xfId="2019"/>
    <cellStyle name="_인원계획표 _의정부성모병원_건국대학교공내역1028_협조전" xfId="2020"/>
    <cellStyle name="_인원계획표 _의정부성모병원_건국대학교공내역1028_협조전 2" xfId="2021"/>
    <cellStyle name="_인원계획표 _의정부성모병원_건국대학교공내역1028_협조전_협조전" xfId="2022"/>
    <cellStyle name="_인원계획표 _의정부성모병원_건국대학교공내역1028_협조전_협조전 2" xfId="2023"/>
    <cellStyle name="_인원계획표 _의정부성모병원_협조전" xfId="2024"/>
    <cellStyle name="_인원계획표 _의정부성모병원_협조전 2" xfId="2025"/>
    <cellStyle name="_인원계획표 _의정부성모병원_협조전_협조전" xfId="2026"/>
    <cellStyle name="_인원계획표 _의정부성모병원_협조전_협조전 2" xfId="2027"/>
    <cellStyle name="_인원계획표 _적격 " xfId="2028"/>
    <cellStyle name="_인원계획표 _적격  2" xfId="2029"/>
    <cellStyle name="_인원계획표 _적격 _건국대병원" xfId="2030"/>
    <cellStyle name="_인원계획표 _적격 _건국대병원 2" xfId="2031"/>
    <cellStyle name="_인원계획표 _적격 _건국대병원_건국대학교공내역1028" xfId="2032"/>
    <cellStyle name="_인원계획표 _적격 _건국대병원_건국대학교공내역1028 2" xfId="2033"/>
    <cellStyle name="_인원계획표 _적격 _건국대병원_건국대학교공내역1028_건국대학교공내역1028" xfId="2034"/>
    <cellStyle name="_인원계획표 _적격 _건국대병원_건국대학교공내역1028_건국대학교공내역1028 2" xfId="2035"/>
    <cellStyle name="_인원계획표 _적격 _건국대병원_건국대학교공내역1028_건국대학교공내역1028_협조전" xfId="2036"/>
    <cellStyle name="_인원계획표 _적격 _건국대병원_건국대학교공내역1028_건국대학교공내역1028_협조전 2" xfId="2037"/>
    <cellStyle name="_인원계획표 _적격 _건국대병원_건국대학교공내역1028_건국대학교공내역1028_협조전_협조전" xfId="2038"/>
    <cellStyle name="_인원계획표 _적격 _건국대병원_건국대학교공내역1028_건국대학교공내역1028_협조전_협조전 2" xfId="2039"/>
    <cellStyle name="_인원계획표 _적격 _건국대병원_건국대학교공내역1028_협조전" xfId="2040"/>
    <cellStyle name="_인원계획표 _적격 _건국대병원_건국대학교공내역1028_협조전 2" xfId="2041"/>
    <cellStyle name="_인원계획표 _적격 _건국대병원_건국대학교공내역1028_협조전_협조전" xfId="2042"/>
    <cellStyle name="_인원계획표 _적격 _건국대병원_건국대학교공내역1028_협조전_협조전 2" xfId="2043"/>
    <cellStyle name="_인원계획표 _적격 _건국대병원_협조전" xfId="2044"/>
    <cellStyle name="_인원계획표 _적격 _건국대병원_협조전 2" xfId="2045"/>
    <cellStyle name="_인원계획표 _적격 _건국대병원_협조전_협조전" xfId="2046"/>
    <cellStyle name="_인원계획표 _적격 _건국대병원_협조전_협조전 2" xfId="2047"/>
    <cellStyle name="_인원계획표 _적격 _건국대학교공내역1028" xfId="2048"/>
    <cellStyle name="_인원계획표 _적격 _건국대학교공내역1028 2" xfId="2049"/>
    <cellStyle name="_인원계획표 _적격 _건국대학교공내역1028_협조전" xfId="2050"/>
    <cellStyle name="_인원계획표 _적격 _건국대학교공내역1028_협조전 2" xfId="2051"/>
    <cellStyle name="_인원계획표 _적격 _건국대학교공내역1028_협조전_협조전" xfId="2052"/>
    <cellStyle name="_인원계획표 _적격 _건국대학교공내역1028_협조전_협조전 2" xfId="2053"/>
    <cellStyle name="_인원계획표 _적격 _건국대학교병원 견적_미동" xfId="2054"/>
    <cellStyle name="_인원계획표 _적격 _건국대학교병원 견적_미동 2" xfId="2055"/>
    <cellStyle name="_인원계획표 _적격 _건국대학교병원 견적_미동_건국대학교공내역1028" xfId="2056"/>
    <cellStyle name="_인원계획표 _적격 _건국대학교병원 견적_미동_건국대학교공내역1028 2" xfId="2057"/>
    <cellStyle name="_인원계획표 _적격 _건국대학교병원 견적_미동_건국대학교공내역1028_건국대학교공내역1028" xfId="2058"/>
    <cellStyle name="_인원계획표 _적격 _건국대학교병원 견적_미동_건국대학교공내역1028_건국대학교공내역1028 2" xfId="2059"/>
    <cellStyle name="_인원계획표 _적격 _건국대학교병원 견적_미동_건국대학교공내역1028_건국대학교공내역1028_협조전" xfId="2060"/>
    <cellStyle name="_인원계획표 _적격 _건국대학교병원 견적_미동_건국대학교공내역1028_건국대학교공내역1028_협조전 2" xfId="2061"/>
    <cellStyle name="_인원계획표 _적격 _건국대학교병원 견적_미동_건국대학교공내역1028_건국대학교공내역1028_협조전_협조전" xfId="2062"/>
    <cellStyle name="_인원계획표 _적격 _건국대학교병원 견적_미동_건국대학교공내역1028_건국대학교공내역1028_협조전_협조전 2" xfId="2063"/>
    <cellStyle name="_인원계획표 _적격 _건국대학교병원 견적_미동_건국대학교공내역1028_협조전" xfId="2064"/>
    <cellStyle name="_인원계획표 _적격 _건국대학교병원 견적_미동_건국대학교공내역1028_협조전 2" xfId="2065"/>
    <cellStyle name="_인원계획표 _적격 _건국대학교병원 견적_미동_건국대학교공내역1028_협조전_협조전" xfId="2066"/>
    <cellStyle name="_인원계획표 _적격 _건국대학교병원 견적_미동_건국대학교공내역1028_협조전_협조전 2" xfId="2067"/>
    <cellStyle name="_인원계획표 _적격 _건국대학교병원 견적_미동_협조전" xfId="2068"/>
    <cellStyle name="_인원계획표 _적격 _건국대학교병원 견적_미동_협조전 2" xfId="2069"/>
    <cellStyle name="_인원계획표 _적격 _건국대학교병원 견적_미동_협조전_협조전" xfId="2070"/>
    <cellStyle name="_인원계획표 _적격 _건국대학교병원 견적_미동_협조전_협조전 2" xfId="2071"/>
    <cellStyle name="_인원계획표 _적격 _건국대학교부대입찰업체견적서" xfId="2072"/>
    <cellStyle name="_인원계획표 _적격 _건국대학교부대입찰업체견적서 2" xfId="2073"/>
    <cellStyle name="_인원계획표 _적격 _건국대학교부대입찰업체견적서_건국대학교공내역1028" xfId="2074"/>
    <cellStyle name="_인원계획표 _적격 _건국대학교부대입찰업체견적서_건국대학교공내역1028 2" xfId="2075"/>
    <cellStyle name="_인원계획표 _적격 _건국대학교부대입찰업체견적서_건국대학교공내역1028_건국대학교공내역1028" xfId="2076"/>
    <cellStyle name="_인원계획표 _적격 _건국대학교부대입찰업체견적서_건국대학교공내역1028_건국대학교공내역1028 2" xfId="2077"/>
    <cellStyle name="_인원계획표 _적격 _건국대학교부대입찰업체견적서_건국대학교공내역1028_건국대학교공내역1028_협조전" xfId="2078"/>
    <cellStyle name="_인원계획표 _적격 _건국대학교부대입찰업체견적서_건국대학교공내역1028_건국대학교공내역1028_협조전 2" xfId="2079"/>
    <cellStyle name="_인원계획표 _적격 _건국대학교부대입찰업체견적서_건국대학교공내역1028_건국대학교공내역1028_협조전_협조전" xfId="2080"/>
    <cellStyle name="_인원계획표 _적격 _건국대학교부대입찰업체견적서_건국대학교공내역1028_건국대학교공내역1028_협조전_협조전 2" xfId="2081"/>
    <cellStyle name="_인원계획표 _적격 _건국대학교부대입찰업체견적서_건국대학교공내역1028_협조전" xfId="2082"/>
    <cellStyle name="_인원계획표 _적격 _건국대학교부대입찰업체견적서_건국대학교공내역1028_협조전 2" xfId="2083"/>
    <cellStyle name="_인원계획표 _적격 _건국대학교부대입찰업체견적서_건국대학교공내역1028_협조전_협조전" xfId="2084"/>
    <cellStyle name="_인원계획표 _적격 _건국대학교부대입찰업체견적서_건국대학교공내역1028_협조전_협조전 2" xfId="2085"/>
    <cellStyle name="_인원계획표 _적격 _건국대학교부대입찰업체견적서_협조전" xfId="2086"/>
    <cellStyle name="_인원계획표 _적격 _건국대학교부대입찰업체견적서_협조전 2" xfId="2087"/>
    <cellStyle name="_인원계획표 _적격 _건국대학교부대입찰업체견적서_협조전_협조전" xfId="2088"/>
    <cellStyle name="_인원계획표 _적격 _건국대학교부대입찰업체견적서_협조전_협조전 2" xfId="2089"/>
    <cellStyle name="_인원계획표 _적격 _부산남천동병원내역서(남일)" xfId="2090"/>
    <cellStyle name="_인원계획표 _적격 _부산남천동병원내역서(남일) 2" xfId="2091"/>
    <cellStyle name="_인원계획표 _적격 _부산남천동병원내역서(남일)_2도급내역(계약분)" xfId="2092"/>
    <cellStyle name="_인원계획표 _적격 _부산남천동병원내역서(남일)_2도급내역(계약분) 2" xfId="2093"/>
    <cellStyle name="_인원계획표 _적격 _부산남천동병원내역서(남일)_2도급내역(계약분)_협조전" xfId="2094"/>
    <cellStyle name="_인원계획표 _적격 _부산남천동병원내역서(남일)_2도급내역(계약분)_협조전 2" xfId="2095"/>
    <cellStyle name="_인원계획표 _적격 _부산남천동병원내역서(남일)_2도급내역(계약분)_협조전_협조전" xfId="2096"/>
    <cellStyle name="_인원계획표 _적격 _부산남천동병원내역서(남일)_2도급내역(계약분)_협조전_협조전 2" xfId="2097"/>
    <cellStyle name="_인원계획표 _적격 _부산남천동병원내역서(남일)_공정표" xfId="2098"/>
    <cellStyle name="_인원계획표 _적격 _부산남천동병원내역서(남일)_공정표 2" xfId="2099"/>
    <cellStyle name="_인원계획표 _적격 _부산남천동병원내역서(남일)_공정표_협조전" xfId="2100"/>
    <cellStyle name="_인원계획표 _적격 _부산남천동병원내역서(남일)_공정표_협조전 2" xfId="2101"/>
    <cellStyle name="_인원계획표 _적격 _부산남천동병원내역서(남일)_공정표_협조전_협조전" xfId="2102"/>
    <cellStyle name="_인원계획표 _적격 _부산남천동병원내역서(남일)_공정표_협조전_협조전 2" xfId="2103"/>
    <cellStyle name="_인원계획표 _적격 _부산남천동병원내역서(남일)_세종회관입찰보고서" xfId="2104"/>
    <cellStyle name="_인원계획표 _적격 _부산남천동병원내역서(남일)_세종회관입찰보고서 2" xfId="2105"/>
    <cellStyle name="_인원계획표 _적격 _부산남천동병원내역서(남일)_세종회관입찰보고서_협조전" xfId="2106"/>
    <cellStyle name="_인원계획표 _적격 _부산남천동병원내역서(남일)_세종회관입찰보고서_협조전 2" xfId="2107"/>
    <cellStyle name="_인원계획표 _적격 _부산남천동병원내역서(남일)_세종회관입찰보고서_협조전_협조전" xfId="2108"/>
    <cellStyle name="_인원계획표 _적격 _부산남천동병원내역서(남일)_세종회관입찰보고서_협조전_협조전 2" xfId="2109"/>
    <cellStyle name="_인원계획표 _적격 _부산남천동병원내역서(남일)_입찰보고서" xfId="2110"/>
    <cellStyle name="_인원계획표 _적격 _부산남천동병원내역서(남일)_입찰보고서 2" xfId="2111"/>
    <cellStyle name="_인원계획표 _적격 _부산남천동병원내역서(남일)_입찰보고서_협조전" xfId="2112"/>
    <cellStyle name="_인원계획표 _적격 _부산남천동병원내역서(남일)_입찰보고서_협조전 2" xfId="2113"/>
    <cellStyle name="_인원계획표 _적격 _부산남천동병원내역서(남일)_입찰보고서_협조전_협조전" xfId="2114"/>
    <cellStyle name="_인원계획표 _적격 _부산남천동병원내역서(남일)_입찰보고서_협조전_협조전 2" xfId="2115"/>
    <cellStyle name="_인원계획표 _적격 _부산남천동병원내역서(남일)_협조전" xfId="2116"/>
    <cellStyle name="_인원계획표 _적격 _부산남천동병원내역서(남일)_협조전 2" xfId="2117"/>
    <cellStyle name="_인원계획표 _적격 _부산남천동병원내역서(남일)_협조전_협조전" xfId="2118"/>
    <cellStyle name="_인원계획표 _적격 _부산남천동병원내역서(남일)_협조전_협조전 2" xfId="2119"/>
    <cellStyle name="_인원계획표 _적격 _월곳집행(본사)" xfId="2120"/>
    <cellStyle name="_인원계획표 _적격 _월곳집행(본사) 2" xfId="2121"/>
    <cellStyle name="_인원계획표 _적격 _월곳집행(본사)_공내역서(소방)" xfId="2122"/>
    <cellStyle name="_인원계획표 _적격 _월곳집행(본사)_공내역서(소방) 2" xfId="2123"/>
    <cellStyle name="_인원계획표 _적격 _월곳집행(본사)_공내역서(소방final)" xfId="2124"/>
    <cellStyle name="_인원계획표 _적격 _월곳집행(본사)_공내역서(소방final) 2" xfId="2125"/>
    <cellStyle name="_인원계획표 _적격 _의정부" xfId="2126"/>
    <cellStyle name="_인원계획표 _적격 _의정부 2" xfId="2127"/>
    <cellStyle name="_인원계획표 _적격 _의정부_건국대학교공내역1028" xfId="2128"/>
    <cellStyle name="_인원계획표 _적격 _의정부_건국대학교공내역1028 2" xfId="2129"/>
    <cellStyle name="_인원계획표 _적격 _의정부_건국대학교공내역1028_건국대학교공내역1028" xfId="2130"/>
    <cellStyle name="_인원계획표 _적격 _의정부_건국대학교공내역1028_건국대학교공내역1028 2" xfId="2131"/>
    <cellStyle name="_인원계획표 _적격 _의정부_건국대학교공내역1028_건국대학교공내역1028_협조전" xfId="2132"/>
    <cellStyle name="_인원계획표 _적격 _의정부_건국대학교공내역1028_건국대학교공내역1028_협조전 2" xfId="2133"/>
    <cellStyle name="_인원계획표 _적격 _의정부_건국대학교공내역1028_건국대학교공내역1028_협조전_협조전" xfId="2134"/>
    <cellStyle name="_인원계획표 _적격 _의정부_건국대학교공내역1028_건국대학교공내역1028_협조전_협조전 2" xfId="2135"/>
    <cellStyle name="_인원계획표 _적격 _의정부_건국대학교공내역1028_협조전" xfId="2136"/>
    <cellStyle name="_인원계획표 _적격 _의정부_건국대학교공내역1028_협조전 2" xfId="2137"/>
    <cellStyle name="_인원계획표 _적격 _의정부_건국대학교공내역1028_협조전_협조전" xfId="2138"/>
    <cellStyle name="_인원계획표 _적격 _의정부_건국대학교공내역1028_협조전_협조전 2" xfId="2139"/>
    <cellStyle name="_인원계획표 _적격 _의정부_협조전" xfId="2140"/>
    <cellStyle name="_인원계획표 _적격 _의정부_협조전 2" xfId="2141"/>
    <cellStyle name="_인원계획표 _적격 _의정부_협조전_협조전" xfId="2142"/>
    <cellStyle name="_인원계획표 _적격 _의정부_협조전_협조전 2" xfId="2143"/>
    <cellStyle name="_인원계획표 _적격 _의정부성모병원" xfId="2144"/>
    <cellStyle name="_인원계획표 _적격 _의정부성모병원 2" xfId="2145"/>
    <cellStyle name="_인원계획표 _적격 _의정부성모병원_건국대학교공내역1028" xfId="2146"/>
    <cellStyle name="_인원계획표 _적격 _의정부성모병원_건국대학교공내역1028 2" xfId="2147"/>
    <cellStyle name="_인원계획표 _적격 _의정부성모병원_건국대학교공내역1028_건국대학교공내역1028" xfId="2148"/>
    <cellStyle name="_인원계획표 _적격 _의정부성모병원_건국대학교공내역1028_건국대학교공내역1028 2" xfId="2149"/>
    <cellStyle name="_인원계획표 _적격 _의정부성모병원_건국대학교공내역1028_건국대학교공내역1028_협조전" xfId="2150"/>
    <cellStyle name="_인원계획표 _적격 _의정부성모병원_건국대학교공내역1028_건국대학교공내역1028_협조전 2" xfId="2151"/>
    <cellStyle name="_인원계획표 _적격 _의정부성모병원_건국대학교공내역1028_건국대학교공내역1028_협조전_협조전" xfId="2152"/>
    <cellStyle name="_인원계획표 _적격 _의정부성모병원_건국대학교공내역1028_건국대학교공내역1028_협조전_협조전 2" xfId="2153"/>
    <cellStyle name="_인원계획표 _적격 _의정부성모병원_건국대학교공내역1028_협조전" xfId="2154"/>
    <cellStyle name="_인원계획표 _적격 _의정부성모병원_건국대학교공내역1028_협조전 2" xfId="2155"/>
    <cellStyle name="_인원계획표 _적격 _의정부성모병원_건국대학교공내역1028_협조전_협조전" xfId="2156"/>
    <cellStyle name="_인원계획표 _적격 _의정부성모병원_건국대학교공내역1028_협조전_협조전 2" xfId="2157"/>
    <cellStyle name="_인원계획표 _적격 _의정부성모병원_협조전" xfId="2158"/>
    <cellStyle name="_인원계획표 _적격 _의정부성모병원_협조전 2" xfId="2159"/>
    <cellStyle name="_인원계획표 _적격 _의정부성모병원_협조전_협조전" xfId="2160"/>
    <cellStyle name="_인원계획표 _적격 _의정부성모병원_협조전_협조전 2" xfId="2161"/>
    <cellStyle name="_인원계획표 _적격 _조0203(1000억이상)" xfId="2162"/>
    <cellStyle name="_인원계획표 _적격 _청주중원(부대입찰) 견적" xfId="2163"/>
    <cellStyle name="_인원계획표 _적격 _청주중원(부대입찰) 견적 2" xfId="2164"/>
    <cellStyle name="_인원계획표 _적격 _청주중원(부대입찰) 견적_건국대학교공내역1028" xfId="2165"/>
    <cellStyle name="_인원계획표 _적격 _청주중원(부대입찰) 견적_건국대학교공내역1028 2" xfId="2166"/>
    <cellStyle name="_인원계획표 _적격 _청주중원(부대입찰) 견적_건국대학교공내역1028_건국대학교공내역1028" xfId="2167"/>
    <cellStyle name="_인원계획표 _적격 _청주중원(부대입찰) 견적_건국대학교공내역1028_건국대학교공내역1028 2" xfId="2168"/>
    <cellStyle name="_인원계획표 _적격 _청주중원(부대입찰) 견적_건국대학교공내역1028_건국대학교공내역1028_협조전" xfId="2169"/>
    <cellStyle name="_인원계획표 _적격 _청주중원(부대입찰) 견적_건국대학교공내역1028_건국대학교공내역1028_협조전 2" xfId="2170"/>
    <cellStyle name="_인원계획표 _적격 _청주중원(부대입찰) 견적_건국대학교공내역1028_건국대학교공내역1028_협조전_협조전" xfId="2171"/>
    <cellStyle name="_인원계획표 _적격 _청주중원(부대입찰) 견적_건국대학교공내역1028_건국대학교공내역1028_협조전_협조전 2" xfId="2172"/>
    <cellStyle name="_인원계획표 _적격 _청주중원(부대입찰) 견적_건국대학교공내역1028_협조전" xfId="2173"/>
    <cellStyle name="_인원계획표 _적격 _청주중원(부대입찰) 견적_건국대학교공내역1028_협조전 2" xfId="2174"/>
    <cellStyle name="_인원계획표 _적격 _청주중원(부대입찰) 견적_건국대학교공내역1028_협조전_협조전" xfId="2175"/>
    <cellStyle name="_인원계획표 _적격 _청주중원(부대입찰) 견적_건국대학교공내역1028_협조전_협조전 2" xfId="2176"/>
    <cellStyle name="_인원계획표 _적격 _청주중원(부대입찰) 견적_협조전" xfId="2177"/>
    <cellStyle name="_인원계획표 _적격 _청주중원(부대입찰) 견적_협조전 2" xfId="2178"/>
    <cellStyle name="_인원계획표 _적격 _청주중원(부대입찰) 견적_협조전_협조전" xfId="2179"/>
    <cellStyle name="_인원계획표 _적격 _청주중원(부대입찰) 견적_협조전_협조전 2" xfId="2180"/>
    <cellStyle name="_인원계획표 _적격 _협조전" xfId="2181"/>
    <cellStyle name="_인원계획표 _적격 _협조전 2" xfId="2182"/>
    <cellStyle name="_인원계획표 _적격 _협조전_협조전" xfId="2183"/>
    <cellStyle name="_인원계획표 _적격 _협조전_협조전 2" xfId="2184"/>
    <cellStyle name="_인원계획표 _조0203(1000억이상)" xfId="2185"/>
    <cellStyle name="_인원계획표 _청주중원(부대입찰) 견적" xfId="2186"/>
    <cellStyle name="_인원계획표 _청주중원(부대입찰) 견적 2" xfId="2187"/>
    <cellStyle name="_인원계획표 _청주중원(부대입찰) 견적_건국대학교공내역1028" xfId="2188"/>
    <cellStyle name="_인원계획표 _청주중원(부대입찰) 견적_건국대학교공내역1028 2" xfId="2189"/>
    <cellStyle name="_인원계획표 _청주중원(부대입찰) 견적_건국대학교공내역1028_건국대학교공내역1028" xfId="2190"/>
    <cellStyle name="_인원계획표 _청주중원(부대입찰) 견적_건국대학교공내역1028_건국대학교공내역1028 2" xfId="2191"/>
    <cellStyle name="_인원계획표 _청주중원(부대입찰) 견적_건국대학교공내역1028_건국대학교공내역1028_협조전" xfId="2192"/>
    <cellStyle name="_인원계획표 _청주중원(부대입찰) 견적_건국대학교공내역1028_건국대학교공내역1028_협조전 2" xfId="2193"/>
    <cellStyle name="_인원계획표 _청주중원(부대입찰) 견적_건국대학교공내역1028_건국대학교공내역1028_협조전_협조전" xfId="2194"/>
    <cellStyle name="_인원계획표 _청주중원(부대입찰) 견적_건국대학교공내역1028_건국대학교공내역1028_협조전_협조전 2" xfId="2195"/>
    <cellStyle name="_인원계획표 _청주중원(부대입찰) 견적_건국대학교공내역1028_협조전" xfId="2196"/>
    <cellStyle name="_인원계획표 _청주중원(부대입찰) 견적_건국대학교공내역1028_협조전 2" xfId="2197"/>
    <cellStyle name="_인원계획표 _청주중원(부대입찰) 견적_건국대학교공내역1028_협조전_협조전" xfId="2198"/>
    <cellStyle name="_인원계획표 _청주중원(부대입찰) 견적_건국대학교공내역1028_협조전_협조전 2" xfId="2199"/>
    <cellStyle name="_인원계획표 _청주중원(부대입찰) 견적_협조전" xfId="2200"/>
    <cellStyle name="_인원계획표 _청주중원(부대입찰) 견적_협조전 2" xfId="2201"/>
    <cellStyle name="_인원계획표 _청주중원(부대입찰) 견적_협조전_협조전" xfId="2202"/>
    <cellStyle name="_인원계획표 _청주중원(부대입찰) 견적_협조전_협조전 2" xfId="2203"/>
    <cellStyle name="_인원계획표 _협조전" xfId="2204"/>
    <cellStyle name="_인원계획표 _협조전 2" xfId="2205"/>
    <cellStyle name="_인원계획표 _협조전_협조전" xfId="2206"/>
    <cellStyle name="_인원계획표 _협조전_협조전 2" xfId="2207"/>
    <cellStyle name="_인천공항-0801-음향영상최종" xfId="2208"/>
    <cellStyle name="_인천교회_080218" xfId="2209"/>
    <cellStyle name="_인천교회_080218 2" xfId="2210"/>
    <cellStyle name="_인천통합국사" xfId="2211"/>
    <cellStyle name="_인천통합국사 2" xfId="2212"/>
    <cellStyle name="_일반2공구(감리-3(1).30)" xfId="2213"/>
    <cellStyle name="_일반2공구(감리-3(1).30) 2" xfId="2214"/>
    <cellStyle name="_일반2공구(감리-3.29)" xfId="2215"/>
    <cellStyle name="_일반2공구(감리-3.29) 2" xfId="2216"/>
    <cellStyle name="_일반전기1공구" xfId="2217"/>
    <cellStyle name="_일반전기1공구 2" xfId="2218"/>
    <cellStyle name="_일반전기2공구" xfId="2219"/>
    <cellStyle name="_일반전기2공구 2" xfId="2220"/>
    <cellStyle name="_일반전기5회(1)" xfId="2221"/>
    <cellStyle name="_일반전기5회(1) 2" xfId="2222"/>
    <cellStyle name="_일반전기정산" xfId="2223"/>
    <cellStyle name="_일반전기정산 2" xfId="2224"/>
    <cellStyle name="_일반전기정산(H)" xfId="2225"/>
    <cellStyle name="_일반전기정산(H) 2" xfId="2226"/>
    <cellStyle name="_일위대가" xfId="2227"/>
    <cellStyle name="_일위대가 2" xfId="2228"/>
    <cellStyle name="_일위대가_1" xfId="2229"/>
    <cellStyle name="_일위대가_1 2" xfId="2230"/>
    <cellStyle name="_일위대가_2" xfId="2231"/>
    <cellStyle name="_일위대가_2 2" xfId="2232"/>
    <cellStyle name="_일위대가_3" xfId="2233"/>
    <cellStyle name="_일위대가_3 2" xfId="2234"/>
    <cellStyle name="_입찰표지 " xfId="2235"/>
    <cellStyle name="_입찰표지  2" xfId="2236"/>
    <cellStyle name="_입찰표지 _건국대병원" xfId="2237"/>
    <cellStyle name="_입찰표지 _건국대병원 2" xfId="2238"/>
    <cellStyle name="_입찰표지 _건국대병원_건국대학교공내역1028" xfId="2239"/>
    <cellStyle name="_입찰표지 _건국대병원_건국대학교공내역1028 2" xfId="2240"/>
    <cellStyle name="_입찰표지 _건국대병원_건국대학교공내역1028_건국대학교공내역1028" xfId="2241"/>
    <cellStyle name="_입찰표지 _건국대병원_건국대학교공내역1028_건국대학교공내역1028 2" xfId="2242"/>
    <cellStyle name="_입찰표지 _건국대병원_건국대학교공내역1028_건국대학교공내역1028_협조전" xfId="2243"/>
    <cellStyle name="_입찰표지 _건국대병원_건국대학교공내역1028_건국대학교공내역1028_협조전 2" xfId="2244"/>
    <cellStyle name="_입찰표지 _건국대병원_건국대학교공내역1028_건국대학교공내역1028_협조전_협조전" xfId="2245"/>
    <cellStyle name="_입찰표지 _건국대병원_건국대학교공내역1028_건국대학교공내역1028_협조전_협조전 2" xfId="2246"/>
    <cellStyle name="_입찰표지 _건국대병원_건국대학교공내역1028_협조전" xfId="2247"/>
    <cellStyle name="_입찰표지 _건국대병원_건국대학교공내역1028_협조전 2" xfId="2248"/>
    <cellStyle name="_입찰표지 _건국대병원_건국대학교공내역1028_협조전_협조전" xfId="2249"/>
    <cellStyle name="_입찰표지 _건국대병원_건국대학교공내역1028_협조전_협조전 2" xfId="2250"/>
    <cellStyle name="_입찰표지 _건국대병원_협조전" xfId="2251"/>
    <cellStyle name="_입찰표지 _건국대병원_협조전 2" xfId="2252"/>
    <cellStyle name="_입찰표지 _건국대병원_협조전_협조전" xfId="2253"/>
    <cellStyle name="_입찰표지 _건국대병원_협조전_협조전 2" xfId="2254"/>
    <cellStyle name="_입찰표지 _건국대학교공내역1028" xfId="2255"/>
    <cellStyle name="_입찰표지 _건국대학교공내역1028 2" xfId="2256"/>
    <cellStyle name="_입찰표지 _건국대학교공내역1028_협조전" xfId="2257"/>
    <cellStyle name="_입찰표지 _건국대학교공내역1028_협조전 2" xfId="2258"/>
    <cellStyle name="_입찰표지 _건국대학교공내역1028_협조전_협조전" xfId="2259"/>
    <cellStyle name="_입찰표지 _건국대학교공내역1028_협조전_협조전 2" xfId="2260"/>
    <cellStyle name="_입찰표지 _건국대학교병원 견적_미동" xfId="2261"/>
    <cellStyle name="_입찰표지 _건국대학교병원 견적_미동 2" xfId="2262"/>
    <cellStyle name="_입찰표지 _건국대학교병원 견적_미동_건국대학교공내역1028" xfId="2263"/>
    <cellStyle name="_입찰표지 _건국대학교병원 견적_미동_건국대학교공내역1028 2" xfId="2264"/>
    <cellStyle name="_입찰표지 _건국대학교병원 견적_미동_건국대학교공내역1028_건국대학교공내역1028" xfId="2265"/>
    <cellStyle name="_입찰표지 _건국대학교병원 견적_미동_건국대학교공내역1028_건국대학교공내역1028 2" xfId="2266"/>
    <cellStyle name="_입찰표지 _건국대학교병원 견적_미동_건국대학교공내역1028_건국대학교공내역1028_협조전" xfId="2267"/>
    <cellStyle name="_입찰표지 _건국대학교병원 견적_미동_건국대학교공내역1028_건국대학교공내역1028_협조전 2" xfId="2268"/>
    <cellStyle name="_입찰표지 _건국대학교병원 견적_미동_건국대학교공내역1028_건국대학교공내역1028_협조전_협조전" xfId="2269"/>
    <cellStyle name="_입찰표지 _건국대학교병원 견적_미동_건국대학교공내역1028_건국대학교공내역1028_협조전_협조전 2" xfId="2270"/>
    <cellStyle name="_입찰표지 _건국대학교병원 견적_미동_건국대학교공내역1028_협조전" xfId="2271"/>
    <cellStyle name="_입찰표지 _건국대학교병원 견적_미동_건국대학교공내역1028_협조전 2" xfId="2272"/>
    <cellStyle name="_입찰표지 _건국대학교병원 견적_미동_건국대학교공내역1028_협조전_협조전" xfId="2273"/>
    <cellStyle name="_입찰표지 _건국대학교병원 견적_미동_건국대학교공내역1028_협조전_협조전 2" xfId="2274"/>
    <cellStyle name="_입찰표지 _건국대학교병원 견적_미동_협조전" xfId="2275"/>
    <cellStyle name="_입찰표지 _건국대학교병원 견적_미동_협조전 2" xfId="2276"/>
    <cellStyle name="_입찰표지 _건국대학교병원 견적_미동_협조전_협조전" xfId="2277"/>
    <cellStyle name="_입찰표지 _건국대학교병원 견적_미동_협조전_협조전 2" xfId="2278"/>
    <cellStyle name="_입찰표지 _건국대학교부대입찰업체견적서" xfId="2279"/>
    <cellStyle name="_입찰표지 _건국대학교부대입찰업체견적서 2" xfId="2280"/>
    <cellStyle name="_입찰표지 _건국대학교부대입찰업체견적서_건국대학교공내역1028" xfId="2281"/>
    <cellStyle name="_입찰표지 _건국대학교부대입찰업체견적서_건국대학교공내역1028 2" xfId="2282"/>
    <cellStyle name="_입찰표지 _건국대학교부대입찰업체견적서_건국대학교공내역1028_건국대학교공내역1028" xfId="2283"/>
    <cellStyle name="_입찰표지 _건국대학교부대입찰업체견적서_건국대학교공내역1028_건국대학교공내역1028 2" xfId="2284"/>
    <cellStyle name="_입찰표지 _건국대학교부대입찰업체견적서_건국대학교공내역1028_건국대학교공내역1028_협조전" xfId="2285"/>
    <cellStyle name="_입찰표지 _건국대학교부대입찰업체견적서_건국대학교공내역1028_건국대학교공내역1028_협조전 2" xfId="2286"/>
    <cellStyle name="_입찰표지 _건국대학교부대입찰업체견적서_건국대학교공내역1028_건국대학교공내역1028_협조전_협조전" xfId="2287"/>
    <cellStyle name="_입찰표지 _건국대학교부대입찰업체견적서_건국대학교공내역1028_건국대학교공내역1028_협조전_협조전 2" xfId="2288"/>
    <cellStyle name="_입찰표지 _건국대학교부대입찰업체견적서_건국대학교공내역1028_협조전" xfId="2289"/>
    <cellStyle name="_입찰표지 _건국대학교부대입찰업체견적서_건국대학교공내역1028_협조전 2" xfId="2290"/>
    <cellStyle name="_입찰표지 _건국대학교부대입찰업체견적서_건국대학교공내역1028_협조전_협조전" xfId="2291"/>
    <cellStyle name="_입찰표지 _건국대학교부대입찰업체견적서_건국대학교공내역1028_협조전_협조전 2" xfId="2292"/>
    <cellStyle name="_입찰표지 _건국대학교부대입찰업체견적서_협조전" xfId="2293"/>
    <cellStyle name="_입찰표지 _건국대학교부대입찰업체견적서_협조전 2" xfId="2294"/>
    <cellStyle name="_입찰표지 _건국대학교부대입찰업체견적서_협조전_협조전" xfId="2295"/>
    <cellStyle name="_입찰표지 _건국대학교부대입찰업체견적서_협조전_협조전 2" xfId="2296"/>
    <cellStyle name="_입찰표지 _내역(02.04.16)선우대교" xfId="2297"/>
    <cellStyle name="_입찰표지 _내역(02.04.16)선우대교_☆남악2-3공구가실행" xfId="2298"/>
    <cellStyle name="_입찰표지 _내역(02.04.17)선우대교" xfId="2299"/>
    <cellStyle name="_입찰표지 _내역(02.04.17)선우대교_☆남악2-3공구가실행" xfId="2300"/>
    <cellStyle name="_입찰표지 _내역(02.04.17)추모공원" xfId="2301"/>
    <cellStyle name="_입찰표지 _내역(02.04.17)추모공원_☆남악2-3공구가실행" xfId="2302"/>
    <cellStyle name="_입찰표지 _내역(02.09.30)신령-영천(2공구)" xfId="2303"/>
    <cellStyle name="_입찰표지 _내역(02.09.30)신령-영천(2공구)_☆남악2-3공구가실행" xfId="2304"/>
    <cellStyle name="_입찰표지 _내역(02.10.14)신령-영천(2공구)-0.3312" xfId="2305"/>
    <cellStyle name="_입찰표지 _내역(02.10.14)신령-영천(2공구)-0.3312_☆남악2-3공구가실행" xfId="2306"/>
    <cellStyle name="_입찰표지 _내역(02.11.07)강변북로(청담대교-성수대교)확장공사" xfId="2307"/>
    <cellStyle name="_입찰표지 _내역(02.11.07)강변북로(청담대교-성수대교)확장공사_☆남악2-3공구가실행" xfId="2308"/>
    <cellStyle name="_입찰표지 _내역(02.11.27)무안~광주간 건설공사(제2공구)투찰" xfId="2309"/>
    <cellStyle name="_입찰표지 _내역(02.11.27)무안~광주간 건설공사(제2공구)투찰_☆남악2-3공구가실행" xfId="2310"/>
    <cellStyle name="_입찰표지 _대안투찰내역(0221)" xfId="2311"/>
    <cellStyle name="_입찰표지 _대안투찰내역(0223)" xfId="2312"/>
    <cellStyle name="_입찰표지 _대안투찰내역(확정본0226)" xfId="2313"/>
    <cellStyle name="_입찰표지 _도급실행0211" xfId="2314"/>
    <cellStyle name="_입찰표지 _부산남천동병원내역서(남일)" xfId="2315"/>
    <cellStyle name="_입찰표지 _부산남천동병원내역서(남일) 2" xfId="2316"/>
    <cellStyle name="_입찰표지 _부산남천동병원내역서(남일)_2도급내역(계약분)" xfId="2317"/>
    <cellStyle name="_입찰표지 _부산남천동병원내역서(남일)_2도급내역(계약분) 2" xfId="2318"/>
    <cellStyle name="_입찰표지 _부산남천동병원내역서(남일)_2도급내역(계약분)_협조전" xfId="2319"/>
    <cellStyle name="_입찰표지 _부산남천동병원내역서(남일)_2도급내역(계약분)_협조전 2" xfId="2320"/>
    <cellStyle name="_입찰표지 _부산남천동병원내역서(남일)_2도급내역(계약분)_협조전_협조전" xfId="2321"/>
    <cellStyle name="_입찰표지 _부산남천동병원내역서(남일)_2도급내역(계약분)_협조전_협조전 2" xfId="2322"/>
    <cellStyle name="_입찰표지 _부산남천동병원내역서(남일)_공정표" xfId="2323"/>
    <cellStyle name="_입찰표지 _부산남천동병원내역서(남일)_공정표 2" xfId="2324"/>
    <cellStyle name="_입찰표지 _부산남천동병원내역서(남일)_공정표_협조전" xfId="2325"/>
    <cellStyle name="_입찰표지 _부산남천동병원내역서(남일)_공정표_협조전 2" xfId="2326"/>
    <cellStyle name="_입찰표지 _부산남천동병원내역서(남일)_공정표_협조전_협조전" xfId="2327"/>
    <cellStyle name="_입찰표지 _부산남천동병원내역서(남일)_공정표_협조전_협조전 2" xfId="2328"/>
    <cellStyle name="_입찰표지 _부산남천동병원내역서(남일)_세종회관입찰보고서" xfId="2329"/>
    <cellStyle name="_입찰표지 _부산남천동병원내역서(남일)_세종회관입찰보고서 2" xfId="2330"/>
    <cellStyle name="_입찰표지 _부산남천동병원내역서(남일)_세종회관입찰보고서_협조전" xfId="2331"/>
    <cellStyle name="_입찰표지 _부산남천동병원내역서(남일)_세종회관입찰보고서_협조전 2" xfId="2332"/>
    <cellStyle name="_입찰표지 _부산남천동병원내역서(남일)_세종회관입찰보고서_협조전_협조전" xfId="2333"/>
    <cellStyle name="_입찰표지 _부산남천동병원내역서(남일)_세종회관입찰보고서_협조전_협조전 2" xfId="2334"/>
    <cellStyle name="_입찰표지 _부산남천동병원내역서(남일)_입찰보고서" xfId="2335"/>
    <cellStyle name="_입찰표지 _부산남천동병원내역서(남일)_입찰보고서 2" xfId="2336"/>
    <cellStyle name="_입찰표지 _부산남천동병원내역서(남일)_입찰보고서_협조전" xfId="2337"/>
    <cellStyle name="_입찰표지 _부산남천동병원내역서(남일)_입찰보고서_협조전 2" xfId="2338"/>
    <cellStyle name="_입찰표지 _부산남천동병원내역서(남일)_입찰보고서_협조전_협조전" xfId="2339"/>
    <cellStyle name="_입찰표지 _부산남천동병원내역서(남일)_입찰보고서_협조전_협조전 2" xfId="2340"/>
    <cellStyle name="_입찰표지 _부산남천동병원내역서(남일)_협조전" xfId="2341"/>
    <cellStyle name="_입찰표지 _부산남천동병원내역서(남일)_협조전 2" xfId="2342"/>
    <cellStyle name="_입찰표지 _부산남천동병원내역서(남일)_협조전_협조전" xfId="2343"/>
    <cellStyle name="_입찰표지 _부산남천동병원내역서(남일)_협조전_협조전 2" xfId="2344"/>
    <cellStyle name="_입찰표지 _월곳집행(본사)" xfId="2345"/>
    <cellStyle name="_입찰표지 _월곳집행(본사) 2" xfId="2346"/>
    <cellStyle name="_입찰표지 _월곳집행(본사)_공내역서(소방)" xfId="2347"/>
    <cellStyle name="_입찰표지 _월곳집행(본사)_공내역서(소방) 2" xfId="2348"/>
    <cellStyle name="_입찰표지 _월곳집행(본사)_공내역서(소방final)" xfId="2349"/>
    <cellStyle name="_입찰표지 _월곳집행(본사)_공내역서(소방final) 2" xfId="2350"/>
    <cellStyle name="_입찰표지 _의정부" xfId="2351"/>
    <cellStyle name="_입찰표지 _의정부 2" xfId="2352"/>
    <cellStyle name="_입찰표지 _의정부_건국대학교공내역1028" xfId="2353"/>
    <cellStyle name="_입찰표지 _의정부_건국대학교공내역1028 2" xfId="2354"/>
    <cellStyle name="_입찰표지 _의정부_건국대학교공내역1028_건국대학교공내역1028" xfId="2355"/>
    <cellStyle name="_입찰표지 _의정부_건국대학교공내역1028_건국대학교공내역1028 2" xfId="2356"/>
    <cellStyle name="_입찰표지 _의정부_건국대학교공내역1028_건국대학교공내역1028_협조전" xfId="2357"/>
    <cellStyle name="_입찰표지 _의정부_건국대학교공내역1028_건국대학교공내역1028_협조전 2" xfId="2358"/>
    <cellStyle name="_입찰표지 _의정부_건국대학교공내역1028_건국대학교공내역1028_협조전_협조전" xfId="2359"/>
    <cellStyle name="_입찰표지 _의정부_건국대학교공내역1028_건국대학교공내역1028_협조전_협조전 2" xfId="2360"/>
    <cellStyle name="_입찰표지 _의정부_건국대학교공내역1028_협조전" xfId="2361"/>
    <cellStyle name="_입찰표지 _의정부_건국대학교공내역1028_협조전 2" xfId="2362"/>
    <cellStyle name="_입찰표지 _의정부_건국대학교공내역1028_협조전_협조전" xfId="2363"/>
    <cellStyle name="_입찰표지 _의정부_건국대학교공내역1028_협조전_협조전 2" xfId="2364"/>
    <cellStyle name="_입찰표지 _의정부_협조전" xfId="2365"/>
    <cellStyle name="_입찰표지 _의정부_협조전 2" xfId="2366"/>
    <cellStyle name="_입찰표지 _의정부_협조전_협조전" xfId="2367"/>
    <cellStyle name="_입찰표지 _의정부_협조전_협조전 2" xfId="2368"/>
    <cellStyle name="_입찰표지 _의정부성모병원" xfId="2369"/>
    <cellStyle name="_입찰표지 _의정부성모병원 2" xfId="2370"/>
    <cellStyle name="_입찰표지 _의정부성모병원_건국대학교공내역1028" xfId="2371"/>
    <cellStyle name="_입찰표지 _의정부성모병원_건국대학교공내역1028 2" xfId="2372"/>
    <cellStyle name="_입찰표지 _의정부성모병원_건국대학교공내역1028_건국대학교공내역1028" xfId="2373"/>
    <cellStyle name="_입찰표지 _의정부성모병원_건국대학교공내역1028_건국대학교공내역1028 2" xfId="2374"/>
    <cellStyle name="_입찰표지 _의정부성모병원_건국대학교공내역1028_건국대학교공내역1028_협조전" xfId="2375"/>
    <cellStyle name="_입찰표지 _의정부성모병원_건국대학교공내역1028_건국대학교공내역1028_협조전 2" xfId="2376"/>
    <cellStyle name="_입찰표지 _의정부성모병원_건국대학교공내역1028_건국대학교공내역1028_협조전_협조전" xfId="2377"/>
    <cellStyle name="_입찰표지 _의정부성모병원_건국대학교공내역1028_건국대학교공내역1028_협조전_협조전 2" xfId="2378"/>
    <cellStyle name="_입찰표지 _의정부성모병원_건국대학교공내역1028_협조전" xfId="2379"/>
    <cellStyle name="_입찰표지 _의정부성모병원_건국대학교공내역1028_협조전 2" xfId="2380"/>
    <cellStyle name="_입찰표지 _의정부성모병원_건국대학교공내역1028_협조전_협조전" xfId="2381"/>
    <cellStyle name="_입찰표지 _의정부성모병원_건국대학교공내역1028_협조전_협조전 2" xfId="2382"/>
    <cellStyle name="_입찰표지 _의정부성모병원_협조전" xfId="2383"/>
    <cellStyle name="_입찰표지 _의정부성모병원_협조전 2" xfId="2384"/>
    <cellStyle name="_입찰표지 _의정부성모병원_협조전_협조전" xfId="2385"/>
    <cellStyle name="_입찰표지 _의정부성모병원_협조전_협조전 2" xfId="2386"/>
    <cellStyle name="_입찰표지 _조0203(1000억이상)" xfId="2387"/>
    <cellStyle name="_입찰표지 _청주중원(부대입찰) 견적" xfId="2388"/>
    <cellStyle name="_입찰표지 _청주중원(부대입찰) 견적 2" xfId="2389"/>
    <cellStyle name="_입찰표지 _청주중원(부대입찰) 견적_건국대학교공내역1028" xfId="2390"/>
    <cellStyle name="_입찰표지 _청주중원(부대입찰) 견적_건국대학교공내역1028 2" xfId="2391"/>
    <cellStyle name="_입찰표지 _청주중원(부대입찰) 견적_건국대학교공내역1028_건국대학교공내역1028" xfId="2392"/>
    <cellStyle name="_입찰표지 _청주중원(부대입찰) 견적_건국대학교공내역1028_건국대학교공내역1028 2" xfId="2393"/>
    <cellStyle name="_입찰표지 _청주중원(부대입찰) 견적_건국대학교공내역1028_건국대학교공내역1028_협조전" xfId="2394"/>
    <cellStyle name="_입찰표지 _청주중원(부대입찰) 견적_건국대학교공내역1028_건국대학교공내역1028_협조전 2" xfId="2395"/>
    <cellStyle name="_입찰표지 _청주중원(부대입찰) 견적_건국대학교공내역1028_건국대학교공내역1028_협조전_협조전" xfId="2396"/>
    <cellStyle name="_입찰표지 _청주중원(부대입찰) 견적_건국대학교공내역1028_건국대학교공내역1028_협조전_협조전 2" xfId="2397"/>
    <cellStyle name="_입찰표지 _청주중원(부대입찰) 견적_건국대학교공내역1028_협조전" xfId="2398"/>
    <cellStyle name="_입찰표지 _청주중원(부대입찰) 견적_건국대학교공내역1028_협조전 2" xfId="2399"/>
    <cellStyle name="_입찰표지 _청주중원(부대입찰) 견적_건국대학교공내역1028_협조전_협조전" xfId="2400"/>
    <cellStyle name="_입찰표지 _청주중원(부대입찰) 견적_건국대학교공내역1028_협조전_협조전 2" xfId="2401"/>
    <cellStyle name="_입찰표지 _청주중원(부대입찰) 견적_협조전" xfId="2402"/>
    <cellStyle name="_입찰표지 _청주중원(부대입찰) 견적_협조전 2" xfId="2403"/>
    <cellStyle name="_입찰표지 _청주중원(부대입찰) 견적_협조전_협조전" xfId="2404"/>
    <cellStyle name="_입찰표지 _청주중원(부대입찰) 견적_협조전_협조전 2" xfId="2405"/>
    <cellStyle name="_입찰표지 _협조전" xfId="2406"/>
    <cellStyle name="_입찰표지 _협조전 2" xfId="2407"/>
    <cellStyle name="_입찰표지 _협조전_협조전" xfId="2408"/>
    <cellStyle name="_입찰표지 _협조전_협조전 2" xfId="2409"/>
    <cellStyle name="_자금수지관련소장님보고(030830)" xfId="2410"/>
    <cellStyle name="_자금수지관련소장님보고(030830) 2" xfId="2411"/>
    <cellStyle name="_자유로 I-PARK A공구 전기견적서" xfId="2412"/>
    <cellStyle name="_자유로 I-PARK A공구 전기견적서 2" xfId="2413"/>
    <cellStyle name="_작업내역(전기,통신)" xfId="2414"/>
    <cellStyle name="_작업내역(전기,통신) 2" xfId="2415"/>
    <cellStyle name="_잠실백화점_정산(유진)" xfId="2416"/>
    <cellStyle name="_잠실백화점_정산(유진) 2" xfId="2417"/>
    <cellStyle name="_잠실점" xfId="2418"/>
    <cellStyle name="_잠실점 2" xfId="2419"/>
    <cellStyle name="_잠실점방송리뉴얼정산내역서" xfId="2420"/>
    <cellStyle name="_잠실점방송리뉴얼정산내역서 2" xfId="2421"/>
    <cellStyle name="_잠실점약전기성내역(1회신청)" xfId="2422"/>
    <cellStyle name="_잠실점약전기성내역(1회신청) 2" xfId="2423"/>
    <cellStyle name="_잠실점약전내역" xfId="2424"/>
    <cellStyle name="_잠실점약전내역 2" xfId="2425"/>
    <cellStyle name="_장애인 실내체육관 신축공사 " xfId="2426"/>
    <cellStyle name="_장애인 실내체육관 신축공사  2" xfId="2427"/>
    <cellStyle name="_재부재시스템_견적서_SMT060925" xfId="2428"/>
    <cellStyle name="_재부재시스템_견적서_SMT060925 2" xfId="2429"/>
    <cellStyle name="_재수정 배출수동설계" xfId="2430"/>
    <cellStyle name="_재수정 배출수동설계 2" xfId="2431"/>
    <cellStyle name="_재재수정 배출수동설계" xfId="2432"/>
    <cellStyle name="_재재수정 배출수동설계 2" xfId="2433"/>
    <cellStyle name="_적격 " xfId="2434"/>
    <cellStyle name="_적격  2" xfId="2435"/>
    <cellStyle name="_적격 _건국대병원" xfId="2436"/>
    <cellStyle name="_적격 _건국대병원 2" xfId="2437"/>
    <cellStyle name="_적격 _건국대병원_건국대학교공내역1028" xfId="2438"/>
    <cellStyle name="_적격 _건국대병원_건국대학교공내역1028 2" xfId="2439"/>
    <cellStyle name="_적격 _건국대병원_건국대학교공내역1028_건국대학교공내역1028" xfId="2440"/>
    <cellStyle name="_적격 _건국대병원_건국대학교공내역1028_건국대학교공내역1028 2" xfId="2441"/>
    <cellStyle name="_적격 _건국대병원_건국대학교공내역1028_건국대학교공내역1028_협조전" xfId="2442"/>
    <cellStyle name="_적격 _건국대병원_건국대학교공내역1028_건국대학교공내역1028_협조전 2" xfId="2443"/>
    <cellStyle name="_적격 _건국대병원_건국대학교공내역1028_건국대학교공내역1028_협조전_협조전" xfId="2444"/>
    <cellStyle name="_적격 _건국대병원_건국대학교공내역1028_건국대학교공내역1028_협조전_협조전 2" xfId="2445"/>
    <cellStyle name="_적격 _건국대병원_건국대학교공내역1028_협조전" xfId="2446"/>
    <cellStyle name="_적격 _건국대병원_건국대학교공내역1028_협조전 2" xfId="2447"/>
    <cellStyle name="_적격 _건국대병원_건국대학교공내역1028_협조전_협조전" xfId="2448"/>
    <cellStyle name="_적격 _건국대병원_건국대학교공내역1028_협조전_협조전 2" xfId="2449"/>
    <cellStyle name="_적격 _건국대병원_협조전" xfId="2450"/>
    <cellStyle name="_적격 _건국대병원_협조전 2" xfId="2451"/>
    <cellStyle name="_적격 _건국대병원_협조전_협조전" xfId="2452"/>
    <cellStyle name="_적격 _건국대병원_협조전_협조전 2" xfId="2453"/>
    <cellStyle name="_적격 _건국대학교공내역1028" xfId="2454"/>
    <cellStyle name="_적격 _건국대학교공내역1028 2" xfId="2455"/>
    <cellStyle name="_적격 _건국대학교공내역1028_협조전" xfId="2456"/>
    <cellStyle name="_적격 _건국대학교공내역1028_협조전 2" xfId="2457"/>
    <cellStyle name="_적격 _건국대학교공내역1028_협조전_협조전" xfId="2458"/>
    <cellStyle name="_적격 _건국대학교공내역1028_협조전_협조전 2" xfId="2459"/>
    <cellStyle name="_적격 _건국대학교병원 견적_미동" xfId="2460"/>
    <cellStyle name="_적격 _건국대학교병원 견적_미동 2" xfId="2461"/>
    <cellStyle name="_적격 _건국대학교병원 견적_미동_건국대학교공내역1028" xfId="2462"/>
    <cellStyle name="_적격 _건국대학교병원 견적_미동_건국대학교공내역1028 2" xfId="2463"/>
    <cellStyle name="_적격 _건국대학교병원 견적_미동_건국대학교공내역1028_건국대학교공내역1028" xfId="2464"/>
    <cellStyle name="_적격 _건국대학교병원 견적_미동_건국대학교공내역1028_건국대학교공내역1028 2" xfId="2465"/>
    <cellStyle name="_적격 _건국대학교병원 견적_미동_건국대학교공내역1028_건국대학교공내역1028_협조전" xfId="2466"/>
    <cellStyle name="_적격 _건국대학교병원 견적_미동_건국대학교공내역1028_건국대학교공내역1028_협조전 2" xfId="2467"/>
    <cellStyle name="_적격 _건국대학교병원 견적_미동_건국대학교공내역1028_건국대학교공내역1028_협조전_협조전" xfId="2468"/>
    <cellStyle name="_적격 _건국대학교병원 견적_미동_건국대학교공내역1028_건국대학교공내역1028_협조전_협조전 2" xfId="2469"/>
    <cellStyle name="_적격 _건국대학교병원 견적_미동_건국대학교공내역1028_협조전" xfId="2470"/>
    <cellStyle name="_적격 _건국대학교병원 견적_미동_건국대학교공내역1028_협조전 2" xfId="2471"/>
    <cellStyle name="_적격 _건국대학교병원 견적_미동_건국대학교공내역1028_협조전_협조전" xfId="2472"/>
    <cellStyle name="_적격 _건국대학교병원 견적_미동_건국대학교공내역1028_협조전_협조전 2" xfId="2473"/>
    <cellStyle name="_적격 _건국대학교병원 견적_미동_협조전" xfId="2474"/>
    <cellStyle name="_적격 _건국대학교병원 견적_미동_협조전 2" xfId="2475"/>
    <cellStyle name="_적격 _건국대학교병원 견적_미동_협조전_협조전" xfId="2476"/>
    <cellStyle name="_적격 _건국대학교병원 견적_미동_협조전_협조전 2" xfId="2477"/>
    <cellStyle name="_적격 _건국대학교부대입찰업체견적서" xfId="2478"/>
    <cellStyle name="_적격 _건국대학교부대입찰업체견적서 2" xfId="2479"/>
    <cellStyle name="_적격 _건국대학교부대입찰업체견적서_건국대학교공내역1028" xfId="2480"/>
    <cellStyle name="_적격 _건국대학교부대입찰업체견적서_건국대학교공내역1028 2" xfId="2481"/>
    <cellStyle name="_적격 _건국대학교부대입찰업체견적서_건국대학교공내역1028_건국대학교공내역1028" xfId="2482"/>
    <cellStyle name="_적격 _건국대학교부대입찰업체견적서_건국대학교공내역1028_건국대학교공내역1028 2" xfId="2483"/>
    <cellStyle name="_적격 _건국대학교부대입찰업체견적서_건국대학교공내역1028_건국대학교공내역1028_협조전" xfId="2484"/>
    <cellStyle name="_적격 _건국대학교부대입찰업체견적서_건국대학교공내역1028_건국대학교공내역1028_협조전 2" xfId="2485"/>
    <cellStyle name="_적격 _건국대학교부대입찰업체견적서_건국대학교공내역1028_건국대학교공내역1028_협조전_협조전" xfId="2486"/>
    <cellStyle name="_적격 _건국대학교부대입찰업체견적서_건국대학교공내역1028_건국대학교공내역1028_협조전_협조전 2" xfId="2487"/>
    <cellStyle name="_적격 _건국대학교부대입찰업체견적서_건국대학교공내역1028_협조전" xfId="2488"/>
    <cellStyle name="_적격 _건국대학교부대입찰업체견적서_건국대학교공내역1028_협조전 2" xfId="2489"/>
    <cellStyle name="_적격 _건국대학교부대입찰업체견적서_건국대학교공내역1028_협조전_협조전" xfId="2490"/>
    <cellStyle name="_적격 _건국대학교부대입찰업체견적서_건국대학교공내역1028_협조전_협조전 2" xfId="2491"/>
    <cellStyle name="_적격 _건국대학교부대입찰업체견적서_협조전" xfId="2492"/>
    <cellStyle name="_적격 _건국대학교부대입찰업체견적서_협조전 2" xfId="2493"/>
    <cellStyle name="_적격 _건국대학교부대입찰업체견적서_협조전_협조전" xfId="2494"/>
    <cellStyle name="_적격 _건국대학교부대입찰업체견적서_협조전_협조전 2" xfId="2495"/>
    <cellStyle name="_적격 _부산남천동병원내역서(남일)" xfId="2496"/>
    <cellStyle name="_적격 _부산남천동병원내역서(남일) 2" xfId="2497"/>
    <cellStyle name="_적격 _부산남천동병원내역서(남일)_2도급내역(계약분)" xfId="2498"/>
    <cellStyle name="_적격 _부산남천동병원내역서(남일)_2도급내역(계약분) 2" xfId="2499"/>
    <cellStyle name="_적격 _부산남천동병원내역서(남일)_2도급내역(계약분)_협조전" xfId="2500"/>
    <cellStyle name="_적격 _부산남천동병원내역서(남일)_2도급내역(계약분)_협조전 2" xfId="2501"/>
    <cellStyle name="_적격 _부산남천동병원내역서(남일)_2도급내역(계약분)_협조전_협조전" xfId="2502"/>
    <cellStyle name="_적격 _부산남천동병원내역서(남일)_2도급내역(계약분)_협조전_협조전 2" xfId="2503"/>
    <cellStyle name="_적격 _부산남천동병원내역서(남일)_공정표" xfId="2504"/>
    <cellStyle name="_적격 _부산남천동병원내역서(남일)_공정표 2" xfId="2505"/>
    <cellStyle name="_적격 _부산남천동병원내역서(남일)_공정표_협조전" xfId="2506"/>
    <cellStyle name="_적격 _부산남천동병원내역서(남일)_공정표_협조전 2" xfId="2507"/>
    <cellStyle name="_적격 _부산남천동병원내역서(남일)_공정표_협조전_협조전" xfId="2508"/>
    <cellStyle name="_적격 _부산남천동병원내역서(남일)_공정표_협조전_협조전 2" xfId="2509"/>
    <cellStyle name="_적격 _부산남천동병원내역서(남일)_세종회관입찰보고서" xfId="2510"/>
    <cellStyle name="_적격 _부산남천동병원내역서(남일)_세종회관입찰보고서 2" xfId="2511"/>
    <cellStyle name="_적격 _부산남천동병원내역서(남일)_세종회관입찰보고서_협조전" xfId="2512"/>
    <cellStyle name="_적격 _부산남천동병원내역서(남일)_세종회관입찰보고서_협조전 2" xfId="2513"/>
    <cellStyle name="_적격 _부산남천동병원내역서(남일)_세종회관입찰보고서_협조전_협조전" xfId="2514"/>
    <cellStyle name="_적격 _부산남천동병원내역서(남일)_세종회관입찰보고서_협조전_협조전 2" xfId="2515"/>
    <cellStyle name="_적격 _부산남천동병원내역서(남일)_입찰보고서" xfId="2516"/>
    <cellStyle name="_적격 _부산남천동병원내역서(남일)_입찰보고서 2" xfId="2517"/>
    <cellStyle name="_적격 _부산남천동병원내역서(남일)_입찰보고서_협조전" xfId="2518"/>
    <cellStyle name="_적격 _부산남천동병원내역서(남일)_입찰보고서_협조전 2" xfId="2519"/>
    <cellStyle name="_적격 _부산남천동병원내역서(남일)_입찰보고서_협조전_협조전" xfId="2520"/>
    <cellStyle name="_적격 _부산남천동병원내역서(남일)_입찰보고서_협조전_협조전 2" xfId="2521"/>
    <cellStyle name="_적격 _부산남천동병원내역서(남일)_협조전" xfId="2522"/>
    <cellStyle name="_적격 _부산남천동병원내역서(남일)_협조전 2" xfId="2523"/>
    <cellStyle name="_적격 _부산남천동병원내역서(남일)_협조전_협조전" xfId="2524"/>
    <cellStyle name="_적격 _부산남천동병원내역서(남일)_협조전_협조전 2" xfId="2525"/>
    <cellStyle name="_적격 _월곳집행(본사)" xfId="2526"/>
    <cellStyle name="_적격 _월곳집행(본사) 2" xfId="2527"/>
    <cellStyle name="_적격 _월곳집행(본사)_공내역서(소방)" xfId="2528"/>
    <cellStyle name="_적격 _월곳집행(본사)_공내역서(소방) 2" xfId="2529"/>
    <cellStyle name="_적격 _월곳집행(본사)_공내역서(소방final)" xfId="2530"/>
    <cellStyle name="_적격 _월곳집행(본사)_공내역서(소방final) 2" xfId="2531"/>
    <cellStyle name="_적격 _의정부" xfId="2532"/>
    <cellStyle name="_적격 _의정부 2" xfId="2533"/>
    <cellStyle name="_적격 _의정부_건국대학교공내역1028" xfId="2534"/>
    <cellStyle name="_적격 _의정부_건국대학교공내역1028 2" xfId="2535"/>
    <cellStyle name="_적격 _의정부_건국대학교공내역1028_건국대학교공내역1028" xfId="2536"/>
    <cellStyle name="_적격 _의정부_건국대학교공내역1028_건국대학교공내역1028 2" xfId="2537"/>
    <cellStyle name="_적격 _의정부_건국대학교공내역1028_건국대학교공내역1028_협조전" xfId="2538"/>
    <cellStyle name="_적격 _의정부_건국대학교공내역1028_건국대학교공내역1028_협조전 2" xfId="2539"/>
    <cellStyle name="_적격 _의정부_건국대학교공내역1028_건국대학교공내역1028_협조전_협조전" xfId="2540"/>
    <cellStyle name="_적격 _의정부_건국대학교공내역1028_건국대학교공내역1028_협조전_협조전 2" xfId="2541"/>
    <cellStyle name="_적격 _의정부_건국대학교공내역1028_협조전" xfId="2542"/>
    <cellStyle name="_적격 _의정부_건국대학교공내역1028_협조전 2" xfId="2543"/>
    <cellStyle name="_적격 _의정부_건국대학교공내역1028_협조전_협조전" xfId="2544"/>
    <cellStyle name="_적격 _의정부_건국대학교공내역1028_협조전_협조전 2" xfId="2545"/>
    <cellStyle name="_적격 _의정부_협조전" xfId="2546"/>
    <cellStyle name="_적격 _의정부_협조전 2" xfId="2547"/>
    <cellStyle name="_적격 _의정부_협조전_협조전" xfId="2548"/>
    <cellStyle name="_적격 _의정부_협조전_협조전 2" xfId="2549"/>
    <cellStyle name="_적격 _의정부성모병원" xfId="2550"/>
    <cellStyle name="_적격 _의정부성모병원 2" xfId="2551"/>
    <cellStyle name="_적격 _의정부성모병원_건국대학교공내역1028" xfId="2552"/>
    <cellStyle name="_적격 _의정부성모병원_건국대학교공내역1028 2" xfId="2553"/>
    <cellStyle name="_적격 _의정부성모병원_건국대학교공내역1028_건국대학교공내역1028" xfId="2554"/>
    <cellStyle name="_적격 _의정부성모병원_건국대학교공내역1028_건국대학교공내역1028 2" xfId="2555"/>
    <cellStyle name="_적격 _의정부성모병원_건국대학교공내역1028_건국대학교공내역1028_협조전" xfId="2556"/>
    <cellStyle name="_적격 _의정부성모병원_건국대학교공내역1028_건국대학교공내역1028_협조전 2" xfId="2557"/>
    <cellStyle name="_적격 _의정부성모병원_건국대학교공내역1028_건국대학교공내역1028_협조전_협조전" xfId="2558"/>
    <cellStyle name="_적격 _의정부성모병원_건국대학교공내역1028_건국대학교공내역1028_협조전_협조전 2" xfId="2559"/>
    <cellStyle name="_적격 _의정부성모병원_건국대학교공내역1028_협조전" xfId="2560"/>
    <cellStyle name="_적격 _의정부성모병원_건국대학교공내역1028_협조전 2" xfId="2561"/>
    <cellStyle name="_적격 _의정부성모병원_건국대학교공내역1028_협조전_협조전" xfId="2562"/>
    <cellStyle name="_적격 _의정부성모병원_건국대학교공내역1028_협조전_협조전 2" xfId="2563"/>
    <cellStyle name="_적격 _의정부성모병원_협조전" xfId="2564"/>
    <cellStyle name="_적격 _의정부성모병원_협조전 2" xfId="2565"/>
    <cellStyle name="_적격 _의정부성모병원_협조전_협조전" xfId="2566"/>
    <cellStyle name="_적격 _의정부성모병원_협조전_협조전 2" xfId="2567"/>
    <cellStyle name="_적격 _조0203(1000억이상)" xfId="2568"/>
    <cellStyle name="_적격 _집행갑지 " xfId="2569"/>
    <cellStyle name="_적격 _집행갑지 _조0203(1000억이상)" xfId="2570"/>
    <cellStyle name="_적격 _청주중원(부대입찰) 견적" xfId="2571"/>
    <cellStyle name="_적격 _청주중원(부대입찰) 견적 2" xfId="2572"/>
    <cellStyle name="_적격 _청주중원(부대입찰) 견적_건국대학교공내역1028" xfId="2573"/>
    <cellStyle name="_적격 _청주중원(부대입찰) 견적_건국대학교공내역1028 2" xfId="2574"/>
    <cellStyle name="_적격 _청주중원(부대입찰) 견적_건국대학교공내역1028_건국대학교공내역1028" xfId="2575"/>
    <cellStyle name="_적격 _청주중원(부대입찰) 견적_건국대학교공내역1028_건국대학교공내역1028 2" xfId="2576"/>
    <cellStyle name="_적격 _청주중원(부대입찰) 견적_건국대학교공내역1028_건국대학교공내역1028_협조전" xfId="2577"/>
    <cellStyle name="_적격 _청주중원(부대입찰) 견적_건국대학교공내역1028_건국대학교공내역1028_협조전 2" xfId="2578"/>
    <cellStyle name="_적격 _청주중원(부대입찰) 견적_건국대학교공내역1028_건국대학교공내역1028_협조전_협조전" xfId="2579"/>
    <cellStyle name="_적격 _청주중원(부대입찰) 견적_건국대학교공내역1028_건국대학교공내역1028_협조전_협조전 2" xfId="2580"/>
    <cellStyle name="_적격 _청주중원(부대입찰) 견적_건국대학교공내역1028_협조전" xfId="2581"/>
    <cellStyle name="_적격 _청주중원(부대입찰) 견적_건국대학교공내역1028_협조전 2" xfId="2582"/>
    <cellStyle name="_적격 _청주중원(부대입찰) 견적_건국대학교공내역1028_협조전_협조전" xfId="2583"/>
    <cellStyle name="_적격 _청주중원(부대입찰) 견적_건국대학교공내역1028_협조전_협조전 2" xfId="2584"/>
    <cellStyle name="_적격 _청주중원(부대입찰) 견적_협조전" xfId="2585"/>
    <cellStyle name="_적격 _청주중원(부대입찰) 견적_협조전 2" xfId="2586"/>
    <cellStyle name="_적격 _청주중원(부대입찰) 견적_협조전_협조전" xfId="2587"/>
    <cellStyle name="_적격 _청주중원(부대입찰) 견적_협조전_협조전 2" xfId="2588"/>
    <cellStyle name="_적격 _협조전" xfId="2589"/>
    <cellStyle name="_적격 _협조전 2" xfId="2590"/>
    <cellStyle name="_적격 _협조전_협조전" xfId="2591"/>
    <cellStyle name="_적격 _협조전_협조전 2" xfId="2592"/>
    <cellStyle name="_적격(화산) " xfId="2593"/>
    <cellStyle name="_적격(화산)  2" xfId="2594"/>
    <cellStyle name="_적격(화산) _건국대병원" xfId="2595"/>
    <cellStyle name="_적격(화산) _건국대병원 2" xfId="2596"/>
    <cellStyle name="_적격(화산) _건국대병원_건국대학교공내역1028" xfId="2597"/>
    <cellStyle name="_적격(화산) _건국대병원_건국대학교공내역1028 2" xfId="2598"/>
    <cellStyle name="_적격(화산) _건국대병원_건국대학교공내역1028_건국대학교공내역1028" xfId="2599"/>
    <cellStyle name="_적격(화산) _건국대병원_건국대학교공내역1028_건국대학교공내역1028 2" xfId="2600"/>
    <cellStyle name="_적격(화산) _건국대병원_건국대학교공내역1028_건국대학교공내역1028_협조전" xfId="2601"/>
    <cellStyle name="_적격(화산) _건국대병원_건국대학교공내역1028_건국대학교공내역1028_협조전 2" xfId="2602"/>
    <cellStyle name="_적격(화산) _건국대병원_건국대학교공내역1028_건국대학교공내역1028_협조전_협조전" xfId="2603"/>
    <cellStyle name="_적격(화산) _건국대병원_건국대학교공내역1028_건국대학교공내역1028_협조전_협조전 2" xfId="2604"/>
    <cellStyle name="_적격(화산) _건국대병원_건국대학교공내역1028_협조전" xfId="2605"/>
    <cellStyle name="_적격(화산) _건국대병원_건국대학교공내역1028_협조전 2" xfId="2606"/>
    <cellStyle name="_적격(화산) _건국대병원_건국대학교공내역1028_협조전_협조전" xfId="2607"/>
    <cellStyle name="_적격(화산) _건국대병원_건국대학교공내역1028_협조전_협조전 2" xfId="2608"/>
    <cellStyle name="_적격(화산) _건국대병원_협조전" xfId="2609"/>
    <cellStyle name="_적격(화산) _건국대병원_협조전 2" xfId="2610"/>
    <cellStyle name="_적격(화산) _건국대병원_협조전_협조전" xfId="2611"/>
    <cellStyle name="_적격(화산) _건국대병원_협조전_협조전 2" xfId="2612"/>
    <cellStyle name="_적격(화산) _건국대학교공내역1028" xfId="2613"/>
    <cellStyle name="_적격(화산) _건국대학교공내역1028 2" xfId="2614"/>
    <cellStyle name="_적격(화산) _건국대학교공내역1028_협조전" xfId="2615"/>
    <cellStyle name="_적격(화산) _건국대학교공내역1028_협조전 2" xfId="2616"/>
    <cellStyle name="_적격(화산) _건국대학교공내역1028_협조전_협조전" xfId="2617"/>
    <cellStyle name="_적격(화산) _건국대학교공내역1028_협조전_협조전 2" xfId="2618"/>
    <cellStyle name="_적격(화산) _건국대학교병원 견적_미동" xfId="2619"/>
    <cellStyle name="_적격(화산) _건국대학교병원 견적_미동 2" xfId="2620"/>
    <cellStyle name="_적격(화산) _건국대학교병원 견적_미동_건국대학교공내역1028" xfId="2621"/>
    <cellStyle name="_적격(화산) _건국대학교병원 견적_미동_건국대학교공내역1028 2" xfId="2622"/>
    <cellStyle name="_적격(화산) _건국대학교병원 견적_미동_건국대학교공내역1028_건국대학교공내역1028" xfId="2623"/>
    <cellStyle name="_적격(화산) _건국대학교병원 견적_미동_건국대학교공내역1028_건국대학교공내역1028 2" xfId="2624"/>
    <cellStyle name="_적격(화산) _건국대학교병원 견적_미동_건국대학교공내역1028_건국대학교공내역1028_협조전" xfId="2625"/>
    <cellStyle name="_적격(화산) _건국대학교병원 견적_미동_건국대학교공내역1028_건국대학교공내역1028_협조전 2" xfId="2626"/>
    <cellStyle name="_적격(화산) _건국대학교병원 견적_미동_건국대학교공내역1028_건국대학교공내역1028_협조전_협조전" xfId="2627"/>
    <cellStyle name="_적격(화산) _건국대학교병원 견적_미동_건국대학교공내역1028_건국대학교공내역1028_협조전_협조전 2" xfId="2628"/>
    <cellStyle name="_적격(화산) _건국대학교병원 견적_미동_건국대학교공내역1028_협조전" xfId="2629"/>
    <cellStyle name="_적격(화산) _건국대학교병원 견적_미동_건국대학교공내역1028_협조전 2" xfId="2630"/>
    <cellStyle name="_적격(화산) _건국대학교병원 견적_미동_건국대학교공내역1028_협조전_협조전" xfId="2631"/>
    <cellStyle name="_적격(화산) _건국대학교병원 견적_미동_건국대학교공내역1028_협조전_협조전 2" xfId="2632"/>
    <cellStyle name="_적격(화산) _건국대학교병원 견적_미동_협조전" xfId="2633"/>
    <cellStyle name="_적격(화산) _건국대학교병원 견적_미동_협조전 2" xfId="2634"/>
    <cellStyle name="_적격(화산) _건국대학교병원 견적_미동_협조전_협조전" xfId="2635"/>
    <cellStyle name="_적격(화산) _건국대학교병원 견적_미동_협조전_협조전 2" xfId="2636"/>
    <cellStyle name="_적격(화산) _건국대학교부대입찰업체견적서" xfId="2637"/>
    <cellStyle name="_적격(화산) _건국대학교부대입찰업체견적서 2" xfId="2638"/>
    <cellStyle name="_적격(화산) _건국대학교부대입찰업체견적서_건국대학교공내역1028" xfId="2639"/>
    <cellStyle name="_적격(화산) _건국대학교부대입찰업체견적서_건국대학교공내역1028 2" xfId="2640"/>
    <cellStyle name="_적격(화산) _건국대학교부대입찰업체견적서_건국대학교공내역1028_건국대학교공내역1028" xfId="2641"/>
    <cellStyle name="_적격(화산) _건국대학교부대입찰업체견적서_건국대학교공내역1028_건국대학교공내역1028 2" xfId="2642"/>
    <cellStyle name="_적격(화산) _건국대학교부대입찰업체견적서_건국대학교공내역1028_건국대학교공내역1028_협조전" xfId="2643"/>
    <cellStyle name="_적격(화산) _건국대학교부대입찰업체견적서_건국대학교공내역1028_건국대학교공내역1028_협조전 2" xfId="2644"/>
    <cellStyle name="_적격(화산) _건국대학교부대입찰업체견적서_건국대학교공내역1028_건국대학교공내역1028_협조전_협조전" xfId="2645"/>
    <cellStyle name="_적격(화산) _건국대학교부대입찰업체견적서_건국대학교공내역1028_건국대학교공내역1028_협조전_협조전 2" xfId="2646"/>
    <cellStyle name="_적격(화산) _건국대학교부대입찰업체견적서_건국대학교공내역1028_협조전" xfId="2647"/>
    <cellStyle name="_적격(화산) _건국대학교부대입찰업체견적서_건국대학교공내역1028_협조전 2" xfId="2648"/>
    <cellStyle name="_적격(화산) _건국대학교부대입찰업체견적서_건국대학교공내역1028_협조전_협조전" xfId="2649"/>
    <cellStyle name="_적격(화산) _건국대학교부대입찰업체견적서_건국대학교공내역1028_협조전_협조전 2" xfId="2650"/>
    <cellStyle name="_적격(화산) _건국대학교부대입찰업체견적서_협조전" xfId="2651"/>
    <cellStyle name="_적격(화산) _건국대학교부대입찰업체견적서_협조전 2" xfId="2652"/>
    <cellStyle name="_적격(화산) _건국대학교부대입찰업체견적서_협조전_협조전" xfId="2653"/>
    <cellStyle name="_적격(화산) _건국대학교부대입찰업체견적서_협조전_협조전 2" xfId="2654"/>
    <cellStyle name="_적격(화산) _내역(02.04.16)선우대교" xfId="2655"/>
    <cellStyle name="_적격(화산) _내역(02.04.16)선우대교_☆남악2-3공구가실행" xfId="2656"/>
    <cellStyle name="_적격(화산) _내역(02.04.17)선우대교" xfId="2657"/>
    <cellStyle name="_적격(화산) _내역(02.04.17)선우대교_☆남악2-3공구가실행" xfId="2658"/>
    <cellStyle name="_적격(화산) _내역(02.04.17)추모공원" xfId="2659"/>
    <cellStyle name="_적격(화산) _내역(02.04.17)추모공원_☆남악2-3공구가실행" xfId="2660"/>
    <cellStyle name="_적격(화산) _내역(02.09.30)신령-영천(2공구)" xfId="2661"/>
    <cellStyle name="_적격(화산) _내역(02.09.30)신령-영천(2공구)_☆남악2-3공구가실행" xfId="2662"/>
    <cellStyle name="_적격(화산) _내역(02.10.14)신령-영천(2공구)-0.3312" xfId="2663"/>
    <cellStyle name="_적격(화산) _내역(02.10.14)신령-영천(2공구)-0.3312_☆남악2-3공구가실행" xfId="2664"/>
    <cellStyle name="_적격(화산) _내역(02.11.07)강변북로(청담대교-성수대교)확장공사" xfId="2665"/>
    <cellStyle name="_적격(화산) _내역(02.11.07)강변북로(청담대교-성수대교)확장공사_☆남악2-3공구가실행" xfId="2666"/>
    <cellStyle name="_적격(화산) _내역(02.11.27)무안~광주간 건설공사(제2공구)투찰" xfId="2667"/>
    <cellStyle name="_적격(화산) _내역(02.11.27)무안~광주간 건설공사(제2공구)투찰_☆남악2-3공구가실행" xfId="2668"/>
    <cellStyle name="_적격(화산) _대안투찰내역(0221)" xfId="2669"/>
    <cellStyle name="_적격(화산) _대안투찰내역(0223)" xfId="2670"/>
    <cellStyle name="_적격(화산) _대안투찰내역(확정본0226)" xfId="2671"/>
    <cellStyle name="_적격(화산) _도급실행0211" xfId="2672"/>
    <cellStyle name="_적격(화산) _부산남천동병원내역서(남일)" xfId="2673"/>
    <cellStyle name="_적격(화산) _부산남천동병원내역서(남일) 2" xfId="2674"/>
    <cellStyle name="_적격(화산) _부산남천동병원내역서(남일)_2도급내역(계약분)" xfId="2675"/>
    <cellStyle name="_적격(화산) _부산남천동병원내역서(남일)_2도급내역(계약분) 2" xfId="2676"/>
    <cellStyle name="_적격(화산) _부산남천동병원내역서(남일)_2도급내역(계약분)_협조전" xfId="2677"/>
    <cellStyle name="_적격(화산) _부산남천동병원내역서(남일)_2도급내역(계약분)_협조전 2" xfId="2678"/>
    <cellStyle name="_적격(화산) _부산남천동병원내역서(남일)_2도급내역(계약분)_협조전_협조전" xfId="2679"/>
    <cellStyle name="_적격(화산) _부산남천동병원내역서(남일)_2도급내역(계약분)_협조전_협조전 2" xfId="2680"/>
    <cellStyle name="_적격(화산) _부산남천동병원내역서(남일)_공정표" xfId="2681"/>
    <cellStyle name="_적격(화산) _부산남천동병원내역서(남일)_공정표 2" xfId="2682"/>
    <cellStyle name="_적격(화산) _부산남천동병원내역서(남일)_공정표_협조전" xfId="2683"/>
    <cellStyle name="_적격(화산) _부산남천동병원내역서(남일)_공정표_협조전 2" xfId="2684"/>
    <cellStyle name="_적격(화산) _부산남천동병원내역서(남일)_공정표_협조전_협조전" xfId="2685"/>
    <cellStyle name="_적격(화산) _부산남천동병원내역서(남일)_공정표_협조전_협조전 2" xfId="2686"/>
    <cellStyle name="_적격(화산) _부산남천동병원내역서(남일)_세종회관입찰보고서" xfId="2687"/>
    <cellStyle name="_적격(화산) _부산남천동병원내역서(남일)_세종회관입찰보고서 2" xfId="2688"/>
    <cellStyle name="_적격(화산) _부산남천동병원내역서(남일)_세종회관입찰보고서_협조전" xfId="2689"/>
    <cellStyle name="_적격(화산) _부산남천동병원내역서(남일)_세종회관입찰보고서_협조전 2" xfId="2690"/>
    <cellStyle name="_적격(화산) _부산남천동병원내역서(남일)_세종회관입찰보고서_협조전_협조전" xfId="2691"/>
    <cellStyle name="_적격(화산) _부산남천동병원내역서(남일)_세종회관입찰보고서_협조전_협조전 2" xfId="2692"/>
    <cellStyle name="_적격(화산) _부산남천동병원내역서(남일)_입찰보고서" xfId="2693"/>
    <cellStyle name="_적격(화산) _부산남천동병원내역서(남일)_입찰보고서 2" xfId="2694"/>
    <cellStyle name="_적격(화산) _부산남천동병원내역서(남일)_입찰보고서_협조전" xfId="2695"/>
    <cellStyle name="_적격(화산) _부산남천동병원내역서(남일)_입찰보고서_협조전 2" xfId="2696"/>
    <cellStyle name="_적격(화산) _부산남천동병원내역서(남일)_입찰보고서_협조전_협조전" xfId="2697"/>
    <cellStyle name="_적격(화산) _부산남천동병원내역서(남일)_입찰보고서_협조전_협조전 2" xfId="2698"/>
    <cellStyle name="_적격(화산) _부산남천동병원내역서(남일)_협조전" xfId="2699"/>
    <cellStyle name="_적격(화산) _부산남천동병원내역서(남일)_협조전 2" xfId="2700"/>
    <cellStyle name="_적격(화산) _부산남천동병원내역서(남일)_협조전_협조전" xfId="2701"/>
    <cellStyle name="_적격(화산) _부산남천동병원내역서(남일)_협조전_협조전 2" xfId="2702"/>
    <cellStyle name="_적격(화산) _월곳집행(본사)" xfId="2703"/>
    <cellStyle name="_적격(화산) _월곳집행(본사) 2" xfId="2704"/>
    <cellStyle name="_적격(화산) _월곳집행(본사)_공내역서(소방)" xfId="2705"/>
    <cellStyle name="_적격(화산) _월곳집행(본사)_공내역서(소방) 2" xfId="2706"/>
    <cellStyle name="_적격(화산) _월곳집행(본사)_공내역서(소방final)" xfId="2707"/>
    <cellStyle name="_적격(화산) _월곳집행(본사)_공내역서(소방final) 2" xfId="2708"/>
    <cellStyle name="_적격(화산) _의정부" xfId="2709"/>
    <cellStyle name="_적격(화산) _의정부 2" xfId="2710"/>
    <cellStyle name="_적격(화산) _의정부_건국대학교공내역1028" xfId="2711"/>
    <cellStyle name="_적격(화산) _의정부_건국대학교공내역1028 2" xfId="2712"/>
    <cellStyle name="_적격(화산) _의정부_건국대학교공내역1028_건국대학교공내역1028" xfId="2713"/>
    <cellStyle name="_적격(화산) _의정부_건국대학교공내역1028_건국대학교공내역1028 2" xfId="2714"/>
    <cellStyle name="_적격(화산) _의정부_건국대학교공내역1028_건국대학교공내역1028_협조전" xfId="2715"/>
    <cellStyle name="_적격(화산) _의정부_건국대학교공내역1028_건국대학교공내역1028_협조전 2" xfId="2716"/>
    <cellStyle name="_적격(화산) _의정부_건국대학교공내역1028_건국대학교공내역1028_협조전_협조전" xfId="2717"/>
    <cellStyle name="_적격(화산) _의정부_건국대학교공내역1028_건국대학교공내역1028_협조전_협조전 2" xfId="2718"/>
    <cellStyle name="_적격(화산) _의정부_건국대학교공내역1028_협조전" xfId="2719"/>
    <cellStyle name="_적격(화산) _의정부_건국대학교공내역1028_협조전 2" xfId="2720"/>
    <cellStyle name="_적격(화산) _의정부_건국대학교공내역1028_협조전_협조전" xfId="2721"/>
    <cellStyle name="_적격(화산) _의정부_건국대학교공내역1028_협조전_협조전 2" xfId="2722"/>
    <cellStyle name="_적격(화산) _의정부_협조전" xfId="2723"/>
    <cellStyle name="_적격(화산) _의정부_협조전 2" xfId="2724"/>
    <cellStyle name="_적격(화산) _의정부_협조전_협조전" xfId="2725"/>
    <cellStyle name="_적격(화산) _의정부_협조전_협조전 2" xfId="2726"/>
    <cellStyle name="_적격(화산) _의정부성모병원" xfId="2727"/>
    <cellStyle name="_적격(화산) _의정부성모병원 2" xfId="2728"/>
    <cellStyle name="_적격(화산) _의정부성모병원_건국대학교공내역1028" xfId="2729"/>
    <cellStyle name="_적격(화산) _의정부성모병원_건국대학교공내역1028 2" xfId="2730"/>
    <cellStyle name="_적격(화산) _의정부성모병원_건국대학교공내역1028_건국대학교공내역1028" xfId="2731"/>
    <cellStyle name="_적격(화산) _의정부성모병원_건국대학교공내역1028_건국대학교공내역1028 2" xfId="2732"/>
    <cellStyle name="_적격(화산) _의정부성모병원_건국대학교공내역1028_건국대학교공내역1028_협조전" xfId="2733"/>
    <cellStyle name="_적격(화산) _의정부성모병원_건국대학교공내역1028_건국대학교공내역1028_협조전 2" xfId="2734"/>
    <cellStyle name="_적격(화산) _의정부성모병원_건국대학교공내역1028_건국대학교공내역1028_협조전_협조전" xfId="2735"/>
    <cellStyle name="_적격(화산) _의정부성모병원_건국대학교공내역1028_건국대학교공내역1028_협조전_협조전 2" xfId="2736"/>
    <cellStyle name="_적격(화산) _의정부성모병원_건국대학교공내역1028_협조전" xfId="2737"/>
    <cellStyle name="_적격(화산) _의정부성모병원_건국대학교공내역1028_협조전 2" xfId="2738"/>
    <cellStyle name="_적격(화산) _의정부성모병원_건국대학교공내역1028_협조전_협조전" xfId="2739"/>
    <cellStyle name="_적격(화산) _의정부성모병원_건국대학교공내역1028_협조전_협조전 2" xfId="2740"/>
    <cellStyle name="_적격(화산) _의정부성모병원_협조전" xfId="2741"/>
    <cellStyle name="_적격(화산) _의정부성모병원_협조전 2" xfId="2742"/>
    <cellStyle name="_적격(화산) _의정부성모병원_협조전_협조전" xfId="2743"/>
    <cellStyle name="_적격(화산) _의정부성모병원_협조전_협조전 2" xfId="2744"/>
    <cellStyle name="_적격(화산) _조0203(1000억이상)" xfId="2745"/>
    <cellStyle name="_적격(화산) _청주중원(부대입찰) 견적" xfId="2746"/>
    <cellStyle name="_적격(화산) _청주중원(부대입찰) 견적 2" xfId="2747"/>
    <cellStyle name="_적격(화산) _청주중원(부대입찰) 견적_건국대학교공내역1028" xfId="2748"/>
    <cellStyle name="_적격(화산) _청주중원(부대입찰) 견적_건국대학교공내역1028 2" xfId="2749"/>
    <cellStyle name="_적격(화산) _청주중원(부대입찰) 견적_건국대학교공내역1028_건국대학교공내역1028" xfId="2750"/>
    <cellStyle name="_적격(화산) _청주중원(부대입찰) 견적_건국대학교공내역1028_건국대학교공내역1028 2" xfId="2751"/>
    <cellStyle name="_적격(화산) _청주중원(부대입찰) 견적_건국대학교공내역1028_건국대학교공내역1028_협조전" xfId="2752"/>
    <cellStyle name="_적격(화산) _청주중원(부대입찰) 견적_건국대학교공내역1028_건국대학교공내역1028_협조전 2" xfId="2753"/>
    <cellStyle name="_적격(화산) _청주중원(부대입찰) 견적_건국대학교공내역1028_건국대학교공내역1028_협조전_협조전" xfId="2754"/>
    <cellStyle name="_적격(화산) _청주중원(부대입찰) 견적_건국대학교공내역1028_건국대학교공내역1028_협조전_협조전 2" xfId="2755"/>
    <cellStyle name="_적격(화산) _청주중원(부대입찰) 견적_건국대학교공내역1028_협조전" xfId="2756"/>
    <cellStyle name="_적격(화산) _청주중원(부대입찰) 견적_건국대학교공내역1028_협조전 2" xfId="2757"/>
    <cellStyle name="_적격(화산) _청주중원(부대입찰) 견적_건국대학교공내역1028_협조전_협조전" xfId="2758"/>
    <cellStyle name="_적격(화산) _청주중원(부대입찰) 견적_건국대학교공내역1028_협조전_협조전 2" xfId="2759"/>
    <cellStyle name="_적격(화산) _청주중원(부대입찰) 견적_협조전" xfId="2760"/>
    <cellStyle name="_적격(화산) _청주중원(부대입찰) 견적_협조전 2" xfId="2761"/>
    <cellStyle name="_적격(화산) _청주중원(부대입찰) 견적_협조전_협조전" xfId="2762"/>
    <cellStyle name="_적격(화산) _청주중원(부대입찰) 견적_협조전_협조전 2" xfId="2763"/>
    <cellStyle name="_적격(화산) _협조전" xfId="2764"/>
    <cellStyle name="_적격(화산) _협조전 2" xfId="2765"/>
    <cellStyle name="_적격(화산) _협조전_협조전" xfId="2766"/>
    <cellStyle name="_적격(화산) _협조전_협조전 2" xfId="2767"/>
    <cellStyle name="_전기공사비 검토서 _ LG텔레콤상암DMC사옥신축공사" xfId="2768"/>
    <cellStyle name="_전기공사비 검토서 _ LG텔레콤상암DMC사옥신축공사 2" xfId="2769"/>
    <cellStyle name="_전기내역" xfId="2770"/>
    <cellStyle name="_전기내역 2" xfId="2771"/>
    <cellStyle name="_전력1공구설계변경" xfId="2772"/>
    <cellStyle name="_전력1공구설계변경 2" xfId="2773"/>
    <cellStyle name="_전력간선" xfId="2774"/>
    <cellStyle name="_전력간선 2" xfId="2775"/>
    <cellStyle name="_전력간선 2공구" xfId="2776"/>
    <cellStyle name="_전력간선 2공구 2" xfId="2777"/>
    <cellStyle name="_전력제어 설비공사" xfId="2778"/>
    <cellStyle name="_전력제어 설비공사 2" xfId="2779"/>
    <cellStyle name="_전체설계변경" xfId="2780"/>
    <cellStyle name="_전체설계변경 2" xfId="2781"/>
    <cellStyle name="_정산-1,2층일반전기" xfId="2782"/>
    <cellStyle name="_정산-1,2층일반전기 2" xfId="2783"/>
    <cellStyle name="_정산내역서(음향)" xfId="2784"/>
    <cellStyle name="_정산내역서(음향) 2" xfId="2785"/>
    <cellStyle name="_정산세부내역(건설사정)" xfId="2786"/>
    <cellStyle name="_정산세부내역(건설사정) 2" xfId="2787"/>
    <cellStyle name="_정산-약전" xfId="2788"/>
    <cellStyle name="_정산-약전 2" xfId="2789"/>
    <cellStyle name="_정산일반전기공사" xfId="2790"/>
    <cellStyle name="_정산일반전기공사 2" xfId="2791"/>
    <cellStyle name="_정수장 및 배수지 통신장치(자동제어설비) 개선공사" xfId="2792"/>
    <cellStyle name="_정수장 및 배수지 통신장치(자동제어설비) 개선공사 2" xfId="2793"/>
    <cellStyle name="_정수장 및 배수지 통신장치(자동제어설비) 개선공사_1" xfId="2794"/>
    <cellStyle name="_정수장 및 배수지 통신장치(자동제어설비) 개선공사_1 2" xfId="2795"/>
    <cellStyle name="_정수장 및 배수지 통신장치(자동제어설비) 개선공사_광교정수장 및 배수지 원격제어 시스템 설치공사 내역서" xfId="2796"/>
    <cellStyle name="_정수장 및 배수지 통신장치(자동제어설비) 개선공사_광교정수장 및 배수지 원격제어 시스템 설치공사 내역서 2" xfId="2797"/>
    <cellStyle name="_정우견적서" xfId="2798"/>
    <cellStyle name="_정우견적서 2" xfId="2799"/>
    <cellStyle name="_제2회 일산점 주차장 약전설비기성내역서" xfId="2800"/>
    <cellStyle name="_제2회 일산점 주차장 약전설비기성내역서 2" xfId="2801"/>
    <cellStyle name="_제주도문예회관(동아PA)" xfId="2802"/>
    <cellStyle name="_제주물항" xfId="2803"/>
    <cellStyle name="_제주물항 2" xfId="2804"/>
    <cellStyle name="_조명등" xfId="2805"/>
    <cellStyle name="_조명등 2" xfId="2806"/>
    <cellStyle name="_조명제어-영등포점" xfId="2807"/>
    <cellStyle name="_조명제어-영등포점 2" xfId="2808"/>
    <cellStyle name="_준공)구로점 약전설비" xfId="2809"/>
    <cellStyle name="_준공)구로점 약전설비 2" xfId="2810"/>
    <cellStyle name="_준공-약전설비공사" xfId="2811"/>
    <cellStyle name="_준공-약전설비공사 2" xfId="2812"/>
    <cellStyle name="_중계점약전내역(발의내역)" xfId="2813"/>
    <cellStyle name="_중계점약전내역(발의내역) 2" xfId="2814"/>
    <cellStyle name="_중동AKPC방" xfId="2815"/>
    <cellStyle name="_중동AKPC방 2" xfId="2816"/>
    <cellStyle name="_증권거래소(산출-1)" xfId="2817"/>
    <cellStyle name="_증권거래소(산출-1) 2" xfId="2818"/>
    <cellStyle name="_지체장애인협회견적샘플" xfId="2819"/>
    <cellStyle name="_지체장애인협회견적샘플 2" xfId="2820"/>
    <cellStyle name="_집계" xfId="2821"/>
    <cellStyle name="_집계 2" xfId="2822"/>
    <cellStyle name="_집행갑지 " xfId="2823"/>
    <cellStyle name="_집행갑지 _조0203(1000억이상)" xfId="2824"/>
    <cellStyle name="_창원점" xfId="2825"/>
    <cellStyle name="_창원점 2" xfId="2826"/>
    <cellStyle name="_창원점 ELES" xfId="2827"/>
    <cellStyle name="_창원점 ELES 2" xfId="2828"/>
    <cellStyle name="_창원점 일반전기 3공구" xfId="2829"/>
    <cellStyle name="_창원점 일반전기 3공구 2" xfId="2830"/>
    <cellStyle name="_청소년수련관산출근거조서" xfId="2831"/>
    <cellStyle name="_청소년수련관산출근거조서 2" xfId="2832"/>
    <cellStyle name="_청소년수련관산출근거조서_1" xfId="2833"/>
    <cellStyle name="_청소년수련관산출근거조서_1 2" xfId="2834"/>
    <cellStyle name="_청소년수련관일위대가" xfId="2835"/>
    <cellStyle name="_청소년수련관일위대가 2" xfId="2836"/>
    <cellStyle name="_청소년수련관일위대가_1" xfId="2837"/>
    <cellStyle name="_청소년수련관일위대가_1 2" xfId="2838"/>
    <cellStyle name="_청송양수홍보관강당-Stage-2006_03_29" xfId="2839"/>
    <cellStyle name="_최신일위대가 견적내역(0908)" xfId="2840"/>
    <cellStyle name="_최종설계변경내역서" xfId="2841"/>
    <cellStyle name="_최종설계변경내역서 2" xfId="2842"/>
    <cellStyle name="_최종실행안(112)" xfId="2843"/>
    <cellStyle name="_최종실행안(112) 2" xfId="2844"/>
    <cellStyle name="_추정(갑지)" xfId="2845"/>
    <cellStyle name="_추정(갑지) 2" xfId="2846"/>
    <cellStyle name="_추정원가(음성-충주 2)" xfId="2847"/>
    <cellStyle name="_충남근로자복지관(0511014)" xfId="2848"/>
    <cellStyle name="_충남근로자복지관(0511014) 2" xfId="2849"/>
    <cellStyle name="_충남내역(1221)" xfId="2850"/>
    <cellStyle name="_충남바이오내역서(조정내역최종)" xfId="2851"/>
    <cellStyle name="_충남바이오내역서(조정내역최종) 2" xfId="2852"/>
    <cellStyle name="_충주공용버스터미널" xfId="2853"/>
    <cellStyle name="_충주공용버스터미널 2" xfId="2854"/>
    <cellStyle name="_충주점" xfId="2855"/>
    <cellStyle name="_충주점 2" xfId="2856"/>
    <cellStyle name="_통신자재승인" xfId="2857"/>
    <cellStyle name="_통신자재승인 2" xfId="2858"/>
    <cellStyle name="_통합국사트레이" xfId="2859"/>
    <cellStyle name="_통합국사트레이 2" xfId="2860"/>
    <cellStyle name="_통합콘트롤 일위대가" xfId="2861"/>
    <cellStyle name="_트리콤미디어" xfId="2862"/>
    <cellStyle name="_트리콤미디어 2" xfId="2863"/>
    <cellStyle name="_파동" xfId="2864"/>
    <cellStyle name="_파동 2" xfId="2865"/>
    <cellStyle name="_파워콤간이공사관련" xfId="2866"/>
    <cellStyle name="_파워콤간이공사관련 2" xfId="2867"/>
    <cellStyle name="_포항실행견적내역" xfId="2868"/>
    <cellStyle name="_포항실행견적내역 2" xfId="2869"/>
    <cellStyle name="_포항점1공구변경내역서" xfId="2870"/>
    <cellStyle name="_포항점1공구변경내역서 2" xfId="2871"/>
    <cellStyle name="_포항점내역(건설본부)" xfId="2872"/>
    <cellStyle name="_포항점내역(건설본부) 2" xfId="2873"/>
    <cellStyle name="_표준_견적서(공사양식)" xfId="2874"/>
    <cellStyle name="_표준_견적서(공사양식) 2" xfId="2875"/>
    <cellStyle name="_표지및원가계산" xfId="2876"/>
    <cellStyle name="_표지및원가계산 2" xfId="2877"/>
    <cellStyle name="_하나로정보센터 견적(각층별 최종)" xfId="2878"/>
    <cellStyle name="_하나로정보센터 견적(각층별 최종) 2" xfId="2879"/>
    <cellStyle name="_하이마트_최종네고_0707" xfId="2880"/>
    <cellStyle name="_학생회관 휴게실" xfId="2881"/>
    <cellStyle name="_학생회관 휴게실 2" xfId="2882"/>
    <cellStyle name="_한남동미술관 업체견적(통합SI)-창와텍2" xfId="2883"/>
    <cellStyle name="_한남동미술관 업체견적(통합SI)-창와텍2 2" xfId="2884"/>
    <cellStyle name="_한남동사회복지시설_02_6_18" xfId="2885"/>
    <cellStyle name="_한남동사회복지시설_02_6_18 2" xfId="2886"/>
    <cellStyle name="_한남동산출물량(설변)" xfId="2887"/>
    <cellStyle name="_한남동산출물량(설변) 2" xfId="2888"/>
    <cellStyle name="_한미우석" xfId="2889"/>
    <cellStyle name="_한미우석 2" xfId="2890"/>
    <cellStyle name="_한미우석_견적" xfId="2891"/>
    <cellStyle name="_한미우석_견적 2" xfId="2892"/>
    <cellStyle name="_한미우석_계양등7개소" xfId="2893"/>
    <cellStyle name="_한미우석_계양등7개소 2" xfId="2894"/>
    <cellStyle name="_한미우석_통합국사전원선" xfId="2895"/>
    <cellStyle name="_한미우석_통합국사전원선 2" xfId="2896"/>
    <cellStyle name="_한미우석_통합국사트레이" xfId="2897"/>
    <cellStyle name="_한미우석_통합국사트레이 2" xfId="2898"/>
    <cellStyle name="_한미우석_한미은행1" xfId="2899"/>
    <cellStyle name="_한미우석_한미은행1 2" xfId="2900"/>
    <cellStyle name="_한미우석_한미은행1_통합국사트레이" xfId="2901"/>
    <cellStyle name="_한미우석_한미은행1_통합국사트레이 2" xfId="2902"/>
    <cellStyle name="_한미우석_한미은행2" xfId="2903"/>
    <cellStyle name="_한미우석_한미은행2 2" xfId="2904"/>
    <cellStyle name="_한미우석_한미은행2_견적" xfId="2905"/>
    <cellStyle name="_한미우석_한미은행2_견적 2" xfId="2906"/>
    <cellStyle name="_한미우석_한미은행2_통합국사트레이" xfId="2907"/>
    <cellStyle name="_한미우석_한미은행2_통합국사트레이 2" xfId="2908"/>
    <cellStyle name="_한미우석_한미은행본사" xfId="2909"/>
    <cellStyle name="_한미우석_한미은행본사 2" xfId="2910"/>
    <cellStyle name="_한미우석_한미은행본사_견적" xfId="2911"/>
    <cellStyle name="_한미우석_한미은행본사_견적 2" xfId="2912"/>
    <cellStyle name="_한미우석_한미은행본사_통합국사트레이" xfId="2913"/>
    <cellStyle name="_한미우석_한미은행본사_통합국사트레이 2" xfId="2914"/>
    <cellStyle name="_한미우석_한미은행본사1" xfId="2915"/>
    <cellStyle name="_한미우석_한미은행본사1 2" xfId="2916"/>
    <cellStyle name="_한미우석_한미은행본사1_견적" xfId="2917"/>
    <cellStyle name="_한미우석_한미은행본사1_견적 2" xfId="2918"/>
    <cellStyle name="_한미우석_한미은행본사1_통합국사트레이" xfId="2919"/>
    <cellStyle name="_한미우석_한미은행본사1_통합국사트레이 2" xfId="2920"/>
    <cellStyle name="_한미은행본사" xfId="2921"/>
    <cellStyle name="_한미은행본사 2" xfId="2922"/>
    <cellStyle name="_한미은행본사_견적" xfId="2923"/>
    <cellStyle name="_한미은행본사_견적 2" xfId="2924"/>
    <cellStyle name="_한미은행본사_계양등7개소" xfId="2925"/>
    <cellStyle name="_한미은행본사_계양등7개소 2" xfId="2926"/>
    <cellStyle name="_한미은행본사_통합국사전원선" xfId="2927"/>
    <cellStyle name="_한미은행본사_통합국사전원선 2" xfId="2928"/>
    <cellStyle name="_한미은행본사_통합국사트레이" xfId="2929"/>
    <cellStyle name="_한미은행본사_통합국사트레이 2" xfId="2930"/>
    <cellStyle name="_한미은행본사_한미은행1" xfId="2931"/>
    <cellStyle name="_한미은행본사_한미은행1 2" xfId="2932"/>
    <cellStyle name="_한미은행본사_한미은행1_통합국사트레이" xfId="2933"/>
    <cellStyle name="_한미은행본사_한미은행1_통합국사트레이 2" xfId="2934"/>
    <cellStyle name="_한미은행본사_한미은행2" xfId="2935"/>
    <cellStyle name="_한미은행본사_한미은행2 2" xfId="2936"/>
    <cellStyle name="_한미은행본사_한미은행2_견적" xfId="2937"/>
    <cellStyle name="_한미은행본사_한미은행2_견적 2" xfId="2938"/>
    <cellStyle name="_한미은행본사_한미은행2_통합국사트레이" xfId="2939"/>
    <cellStyle name="_한미은행본사_한미은행2_통합국사트레이 2" xfId="2940"/>
    <cellStyle name="_한미은행본사_한미은행본사" xfId="2941"/>
    <cellStyle name="_한미은행본사_한미은행본사 2" xfId="2942"/>
    <cellStyle name="_한미은행본사_한미은행본사_견적" xfId="2943"/>
    <cellStyle name="_한미은행본사_한미은행본사_견적 2" xfId="2944"/>
    <cellStyle name="_한미은행본사_한미은행본사_통합국사트레이" xfId="2945"/>
    <cellStyle name="_한미은행본사_한미은행본사_통합국사트레이 2" xfId="2946"/>
    <cellStyle name="_한미은행본사_한미은행본사1" xfId="2947"/>
    <cellStyle name="_한미은행본사_한미은행본사1 2" xfId="2948"/>
    <cellStyle name="_한미은행본사_한미은행본사1_견적" xfId="2949"/>
    <cellStyle name="_한미은행본사_한미은행본사1_견적 2" xfId="2950"/>
    <cellStyle name="_한미은행본사_한미은행본사1_통합국사트레이" xfId="2951"/>
    <cellStyle name="_한미은행본사_한미은행본사1_통합국사트레이 2" xfId="2952"/>
    <cellStyle name="_한미케이블" xfId="2953"/>
    <cellStyle name="_한미케이블 2" xfId="2954"/>
    <cellStyle name="_한미케이블_견적" xfId="2955"/>
    <cellStyle name="_한미케이블_견적 2" xfId="2956"/>
    <cellStyle name="_한미케이블_계양등7개소" xfId="2957"/>
    <cellStyle name="_한미케이블_계양등7개소 2" xfId="2958"/>
    <cellStyle name="_한미케이블_통합국사전원선" xfId="2959"/>
    <cellStyle name="_한미케이블_통합국사전원선 2" xfId="2960"/>
    <cellStyle name="_한미케이블_통합국사트레이" xfId="2961"/>
    <cellStyle name="_한미케이블_통합국사트레이 2" xfId="2962"/>
    <cellStyle name="_한미케이블_한미은행1" xfId="2963"/>
    <cellStyle name="_한미케이블_한미은행1 2" xfId="2964"/>
    <cellStyle name="_한미케이블_한미은행1_통합국사트레이" xfId="2965"/>
    <cellStyle name="_한미케이블_한미은행1_통합국사트레이 2" xfId="2966"/>
    <cellStyle name="_한미케이블_한미은행2" xfId="2967"/>
    <cellStyle name="_한미케이블_한미은행2 2" xfId="2968"/>
    <cellStyle name="_한미케이블_한미은행2_견적" xfId="2969"/>
    <cellStyle name="_한미케이블_한미은행2_견적 2" xfId="2970"/>
    <cellStyle name="_한미케이블_한미은행2_통합국사트레이" xfId="2971"/>
    <cellStyle name="_한미케이블_한미은행2_통합국사트레이 2" xfId="2972"/>
    <cellStyle name="_한미케이블_한미은행본사" xfId="2973"/>
    <cellStyle name="_한미케이블_한미은행본사 2" xfId="2974"/>
    <cellStyle name="_한미케이블_한미은행본사_견적" xfId="2975"/>
    <cellStyle name="_한미케이블_한미은행본사_견적 2" xfId="2976"/>
    <cellStyle name="_한미케이블_한미은행본사_통합국사트레이" xfId="2977"/>
    <cellStyle name="_한미케이블_한미은행본사_통합국사트레이 2" xfId="2978"/>
    <cellStyle name="_한미케이블_한미은행본사1" xfId="2979"/>
    <cellStyle name="_한미케이블_한미은행본사1 2" xfId="2980"/>
    <cellStyle name="_한미케이블_한미은행본사1_견적" xfId="2981"/>
    <cellStyle name="_한미케이블_한미은행본사1_견적 2" xfId="2982"/>
    <cellStyle name="_한미케이블_한미은행본사1_통합국사트레이" xfId="2983"/>
    <cellStyle name="_한미케이블_한미은행본사1_통합국사트레이 2" xfId="2984"/>
    <cellStyle name="_협력업체list" xfId="2985"/>
    <cellStyle name="_협력업체list 2" xfId="2986"/>
    <cellStyle name="_호암관 물량산출조서(AV)050624" xfId="2987"/>
    <cellStyle name="_호암관 물량산출조서(AV)050624 2" xfId="2988"/>
    <cellStyle name="_호텔동 임시동력공사" xfId="2989"/>
    <cellStyle name="_호텔동 임시동력공사 2" xfId="2990"/>
    <cellStyle name="_호텔약전전기공사(1공구)-발의" xfId="2991"/>
    <cellStyle name="_호텔약전전기공사(1공구)-발의 2" xfId="2992"/>
    <cellStyle name="_호텔울산B부지약전2,3공구" xfId="2993"/>
    <cellStyle name="_호텔울산B부지약전2,3공구 2" xfId="2994"/>
    <cellStyle name="_홈플러스 목천점(제출)" xfId="2995"/>
    <cellStyle name="_홈플러스 목천점(제출) 2" xfId="2996"/>
    <cellStyle name="_홈플러스목천물류" xfId="2997"/>
    <cellStyle name="_홈플러스목천물류 2" xfId="2998"/>
    <cellStyle name="_홍대,화정견적" xfId="2999"/>
    <cellStyle name="_홍대,화정견적 2" xfId="3000"/>
    <cellStyle name="_홍대리님견적요청" xfId="3001"/>
    <cellStyle name="_홍대리님견적요청 2" xfId="3002"/>
    <cellStyle name="_화명 일반전기(금양) 정산" xfId="3003"/>
    <cellStyle name="_화명 일반전기(금양) 정산 2" xfId="3004"/>
    <cellStyle name="_화명통신정산" xfId="3005"/>
    <cellStyle name="_화명통신정산 2" xfId="3006"/>
    <cellStyle name="_화성NRD연구동일위대가(051016)" xfId="3007"/>
    <cellStyle name="_화성NRD연구동일위대가(051016) 2" xfId="3008"/>
    <cellStyle name="_황산교회" xfId="3009"/>
    <cellStyle name="_황산교회 2" xfId="3010"/>
    <cellStyle name="_회의실 견적서(배관배선)" xfId="3011"/>
    <cellStyle name="_회의실 견적서(배관배선) 2" xfId="3012"/>
    <cellStyle name="_희은건축(부경대스튜디오)-다시" xfId="3013"/>
    <cellStyle name="_희은건축(부경대스튜디오)-다시 2" xfId="3014"/>
    <cellStyle name="´Þ·?" xfId="3015"/>
    <cellStyle name="´Þ·? 2" xfId="3016"/>
    <cellStyle name="’E‰Y [0.00]_laroux" xfId="3017"/>
    <cellStyle name="’E‰Y_laroux" xfId="3018"/>
    <cellStyle name="¤@?e_TEST-1 " xfId="3019"/>
    <cellStyle name="\MNPREF32.DLL&amp;" xfId="3020"/>
    <cellStyle name="\MNPREF32.DLL&amp; 2" xfId="3021"/>
    <cellStyle name="+,-,0" xfId="3022"/>
    <cellStyle name="△ []" xfId="3023"/>
    <cellStyle name="△ [0]" xfId="3024"/>
    <cellStyle name="△백분율" xfId="3025"/>
    <cellStyle name="△백분율 2" xfId="3026"/>
    <cellStyle name="△콤마" xfId="3027"/>
    <cellStyle name="△콤마 2" xfId="3028"/>
    <cellStyle name="°ia¤¼o " xfId="3029"/>
    <cellStyle name="°iA¤¼O¼yA¡" xfId="3030"/>
    <cellStyle name="°iA¤¼O¼yA¡ 2" xfId="3031"/>
    <cellStyle name="°ia¤aa " xfId="3032"/>
    <cellStyle name="°iA¤Aa·A1" xfId="3033"/>
    <cellStyle name="°iA¤Aa·A1 2" xfId="3034"/>
    <cellStyle name="°iA¤Aa·A2" xfId="3035"/>
    <cellStyle name="°iA¤Aa·A2 2" xfId="3036"/>
    <cellStyle name="µÚ¿¡ ¿À´Â ÇÏÀÌÆÛ¸µÅ©" xfId="3037"/>
    <cellStyle name="_x0014_" xfId="3038"/>
    <cellStyle name="_x0014_ 2" xfId="3039"/>
    <cellStyle name="_00지역무대조명(6.5)" xfId="3040"/>
    <cellStyle name="_00지역무대조명(6.5) 2" xfId="3041"/>
    <cellStyle name="_00지역무대조명(6.5)_대구서구(6.15)" xfId="3042"/>
    <cellStyle name="_00지역무대조명(6.5)_대구서구(6.15) 2" xfId="3043"/>
    <cellStyle name="_남해탈(7.2)" xfId="3044"/>
    <cellStyle name="_남해탈(7.2) 2" xfId="3045"/>
    <cellStyle name="_남해탈(7.2)_대구서구(6.15)" xfId="3046"/>
    <cellStyle name="_남해탈(7.2)_대구서구(6.15) 2" xfId="3047"/>
    <cellStyle name="_대구서구(6.15)" xfId="3048"/>
    <cellStyle name="_대구서구(6.15) 2" xfId="3049"/>
    <cellStyle name="_대구서구(6.15) 2 2" xfId="3050"/>
    <cellStyle name="_대구서구(6.15) 3" xfId="3051"/>
    <cellStyle name="_대구서구(6.15) 3 2" xfId="3052"/>
    <cellStyle name="_대구서구(6.15) 4" xfId="3053"/>
    <cellStyle name="_대구서구(6.15) 4 2" xfId="3054"/>
    <cellStyle name="_대구서구(6.15) 5" xfId="3055"/>
    <cellStyle name="_대구서구(6.15) 5 2" xfId="3056"/>
    <cellStyle name="_대구서구(6.15) 6" xfId="3057"/>
    <cellStyle name="_대구서구(6.15) 6 2" xfId="3058"/>
    <cellStyle name="_대구서구(6.15) 7" xfId="3059"/>
    <cellStyle name="_대구서구(6.15) 7 2" xfId="3060"/>
    <cellStyle name="_대구서구(6.15) 8" xfId="3061"/>
    <cellStyle name="_양주디머교체(2.3)" xfId="3062"/>
    <cellStyle name="_양주디머교체(2.3) 2" xfId="3063"/>
    <cellStyle name="_양주디머교체(2.3)_대구서구(6.15)" xfId="3064"/>
    <cellStyle name="_양주디머교체(2.3)_대구서구(6.15) 2" xfId="3065"/>
    <cellStyle name="_양주디머교체(2.3)_대구서구(6.15) 2 2" xfId="3066"/>
    <cellStyle name="_양주디머교체(2.3)_대구서구(6.15) 3" xfId="3067"/>
    <cellStyle name="_양주디머교체(2.3)_대구서구(6.15) 3 2" xfId="3068"/>
    <cellStyle name="_양주디머교체(2.3)_대구서구(6.15) 4" xfId="3069"/>
    <cellStyle name="_양주디머교체(2.3)_대구서구(6.15) 4 2" xfId="3070"/>
    <cellStyle name="_양주디머교체(2.3)_대구서구(6.15) 5" xfId="3071"/>
    <cellStyle name="_양주디머교체(2.3)_대구서구(6.15) 5 2" xfId="3072"/>
    <cellStyle name="_양주디머교체(2.3)_대구서구(6.15) 6" xfId="3073"/>
    <cellStyle name="_양주디머교체(2.3)_대구서구(6.15) 6 2" xfId="3074"/>
    <cellStyle name="_양주디머교체(2.3)_대구서구(6.15) 7" xfId="3075"/>
    <cellStyle name="_양주디머교체(2.3)_대구서구(6.15) 7 2" xfId="3076"/>
    <cellStyle name="_양주디머교체(2.3)_대구서구(6.15) 8" xfId="3077"/>
    <cellStyle name="_x0007_   ­­_x0007_ ­" xfId="3078"/>
    <cellStyle name="_x0007__x0009__x000d__x000d_­­_x0007__x0009_­" xfId="3079"/>
    <cellStyle name="æØè [0.00]_PRODUCT DETAIL Q1" xfId="3080"/>
    <cellStyle name="æØè_PRODUCT DETAIL Q1" xfId="3081"/>
    <cellStyle name="ÊÝ [0.00]_PRODUCT DETAIL Q1" xfId="3082"/>
    <cellStyle name="ÊÝ_PRODUCT DETAIL Q1" xfId="3083"/>
    <cellStyle name="W?_BOOKSHIP" xfId="3084"/>
    <cellStyle name="W_Pacific Region P&amp;L" xfId="3085"/>
    <cellStyle name="0%" xfId="3086"/>
    <cellStyle name="0% 2" xfId="3087"/>
    <cellStyle name="0.0" xfId="3088"/>
    <cellStyle name="0.0 2" xfId="3089"/>
    <cellStyle name="0.0 2 2" xfId="3090"/>
    <cellStyle name="0.0 2 2 2" xfId="3091"/>
    <cellStyle name="0.0 2 2 3" xfId="3092"/>
    <cellStyle name="0.0 2 2 4" xfId="3093"/>
    <cellStyle name="0.0 2 2 5" xfId="3094"/>
    <cellStyle name="0.0 3" xfId="3095"/>
    <cellStyle name="0.0 3 2" xfId="3096"/>
    <cellStyle name="0.0 3 3" xfId="3097"/>
    <cellStyle name="0.0 3 4" xfId="3098"/>
    <cellStyle name="0.0 3 5" xfId="3099"/>
    <cellStyle name="0.0%" xfId="3100"/>
    <cellStyle name="0.0% 2" xfId="3101"/>
    <cellStyle name="0.0_1부여부지 콘도미니엄 신축공사 AV설비 견적서_20100121" xfId="3102"/>
    <cellStyle name="0.00" xfId="3103"/>
    <cellStyle name="0.00 2" xfId="3104"/>
    <cellStyle name="0.00 2 2" xfId="3105"/>
    <cellStyle name="0.00 2 2 2" xfId="3106"/>
    <cellStyle name="0.00 2 2 3" xfId="3107"/>
    <cellStyle name="0.00 2 2 4" xfId="3108"/>
    <cellStyle name="0.00 2 2 5" xfId="3109"/>
    <cellStyle name="0.00 3" xfId="3110"/>
    <cellStyle name="0.00 3 2" xfId="3111"/>
    <cellStyle name="0.00 3 3" xfId="3112"/>
    <cellStyle name="0.00 3 4" xfId="3113"/>
    <cellStyle name="0.00 3 5" xfId="3114"/>
    <cellStyle name="0.00%" xfId="3115"/>
    <cellStyle name="0.00% 2" xfId="3116"/>
    <cellStyle name="0.00_1부여부지 콘도미니엄 신축공사 AV설비 견적서_20100121" xfId="3117"/>
    <cellStyle name="0.000%" xfId="3118"/>
    <cellStyle name="0.000% 2" xfId="3119"/>
    <cellStyle name="0.0000%" xfId="3120"/>
    <cellStyle name="0.0000% 2" xfId="3121"/>
    <cellStyle name="0.0000% 2 2" xfId="3122"/>
    <cellStyle name="0.0000% 2 2 2" xfId="3123"/>
    <cellStyle name="0.0000% 2 3" xfId="3124"/>
    <cellStyle name="0.0000% 3" xfId="3125"/>
    <cellStyle name="0.0000% 3 2" xfId="3126"/>
    <cellStyle name="0.0000% 4" xfId="3127"/>
    <cellStyle name="0.0000% 4 2" xfId="3128"/>
    <cellStyle name="0.0000% 5" xfId="3129"/>
    <cellStyle name="¼yAU(R)" xfId="3130"/>
    <cellStyle name="¼yAU(R) 2" xfId="3131"/>
    <cellStyle name="1" xfId="3132"/>
    <cellStyle name="1 2" xfId="3133"/>
    <cellStyle name="1 3" xfId="3134"/>
    <cellStyle name="¹?ºÐ?²_±¸¸?³³±?" xfId="3135"/>
    <cellStyle name="1_고산중(내역)" xfId="3136"/>
    <cellStyle name="1_고산중공내역" xfId="3137"/>
    <cellStyle name="1_단가조사표" xfId="3138"/>
    <cellStyle name="1_백석초중신축공사(내역-수정)" xfId="3139"/>
    <cellStyle name="1_백석초중신축공사(내역-수정)_통합양식(경영기획)040914" xfId="3140"/>
    <cellStyle name="1_백석초중신축공사-공내역" xfId="3141"/>
    <cellStyle name="1_백석초중신축공사-공내역_통합양식(경영기획)040914" xfId="3142"/>
    <cellStyle name="1_시민계략공사" xfId="3143"/>
    <cellStyle name="1_시민계략공사 2" xfId="3144"/>
    <cellStyle name="1_시민계략공사_2002년도각종계산서너릿제터널등7개소" xfId="3145"/>
    <cellStyle name="1_시민계략공사_Book2" xfId="3146"/>
    <cellStyle name="1_시민계략공사_계산서및내역서5월9일변경" xfId="3147"/>
    <cellStyle name="1_시민계략공사_광양중동중학교실증축공사(전기)-4월10일한번더" xfId="3148"/>
    <cellStyle name="1_시민계략공사_무안연꽃방죽(4월9일)한번더" xfId="3149"/>
    <cellStyle name="1_시민계략공사_보일약국~순국비간 도로개설 가로등설치공사" xfId="3150"/>
    <cellStyle name="1_시민계략공사_봉산면보건지소신축공사(전기)11월30일변경" xfId="3151"/>
    <cellStyle name="1_시민계략공사_북문로(팔마로)가로등설치공사(변경)3월11일" xfId="3152"/>
    <cellStyle name="1_시민계략공사_북문팔마로확포장공사가로등" xfId="3153"/>
    <cellStyle name="1_시민계략공사_율촌중학교심야전기" xfId="3154"/>
    <cellStyle name="1_시민계략공사_전기-한남" xfId="3155"/>
    <cellStyle name="1_신방중(내역)" xfId="3156"/>
    <cellStyle name="1_신방중(내역)_통합양식(경영기획)040914" xfId="3157"/>
    <cellStyle name="1_천안 백석초,중-대아적격(100억이상)" xfId="3158"/>
    <cellStyle name="1_협조전" xfId="3159"/>
    <cellStyle name="1_협조전 2" xfId="3160"/>
    <cellStyle name="10" xfId="3161"/>
    <cellStyle name="10 2" xfId="3162"/>
    <cellStyle name="19990216" xfId="3163"/>
    <cellStyle name="19990216 2" xfId="3164"/>
    <cellStyle name="¹éºÐÀ²_±¸¸Å³³±â" xfId="3165"/>
    <cellStyle name="¹eºÐA²_±aA¸" xfId="3166"/>
    <cellStyle name="1월" xfId="3167"/>
    <cellStyle name="1월 2" xfId="3168"/>
    <cellStyle name="2" xfId="3169"/>
    <cellStyle name="² 2" xfId="3170"/>
    <cellStyle name="2)" xfId="3171"/>
    <cellStyle name="2) 2" xfId="3172"/>
    <cellStyle name="2_단가조사표" xfId="3173"/>
    <cellStyle name="20% - 강조색1 2" xfId="3174"/>
    <cellStyle name="20% - 강조색1 2 10" xfId="3175"/>
    <cellStyle name="20% - 강조색1 2 11" xfId="3176"/>
    <cellStyle name="20% - 강조색1 2 2" xfId="3177"/>
    <cellStyle name="20% - 강조색1 2 2 2" xfId="3178"/>
    <cellStyle name="20% - 강조색1 2 3" xfId="3179"/>
    <cellStyle name="20% - 강조색1 2 3 2" xfId="3180"/>
    <cellStyle name="20% - 강조색1 2 4" xfId="3181"/>
    <cellStyle name="20% - 강조색1 2 4 2" xfId="3182"/>
    <cellStyle name="20% - 강조색1 2 5" xfId="3183"/>
    <cellStyle name="20% - 강조색1 2 5 2" xfId="3184"/>
    <cellStyle name="20% - 강조색1 2 6" xfId="3185"/>
    <cellStyle name="20% - 강조색1 2 6 2" xfId="3186"/>
    <cellStyle name="20% - 강조색1 2 7" xfId="3187"/>
    <cellStyle name="20% - 강조색1 2 7 2" xfId="3188"/>
    <cellStyle name="20% - 강조색1 2 8" xfId="3189"/>
    <cellStyle name="20% - 강조색1 2 8 2" xfId="3190"/>
    <cellStyle name="20% - 강조색1 2 9" xfId="3191"/>
    <cellStyle name="20% - 강조색1 2 9 2" xfId="3192"/>
    <cellStyle name="20% - 강조색1 3" xfId="3193"/>
    <cellStyle name="20% - 강조색1 3 10" xfId="3194"/>
    <cellStyle name="20% - 강조색1 3 2" xfId="3195"/>
    <cellStyle name="20% - 강조색1 3 2 2" xfId="3196"/>
    <cellStyle name="20% - 강조색1 3 3" xfId="3197"/>
    <cellStyle name="20% - 강조색1 3 3 2" xfId="3198"/>
    <cellStyle name="20% - 강조색1 3 4" xfId="3199"/>
    <cellStyle name="20% - 강조색1 3 4 2" xfId="3200"/>
    <cellStyle name="20% - 강조색1 3 5" xfId="3201"/>
    <cellStyle name="20% - 강조색1 3 5 2" xfId="3202"/>
    <cellStyle name="20% - 강조색1 3 6" xfId="3203"/>
    <cellStyle name="20% - 강조색1 3 6 2" xfId="3204"/>
    <cellStyle name="20% - 강조색1 3 7" xfId="3205"/>
    <cellStyle name="20% - 강조색1 3 7 2" xfId="3206"/>
    <cellStyle name="20% - 강조색1 3 8" xfId="3207"/>
    <cellStyle name="20% - 강조색1 3 8 2" xfId="3208"/>
    <cellStyle name="20% - 강조색1 3 9" xfId="3209"/>
    <cellStyle name="20% - 강조색1 3 9 2" xfId="3210"/>
    <cellStyle name="20% - 강조색1 4" xfId="3211"/>
    <cellStyle name="20% - 강조색1 4 10" xfId="3212"/>
    <cellStyle name="20% - 강조색1 4 2" xfId="3213"/>
    <cellStyle name="20% - 강조색1 4 2 2" xfId="3214"/>
    <cellStyle name="20% - 강조색1 4 3" xfId="3215"/>
    <cellStyle name="20% - 강조색1 4 3 2" xfId="3216"/>
    <cellStyle name="20% - 강조색1 4 4" xfId="3217"/>
    <cellStyle name="20% - 강조색1 4 4 2" xfId="3218"/>
    <cellStyle name="20% - 강조색1 4 5" xfId="3219"/>
    <cellStyle name="20% - 강조색1 4 5 2" xfId="3220"/>
    <cellStyle name="20% - 강조색1 4 6" xfId="3221"/>
    <cellStyle name="20% - 강조색1 4 6 2" xfId="3222"/>
    <cellStyle name="20% - 강조색1 4 7" xfId="3223"/>
    <cellStyle name="20% - 강조색1 4 7 2" xfId="3224"/>
    <cellStyle name="20% - 강조색1 4 8" xfId="3225"/>
    <cellStyle name="20% - 강조색1 4 8 2" xfId="3226"/>
    <cellStyle name="20% - 강조색1 4 9" xfId="3227"/>
    <cellStyle name="20% - 강조색1 4 9 2" xfId="3228"/>
    <cellStyle name="20% - 강조색1 5" xfId="3229"/>
    <cellStyle name="20% - 강조색1 5 10" xfId="3230"/>
    <cellStyle name="20% - 강조색1 5 2" xfId="3231"/>
    <cellStyle name="20% - 강조색1 5 2 2" xfId="3232"/>
    <cellStyle name="20% - 강조색1 5 3" xfId="3233"/>
    <cellStyle name="20% - 강조색1 5 3 2" xfId="3234"/>
    <cellStyle name="20% - 강조색1 5 4" xfId="3235"/>
    <cellStyle name="20% - 강조색1 5 4 2" xfId="3236"/>
    <cellStyle name="20% - 강조색1 5 5" xfId="3237"/>
    <cellStyle name="20% - 강조색1 5 5 2" xfId="3238"/>
    <cellStyle name="20% - 강조색1 5 6" xfId="3239"/>
    <cellStyle name="20% - 강조색1 5 6 2" xfId="3240"/>
    <cellStyle name="20% - 강조색1 5 7" xfId="3241"/>
    <cellStyle name="20% - 강조색1 5 7 2" xfId="3242"/>
    <cellStyle name="20% - 강조색1 5 8" xfId="3243"/>
    <cellStyle name="20% - 강조색1 5 8 2" xfId="3244"/>
    <cellStyle name="20% - 강조색1 5 9" xfId="3245"/>
    <cellStyle name="20% - 강조색1 5 9 2" xfId="3246"/>
    <cellStyle name="20% - 강조색1 6" xfId="3247"/>
    <cellStyle name="20% - 강조색1 6 10" xfId="3248"/>
    <cellStyle name="20% - 강조색1 6 2" xfId="3249"/>
    <cellStyle name="20% - 강조색1 6 2 2" xfId="3250"/>
    <cellStyle name="20% - 강조색1 6 3" xfId="3251"/>
    <cellStyle name="20% - 강조색1 6 3 2" xfId="3252"/>
    <cellStyle name="20% - 강조색1 6 4" xfId="3253"/>
    <cellStyle name="20% - 강조색1 6 4 2" xfId="3254"/>
    <cellStyle name="20% - 강조색1 6 5" xfId="3255"/>
    <cellStyle name="20% - 강조색1 6 5 2" xfId="3256"/>
    <cellStyle name="20% - 강조색1 6 6" xfId="3257"/>
    <cellStyle name="20% - 강조색1 6 6 2" xfId="3258"/>
    <cellStyle name="20% - 강조색1 6 7" xfId="3259"/>
    <cellStyle name="20% - 강조색1 6 7 2" xfId="3260"/>
    <cellStyle name="20% - 강조색1 6 8" xfId="3261"/>
    <cellStyle name="20% - 강조색1 6 8 2" xfId="3262"/>
    <cellStyle name="20% - 강조색1 6 9" xfId="3263"/>
    <cellStyle name="20% - 강조색1 6 9 2" xfId="3264"/>
    <cellStyle name="20% - 강조색2 2" xfId="3265"/>
    <cellStyle name="20% - 강조색2 2 10" xfId="3266"/>
    <cellStyle name="20% - 강조색2 2 2" xfId="3267"/>
    <cellStyle name="20% - 강조색2 2 2 2" xfId="3268"/>
    <cellStyle name="20% - 강조색2 2 3" xfId="3269"/>
    <cellStyle name="20% - 강조색2 2 3 2" xfId="3270"/>
    <cellStyle name="20% - 강조색2 2 4" xfId="3271"/>
    <cellStyle name="20% - 강조색2 2 4 2" xfId="3272"/>
    <cellStyle name="20% - 강조색2 2 5" xfId="3273"/>
    <cellStyle name="20% - 강조색2 2 5 2" xfId="3274"/>
    <cellStyle name="20% - 강조색2 2 6" xfId="3275"/>
    <cellStyle name="20% - 강조색2 2 6 2" xfId="3276"/>
    <cellStyle name="20% - 강조색2 2 7" xfId="3277"/>
    <cellStyle name="20% - 강조색2 2 7 2" xfId="3278"/>
    <cellStyle name="20% - 강조색2 2 8" xfId="3279"/>
    <cellStyle name="20% - 강조색2 2 8 2" xfId="3280"/>
    <cellStyle name="20% - 강조색2 2 9" xfId="3281"/>
    <cellStyle name="20% - 강조색2 2 9 2" xfId="3282"/>
    <cellStyle name="20% - 강조색2 3" xfId="3283"/>
    <cellStyle name="20% - 강조색2 3 10" xfId="3284"/>
    <cellStyle name="20% - 강조색2 3 2" xfId="3285"/>
    <cellStyle name="20% - 강조색2 3 2 2" xfId="3286"/>
    <cellStyle name="20% - 강조색2 3 3" xfId="3287"/>
    <cellStyle name="20% - 강조색2 3 3 2" xfId="3288"/>
    <cellStyle name="20% - 강조색2 3 4" xfId="3289"/>
    <cellStyle name="20% - 강조색2 3 4 2" xfId="3290"/>
    <cellStyle name="20% - 강조색2 3 5" xfId="3291"/>
    <cellStyle name="20% - 강조색2 3 5 2" xfId="3292"/>
    <cellStyle name="20% - 강조색2 3 6" xfId="3293"/>
    <cellStyle name="20% - 강조색2 3 6 2" xfId="3294"/>
    <cellStyle name="20% - 강조색2 3 7" xfId="3295"/>
    <cellStyle name="20% - 강조색2 3 7 2" xfId="3296"/>
    <cellStyle name="20% - 강조색2 3 8" xfId="3297"/>
    <cellStyle name="20% - 강조색2 3 8 2" xfId="3298"/>
    <cellStyle name="20% - 강조색2 3 9" xfId="3299"/>
    <cellStyle name="20% - 강조색2 3 9 2" xfId="3300"/>
    <cellStyle name="20% - 강조색2 4" xfId="3301"/>
    <cellStyle name="20% - 강조색2 4 10" xfId="3302"/>
    <cellStyle name="20% - 강조색2 4 2" xfId="3303"/>
    <cellStyle name="20% - 강조색2 4 2 2" xfId="3304"/>
    <cellStyle name="20% - 강조색2 4 3" xfId="3305"/>
    <cellStyle name="20% - 강조색2 4 3 2" xfId="3306"/>
    <cellStyle name="20% - 강조색2 4 4" xfId="3307"/>
    <cellStyle name="20% - 강조색2 4 4 2" xfId="3308"/>
    <cellStyle name="20% - 강조색2 4 5" xfId="3309"/>
    <cellStyle name="20% - 강조색2 4 5 2" xfId="3310"/>
    <cellStyle name="20% - 강조색2 4 6" xfId="3311"/>
    <cellStyle name="20% - 강조색2 4 6 2" xfId="3312"/>
    <cellStyle name="20% - 강조색2 4 7" xfId="3313"/>
    <cellStyle name="20% - 강조색2 4 7 2" xfId="3314"/>
    <cellStyle name="20% - 강조색2 4 8" xfId="3315"/>
    <cellStyle name="20% - 강조색2 4 8 2" xfId="3316"/>
    <cellStyle name="20% - 강조색2 4 9" xfId="3317"/>
    <cellStyle name="20% - 강조색2 4 9 2" xfId="3318"/>
    <cellStyle name="20% - 강조색2 5" xfId="3319"/>
    <cellStyle name="20% - 강조색2 5 10" xfId="3320"/>
    <cellStyle name="20% - 강조색2 5 2" xfId="3321"/>
    <cellStyle name="20% - 강조색2 5 2 2" xfId="3322"/>
    <cellStyle name="20% - 강조색2 5 3" xfId="3323"/>
    <cellStyle name="20% - 강조색2 5 3 2" xfId="3324"/>
    <cellStyle name="20% - 강조색2 5 4" xfId="3325"/>
    <cellStyle name="20% - 강조색2 5 4 2" xfId="3326"/>
    <cellStyle name="20% - 강조색2 5 5" xfId="3327"/>
    <cellStyle name="20% - 강조색2 5 5 2" xfId="3328"/>
    <cellStyle name="20% - 강조색2 5 6" xfId="3329"/>
    <cellStyle name="20% - 강조색2 5 6 2" xfId="3330"/>
    <cellStyle name="20% - 강조색2 5 7" xfId="3331"/>
    <cellStyle name="20% - 강조색2 5 7 2" xfId="3332"/>
    <cellStyle name="20% - 강조색2 5 8" xfId="3333"/>
    <cellStyle name="20% - 강조색2 5 8 2" xfId="3334"/>
    <cellStyle name="20% - 강조색2 5 9" xfId="3335"/>
    <cellStyle name="20% - 강조색2 5 9 2" xfId="3336"/>
    <cellStyle name="20% - 강조색2 6" xfId="3337"/>
    <cellStyle name="20% - 강조색2 6 10" xfId="3338"/>
    <cellStyle name="20% - 강조색2 6 2" xfId="3339"/>
    <cellStyle name="20% - 강조색2 6 2 2" xfId="3340"/>
    <cellStyle name="20% - 강조색2 6 3" xfId="3341"/>
    <cellStyle name="20% - 강조색2 6 3 2" xfId="3342"/>
    <cellStyle name="20% - 강조색2 6 4" xfId="3343"/>
    <cellStyle name="20% - 강조색2 6 4 2" xfId="3344"/>
    <cellStyle name="20% - 강조색2 6 5" xfId="3345"/>
    <cellStyle name="20% - 강조색2 6 5 2" xfId="3346"/>
    <cellStyle name="20% - 강조색2 6 6" xfId="3347"/>
    <cellStyle name="20% - 강조색2 6 6 2" xfId="3348"/>
    <cellStyle name="20% - 강조색2 6 7" xfId="3349"/>
    <cellStyle name="20% - 강조색2 6 7 2" xfId="3350"/>
    <cellStyle name="20% - 강조색2 6 8" xfId="3351"/>
    <cellStyle name="20% - 강조색2 6 8 2" xfId="3352"/>
    <cellStyle name="20% - 강조색2 6 9" xfId="3353"/>
    <cellStyle name="20% - 강조색2 6 9 2" xfId="3354"/>
    <cellStyle name="20% - 강조색3 2" xfId="3355"/>
    <cellStyle name="20% - 강조색3 2 10" xfId="3356"/>
    <cellStyle name="20% - 강조색3 2 2" xfId="3357"/>
    <cellStyle name="20% - 강조색3 2 2 2" xfId="3358"/>
    <cellStyle name="20% - 강조색3 2 3" xfId="3359"/>
    <cellStyle name="20% - 강조색3 2 3 2" xfId="3360"/>
    <cellStyle name="20% - 강조색3 2 4" xfId="3361"/>
    <cellStyle name="20% - 강조색3 2 4 2" xfId="3362"/>
    <cellStyle name="20% - 강조색3 2 5" xfId="3363"/>
    <cellStyle name="20% - 강조색3 2 5 2" xfId="3364"/>
    <cellStyle name="20% - 강조색3 2 6" xfId="3365"/>
    <cellStyle name="20% - 강조색3 2 6 2" xfId="3366"/>
    <cellStyle name="20% - 강조색3 2 7" xfId="3367"/>
    <cellStyle name="20% - 강조색3 2 7 2" xfId="3368"/>
    <cellStyle name="20% - 강조색3 2 8" xfId="3369"/>
    <cellStyle name="20% - 강조색3 2 8 2" xfId="3370"/>
    <cellStyle name="20% - 강조색3 2 9" xfId="3371"/>
    <cellStyle name="20% - 강조색3 2 9 2" xfId="3372"/>
    <cellStyle name="20% - 강조색3 3" xfId="3373"/>
    <cellStyle name="20% - 강조색3 3 10" xfId="3374"/>
    <cellStyle name="20% - 강조색3 3 2" xfId="3375"/>
    <cellStyle name="20% - 강조색3 3 2 2" xfId="3376"/>
    <cellStyle name="20% - 강조색3 3 3" xfId="3377"/>
    <cellStyle name="20% - 강조색3 3 3 2" xfId="3378"/>
    <cellStyle name="20% - 강조색3 3 4" xfId="3379"/>
    <cellStyle name="20% - 강조색3 3 4 2" xfId="3380"/>
    <cellStyle name="20% - 강조색3 3 5" xfId="3381"/>
    <cellStyle name="20% - 강조색3 3 5 2" xfId="3382"/>
    <cellStyle name="20% - 강조색3 3 6" xfId="3383"/>
    <cellStyle name="20% - 강조색3 3 6 2" xfId="3384"/>
    <cellStyle name="20% - 강조색3 3 7" xfId="3385"/>
    <cellStyle name="20% - 강조색3 3 7 2" xfId="3386"/>
    <cellStyle name="20% - 강조색3 3 8" xfId="3387"/>
    <cellStyle name="20% - 강조색3 3 8 2" xfId="3388"/>
    <cellStyle name="20% - 강조색3 3 9" xfId="3389"/>
    <cellStyle name="20% - 강조색3 3 9 2" xfId="3390"/>
    <cellStyle name="20% - 강조색3 4" xfId="3391"/>
    <cellStyle name="20% - 강조색3 4 10" xfId="3392"/>
    <cellStyle name="20% - 강조색3 4 2" xfId="3393"/>
    <cellStyle name="20% - 강조색3 4 2 2" xfId="3394"/>
    <cellStyle name="20% - 강조색3 4 3" xfId="3395"/>
    <cellStyle name="20% - 강조색3 4 3 2" xfId="3396"/>
    <cellStyle name="20% - 강조색3 4 4" xfId="3397"/>
    <cellStyle name="20% - 강조색3 4 4 2" xfId="3398"/>
    <cellStyle name="20% - 강조색3 4 5" xfId="3399"/>
    <cellStyle name="20% - 강조색3 4 5 2" xfId="3400"/>
    <cellStyle name="20% - 강조색3 4 6" xfId="3401"/>
    <cellStyle name="20% - 강조색3 4 6 2" xfId="3402"/>
    <cellStyle name="20% - 강조색3 4 7" xfId="3403"/>
    <cellStyle name="20% - 강조색3 4 7 2" xfId="3404"/>
    <cellStyle name="20% - 강조색3 4 8" xfId="3405"/>
    <cellStyle name="20% - 강조색3 4 8 2" xfId="3406"/>
    <cellStyle name="20% - 강조색3 4 9" xfId="3407"/>
    <cellStyle name="20% - 강조색3 4 9 2" xfId="3408"/>
    <cellStyle name="20% - 강조색3 5" xfId="3409"/>
    <cellStyle name="20% - 강조색3 5 10" xfId="3410"/>
    <cellStyle name="20% - 강조색3 5 2" xfId="3411"/>
    <cellStyle name="20% - 강조색3 5 2 2" xfId="3412"/>
    <cellStyle name="20% - 강조색3 5 3" xfId="3413"/>
    <cellStyle name="20% - 강조색3 5 3 2" xfId="3414"/>
    <cellStyle name="20% - 강조색3 5 4" xfId="3415"/>
    <cellStyle name="20% - 강조색3 5 4 2" xfId="3416"/>
    <cellStyle name="20% - 강조색3 5 5" xfId="3417"/>
    <cellStyle name="20% - 강조색3 5 5 2" xfId="3418"/>
    <cellStyle name="20% - 강조색3 5 6" xfId="3419"/>
    <cellStyle name="20% - 강조색3 5 6 2" xfId="3420"/>
    <cellStyle name="20% - 강조색3 5 7" xfId="3421"/>
    <cellStyle name="20% - 강조색3 5 7 2" xfId="3422"/>
    <cellStyle name="20% - 강조색3 5 8" xfId="3423"/>
    <cellStyle name="20% - 강조색3 5 8 2" xfId="3424"/>
    <cellStyle name="20% - 강조색3 5 9" xfId="3425"/>
    <cellStyle name="20% - 강조색3 5 9 2" xfId="3426"/>
    <cellStyle name="20% - 강조색3 6" xfId="3427"/>
    <cellStyle name="20% - 강조색3 6 10" xfId="3428"/>
    <cellStyle name="20% - 강조색3 6 2" xfId="3429"/>
    <cellStyle name="20% - 강조색3 6 2 2" xfId="3430"/>
    <cellStyle name="20% - 강조색3 6 3" xfId="3431"/>
    <cellStyle name="20% - 강조색3 6 3 2" xfId="3432"/>
    <cellStyle name="20% - 강조색3 6 4" xfId="3433"/>
    <cellStyle name="20% - 강조색3 6 4 2" xfId="3434"/>
    <cellStyle name="20% - 강조색3 6 5" xfId="3435"/>
    <cellStyle name="20% - 강조색3 6 5 2" xfId="3436"/>
    <cellStyle name="20% - 강조색3 6 6" xfId="3437"/>
    <cellStyle name="20% - 강조색3 6 6 2" xfId="3438"/>
    <cellStyle name="20% - 강조색3 6 7" xfId="3439"/>
    <cellStyle name="20% - 강조색3 6 7 2" xfId="3440"/>
    <cellStyle name="20% - 강조색3 6 8" xfId="3441"/>
    <cellStyle name="20% - 강조색3 6 8 2" xfId="3442"/>
    <cellStyle name="20% - 강조색3 6 9" xfId="3443"/>
    <cellStyle name="20% - 강조색3 6 9 2" xfId="3444"/>
    <cellStyle name="20% - 강조색4 2" xfId="3445"/>
    <cellStyle name="20% - 강조색4 2 10" xfId="3446"/>
    <cellStyle name="20% - 강조색4 2 2" xfId="3447"/>
    <cellStyle name="20% - 강조색4 2 2 2" xfId="3448"/>
    <cellStyle name="20% - 강조색4 2 3" xfId="3449"/>
    <cellStyle name="20% - 강조색4 2 3 2" xfId="3450"/>
    <cellStyle name="20% - 강조색4 2 4" xfId="3451"/>
    <cellStyle name="20% - 강조색4 2 4 2" xfId="3452"/>
    <cellStyle name="20% - 강조색4 2 5" xfId="3453"/>
    <cellStyle name="20% - 강조색4 2 5 2" xfId="3454"/>
    <cellStyle name="20% - 강조색4 2 6" xfId="3455"/>
    <cellStyle name="20% - 강조색4 2 6 2" xfId="3456"/>
    <cellStyle name="20% - 강조색4 2 7" xfId="3457"/>
    <cellStyle name="20% - 강조색4 2 7 2" xfId="3458"/>
    <cellStyle name="20% - 강조색4 2 8" xfId="3459"/>
    <cellStyle name="20% - 강조색4 2 8 2" xfId="3460"/>
    <cellStyle name="20% - 강조색4 2 9" xfId="3461"/>
    <cellStyle name="20% - 강조색4 2 9 2" xfId="3462"/>
    <cellStyle name="20% - 강조색4 3" xfId="3463"/>
    <cellStyle name="20% - 강조색4 3 10" xfId="3464"/>
    <cellStyle name="20% - 강조색4 3 2" xfId="3465"/>
    <cellStyle name="20% - 강조색4 3 2 2" xfId="3466"/>
    <cellStyle name="20% - 강조색4 3 3" xfId="3467"/>
    <cellStyle name="20% - 강조색4 3 3 2" xfId="3468"/>
    <cellStyle name="20% - 강조색4 3 4" xfId="3469"/>
    <cellStyle name="20% - 강조색4 3 4 2" xfId="3470"/>
    <cellStyle name="20% - 강조색4 3 5" xfId="3471"/>
    <cellStyle name="20% - 강조색4 3 5 2" xfId="3472"/>
    <cellStyle name="20% - 강조색4 3 6" xfId="3473"/>
    <cellStyle name="20% - 강조색4 3 6 2" xfId="3474"/>
    <cellStyle name="20% - 강조색4 3 7" xfId="3475"/>
    <cellStyle name="20% - 강조색4 3 7 2" xfId="3476"/>
    <cellStyle name="20% - 강조색4 3 8" xfId="3477"/>
    <cellStyle name="20% - 강조색4 3 8 2" xfId="3478"/>
    <cellStyle name="20% - 강조색4 3 9" xfId="3479"/>
    <cellStyle name="20% - 강조색4 3 9 2" xfId="3480"/>
    <cellStyle name="20% - 강조색4 4" xfId="3481"/>
    <cellStyle name="20% - 강조색4 4 10" xfId="3482"/>
    <cellStyle name="20% - 강조색4 4 2" xfId="3483"/>
    <cellStyle name="20% - 강조색4 4 2 2" xfId="3484"/>
    <cellStyle name="20% - 강조색4 4 3" xfId="3485"/>
    <cellStyle name="20% - 강조색4 4 3 2" xfId="3486"/>
    <cellStyle name="20% - 강조색4 4 4" xfId="3487"/>
    <cellStyle name="20% - 강조색4 4 4 2" xfId="3488"/>
    <cellStyle name="20% - 강조색4 4 5" xfId="3489"/>
    <cellStyle name="20% - 강조색4 4 5 2" xfId="3490"/>
    <cellStyle name="20% - 강조색4 4 6" xfId="3491"/>
    <cellStyle name="20% - 강조색4 4 6 2" xfId="3492"/>
    <cellStyle name="20% - 강조색4 4 7" xfId="3493"/>
    <cellStyle name="20% - 강조색4 4 7 2" xfId="3494"/>
    <cellStyle name="20% - 강조색4 4 8" xfId="3495"/>
    <cellStyle name="20% - 강조색4 4 8 2" xfId="3496"/>
    <cellStyle name="20% - 강조색4 4 9" xfId="3497"/>
    <cellStyle name="20% - 강조색4 4 9 2" xfId="3498"/>
    <cellStyle name="20% - 강조색4 5" xfId="3499"/>
    <cellStyle name="20% - 강조색4 5 10" xfId="3500"/>
    <cellStyle name="20% - 강조색4 5 2" xfId="3501"/>
    <cellStyle name="20% - 강조색4 5 2 2" xfId="3502"/>
    <cellStyle name="20% - 강조색4 5 3" xfId="3503"/>
    <cellStyle name="20% - 강조색4 5 3 2" xfId="3504"/>
    <cellStyle name="20% - 강조색4 5 4" xfId="3505"/>
    <cellStyle name="20% - 강조색4 5 4 2" xfId="3506"/>
    <cellStyle name="20% - 강조색4 5 5" xfId="3507"/>
    <cellStyle name="20% - 강조색4 5 5 2" xfId="3508"/>
    <cellStyle name="20% - 강조색4 5 6" xfId="3509"/>
    <cellStyle name="20% - 강조색4 5 6 2" xfId="3510"/>
    <cellStyle name="20% - 강조색4 5 7" xfId="3511"/>
    <cellStyle name="20% - 강조색4 5 7 2" xfId="3512"/>
    <cellStyle name="20% - 강조색4 5 8" xfId="3513"/>
    <cellStyle name="20% - 강조색4 5 8 2" xfId="3514"/>
    <cellStyle name="20% - 강조색4 5 9" xfId="3515"/>
    <cellStyle name="20% - 강조색4 5 9 2" xfId="3516"/>
    <cellStyle name="20% - 강조색4 6" xfId="3517"/>
    <cellStyle name="20% - 강조색4 6 10" xfId="3518"/>
    <cellStyle name="20% - 강조색4 6 2" xfId="3519"/>
    <cellStyle name="20% - 강조색4 6 2 2" xfId="3520"/>
    <cellStyle name="20% - 강조색4 6 3" xfId="3521"/>
    <cellStyle name="20% - 강조색4 6 3 2" xfId="3522"/>
    <cellStyle name="20% - 강조색4 6 4" xfId="3523"/>
    <cellStyle name="20% - 강조색4 6 4 2" xfId="3524"/>
    <cellStyle name="20% - 강조색4 6 5" xfId="3525"/>
    <cellStyle name="20% - 강조색4 6 5 2" xfId="3526"/>
    <cellStyle name="20% - 강조색4 6 6" xfId="3527"/>
    <cellStyle name="20% - 강조색4 6 6 2" xfId="3528"/>
    <cellStyle name="20% - 강조색4 6 7" xfId="3529"/>
    <cellStyle name="20% - 강조색4 6 7 2" xfId="3530"/>
    <cellStyle name="20% - 강조색4 6 8" xfId="3531"/>
    <cellStyle name="20% - 강조색4 6 8 2" xfId="3532"/>
    <cellStyle name="20% - 강조색4 6 9" xfId="3533"/>
    <cellStyle name="20% - 강조색4 6 9 2" xfId="3534"/>
    <cellStyle name="20% - 강조색5 2" xfId="3535"/>
    <cellStyle name="20% - 강조색5 2 10" xfId="3536"/>
    <cellStyle name="20% - 강조색5 2 2" xfId="3537"/>
    <cellStyle name="20% - 강조색5 2 2 2" xfId="3538"/>
    <cellStyle name="20% - 강조색5 2 3" xfId="3539"/>
    <cellStyle name="20% - 강조색5 2 3 2" xfId="3540"/>
    <cellStyle name="20% - 강조색5 2 4" xfId="3541"/>
    <cellStyle name="20% - 강조색5 2 4 2" xfId="3542"/>
    <cellStyle name="20% - 강조색5 2 5" xfId="3543"/>
    <cellStyle name="20% - 강조색5 2 5 2" xfId="3544"/>
    <cellStyle name="20% - 강조색5 2 6" xfId="3545"/>
    <cellStyle name="20% - 강조색5 2 6 2" xfId="3546"/>
    <cellStyle name="20% - 강조색5 2 7" xfId="3547"/>
    <cellStyle name="20% - 강조색5 2 7 2" xfId="3548"/>
    <cellStyle name="20% - 강조색5 2 8" xfId="3549"/>
    <cellStyle name="20% - 강조색5 2 8 2" xfId="3550"/>
    <cellStyle name="20% - 강조색5 2 9" xfId="3551"/>
    <cellStyle name="20% - 강조색5 2 9 2" xfId="3552"/>
    <cellStyle name="20% - 강조색5 3" xfId="3553"/>
    <cellStyle name="20% - 강조색5 3 10" xfId="3554"/>
    <cellStyle name="20% - 강조색5 3 2" xfId="3555"/>
    <cellStyle name="20% - 강조색5 3 2 2" xfId="3556"/>
    <cellStyle name="20% - 강조색5 3 3" xfId="3557"/>
    <cellStyle name="20% - 강조색5 3 3 2" xfId="3558"/>
    <cellStyle name="20% - 강조색5 3 4" xfId="3559"/>
    <cellStyle name="20% - 강조색5 3 4 2" xfId="3560"/>
    <cellStyle name="20% - 강조색5 3 5" xfId="3561"/>
    <cellStyle name="20% - 강조색5 3 5 2" xfId="3562"/>
    <cellStyle name="20% - 강조색5 3 6" xfId="3563"/>
    <cellStyle name="20% - 강조색5 3 6 2" xfId="3564"/>
    <cellStyle name="20% - 강조색5 3 7" xfId="3565"/>
    <cellStyle name="20% - 강조색5 3 7 2" xfId="3566"/>
    <cellStyle name="20% - 강조색5 3 8" xfId="3567"/>
    <cellStyle name="20% - 강조색5 3 8 2" xfId="3568"/>
    <cellStyle name="20% - 강조색5 3 9" xfId="3569"/>
    <cellStyle name="20% - 강조색5 3 9 2" xfId="3570"/>
    <cellStyle name="20% - 강조색5 4" xfId="3571"/>
    <cellStyle name="20% - 강조색5 4 10" xfId="3572"/>
    <cellStyle name="20% - 강조색5 4 2" xfId="3573"/>
    <cellStyle name="20% - 강조색5 4 2 2" xfId="3574"/>
    <cellStyle name="20% - 강조색5 4 3" xfId="3575"/>
    <cellStyle name="20% - 강조색5 4 3 2" xfId="3576"/>
    <cellStyle name="20% - 강조색5 4 4" xfId="3577"/>
    <cellStyle name="20% - 강조색5 4 4 2" xfId="3578"/>
    <cellStyle name="20% - 강조색5 4 5" xfId="3579"/>
    <cellStyle name="20% - 강조색5 4 5 2" xfId="3580"/>
    <cellStyle name="20% - 강조색5 4 6" xfId="3581"/>
    <cellStyle name="20% - 강조색5 4 6 2" xfId="3582"/>
    <cellStyle name="20% - 강조색5 4 7" xfId="3583"/>
    <cellStyle name="20% - 강조색5 4 7 2" xfId="3584"/>
    <cellStyle name="20% - 강조색5 4 8" xfId="3585"/>
    <cellStyle name="20% - 강조색5 4 8 2" xfId="3586"/>
    <cellStyle name="20% - 강조색5 4 9" xfId="3587"/>
    <cellStyle name="20% - 강조색5 4 9 2" xfId="3588"/>
    <cellStyle name="20% - 강조색5 5" xfId="3589"/>
    <cellStyle name="20% - 강조색5 5 10" xfId="3590"/>
    <cellStyle name="20% - 강조색5 5 2" xfId="3591"/>
    <cellStyle name="20% - 강조색5 5 2 2" xfId="3592"/>
    <cellStyle name="20% - 강조색5 5 3" xfId="3593"/>
    <cellStyle name="20% - 강조색5 5 3 2" xfId="3594"/>
    <cellStyle name="20% - 강조색5 5 4" xfId="3595"/>
    <cellStyle name="20% - 강조색5 5 4 2" xfId="3596"/>
    <cellStyle name="20% - 강조색5 5 5" xfId="3597"/>
    <cellStyle name="20% - 강조색5 5 5 2" xfId="3598"/>
    <cellStyle name="20% - 강조색5 5 6" xfId="3599"/>
    <cellStyle name="20% - 강조색5 5 6 2" xfId="3600"/>
    <cellStyle name="20% - 강조색5 5 7" xfId="3601"/>
    <cellStyle name="20% - 강조색5 5 7 2" xfId="3602"/>
    <cellStyle name="20% - 강조색5 5 8" xfId="3603"/>
    <cellStyle name="20% - 강조색5 5 8 2" xfId="3604"/>
    <cellStyle name="20% - 강조색5 5 9" xfId="3605"/>
    <cellStyle name="20% - 강조색5 5 9 2" xfId="3606"/>
    <cellStyle name="20% - 강조색5 6" xfId="3607"/>
    <cellStyle name="20% - 강조색5 6 10" xfId="3608"/>
    <cellStyle name="20% - 강조색5 6 2" xfId="3609"/>
    <cellStyle name="20% - 강조색5 6 2 2" xfId="3610"/>
    <cellStyle name="20% - 강조색5 6 3" xfId="3611"/>
    <cellStyle name="20% - 강조색5 6 3 2" xfId="3612"/>
    <cellStyle name="20% - 강조색5 6 4" xfId="3613"/>
    <cellStyle name="20% - 강조색5 6 4 2" xfId="3614"/>
    <cellStyle name="20% - 강조색5 6 5" xfId="3615"/>
    <cellStyle name="20% - 강조색5 6 5 2" xfId="3616"/>
    <cellStyle name="20% - 강조색5 6 6" xfId="3617"/>
    <cellStyle name="20% - 강조색5 6 6 2" xfId="3618"/>
    <cellStyle name="20% - 강조색5 6 7" xfId="3619"/>
    <cellStyle name="20% - 강조색5 6 7 2" xfId="3620"/>
    <cellStyle name="20% - 강조색5 6 8" xfId="3621"/>
    <cellStyle name="20% - 강조색5 6 8 2" xfId="3622"/>
    <cellStyle name="20% - 강조색5 6 9" xfId="3623"/>
    <cellStyle name="20% - 강조색5 6 9 2" xfId="3624"/>
    <cellStyle name="20% - 강조색6 2" xfId="3625"/>
    <cellStyle name="20% - 강조색6 2 10" xfId="3626"/>
    <cellStyle name="20% - 강조색6 2 2" xfId="3627"/>
    <cellStyle name="20% - 강조색6 2 2 2" xfId="3628"/>
    <cellStyle name="20% - 강조색6 2 3" xfId="3629"/>
    <cellStyle name="20% - 강조색6 2 3 2" xfId="3630"/>
    <cellStyle name="20% - 강조색6 2 4" xfId="3631"/>
    <cellStyle name="20% - 강조색6 2 4 2" xfId="3632"/>
    <cellStyle name="20% - 강조색6 2 5" xfId="3633"/>
    <cellStyle name="20% - 강조색6 2 5 2" xfId="3634"/>
    <cellStyle name="20% - 강조색6 2 6" xfId="3635"/>
    <cellStyle name="20% - 강조색6 2 6 2" xfId="3636"/>
    <cellStyle name="20% - 강조색6 2 7" xfId="3637"/>
    <cellStyle name="20% - 강조색6 2 7 2" xfId="3638"/>
    <cellStyle name="20% - 강조색6 2 8" xfId="3639"/>
    <cellStyle name="20% - 강조색6 2 8 2" xfId="3640"/>
    <cellStyle name="20% - 강조색6 2 9" xfId="3641"/>
    <cellStyle name="20% - 강조색6 2 9 2" xfId="3642"/>
    <cellStyle name="20% - 강조색6 3" xfId="3643"/>
    <cellStyle name="20% - 강조색6 3 10" xfId="3644"/>
    <cellStyle name="20% - 강조색6 3 2" xfId="3645"/>
    <cellStyle name="20% - 강조색6 3 2 2" xfId="3646"/>
    <cellStyle name="20% - 강조색6 3 3" xfId="3647"/>
    <cellStyle name="20% - 강조색6 3 3 2" xfId="3648"/>
    <cellStyle name="20% - 강조색6 3 4" xfId="3649"/>
    <cellStyle name="20% - 강조색6 3 4 2" xfId="3650"/>
    <cellStyle name="20% - 강조색6 3 5" xfId="3651"/>
    <cellStyle name="20% - 강조색6 3 5 2" xfId="3652"/>
    <cellStyle name="20% - 강조색6 3 6" xfId="3653"/>
    <cellStyle name="20% - 강조색6 3 6 2" xfId="3654"/>
    <cellStyle name="20% - 강조색6 3 7" xfId="3655"/>
    <cellStyle name="20% - 강조색6 3 7 2" xfId="3656"/>
    <cellStyle name="20% - 강조색6 3 8" xfId="3657"/>
    <cellStyle name="20% - 강조색6 3 8 2" xfId="3658"/>
    <cellStyle name="20% - 강조색6 3 9" xfId="3659"/>
    <cellStyle name="20% - 강조색6 3 9 2" xfId="3660"/>
    <cellStyle name="20% - 강조색6 4" xfId="3661"/>
    <cellStyle name="20% - 강조색6 4 10" xfId="3662"/>
    <cellStyle name="20% - 강조색6 4 2" xfId="3663"/>
    <cellStyle name="20% - 강조색6 4 2 2" xfId="3664"/>
    <cellStyle name="20% - 강조색6 4 3" xfId="3665"/>
    <cellStyle name="20% - 강조색6 4 3 2" xfId="3666"/>
    <cellStyle name="20% - 강조색6 4 4" xfId="3667"/>
    <cellStyle name="20% - 강조색6 4 4 2" xfId="3668"/>
    <cellStyle name="20% - 강조색6 4 5" xfId="3669"/>
    <cellStyle name="20% - 강조색6 4 5 2" xfId="3670"/>
    <cellStyle name="20% - 강조색6 4 6" xfId="3671"/>
    <cellStyle name="20% - 강조색6 4 6 2" xfId="3672"/>
    <cellStyle name="20% - 강조색6 4 7" xfId="3673"/>
    <cellStyle name="20% - 강조색6 4 7 2" xfId="3674"/>
    <cellStyle name="20% - 강조색6 4 8" xfId="3675"/>
    <cellStyle name="20% - 강조색6 4 8 2" xfId="3676"/>
    <cellStyle name="20% - 강조색6 4 9" xfId="3677"/>
    <cellStyle name="20% - 강조색6 4 9 2" xfId="3678"/>
    <cellStyle name="20% - 강조색6 5" xfId="3679"/>
    <cellStyle name="20% - 강조색6 5 10" xfId="3680"/>
    <cellStyle name="20% - 강조색6 5 2" xfId="3681"/>
    <cellStyle name="20% - 강조색6 5 2 2" xfId="3682"/>
    <cellStyle name="20% - 강조색6 5 3" xfId="3683"/>
    <cellStyle name="20% - 강조색6 5 3 2" xfId="3684"/>
    <cellStyle name="20% - 강조색6 5 4" xfId="3685"/>
    <cellStyle name="20% - 강조색6 5 4 2" xfId="3686"/>
    <cellStyle name="20% - 강조색6 5 5" xfId="3687"/>
    <cellStyle name="20% - 강조색6 5 5 2" xfId="3688"/>
    <cellStyle name="20% - 강조색6 5 6" xfId="3689"/>
    <cellStyle name="20% - 강조색6 5 6 2" xfId="3690"/>
    <cellStyle name="20% - 강조색6 5 7" xfId="3691"/>
    <cellStyle name="20% - 강조색6 5 7 2" xfId="3692"/>
    <cellStyle name="20% - 강조색6 5 8" xfId="3693"/>
    <cellStyle name="20% - 강조색6 5 8 2" xfId="3694"/>
    <cellStyle name="20% - 강조색6 5 9" xfId="3695"/>
    <cellStyle name="20% - 강조색6 5 9 2" xfId="3696"/>
    <cellStyle name="20% - 강조색6 6" xfId="3697"/>
    <cellStyle name="20% - 강조색6 6 10" xfId="3698"/>
    <cellStyle name="20% - 강조색6 6 2" xfId="3699"/>
    <cellStyle name="20% - 강조색6 6 2 2" xfId="3700"/>
    <cellStyle name="20% - 강조색6 6 3" xfId="3701"/>
    <cellStyle name="20% - 강조색6 6 3 2" xfId="3702"/>
    <cellStyle name="20% - 강조색6 6 4" xfId="3703"/>
    <cellStyle name="20% - 강조색6 6 4 2" xfId="3704"/>
    <cellStyle name="20% - 강조색6 6 5" xfId="3705"/>
    <cellStyle name="20% - 강조색6 6 5 2" xfId="3706"/>
    <cellStyle name="20% - 강조색6 6 6" xfId="3707"/>
    <cellStyle name="20% - 강조색6 6 6 2" xfId="3708"/>
    <cellStyle name="20% - 강조색6 6 7" xfId="3709"/>
    <cellStyle name="20% - 강조색6 6 7 2" xfId="3710"/>
    <cellStyle name="20% - 강조색6 6 8" xfId="3711"/>
    <cellStyle name="20% - 강조색6 6 8 2" xfId="3712"/>
    <cellStyle name="20% - 강조색6 6 9" xfId="3713"/>
    <cellStyle name="20% - 강조색6 6 9 2" xfId="3714"/>
    <cellStyle name="³?A￥" xfId="3715"/>
    <cellStyle name="³?A￥ 2" xfId="3716"/>
    <cellStyle name="³f¹ô[0]_pldt" xfId="3717"/>
    <cellStyle name="³f¹ô_pldt" xfId="3718"/>
    <cellStyle name="40% - 강조색1 2" xfId="3719"/>
    <cellStyle name="40% - 강조색1 2 10" xfId="3720"/>
    <cellStyle name="40% - 강조색1 2 2" xfId="3721"/>
    <cellStyle name="40% - 강조색1 2 2 2" xfId="3722"/>
    <cellStyle name="40% - 강조색1 2 3" xfId="3723"/>
    <cellStyle name="40% - 강조색1 2 3 2" xfId="3724"/>
    <cellStyle name="40% - 강조색1 2 4" xfId="3725"/>
    <cellStyle name="40% - 강조색1 2 4 2" xfId="3726"/>
    <cellStyle name="40% - 강조색1 2 5" xfId="3727"/>
    <cellStyle name="40% - 강조색1 2 5 2" xfId="3728"/>
    <cellStyle name="40% - 강조색1 2 6" xfId="3729"/>
    <cellStyle name="40% - 강조색1 2 6 2" xfId="3730"/>
    <cellStyle name="40% - 강조색1 2 7" xfId="3731"/>
    <cellStyle name="40% - 강조색1 2 7 2" xfId="3732"/>
    <cellStyle name="40% - 강조색1 2 8" xfId="3733"/>
    <cellStyle name="40% - 강조색1 2 8 2" xfId="3734"/>
    <cellStyle name="40% - 강조색1 2 9" xfId="3735"/>
    <cellStyle name="40% - 강조색1 2 9 2" xfId="3736"/>
    <cellStyle name="40% - 강조색1 3" xfId="3737"/>
    <cellStyle name="40% - 강조색1 3 10" xfId="3738"/>
    <cellStyle name="40% - 강조색1 3 2" xfId="3739"/>
    <cellStyle name="40% - 강조색1 3 2 2" xfId="3740"/>
    <cellStyle name="40% - 강조색1 3 3" xfId="3741"/>
    <cellStyle name="40% - 강조색1 3 3 2" xfId="3742"/>
    <cellStyle name="40% - 강조색1 3 4" xfId="3743"/>
    <cellStyle name="40% - 강조색1 3 4 2" xfId="3744"/>
    <cellStyle name="40% - 강조색1 3 5" xfId="3745"/>
    <cellStyle name="40% - 강조색1 3 5 2" xfId="3746"/>
    <cellStyle name="40% - 강조색1 3 6" xfId="3747"/>
    <cellStyle name="40% - 강조색1 3 6 2" xfId="3748"/>
    <cellStyle name="40% - 강조색1 3 7" xfId="3749"/>
    <cellStyle name="40% - 강조색1 3 7 2" xfId="3750"/>
    <cellStyle name="40% - 강조색1 3 8" xfId="3751"/>
    <cellStyle name="40% - 강조색1 3 8 2" xfId="3752"/>
    <cellStyle name="40% - 강조색1 3 9" xfId="3753"/>
    <cellStyle name="40% - 강조색1 3 9 2" xfId="3754"/>
    <cellStyle name="40% - 강조색1 4" xfId="3755"/>
    <cellStyle name="40% - 강조색1 4 10" xfId="3756"/>
    <cellStyle name="40% - 강조색1 4 2" xfId="3757"/>
    <cellStyle name="40% - 강조색1 4 2 2" xfId="3758"/>
    <cellStyle name="40% - 강조색1 4 3" xfId="3759"/>
    <cellStyle name="40% - 강조색1 4 3 2" xfId="3760"/>
    <cellStyle name="40% - 강조색1 4 4" xfId="3761"/>
    <cellStyle name="40% - 강조색1 4 4 2" xfId="3762"/>
    <cellStyle name="40% - 강조색1 4 5" xfId="3763"/>
    <cellStyle name="40% - 강조색1 4 5 2" xfId="3764"/>
    <cellStyle name="40% - 강조색1 4 6" xfId="3765"/>
    <cellStyle name="40% - 강조색1 4 6 2" xfId="3766"/>
    <cellStyle name="40% - 강조색1 4 7" xfId="3767"/>
    <cellStyle name="40% - 강조색1 4 7 2" xfId="3768"/>
    <cellStyle name="40% - 강조색1 4 8" xfId="3769"/>
    <cellStyle name="40% - 강조색1 4 8 2" xfId="3770"/>
    <cellStyle name="40% - 강조색1 4 9" xfId="3771"/>
    <cellStyle name="40% - 강조색1 4 9 2" xfId="3772"/>
    <cellStyle name="40% - 강조색1 5" xfId="3773"/>
    <cellStyle name="40% - 강조색1 5 10" xfId="3774"/>
    <cellStyle name="40% - 강조색1 5 2" xfId="3775"/>
    <cellStyle name="40% - 강조색1 5 2 2" xfId="3776"/>
    <cellStyle name="40% - 강조색1 5 3" xfId="3777"/>
    <cellStyle name="40% - 강조색1 5 3 2" xfId="3778"/>
    <cellStyle name="40% - 강조색1 5 4" xfId="3779"/>
    <cellStyle name="40% - 강조색1 5 4 2" xfId="3780"/>
    <cellStyle name="40% - 강조색1 5 5" xfId="3781"/>
    <cellStyle name="40% - 강조색1 5 5 2" xfId="3782"/>
    <cellStyle name="40% - 강조색1 5 6" xfId="3783"/>
    <cellStyle name="40% - 강조색1 5 6 2" xfId="3784"/>
    <cellStyle name="40% - 강조색1 5 7" xfId="3785"/>
    <cellStyle name="40% - 강조색1 5 7 2" xfId="3786"/>
    <cellStyle name="40% - 강조색1 5 8" xfId="3787"/>
    <cellStyle name="40% - 강조색1 5 8 2" xfId="3788"/>
    <cellStyle name="40% - 강조색1 5 9" xfId="3789"/>
    <cellStyle name="40% - 강조색1 5 9 2" xfId="3790"/>
    <cellStyle name="40% - 강조색1 6" xfId="3791"/>
    <cellStyle name="40% - 강조색1 6 10" xfId="3792"/>
    <cellStyle name="40% - 강조색1 6 2" xfId="3793"/>
    <cellStyle name="40% - 강조색1 6 2 2" xfId="3794"/>
    <cellStyle name="40% - 강조색1 6 3" xfId="3795"/>
    <cellStyle name="40% - 강조색1 6 3 2" xfId="3796"/>
    <cellStyle name="40% - 강조색1 6 4" xfId="3797"/>
    <cellStyle name="40% - 강조색1 6 4 2" xfId="3798"/>
    <cellStyle name="40% - 강조색1 6 5" xfId="3799"/>
    <cellStyle name="40% - 강조색1 6 5 2" xfId="3800"/>
    <cellStyle name="40% - 강조색1 6 6" xfId="3801"/>
    <cellStyle name="40% - 강조색1 6 6 2" xfId="3802"/>
    <cellStyle name="40% - 강조색1 6 7" xfId="3803"/>
    <cellStyle name="40% - 강조색1 6 7 2" xfId="3804"/>
    <cellStyle name="40% - 강조색1 6 8" xfId="3805"/>
    <cellStyle name="40% - 강조색1 6 8 2" xfId="3806"/>
    <cellStyle name="40% - 강조색1 6 9" xfId="3807"/>
    <cellStyle name="40% - 강조색1 6 9 2" xfId="3808"/>
    <cellStyle name="40% - 강조색2 2" xfId="3809"/>
    <cellStyle name="40% - 강조색2 2 10" xfId="3810"/>
    <cellStyle name="40% - 강조색2 2 2" xfId="3811"/>
    <cellStyle name="40% - 강조색2 2 2 2" xfId="3812"/>
    <cellStyle name="40% - 강조색2 2 3" xfId="3813"/>
    <cellStyle name="40% - 강조색2 2 3 2" xfId="3814"/>
    <cellStyle name="40% - 강조색2 2 4" xfId="3815"/>
    <cellStyle name="40% - 강조색2 2 4 2" xfId="3816"/>
    <cellStyle name="40% - 강조색2 2 5" xfId="3817"/>
    <cellStyle name="40% - 강조색2 2 5 2" xfId="3818"/>
    <cellStyle name="40% - 강조색2 2 6" xfId="3819"/>
    <cellStyle name="40% - 강조색2 2 6 2" xfId="3820"/>
    <cellStyle name="40% - 강조색2 2 7" xfId="3821"/>
    <cellStyle name="40% - 강조색2 2 7 2" xfId="3822"/>
    <cellStyle name="40% - 강조색2 2 8" xfId="3823"/>
    <cellStyle name="40% - 강조색2 2 8 2" xfId="3824"/>
    <cellStyle name="40% - 강조색2 2 9" xfId="3825"/>
    <cellStyle name="40% - 강조색2 2 9 2" xfId="3826"/>
    <cellStyle name="40% - 강조색2 3" xfId="3827"/>
    <cellStyle name="40% - 강조색2 3 10" xfId="3828"/>
    <cellStyle name="40% - 강조색2 3 2" xfId="3829"/>
    <cellStyle name="40% - 강조색2 3 2 2" xfId="3830"/>
    <cellStyle name="40% - 강조색2 3 3" xfId="3831"/>
    <cellStyle name="40% - 강조색2 3 3 2" xfId="3832"/>
    <cellStyle name="40% - 강조색2 3 4" xfId="3833"/>
    <cellStyle name="40% - 강조색2 3 4 2" xfId="3834"/>
    <cellStyle name="40% - 강조색2 3 5" xfId="3835"/>
    <cellStyle name="40% - 강조색2 3 5 2" xfId="3836"/>
    <cellStyle name="40% - 강조색2 3 6" xfId="3837"/>
    <cellStyle name="40% - 강조색2 3 6 2" xfId="3838"/>
    <cellStyle name="40% - 강조색2 3 7" xfId="3839"/>
    <cellStyle name="40% - 강조색2 3 7 2" xfId="3840"/>
    <cellStyle name="40% - 강조색2 3 8" xfId="3841"/>
    <cellStyle name="40% - 강조색2 3 8 2" xfId="3842"/>
    <cellStyle name="40% - 강조색2 3 9" xfId="3843"/>
    <cellStyle name="40% - 강조색2 3 9 2" xfId="3844"/>
    <cellStyle name="40% - 강조색2 4" xfId="3845"/>
    <cellStyle name="40% - 강조색2 4 10" xfId="3846"/>
    <cellStyle name="40% - 강조색2 4 2" xfId="3847"/>
    <cellStyle name="40% - 강조색2 4 2 2" xfId="3848"/>
    <cellStyle name="40% - 강조색2 4 3" xfId="3849"/>
    <cellStyle name="40% - 강조색2 4 3 2" xfId="3850"/>
    <cellStyle name="40% - 강조색2 4 4" xfId="3851"/>
    <cellStyle name="40% - 강조색2 4 4 2" xfId="3852"/>
    <cellStyle name="40% - 강조색2 4 5" xfId="3853"/>
    <cellStyle name="40% - 강조색2 4 5 2" xfId="3854"/>
    <cellStyle name="40% - 강조색2 4 6" xfId="3855"/>
    <cellStyle name="40% - 강조색2 4 6 2" xfId="3856"/>
    <cellStyle name="40% - 강조색2 4 7" xfId="3857"/>
    <cellStyle name="40% - 강조색2 4 7 2" xfId="3858"/>
    <cellStyle name="40% - 강조색2 4 8" xfId="3859"/>
    <cellStyle name="40% - 강조색2 4 8 2" xfId="3860"/>
    <cellStyle name="40% - 강조색2 4 9" xfId="3861"/>
    <cellStyle name="40% - 강조색2 4 9 2" xfId="3862"/>
    <cellStyle name="40% - 강조색2 5" xfId="3863"/>
    <cellStyle name="40% - 강조색2 5 10" xfId="3864"/>
    <cellStyle name="40% - 강조색2 5 2" xfId="3865"/>
    <cellStyle name="40% - 강조색2 5 2 2" xfId="3866"/>
    <cellStyle name="40% - 강조색2 5 3" xfId="3867"/>
    <cellStyle name="40% - 강조색2 5 3 2" xfId="3868"/>
    <cellStyle name="40% - 강조색2 5 4" xfId="3869"/>
    <cellStyle name="40% - 강조색2 5 4 2" xfId="3870"/>
    <cellStyle name="40% - 강조색2 5 5" xfId="3871"/>
    <cellStyle name="40% - 강조색2 5 5 2" xfId="3872"/>
    <cellStyle name="40% - 강조색2 5 6" xfId="3873"/>
    <cellStyle name="40% - 강조색2 5 6 2" xfId="3874"/>
    <cellStyle name="40% - 강조색2 5 7" xfId="3875"/>
    <cellStyle name="40% - 강조색2 5 7 2" xfId="3876"/>
    <cellStyle name="40% - 강조색2 5 8" xfId="3877"/>
    <cellStyle name="40% - 강조색2 5 8 2" xfId="3878"/>
    <cellStyle name="40% - 강조색2 5 9" xfId="3879"/>
    <cellStyle name="40% - 강조색2 5 9 2" xfId="3880"/>
    <cellStyle name="40% - 강조색2 6" xfId="3881"/>
    <cellStyle name="40% - 강조색2 6 10" xfId="3882"/>
    <cellStyle name="40% - 강조색2 6 2" xfId="3883"/>
    <cellStyle name="40% - 강조색2 6 2 2" xfId="3884"/>
    <cellStyle name="40% - 강조색2 6 3" xfId="3885"/>
    <cellStyle name="40% - 강조색2 6 3 2" xfId="3886"/>
    <cellStyle name="40% - 강조색2 6 4" xfId="3887"/>
    <cellStyle name="40% - 강조색2 6 4 2" xfId="3888"/>
    <cellStyle name="40% - 강조색2 6 5" xfId="3889"/>
    <cellStyle name="40% - 강조색2 6 5 2" xfId="3890"/>
    <cellStyle name="40% - 강조색2 6 6" xfId="3891"/>
    <cellStyle name="40% - 강조색2 6 6 2" xfId="3892"/>
    <cellStyle name="40% - 강조색2 6 7" xfId="3893"/>
    <cellStyle name="40% - 강조색2 6 7 2" xfId="3894"/>
    <cellStyle name="40% - 강조색2 6 8" xfId="3895"/>
    <cellStyle name="40% - 강조색2 6 8 2" xfId="3896"/>
    <cellStyle name="40% - 강조색2 6 9" xfId="3897"/>
    <cellStyle name="40% - 강조색2 6 9 2" xfId="3898"/>
    <cellStyle name="40% - 강조색3 2" xfId="3899"/>
    <cellStyle name="40% - 강조색3 2 10" xfId="3900"/>
    <cellStyle name="40% - 강조색3 2 2" xfId="3901"/>
    <cellStyle name="40% - 강조색3 2 2 2" xfId="3902"/>
    <cellStyle name="40% - 강조색3 2 3" xfId="3903"/>
    <cellStyle name="40% - 강조색3 2 3 2" xfId="3904"/>
    <cellStyle name="40% - 강조색3 2 4" xfId="3905"/>
    <cellStyle name="40% - 강조색3 2 4 2" xfId="3906"/>
    <cellStyle name="40% - 강조색3 2 5" xfId="3907"/>
    <cellStyle name="40% - 강조색3 2 5 2" xfId="3908"/>
    <cellStyle name="40% - 강조색3 2 6" xfId="3909"/>
    <cellStyle name="40% - 강조색3 2 6 2" xfId="3910"/>
    <cellStyle name="40% - 강조색3 2 7" xfId="3911"/>
    <cellStyle name="40% - 강조색3 2 7 2" xfId="3912"/>
    <cellStyle name="40% - 강조색3 2 8" xfId="3913"/>
    <cellStyle name="40% - 강조색3 2 8 2" xfId="3914"/>
    <cellStyle name="40% - 강조색3 2 9" xfId="3915"/>
    <cellStyle name="40% - 강조색3 2 9 2" xfId="3916"/>
    <cellStyle name="40% - 강조색3 3" xfId="3917"/>
    <cellStyle name="40% - 강조색3 3 10" xfId="3918"/>
    <cellStyle name="40% - 강조색3 3 2" xfId="3919"/>
    <cellStyle name="40% - 강조색3 3 2 2" xfId="3920"/>
    <cellStyle name="40% - 강조색3 3 3" xfId="3921"/>
    <cellStyle name="40% - 강조색3 3 3 2" xfId="3922"/>
    <cellStyle name="40% - 강조색3 3 4" xfId="3923"/>
    <cellStyle name="40% - 강조색3 3 4 2" xfId="3924"/>
    <cellStyle name="40% - 강조색3 3 5" xfId="3925"/>
    <cellStyle name="40% - 강조색3 3 5 2" xfId="3926"/>
    <cellStyle name="40% - 강조색3 3 6" xfId="3927"/>
    <cellStyle name="40% - 강조색3 3 6 2" xfId="3928"/>
    <cellStyle name="40% - 강조색3 3 7" xfId="3929"/>
    <cellStyle name="40% - 강조색3 3 7 2" xfId="3930"/>
    <cellStyle name="40% - 강조색3 3 8" xfId="3931"/>
    <cellStyle name="40% - 강조색3 3 8 2" xfId="3932"/>
    <cellStyle name="40% - 강조색3 3 9" xfId="3933"/>
    <cellStyle name="40% - 강조색3 3 9 2" xfId="3934"/>
    <cellStyle name="40% - 강조색3 4" xfId="3935"/>
    <cellStyle name="40% - 강조색3 4 10" xfId="3936"/>
    <cellStyle name="40% - 강조색3 4 2" xfId="3937"/>
    <cellStyle name="40% - 강조색3 4 2 2" xfId="3938"/>
    <cellStyle name="40% - 강조색3 4 3" xfId="3939"/>
    <cellStyle name="40% - 강조색3 4 3 2" xfId="3940"/>
    <cellStyle name="40% - 강조색3 4 4" xfId="3941"/>
    <cellStyle name="40% - 강조색3 4 4 2" xfId="3942"/>
    <cellStyle name="40% - 강조색3 4 5" xfId="3943"/>
    <cellStyle name="40% - 강조색3 4 5 2" xfId="3944"/>
    <cellStyle name="40% - 강조색3 4 6" xfId="3945"/>
    <cellStyle name="40% - 강조색3 4 6 2" xfId="3946"/>
    <cellStyle name="40% - 강조색3 4 7" xfId="3947"/>
    <cellStyle name="40% - 강조색3 4 7 2" xfId="3948"/>
    <cellStyle name="40% - 강조색3 4 8" xfId="3949"/>
    <cellStyle name="40% - 강조색3 4 8 2" xfId="3950"/>
    <cellStyle name="40% - 강조색3 4 9" xfId="3951"/>
    <cellStyle name="40% - 강조색3 4 9 2" xfId="3952"/>
    <cellStyle name="40% - 강조색3 5" xfId="3953"/>
    <cellStyle name="40% - 강조색3 5 10" xfId="3954"/>
    <cellStyle name="40% - 강조색3 5 2" xfId="3955"/>
    <cellStyle name="40% - 강조색3 5 2 2" xfId="3956"/>
    <cellStyle name="40% - 강조색3 5 3" xfId="3957"/>
    <cellStyle name="40% - 강조색3 5 3 2" xfId="3958"/>
    <cellStyle name="40% - 강조색3 5 4" xfId="3959"/>
    <cellStyle name="40% - 강조색3 5 4 2" xfId="3960"/>
    <cellStyle name="40% - 강조색3 5 5" xfId="3961"/>
    <cellStyle name="40% - 강조색3 5 5 2" xfId="3962"/>
    <cellStyle name="40% - 강조색3 5 6" xfId="3963"/>
    <cellStyle name="40% - 강조색3 5 6 2" xfId="3964"/>
    <cellStyle name="40% - 강조색3 5 7" xfId="3965"/>
    <cellStyle name="40% - 강조색3 5 7 2" xfId="3966"/>
    <cellStyle name="40% - 강조색3 5 8" xfId="3967"/>
    <cellStyle name="40% - 강조색3 5 8 2" xfId="3968"/>
    <cellStyle name="40% - 강조색3 5 9" xfId="3969"/>
    <cellStyle name="40% - 강조색3 5 9 2" xfId="3970"/>
    <cellStyle name="40% - 강조색3 6" xfId="3971"/>
    <cellStyle name="40% - 강조색3 6 10" xfId="3972"/>
    <cellStyle name="40% - 강조색3 6 2" xfId="3973"/>
    <cellStyle name="40% - 강조색3 6 2 2" xfId="3974"/>
    <cellStyle name="40% - 강조색3 6 3" xfId="3975"/>
    <cellStyle name="40% - 강조색3 6 3 2" xfId="3976"/>
    <cellStyle name="40% - 강조색3 6 4" xfId="3977"/>
    <cellStyle name="40% - 강조색3 6 4 2" xfId="3978"/>
    <cellStyle name="40% - 강조색3 6 5" xfId="3979"/>
    <cellStyle name="40% - 강조색3 6 5 2" xfId="3980"/>
    <cellStyle name="40% - 강조색3 6 6" xfId="3981"/>
    <cellStyle name="40% - 강조색3 6 6 2" xfId="3982"/>
    <cellStyle name="40% - 강조색3 6 7" xfId="3983"/>
    <cellStyle name="40% - 강조색3 6 7 2" xfId="3984"/>
    <cellStyle name="40% - 강조색3 6 8" xfId="3985"/>
    <cellStyle name="40% - 강조색3 6 8 2" xfId="3986"/>
    <cellStyle name="40% - 강조색3 6 9" xfId="3987"/>
    <cellStyle name="40% - 강조색3 6 9 2" xfId="3988"/>
    <cellStyle name="40% - 강조색4 2" xfId="3989"/>
    <cellStyle name="40% - 강조색4 2 10" xfId="3990"/>
    <cellStyle name="40% - 강조색4 2 2" xfId="3991"/>
    <cellStyle name="40% - 강조색4 2 2 2" xfId="3992"/>
    <cellStyle name="40% - 강조색4 2 3" xfId="3993"/>
    <cellStyle name="40% - 강조색4 2 3 2" xfId="3994"/>
    <cellStyle name="40% - 강조색4 2 4" xfId="3995"/>
    <cellStyle name="40% - 강조색4 2 4 2" xfId="3996"/>
    <cellStyle name="40% - 강조색4 2 5" xfId="3997"/>
    <cellStyle name="40% - 강조색4 2 5 2" xfId="3998"/>
    <cellStyle name="40% - 강조색4 2 6" xfId="3999"/>
    <cellStyle name="40% - 강조색4 2 6 2" xfId="4000"/>
    <cellStyle name="40% - 강조색4 2 7" xfId="4001"/>
    <cellStyle name="40% - 강조색4 2 7 2" xfId="4002"/>
    <cellStyle name="40% - 강조색4 2 8" xfId="4003"/>
    <cellStyle name="40% - 강조색4 2 8 2" xfId="4004"/>
    <cellStyle name="40% - 강조색4 2 9" xfId="4005"/>
    <cellStyle name="40% - 강조색4 2 9 2" xfId="4006"/>
    <cellStyle name="40% - 강조색4 3" xfId="4007"/>
    <cellStyle name="40% - 강조색4 3 10" xfId="4008"/>
    <cellStyle name="40% - 강조색4 3 2" xfId="4009"/>
    <cellStyle name="40% - 강조색4 3 2 2" xfId="4010"/>
    <cellStyle name="40% - 강조색4 3 3" xfId="4011"/>
    <cellStyle name="40% - 강조색4 3 3 2" xfId="4012"/>
    <cellStyle name="40% - 강조색4 3 4" xfId="4013"/>
    <cellStyle name="40% - 강조색4 3 4 2" xfId="4014"/>
    <cellStyle name="40% - 강조색4 3 5" xfId="4015"/>
    <cellStyle name="40% - 강조색4 3 5 2" xfId="4016"/>
    <cellStyle name="40% - 강조색4 3 6" xfId="4017"/>
    <cellStyle name="40% - 강조색4 3 6 2" xfId="4018"/>
    <cellStyle name="40% - 강조색4 3 7" xfId="4019"/>
    <cellStyle name="40% - 강조색4 3 7 2" xfId="4020"/>
    <cellStyle name="40% - 강조색4 3 8" xfId="4021"/>
    <cellStyle name="40% - 강조색4 3 8 2" xfId="4022"/>
    <cellStyle name="40% - 강조색4 3 9" xfId="4023"/>
    <cellStyle name="40% - 강조색4 3 9 2" xfId="4024"/>
    <cellStyle name="40% - 강조색4 4" xfId="4025"/>
    <cellStyle name="40% - 강조색4 4 10" xfId="4026"/>
    <cellStyle name="40% - 강조색4 4 2" xfId="4027"/>
    <cellStyle name="40% - 강조색4 4 2 2" xfId="4028"/>
    <cellStyle name="40% - 강조색4 4 3" xfId="4029"/>
    <cellStyle name="40% - 강조색4 4 3 2" xfId="4030"/>
    <cellStyle name="40% - 강조색4 4 4" xfId="4031"/>
    <cellStyle name="40% - 강조색4 4 4 2" xfId="4032"/>
    <cellStyle name="40% - 강조색4 4 5" xfId="4033"/>
    <cellStyle name="40% - 강조색4 4 5 2" xfId="4034"/>
    <cellStyle name="40% - 강조색4 4 6" xfId="4035"/>
    <cellStyle name="40% - 강조색4 4 6 2" xfId="4036"/>
    <cellStyle name="40% - 강조색4 4 7" xfId="4037"/>
    <cellStyle name="40% - 강조색4 4 7 2" xfId="4038"/>
    <cellStyle name="40% - 강조색4 4 8" xfId="4039"/>
    <cellStyle name="40% - 강조색4 4 8 2" xfId="4040"/>
    <cellStyle name="40% - 강조색4 4 9" xfId="4041"/>
    <cellStyle name="40% - 강조색4 4 9 2" xfId="4042"/>
    <cellStyle name="40% - 강조색4 5" xfId="4043"/>
    <cellStyle name="40% - 강조색4 5 10" xfId="4044"/>
    <cellStyle name="40% - 강조색4 5 2" xfId="4045"/>
    <cellStyle name="40% - 강조색4 5 2 2" xfId="4046"/>
    <cellStyle name="40% - 강조색4 5 3" xfId="4047"/>
    <cellStyle name="40% - 강조색4 5 3 2" xfId="4048"/>
    <cellStyle name="40% - 강조색4 5 4" xfId="4049"/>
    <cellStyle name="40% - 강조색4 5 4 2" xfId="4050"/>
    <cellStyle name="40% - 강조색4 5 5" xfId="4051"/>
    <cellStyle name="40% - 강조색4 5 5 2" xfId="4052"/>
    <cellStyle name="40% - 강조색4 5 6" xfId="4053"/>
    <cellStyle name="40% - 강조색4 5 6 2" xfId="4054"/>
    <cellStyle name="40% - 강조색4 5 7" xfId="4055"/>
    <cellStyle name="40% - 강조색4 5 7 2" xfId="4056"/>
    <cellStyle name="40% - 강조색4 5 8" xfId="4057"/>
    <cellStyle name="40% - 강조색4 5 8 2" xfId="4058"/>
    <cellStyle name="40% - 강조색4 5 9" xfId="4059"/>
    <cellStyle name="40% - 강조색4 5 9 2" xfId="4060"/>
    <cellStyle name="40% - 강조색4 6" xfId="4061"/>
    <cellStyle name="40% - 강조색4 6 10" xfId="4062"/>
    <cellStyle name="40% - 강조색4 6 2" xfId="4063"/>
    <cellStyle name="40% - 강조색4 6 2 2" xfId="4064"/>
    <cellStyle name="40% - 강조색4 6 3" xfId="4065"/>
    <cellStyle name="40% - 강조색4 6 3 2" xfId="4066"/>
    <cellStyle name="40% - 강조색4 6 4" xfId="4067"/>
    <cellStyle name="40% - 강조색4 6 4 2" xfId="4068"/>
    <cellStyle name="40% - 강조색4 6 5" xfId="4069"/>
    <cellStyle name="40% - 강조색4 6 5 2" xfId="4070"/>
    <cellStyle name="40% - 강조색4 6 6" xfId="4071"/>
    <cellStyle name="40% - 강조색4 6 6 2" xfId="4072"/>
    <cellStyle name="40% - 강조색4 6 7" xfId="4073"/>
    <cellStyle name="40% - 강조색4 6 7 2" xfId="4074"/>
    <cellStyle name="40% - 강조색4 6 8" xfId="4075"/>
    <cellStyle name="40% - 강조색4 6 8 2" xfId="4076"/>
    <cellStyle name="40% - 강조색4 6 9" xfId="4077"/>
    <cellStyle name="40% - 강조색4 6 9 2" xfId="4078"/>
    <cellStyle name="40% - 강조색5 2" xfId="4079"/>
    <cellStyle name="40% - 강조색5 2 10" xfId="4080"/>
    <cellStyle name="40% - 강조색5 2 2" xfId="4081"/>
    <cellStyle name="40% - 강조색5 2 2 2" xfId="4082"/>
    <cellStyle name="40% - 강조색5 2 3" xfId="4083"/>
    <cellStyle name="40% - 강조색5 2 3 2" xfId="4084"/>
    <cellStyle name="40% - 강조색5 2 4" xfId="4085"/>
    <cellStyle name="40% - 강조색5 2 4 2" xfId="4086"/>
    <cellStyle name="40% - 강조색5 2 5" xfId="4087"/>
    <cellStyle name="40% - 강조색5 2 5 2" xfId="4088"/>
    <cellStyle name="40% - 강조색5 2 6" xfId="4089"/>
    <cellStyle name="40% - 강조색5 2 6 2" xfId="4090"/>
    <cellStyle name="40% - 강조색5 2 7" xfId="4091"/>
    <cellStyle name="40% - 강조색5 2 7 2" xfId="4092"/>
    <cellStyle name="40% - 강조색5 2 8" xfId="4093"/>
    <cellStyle name="40% - 강조색5 2 8 2" xfId="4094"/>
    <cellStyle name="40% - 강조색5 2 9" xfId="4095"/>
    <cellStyle name="40% - 강조색5 2 9 2" xfId="4096"/>
    <cellStyle name="40% - 강조색5 3" xfId="4097"/>
    <cellStyle name="40% - 강조색5 3 10" xfId="4098"/>
    <cellStyle name="40% - 강조색5 3 2" xfId="4099"/>
    <cellStyle name="40% - 강조색5 3 2 2" xfId="4100"/>
    <cellStyle name="40% - 강조색5 3 3" xfId="4101"/>
    <cellStyle name="40% - 강조색5 3 3 2" xfId="4102"/>
    <cellStyle name="40% - 강조색5 3 4" xfId="4103"/>
    <cellStyle name="40% - 강조색5 3 4 2" xfId="4104"/>
    <cellStyle name="40% - 강조색5 3 5" xfId="4105"/>
    <cellStyle name="40% - 강조색5 3 5 2" xfId="4106"/>
    <cellStyle name="40% - 강조색5 3 6" xfId="4107"/>
    <cellStyle name="40% - 강조색5 3 6 2" xfId="4108"/>
    <cellStyle name="40% - 강조색5 3 7" xfId="4109"/>
    <cellStyle name="40% - 강조색5 3 7 2" xfId="4110"/>
    <cellStyle name="40% - 강조색5 3 8" xfId="4111"/>
    <cellStyle name="40% - 강조색5 3 8 2" xfId="4112"/>
    <cellStyle name="40% - 강조색5 3 9" xfId="4113"/>
    <cellStyle name="40% - 강조색5 3 9 2" xfId="4114"/>
    <cellStyle name="40% - 강조색5 4" xfId="4115"/>
    <cellStyle name="40% - 강조색5 4 10" xfId="4116"/>
    <cellStyle name="40% - 강조색5 4 2" xfId="4117"/>
    <cellStyle name="40% - 강조색5 4 2 2" xfId="4118"/>
    <cellStyle name="40% - 강조색5 4 3" xfId="4119"/>
    <cellStyle name="40% - 강조색5 4 3 2" xfId="4120"/>
    <cellStyle name="40% - 강조색5 4 4" xfId="4121"/>
    <cellStyle name="40% - 강조색5 4 4 2" xfId="4122"/>
    <cellStyle name="40% - 강조색5 4 5" xfId="4123"/>
    <cellStyle name="40% - 강조색5 4 5 2" xfId="4124"/>
    <cellStyle name="40% - 강조색5 4 6" xfId="4125"/>
    <cellStyle name="40% - 강조색5 4 6 2" xfId="4126"/>
    <cellStyle name="40% - 강조색5 4 7" xfId="4127"/>
    <cellStyle name="40% - 강조색5 4 7 2" xfId="4128"/>
    <cellStyle name="40% - 강조색5 4 8" xfId="4129"/>
    <cellStyle name="40% - 강조색5 4 8 2" xfId="4130"/>
    <cellStyle name="40% - 강조색5 4 9" xfId="4131"/>
    <cellStyle name="40% - 강조색5 4 9 2" xfId="4132"/>
    <cellStyle name="40% - 강조색5 5" xfId="4133"/>
    <cellStyle name="40% - 강조색5 5 10" xfId="4134"/>
    <cellStyle name="40% - 강조색5 5 2" xfId="4135"/>
    <cellStyle name="40% - 강조색5 5 2 2" xfId="4136"/>
    <cellStyle name="40% - 강조색5 5 3" xfId="4137"/>
    <cellStyle name="40% - 강조색5 5 3 2" xfId="4138"/>
    <cellStyle name="40% - 강조색5 5 4" xfId="4139"/>
    <cellStyle name="40% - 강조색5 5 4 2" xfId="4140"/>
    <cellStyle name="40% - 강조색5 5 5" xfId="4141"/>
    <cellStyle name="40% - 강조색5 5 5 2" xfId="4142"/>
    <cellStyle name="40% - 강조색5 5 6" xfId="4143"/>
    <cellStyle name="40% - 강조색5 5 6 2" xfId="4144"/>
    <cellStyle name="40% - 강조색5 5 7" xfId="4145"/>
    <cellStyle name="40% - 강조색5 5 7 2" xfId="4146"/>
    <cellStyle name="40% - 강조색5 5 8" xfId="4147"/>
    <cellStyle name="40% - 강조색5 5 8 2" xfId="4148"/>
    <cellStyle name="40% - 강조색5 5 9" xfId="4149"/>
    <cellStyle name="40% - 강조색5 5 9 2" xfId="4150"/>
    <cellStyle name="40% - 강조색5 6" xfId="4151"/>
    <cellStyle name="40% - 강조색5 6 10" xfId="4152"/>
    <cellStyle name="40% - 강조색5 6 2" xfId="4153"/>
    <cellStyle name="40% - 강조색5 6 2 2" xfId="4154"/>
    <cellStyle name="40% - 강조색5 6 3" xfId="4155"/>
    <cellStyle name="40% - 강조색5 6 3 2" xfId="4156"/>
    <cellStyle name="40% - 강조색5 6 4" xfId="4157"/>
    <cellStyle name="40% - 강조색5 6 4 2" xfId="4158"/>
    <cellStyle name="40% - 강조색5 6 5" xfId="4159"/>
    <cellStyle name="40% - 강조색5 6 5 2" xfId="4160"/>
    <cellStyle name="40% - 강조색5 6 6" xfId="4161"/>
    <cellStyle name="40% - 강조색5 6 6 2" xfId="4162"/>
    <cellStyle name="40% - 강조색5 6 7" xfId="4163"/>
    <cellStyle name="40% - 강조색5 6 7 2" xfId="4164"/>
    <cellStyle name="40% - 강조색5 6 8" xfId="4165"/>
    <cellStyle name="40% - 강조색5 6 8 2" xfId="4166"/>
    <cellStyle name="40% - 강조색5 6 9" xfId="4167"/>
    <cellStyle name="40% - 강조색5 6 9 2" xfId="4168"/>
    <cellStyle name="40% - 강조색6 2" xfId="4169"/>
    <cellStyle name="40% - 강조색6 2 10" xfId="4170"/>
    <cellStyle name="40% - 강조색6 2 2" xfId="4171"/>
    <cellStyle name="40% - 강조색6 2 2 2" xfId="4172"/>
    <cellStyle name="40% - 강조색6 2 3" xfId="4173"/>
    <cellStyle name="40% - 강조색6 2 3 2" xfId="4174"/>
    <cellStyle name="40% - 강조색6 2 4" xfId="4175"/>
    <cellStyle name="40% - 강조색6 2 4 2" xfId="4176"/>
    <cellStyle name="40% - 강조색6 2 5" xfId="4177"/>
    <cellStyle name="40% - 강조색6 2 5 2" xfId="4178"/>
    <cellStyle name="40% - 강조색6 2 6" xfId="4179"/>
    <cellStyle name="40% - 강조색6 2 6 2" xfId="4180"/>
    <cellStyle name="40% - 강조색6 2 7" xfId="4181"/>
    <cellStyle name="40% - 강조색6 2 7 2" xfId="4182"/>
    <cellStyle name="40% - 강조색6 2 8" xfId="4183"/>
    <cellStyle name="40% - 강조색6 2 8 2" xfId="4184"/>
    <cellStyle name="40% - 강조색6 2 9" xfId="4185"/>
    <cellStyle name="40% - 강조색6 2 9 2" xfId="4186"/>
    <cellStyle name="40% - 강조색6 3" xfId="4187"/>
    <cellStyle name="40% - 강조색6 3 10" xfId="4188"/>
    <cellStyle name="40% - 강조색6 3 2" xfId="4189"/>
    <cellStyle name="40% - 강조색6 3 2 2" xfId="4190"/>
    <cellStyle name="40% - 강조색6 3 3" xfId="4191"/>
    <cellStyle name="40% - 강조색6 3 3 2" xfId="4192"/>
    <cellStyle name="40% - 강조색6 3 4" xfId="4193"/>
    <cellStyle name="40% - 강조색6 3 4 2" xfId="4194"/>
    <cellStyle name="40% - 강조색6 3 5" xfId="4195"/>
    <cellStyle name="40% - 강조색6 3 5 2" xfId="4196"/>
    <cellStyle name="40% - 강조색6 3 6" xfId="4197"/>
    <cellStyle name="40% - 강조색6 3 6 2" xfId="4198"/>
    <cellStyle name="40% - 강조색6 3 7" xfId="4199"/>
    <cellStyle name="40% - 강조색6 3 7 2" xfId="4200"/>
    <cellStyle name="40% - 강조색6 3 8" xfId="4201"/>
    <cellStyle name="40% - 강조색6 3 8 2" xfId="4202"/>
    <cellStyle name="40% - 강조색6 3 9" xfId="4203"/>
    <cellStyle name="40% - 강조색6 3 9 2" xfId="4204"/>
    <cellStyle name="40% - 강조색6 4" xfId="4205"/>
    <cellStyle name="40% - 강조색6 4 10" xfId="4206"/>
    <cellStyle name="40% - 강조색6 4 2" xfId="4207"/>
    <cellStyle name="40% - 강조색6 4 2 2" xfId="4208"/>
    <cellStyle name="40% - 강조색6 4 3" xfId="4209"/>
    <cellStyle name="40% - 강조색6 4 3 2" xfId="4210"/>
    <cellStyle name="40% - 강조색6 4 4" xfId="4211"/>
    <cellStyle name="40% - 강조색6 4 4 2" xfId="4212"/>
    <cellStyle name="40% - 강조색6 4 5" xfId="4213"/>
    <cellStyle name="40% - 강조색6 4 5 2" xfId="4214"/>
    <cellStyle name="40% - 강조색6 4 6" xfId="4215"/>
    <cellStyle name="40% - 강조색6 4 6 2" xfId="4216"/>
    <cellStyle name="40% - 강조색6 4 7" xfId="4217"/>
    <cellStyle name="40% - 강조색6 4 7 2" xfId="4218"/>
    <cellStyle name="40% - 강조색6 4 8" xfId="4219"/>
    <cellStyle name="40% - 강조색6 4 8 2" xfId="4220"/>
    <cellStyle name="40% - 강조색6 4 9" xfId="4221"/>
    <cellStyle name="40% - 강조색6 4 9 2" xfId="4222"/>
    <cellStyle name="40% - 강조색6 5" xfId="4223"/>
    <cellStyle name="40% - 강조색6 5 10" xfId="4224"/>
    <cellStyle name="40% - 강조색6 5 2" xfId="4225"/>
    <cellStyle name="40% - 강조색6 5 2 2" xfId="4226"/>
    <cellStyle name="40% - 강조색6 5 3" xfId="4227"/>
    <cellStyle name="40% - 강조색6 5 3 2" xfId="4228"/>
    <cellStyle name="40% - 강조색6 5 4" xfId="4229"/>
    <cellStyle name="40% - 강조색6 5 4 2" xfId="4230"/>
    <cellStyle name="40% - 강조색6 5 5" xfId="4231"/>
    <cellStyle name="40% - 강조색6 5 5 2" xfId="4232"/>
    <cellStyle name="40% - 강조색6 5 6" xfId="4233"/>
    <cellStyle name="40% - 강조색6 5 6 2" xfId="4234"/>
    <cellStyle name="40% - 강조색6 5 7" xfId="4235"/>
    <cellStyle name="40% - 강조색6 5 7 2" xfId="4236"/>
    <cellStyle name="40% - 강조색6 5 8" xfId="4237"/>
    <cellStyle name="40% - 강조색6 5 8 2" xfId="4238"/>
    <cellStyle name="40% - 강조색6 5 9" xfId="4239"/>
    <cellStyle name="40% - 강조색6 5 9 2" xfId="4240"/>
    <cellStyle name="40% - 강조색6 6" xfId="4241"/>
    <cellStyle name="40% - 강조색6 6 10" xfId="4242"/>
    <cellStyle name="40% - 강조색6 6 2" xfId="4243"/>
    <cellStyle name="40% - 강조색6 6 2 2" xfId="4244"/>
    <cellStyle name="40% - 강조색6 6 3" xfId="4245"/>
    <cellStyle name="40% - 강조색6 6 3 2" xfId="4246"/>
    <cellStyle name="40% - 강조색6 6 4" xfId="4247"/>
    <cellStyle name="40% - 강조색6 6 4 2" xfId="4248"/>
    <cellStyle name="40% - 강조색6 6 5" xfId="4249"/>
    <cellStyle name="40% - 강조색6 6 5 2" xfId="4250"/>
    <cellStyle name="40% - 강조색6 6 6" xfId="4251"/>
    <cellStyle name="40% - 강조색6 6 6 2" xfId="4252"/>
    <cellStyle name="40% - 강조색6 6 7" xfId="4253"/>
    <cellStyle name="40% - 강조색6 6 7 2" xfId="4254"/>
    <cellStyle name="40% - 강조색6 6 8" xfId="4255"/>
    <cellStyle name="40% - 강조색6 6 8 2" xfId="4256"/>
    <cellStyle name="40% - 강조색6 6 9" xfId="4257"/>
    <cellStyle name="40% - 강조색6 6 9 2" xfId="4258"/>
    <cellStyle name="60" xfId="4259"/>
    <cellStyle name="60 2" xfId="4260"/>
    <cellStyle name="60% - 강조색1 2" xfId="4261"/>
    <cellStyle name="60% - 강조색1 2 10" xfId="4262"/>
    <cellStyle name="60% - 강조색1 2 2" xfId="4263"/>
    <cellStyle name="60% - 강조색1 2 2 2" xfId="4264"/>
    <cellStyle name="60% - 강조색1 2 3" xfId="4265"/>
    <cellStyle name="60% - 강조색1 2 3 2" xfId="4266"/>
    <cellStyle name="60% - 강조색1 2 4" xfId="4267"/>
    <cellStyle name="60% - 강조색1 2 4 2" xfId="4268"/>
    <cellStyle name="60% - 강조색1 2 5" xfId="4269"/>
    <cellStyle name="60% - 강조색1 2 5 2" xfId="4270"/>
    <cellStyle name="60% - 강조색1 2 6" xfId="4271"/>
    <cellStyle name="60% - 강조색1 2 6 2" xfId="4272"/>
    <cellStyle name="60% - 강조색1 2 7" xfId="4273"/>
    <cellStyle name="60% - 강조색1 2 7 2" xfId="4274"/>
    <cellStyle name="60% - 강조색1 2 8" xfId="4275"/>
    <cellStyle name="60% - 강조색1 2 8 2" xfId="4276"/>
    <cellStyle name="60% - 강조색1 2 9" xfId="4277"/>
    <cellStyle name="60% - 강조색1 2 9 2" xfId="4278"/>
    <cellStyle name="60% - 강조색1 3" xfId="4279"/>
    <cellStyle name="60% - 강조색1 3 10" xfId="4280"/>
    <cellStyle name="60% - 강조색1 3 2" xfId="4281"/>
    <cellStyle name="60% - 강조색1 3 2 2" xfId="4282"/>
    <cellStyle name="60% - 강조색1 3 3" xfId="4283"/>
    <cellStyle name="60% - 강조색1 3 3 2" xfId="4284"/>
    <cellStyle name="60% - 강조색1 3 4" xfId="4285"/>
    <cellStyle name="60% - 강조색1 3 4 2" xfId="4286"/>
    <cellStyle name="60% - 강조색1 3 5" xfId="4287"/>
    <cellStyle name="60% - 강조색1 3 5 2" xfId="4288"/>
    <cellStyle name="60% - 강조색1 3 6" xfId="4289"/>
    <cellStyle name="60% - 강조색1 3 6 2" xfId="4290"/>
    <cellStyle name="60% - 강조색1 3 7" xfId="4291"/>
    <cellStyle name="60% - 강조색1 3 7 2" xfId="4292"/>
    <cellStyle name="60% - 강조색1 3 8" xfId="4293"/>
    <cellStyle name="60% - 강조색1 3 8 2" xfId="4294"/>
    <cellStyle name="60% - 강조색1 3 9" xfId="4295"/>
    <cellStyle name="60% - 강조색1 3 9 2" xfId="4296"/>
    <cellStyle name="60% - 강조색1 4" xfId="4297"/>
    <cellStyle name="60% - 강조색1 4 10" xfId="4298"/>
    <cellStyle name="60% - 강조색1 4 2" xfId="4299"/>
    <cellStyle name="60% - 강조색1 4 2 2" xfId="4300"/>
    <cellStyle name="60% - 강조색1 4 3" xfId="4301"/>
    <cellStyle name="60% - 강조색1 4 3 2" xfId="4302"/>
    <cellStyle name="60% - 강조색1 4 4" xfId="4303"/>
    <cellStyle name="60% - 강조색1 4 4 2" xfId="4304"/>
    <cellStyle name="60% - 강조색1 4 5" xfId="4305"/>
    <cellStyle name="60% - 강조색1 4 5 2" xfId="4306"/>
    <cellStyle name="60% - 강조색1 4 6" xfId="4307"/>
    <cellStyle name="60% - 강조색1 4 6 2" xfId="4308"/>
    <cellStyle name="60% - 강조색1 4 7" xfId="4309"/>
    <cellStyle name="60% - 강조색1 4 7 2" xfId="4310"/>
    <cellStyle name="60% - 강조색1 4 8" xfId="4311"/>
    <cellStyle name="60% - 강조색1 4 8 2" xfId="4312"/>
    <cellStyle name="60% - 강조색1 4 9" xfId="4313"/>
    <cellStyle name="60% - 강조색1 4 9 2" xfId="4314"/>
    <cellStyle name="60% - 강조색1 5" xfId="4315"/>
    <cellStyle name="60% - 강조색1 5 10" xfId="4316"/>
    <cellStyle name="60% - 강조색1 5 2" xfId="4317"/>
    <cellStyle name="60% - 강조색1 5 2 2" xfId="4318"/>
    <cellStyle name="60% - 강조색1 5 3" xfId="4319"/>
    <cellStyle name="60% - 강조색1 5 3 2" xfId="4320"/>
    <cellStyle name="60% - 강조색1 5 4" xfId="4321"/>
    <cellStyle name="60% - 강조색1 5 4 2" xfId="4322"/>
    <cellStyle name="60% - 강조색1 5 5" xfId="4323"/>
    <cellStyle name="60% - 강조색1 5 5 2" xfId="4324"/>
    <cellStyle name="60% - 강조색1 5 6" xfId="4325"/>
    <cellStyle name="60% - 강조색1 5 6 2" xfId="4326"/>
    <cellStyle name="60% - 강조색1 5 7" xfId="4327"/>
    <cellStyle name="60% - 강조색1 5 7 2" xfId="4328"/>
    <cellStyle name="60% - 강조색1 5 8" xfId="4329"/>
    <cellStyle name="60% - 강조색1 5 8 2" xfId="4330"/>
    <cellStyle name="60% - 강조색1 5 9" xfId="4331"/>
    <cellStyle name="60% - 강조색1 5 9 2" xfId="4332"/>
    <cellStyle name="60% - 강조색1 6" xfId="4333"/>
    <cellStyle name="60% - 강조색1 6 10" xfId="4334"/>
    <cellStyle name="60% - 강조색1 6 2" xfId="4335"/>
    <cellStyle name="60% - 강조색1 6 2 2" xfId="4336"/>
    <cellStyle name="60% - 강조색1 6 3" xfId="4337"/>
    <cellStyle name="60% - 강조색1 6 3 2" xfId="4338"/>
    <cellStyle name="60% - 강조색1 6 4" xfId="4339"/>
    <cellStyle name="60% - 강조색1 6 4 2" xfId="4340"/>
    <cellStyle name="60% - 강조색1 6 5" xfId="4341"/>
    <cellStyle name="60% - 강조색1 6 5 2" xfId="4342"/>
    <cellStyle name="60% - 강조색1 6 6" xfId="4343"/>
    <cellStyle name="60% - 강조색1 6 6 2" xfId="4344"/>
    <cellStyle name="60% - 강조색1 6 7" xfId="4345"/>
    <cellStyle name="60% - 강조색1 6 7 2" xfId="4346"/>
    <cellStyle name="60% - 강조색1 6 8" xfId="4347"/>
    <cellStyle name="60% - 강조색1 6 8 2" xfId="4348"/>
    <cellStyle name="60% - 강조색1 6 9" xfId="4349"/>
    <cellStyle name="60% - 강조색1 6 9 2" xfId="4350"/>
    <cellStyle name="60% - 강조색2 2" xfId="4351"/>
    <cellStyle name="60% - 강조색2 2 10" xfId="4352"/>
    <cellStyle name="60% - 강조색2 2 2" xfId="4353"/>
    <cellStyle name="60% - 강조색2 2 2 2" xfId="4354"/>
    <cellStyle name="60% - 강조색2 2 3" xfId="4355"/>
    <cellStyle name="60% - 강조색2 2 3 2" xfId="4356"/>
    <cellStyle name="60% - 강조색2 2 4" xfId="4357"/>
    <cellStyle name="60% - 강조색2 2 4 2" xfId="4358"/>
    <cellStyle name="60% - 강조색2 2 5" xfId="4359"/>
    <cellStyle name="60% - 강조색2 2 5 2" xfId="4360"/>
    <cellStyle name="60% - 강조색2 2 6" xfId="4361"/>
    <cellStyle name="60% - 강조색2 2 6 2" xfId="4362"/>
    <cellStyle name="60% - 강조색2 2 7" xfId="4363"/>
    <cellStyle name="60% - 강조색2 2 7 2" xfId="4364"/>
    <cellStyle name="60% - 강조색2 2 8" xfId="4365"/>
    <cellStyle name="60% - 강조색2 2 8 2" xfId="4366"/>
    <cellStyle name="60% - 강조색2 2 9" xfId="4367"/>
    <cellStyle name="60% - 강조색2 2 9 2" xfId="4368"/>
    <cellStyle name="60% - 강조색2 3" xfId="4369"/>
    <cellStyle name="60% - 강조색2 3 10" xfId="4370"/>
    <cellStyle name="60% - 강조색2 3 2" xfId="4371"/>
    <cellStyle name="60% - 강조색2 3 2 2" xfId="4372"/>
    <cellStyle name="60% - 강조색2 3 3" xfId="4373"/>
    <cellStyle name="60% - 강조색2 3 3 2" xfId="4374"/>
    <cellStyle name="60% - 강조색2 3 4" xfId="4375"/>
    <cellStyle name="60% - 강조색2 3 4 2" xfId="4376"/>
    <cellStyle name="60% - 강조색2 3 5" xfId="4377"/>
    <cellStyle name="60% - 강조색2 3 5 2" xfId="4378"/>
    <cellStyle name="60% - 강조색2 3 6" xfId="4379"/>
    <cellStyle name="60% - 강조색2 3 6 2" xfId="4380"/>
    <cellStyle name="60% - 강조색2 3 7" xfId="4381"/>
    <cellStyle name="60% - 강조색2 3 7 2" xfId="4382"/>
    <cellStyle name="60% - 강조색2 3 8" xfId="4383"/>
    <cellStyle name="60% - 강조색2 3 8 2" xfId="4384"/>
    <cellStyle name="60% - 강조색2 3 9" xfId="4385"/>
    <cellStyle name="60% - 강조색2 3 9 2" xfId="4386"/>
    <cellStyle name="60% - 강조색2 4" xfId="4387"/>
    <cellStyle name="60% - 강조색2 4 10" xfId="4388"/>
    <cellStyle name="60% - 강조색2 4 2" xfId="4389"/>
    <cellStyle name="60% - 강조색2 4 2 2" xfId="4390"/>
    <cellStyle name="60% - 강조색2 4 3" xfId="4391"/>
    <cellStyle name="60% - 강조색2 4 3 2" xfId="4392"/>
    <cellStyle name="60% - 강조색2 4 4" xfId="4393"/>
    <cellStyle name="60% - 강조색2 4 4 2" xfId="4394"/>
    <cellStyle name="60% - 강조색2 4 5" xfId="4395"/>
    <cellStyle name="60% - 강조색2 4 5 2" xfId="4396"/>
    <cellStyle name="60% - 강조색2 4 6" xfId="4397"/>
    <cellStyle name="60% - 강조색2 4 6 2" xfId="4398"/>
    <cellStyle name="60% - 강조색2 4 7" xfId="4399"/>
    <cellStyle name="60% - 강조색2 4 7 2" xfId="4400"/>
    <cellStyle name="60% - 강조색2 4 8" xfId="4401"/>
    <cellStyle name="60% - 강조색2 4 8 2" xfId="4402"/>
    <cellStyle name="60% - 강조색2 4 9" xfId="4403"/>
    <cellStyle name="60% - 강조색2 4 9 2" xfId="4404"/>
    <cellStyle name="60% - 강조색2 5" xfId="4405"/>
    <cellStyle name="60% - 강조색2 5 10" xfId="4406"/>
    <cellStyle name="60% - 강조색2 5 2" xfId="4407"/>
    <cellStyle name="60% - 강조색2 5 2 2" xfId="4408"/>
    <cellStyle name="60% - 강조색2 5 3" xfId="4409"/>
    <cellStyle name="60% - 강조색2 5 3 2" xfId="4410"/>
    <cellStyle name="60% - 강조색2 5 4" xfId="4411"/>
    <cellStyle name="60% - 강조색2 5 4 2" xfId="4412"/>
    <cellStyle name="60% - 강조색2 5 5" xfId="4413"/>
    <cellStyle name="60% - 강조색2 5 5 2" xfId="4414"/>
    <cellStyle name="60% - 강조색2 5 6" xfId="4415"/>
    <cellStyle name="60% - 강조색2 5 6 2" xfId="4416"/>
    <cellStyle name="60% - 강조색2 5 7" xfId="4417"/>
    <cellStyle name="60% - 강조색2 5 7 2" xfId="4418"/>
    <cellStyle name="60% - 강조색2 5 8" xfId="4419"/>
    <cellStyle name="60% - 강조색2 5 8 2" xfId="4420"/>
    <cellStyle name="60% - 강조색2 5 9" xfId="4421"/>
    <cellStyle name="60% - 강조색2 5 9 2" xfId="4422"/>
    <cellStyle name="60% - 강조색2 6" xfId="4423"/>
    <cellStyle name="60% - 강조색2 6 10" xfId="4424"/>
    <cellStyle name="60% - 강조색2 6 2" xfId="4425"/>
    <cellStyle name="60% - 강조색2 6 2 2" xfId="4426"/>
    <cellStyle name="60% - 강조색2 6 3" xfId="4427"/>
    <cellStyle name="60% - 강조색2 6 3 2" xfId="4428"/>
    <cellStyle name="60% - 강조색2 6 4" xfId="4429"/>
    <cellStyle name="60% - 강조색2 6 4 2" xfId="4430"/>
    <cellStyle name="60% - 강조색2 6 5" xfId="4431"/>
    <cellStyle name="60% - 강조색2 6 5 2" xfId="4432"/>
    <cellStyle name="60% - 강조색2 6 6" xfId="4433"/>
    <cellStyle name="60% - 강조색2 6 6 2" xfId="4434"/>
    <cellStyle name="60% - 강조색2 6 7" xfId="4435"/>
    <cellStyle name="60% - 강조색2 6 7 2" xfId="4436"/>
    <cellStyle name="60% - 강조색2 6 8" xfId="4437"/>
    <cellStyle name="60% - 강조색2 6 8 2" xfId="4438"/>
    <cellStyle name="60% - 강조색2 6 9" xfId="4439"/>
    <cellStyle name="60% - 강조색2 6 9 2" xfId="4440"/>
    <cellStyle name="60% - 강조색3 2" xfId="4441"/>
    <cellStyle name="60% - 강조색3 2 10" xfId="4442"/>
    <cellStyle name="60% - 강조색3 2 2" xfId="4443"/>
    <cellStyle name="60% - 강조색3 2 2 2" xfId="4444"/>
    <cellStyle name="60% - 강조색3 2 3" xfId="4445"/>
    <cellStyle name="60% - 강조색3 2 3 2" xfId="4446"/>
    <cellStyle name="60% - 강조색3 2 4" xfId="4447"/>
    <cellStyle name="60% - 강조색3 2 4 2" xfId="4448"/>
    <cellStyle name="60% - 강조색3 2 5" xfId="4449"/>
    <cellStyle name="60% - 강조색3 2 5 2" xfId="4450"/>
    <cellStyle name="60% - 강조색3 2 6" xfId="4451"/>
    <cellStyle name="60% - 강조색3 2 6 2" xfId="4452"/>
    <cellStyle name="60% - 강조색3 2 7" xfId="4453"/>
    <cellStyle name="60% - 강조색3 2 7 2" xfId="4454"/>
    <cellStyle name="60% - 강조색3 2 8" xfId="4455"/>
    <cellStyle name="60% - 강조색3 2 8 2" xfId="4456"/>
    <cellStyle name="60% - 강조색3 2 9" xfId="4457"/>
    <cellStyle name="60% - 강조색3 2 9 2" xfId="4458"/>
    <cellStyle name="60% - 강조색3 3" xfId="4459"/>
    <cellStyle name="60% - 강조색3 3 10" xfId="4460"/>
    <cellStyle name="60% - 강조색3 3 2" xfId="4461"/>
    <cellStyle name="60% - 강조색3 3 2 2" xfId="4462"/>
    <cellStyle name="60% - 강조색3 3 3" xfId="4463"/>
    <cellStyle name="60% - 강조색3 3 3 2" xfId="4464"/>
    <cellStyle name="60% - 강조색3 3 4" xfId="4465"/>
    <cellStyle name="60% - 강조색3 3 4 2" xfId="4466"/>
    <cellStyle name="60% - 강조색3 3 5" xfId="4467"/>
    <cellStyle name="60% - 강조색3 3 5 2" xfId="4468"/>
    <cellStyle name="60% - 강조색3 3 6" xfId="4469"/>
    <cellStyle name="60% - 강조색3 3 6 2" xfId="4470"/>
    <cellStyle name="60% - 강조색3 3 7" xfId="4471"/>
    <cellStyle name="60% - 강조색3 3 7 2" xfId="4472"/>
    <cellStyle name="60% - 강조색3 3 8" xfId="4473"/>
    <cellStyle name="60% - 강조색3 3 8 2" xfId="4474"/>
    <cellStyle name="60% - 강조색3 3 9" xfId="4475"/>
    <cellStyle name="60% - 강조색3 3 9 2" xfId="4476"/>
    <cellStyle name="60% - 강조색3 4" xfId="4477"/>
    <cellStyle name="60% - 강조색3 4 10" xfId="4478"/>
    <cellStyle name="60% - 강조색3 4 2" xfId="4479"/>
    <cellStyle name="60% - 강조색3 4 2 2" xfId="4480"/>
    <cellStyle name="60% - 강조색3 4 3" xfId="4481"/>
    <cellStyle name="60% - 강조색3 4 3 2" xfId="4482"/>
    <cellStyle name="60% - 강조색3 4 4" xfId="4483"/>
    <cellStyle name="60% - 강조색3 4 4 2" xfId="4484"/>
    <cellStyle name="60% - 강조색3 4 5" xfId="4485"/>
    <cellStyle name="60% - 강조색3 4 5 2" xfId="4486"/>
    <cellStyle name="60% - 강조색3 4 6" xfId="4487"/>
    <cellStyle name="60% - 강조색3 4 6 2" xfId="4488"/>
    <cellStyle name="60% - 강조색3 4 7" xfId="4489"/>
    <cellStyle name="60% - 강조색3 4 7 2" xfId="4490"/>
    <cellStyle name="60% - 강조색3 4 8" xfId="4491"/>
    <cellStyle name="60% - 강조색3 4 8 2" xfId="4492"/>
    <cellStyle name="60% - 강조색3 4 9" xfId="4493"/>
    <cellStyle name="60% - 강조색3 4 9 2" xfId="4494"/>
    <cellStyle name="60% - 강조색3 5" xfId="4495"/>
    <cellStyle name="60% - 강조색3 5 10" xfId="4496"/>
    <cellStyle name="60% - 강조색3 5 2" xfId="4497"/>
    <cellStyle name="60% - 강조색3 5 2 2" xfId="4498"/>
    <cellStyle name="60% - 강조색3 5 3" xfId="4499"/>
    <cellStyle name="60% - 강조색3 5 3 2" xfId="4500"/>
    <cellStyle name="60% - 강조색3 5 4" xfId="4501"/>
    <cellStyle name="60% - 강조색3 5 4 2" xfId="4502"/>
    <cellStyle name="60% - 강조색3 5 5" xfId="4503"/>
    <cellStyle name="60% - 강조색3 5 5 2" xfId="4504"/>
    <cellStyle name="60% - 강조색3 5 6" xfId="4505"/>
    <cellStyle name="60% - 강조색3 5 6 2" xfId="4506"/>
    <cellStyle name="60% - 강조색3 5 7" xfId="4507"/>
    <cellStyle name="60% - 강조색3 5 7 2" xfId="4508"/>
    <cellStyle name="60% - 강조색3 5 8" xfId="4509"/>
    <cellStyle name="60% - 강조색3 5 8 2" xfId="4510"/>
    <cellStyle name="60% - 강조색3 5 9" xfId="4511"/>
    <cellStyle name="60% - 강조색3 5 9 2" xfId="4512"/>
    <cellStyle name="60% - 강조색3 6" xfId="4513"/>
    <cellStyle name="60% - 강조색3 6 10" xfId="4514"/>
    <cellStyle name="60% - 강조색3 6 2" xfId="4515"/>
    <cellStyle name="60% - 강조색3 6 2 2" xfId="4516"/>
    <cellStyle name="60% - 강조색3 6 3" xfId="4517"/>
    <cellStyle name="60% - 강조색3 6 3 2" xfId="4518"/>
    <cellStyle name="60% - 강조색3 6 4" xfId="4519"/>
    <cellStyle name="60% - 강조색3 6 4 2" xfId="4520"/>
    <cellStyle name="60% - 강조색3 6 5" xfId="4521"/>
    <cellStyle name="60% - 강조색3 6 5 2" xfId="4522"/>
    <cellStyle name="60% - 강조색3 6 6" xfId="4523"/>
    <cellStyle name="60% - 강조색3 6 6 2" xfId="4524"/>
    <cellStyle name="60% - 강조색3 6 7" xfId="4525"/>
    <cellStyle name="60% - 강조색3 6 7 2" xfId="4526"/>
    <cellStyle name="60% - 강조색3 6 8" xfId="4527"/>
    <cellStyle name="60% - 강조색3 6 8 2" xfId="4528"/>
    <cellStyle name="60% - 강조색3 6 9" xfId="4529"/>
    <cellStyle name="60% - 강조색3 6 9 2" xfId="4530"/>
    <cellStyle name="60% - 강조색4 2" xfId="4531"/>
    <cellStyle name="60% - 강조색4 2 10" xfId="4532"/>
    <cellStyle name="60% - 강조색4 2 2" xfId="4533"/>
    <cellStyle name="60% - 강조색4 2 2 2" xfId="4534"/>
    <cellStyle name="60% - 강조색4 2 3" xfId="4535"/>
    <cellStyle name="60% - 강조색4 2 3 2" xfId="4536"/>
    <cellStyle name="60% - 강조색4 2 4" xfId="4537"/>
    <cellStyle name="60% - 강조색4 2 4 2" xfId="4538"/>
    <cellStyle name="60% - 강조색4 2 5" xfId="4539"/>
    <cellStyle name="60% - 강조색4 2 5 2" xfId="4540"/>
    <cellStyle name="60% - 강조색4 2 6" xfId="4541"/>
    <cellStyle name="60% - 강조색4 2 6 2" xfId="4542"/>
    <cellStyle name="60% - 강조색4 2 7" xfId="4543"/>
    <cellStyle name="60% - 강조색4 2 7 2" xfId="4544"/>
    <cellStyle name="60% - 강조색4 2 8" xfId="4545"/>
    <cellStyle name="60% - 강조색4 2 8 2" xfId="4546"/>
    <cellStyle name="60% - 강조색4 2 9" xfId="4547"/>
    <cellStyle name="60% - 강조색4 2 9 2" xfId="4548"/>
    <cellStyle name="60% - 강조색4 3" xfId="4549"/>
    <cellStyle name="60% - 강조색4 3 10" xfId="4550"/>
    <cellStyle name="60% - 강조색4 3 2" xfId="4551"/>
    <cellStyle name="60% - 강조색4 3 2 2" xfId="4552"/>
    <cellStyle name="60% - 강조색4 3 3" xfId="4553"/>
    <cellStyle name="60% - 강조색4 3 3 2" xfId="4554"/>
    <cellStyle name="60% - 강조색4 3 4" xfId="4555"/>
    <cellStyle name="60% - 강조색4 3 4 2" xfId="4556"/>
    <cellStyle name="60% - 강조색4 3 5" xfId="4557"/>
    <cellStyle name="60% - 강조색4 3 5 2" xfId="4558"/>
    <cellStyle name="60% - 강조색4 3 6" xfId="4559"/>
    <cellStyle name="60% - 강조색4 3 6 2" xfId="4560"/>
    <cellStyle name="60% - 강조색4 3 7" xfId="4561"/>
    <cellStyle name="60% - 강조색4 3 7 2" xfId="4562"/>
    <cellStyle name="60% - 강조색4 3 8" xfId="4563"/>
    <cellStyle name="60% - 강조색4 3 8 2" xfId="4564"/>
    <cellStyle name="60% - 강조색4 3 9" xfId="4565"/>
    <cellStyle name="60% - 강조색4 3 9 2" xfId="4566"/>
    <cellStyle name="60% - 강조색4 4" xfId="4567"/>
    <cellStyle name="60% - 강조색4 4 10" xfId="4568"/>
    <cellStyle name="60% - 강조색4 4 2" xfId="4569"/>
    <cellStyle name="60% - 강조색4 4 2 2" xfId="4570"/>
    <cellStyle name="60% - 강조색4 4 3" xfId="4571"/>
    <cellStyle name="60% - 강조색4 4 3 2" xfId="4572"/>
    <cellStyle name="60% - 강조색4 4 4" xfId="4573"/>
    <cellStyle name="60% - 강조색4 4 4 2" xfId="4574"/>
    <cellStyle name="60% - 강조색4 4 5" xfId="4575"/>
    <cellStyle name="60% - 강조색4 4 5 2" xfId="4576"/>
    <cellStyle name="60% - 강조색4 4 6" xfId="4577"/>
    <cellStyle name="60% - 강조색4 4 6 2" xfId="4578"/>
    <cellStyle name="60% - 강조색4 4 7" xfId="4579"/>
    <cellStyle name="60% - 강조색4 4 7 2" xfId="4580"/>
    <cellStyle name="60% - 강조색4 4 8" xfId="4581"/>
    <cellStyle name="60% - 강조색4 4 8 2" xfId="4582"/>
    <cellStyle name="60% - 강조색4 4 9" xfId="4583"/>
    <cellStyle name="60% - 강조색4 4 9 2" xfId="4584"/>
    <cellStyle name="60% - 강조색4 5" xfId="4585"/>
    <cellStyle name="60% - 강조색4 5 10" xfId="4586"/>
    <cellStyle name="60% - 강조색4 5 2" xfId="4587"/>
    <cellStyle name="60% - 강조색4 5 2 2" xfId="4588"/>
    <cellStyle name="60% - 강조색4 5 3" xfId="4589"/>
    <cellStyle name="60% - 강조색4 5 3 2" xfId="4590"/>
    <cellStyle name="60% - 강조색4 5 4" xfId="4591"/>
    <cellStyle name="60% - 강조색4 5 4 2" xfId="4592"/>
    <cellStyle name="60% - 강조색4 5 5" xfId="4593"/>
    <cellStyle name="60% - 강조색4 5 5 2" xfId="4594"/>
    <cellStyle name="60% - 강조색4 5 6" xfId="4595"/>
    <cellStyle name="60% - 강조색4 5 6 2" xfId="4596"/>
    <cellStyle name="60% - 강조색4 5 7" xfId="4597"/>
    <cellStyle name="60% - 강조색4 5 7 2" xfId="4598"/>
    <cellStyle name="60% - 강조색4 5 8" xfId="4599"/>
    <cellStyle name="60% - 강조색4 5 8 2" xfId="4600"/>
    <cellStyle name="60% - 강조색4 5 9" xfId="4601"/>
    <cellStyle name="60% - 강조색4 5 9 2" xfId="4602"/>
    <cellStyle name="60% - 강조색4 6" xfId="4603"/>
    <cellStyle name="60% - 강조색4 6 10" xfId="4604"/>
    <cellStyle name="60% - 강조색4 6 2" xfId="4605"/>
    <cellStyle name="60% - 강조색4 6 2 2" xfId="4606"/>
    <cellStyle name="60% - 강조색4 6 3" xfId="4607"/>
    <cellStyle name="60% - 강조색4 6 3 2" xfId="4608"/>
    <cellStyle name="60% - 강조색4 6 4" xfId="4609"/>
    <cellStyle name="60% - 강조색4 6 4 2" xfId="4610"/>
    <cellStyle name="60% - 강조색4 6 5" xfId="4611"/>
    <cellStyle name="60% - 강조색4 6 5 2" xfId="4612"/>
    <cellStyle name="60% - 강조색4 6 6" xfId="4613"/>
    <cellStyle name="60% - 강조색4 6 6 2" xfId="4614"/>
    <cellStyle name="60% - 강조색4 6 7" xfId="4615"/>
    <cellStyle name="60% - 강조색4 6 7 2" xfId="4616"/>
    <cellStyle name="60% - 강조색4 6 8" xfId="4617"/>
    <cellStyle name="60% - 강조색4 6 8 2" xfId="4618"/>
    <cellStyle name="60% - 강조색4 6 9" xfId="4619"/>
    <cellStyle name="60% - 강조색4 6 9 2" xfId="4620"/>
    <cellStyle name="60% - 강조색5 2" xfId="4621"/>
    <cellStyle name="60% - 강조색5 2 10" xfId="4622"/>
    <cellStyle name="60% - 강조색5 2 2" xfId="4623"/>
    <cellStyle name="60% - 강조색5 2 2 2" xfId="4624"/>
    <cellStyle name="60% - 강조색5 2 3" xfId="4625"/>
    <cellStyle name="60% - 강조색5 2 3 2" xfId="4626"/>
    <cellStyle name="60% - 강조색5 2 4" xfId="4627"/>
    <cellStyle name="60% - 강조색5 2 4 2" xfId="4628"/>
    <cellStyle name="60% - 강조색5 2 5" xfId="4629"/>
    <cellStyle name="60% - 강조색5 2 5 2" xfId="4630"/>
    <cellStyle name="60% - 강조색5 2 6" xfId="4631"/>
    <cellStyle name="60% - 강조색5 2 6 2" xfId="4632"/>
    <cellStyle name="60% - 강조색5 2 7" xfId="4633"/>
    <cellStyle name="60% - 강조색5 2 7 2" xfId="4634"/>
    <cellStyle name="60% - 강조색5 2 8" xfId="4635"/>
    <cellStyle name="60% - 강조색5 2 8 2" xfId="4636"/>
    <cellStyle name="60% - 강조색5 2 9" xfId="4637"/>
    <cellStyle name="60% - 강조색5 2 9 2" xfId="4638"/>
    <cellStyle name="60% - 강조색5 3" xfId="4639"/>
    <cellStyle name="60% - 강조색5 3 10" xfId="4640"/>
    <cellStyle name="60% - 강조색5 3 2" xfId="4641"/>
    <cellStyle name="60% - 강조색5 3 2 2" xfId="4642"/>
    <cellStyle name="60% - 강조색5 3 3" xfId="4643"/>
    <cellStyle name="60% - 강조색5 3 3 2" xfId="4644"/>
    <cellStyle name="60% - 강조색5 3 4" xfId="4645"/>
    <cellStyle name="60% - 강조색5 3 4 2" xfId="4646"/>
    <cellStyle name="60% - 강조색5 3 5" xfId="4647"/>
    <cellStyle name="60% - 강조색5 3 5 2" xfId="4648"/>
    <cellStyle name="60% - 강조색5 3 6" xfId="4649"/>
    <cellStyle name="60% - 강조색5 3 6 2" xfId="4650"/>
    <cellStyle name="60% - 강조색5 3 7" xfId="4651"/>
    <cellStyle name="60% - 강조색5 3 7 2" xfId="4652"/>
    <cellStyle name="60% - 강조색5 3 8" xfId="4653"/>
    <cellStyle name="60% - 강조색5 3 8 2" xfId="4654"/>
    <cellStyle name="60% - 강조색5 3 9" xfId="4655"/>
    <cellStyle name="60% - 강조색5 3 9 2" xfId="4656"/>
    <cellStyle name="60% - 강조색5 4" xfId="4657"/>
    <cellStyle name="60% - 강조색5 4 10" xfId="4658"/>
    <cellStyle name="60% - 강조색5 4 2" xfId="4659"/>
    <cellStyle name="60% - 강조색5 4 2 2" xfId="4660"/>
    <cellStyle name="60% - 강조색5 4 3" xfId="4661"/>
    <cellStyle name="60% - 강조색5 4 3 2" xfId="4662"/>
    <cellStyle name="60% - 강조색5 4 4" xfId="4663"/>
    <cellStyle name="60% - 강조색5 4 4 2" xfId="4664"/>
    <cellStyle name="60% - 강조색5 4 5" xfId="4665"/>
    <cellStyle name="60% - 강조색5 4 5 2" xfId="4666"/>
    <cellStyle name="60% - 강조색5 4 6" xfId="4667"/>
    <cellStyle name="60% - 강조색5 4 6 2" xfId="4668"/>
    <cellStyle name="60% - 강조색5 4 7" xfId="4669"/>
    <cellStyle name="60% - 강조색5 4 7 2" xfId="4670"/>
    <cellStyle name="60% - 강조색5 4 8" xfId="4671"/>
    <cellStyle name="60% - 강조색5 4 8 2" xfId="4672"/>
    <cellStyle name="60% - 강조색5 4 9" xfId="4673"/>
    <cellStyle name="60% - 강조색5 4 9 2" xfId="4674"/>
    <cellStyle name="60% - 강조색5 5" xfId="4675"/>
    <cellStyle name="60% - 강조색5 5 10" xfId="4676"/>
    <cellStyle name="60% - 강조색5 5 2" xfId="4677"/>
    <cellStyle name="60% - 강조색5 5 2 2" xfId="4678"/>
    <cellStyle name="60% - 강조색5 5 3" xfId="4679"/>
    <cellStyle name="60% - 강조색5 5 3 2" xfId="4680"/>
    <cellStyle name="60% - 강조색5 5 4" xfId="4681"/>
    <cellStyle name="60% - 강조색5 5 4 2" xfId="4682"/>
    <cellStyle name="60% - 강조색5 5 5" xfId="4683"/>
    <cellStyle name="60% - 강조색5 5 5 2" xfId="4684"/>
    <cellStyle name="60% - 강조색5 5 6" xfId="4685"/>
    <cellStyle name="60% - 강조색5 5 6 2" xfId="4686"/>
    <cellStyle name="60% - 강조색5 5 7" xfId="4687"/>
    <cellStyle name="60% - 강조색5 5 7 2" xfId="4688"/>
    <cellStyle name="60% - 강조색5 5 8" xfId="4689"/>
    <cellStyle name="60% - 강조색5 5 8 2" xfId="4690"/>
    <cellStyle name="60% - 강조색5 5 9" xfId="4691"/>
    <cellStyle name="60% - 강조색5 5 9 2" xfId="4692"/>
    <cellStyle name="60% - 강조색5 6" xfId="4693"/>
    <cellStyle name="60% - 강조색5 6 10" xfId="4694"/>
    <cellStyle name="60% - 강조색5 6 2" xfId="4695"/>
    <cellStyle name="60% - 강조색5 6 2 2" xfId="4696"/>
    <cellStyle name="60% - 강조색5 6 3" xfId="4697"/>
    <cellStyle name="60% - 강조색5 6 3 2" xfId="4698"/>
    <cellStyle name="60% - 강조색5 6 4" xfId="4699"/>
    <cellStyle name="60% - 강조색5 6 4 2" xfId="4700"/>
    <cellStyle name="60% - 강조색5 6 5" xfId="4701"/>
    <cellStyle name="60% - 강조색5 6 5 2" xfId="4702"/>
    <cellStyle name="60% - 강조색5 6 6" xfId="4703"/>
    <cellStyle name="60% - 강조색5 6 6 2" xfId="4704"/>
    <cellStyle name="60% - 강조색5 6 7" xfId="4705"/>
    <cellStyle name="60% - 강조색5 6 7 2" xfId="4706"/>
    <cellStyle name="60% - 강조색5 6 8" xfId="4707"/>
    <cellStyle name="60% - 강조색5 6 8 2" xfId="4708"/>
    <cellStyle name="60% - 강조색5 6 9" xfId="4709"/>
    <cellStyle name="60% - 강조색5 6 9 2" xfId="4710"/>
    <cellStyle name="60% - 강조색6 2" xfId="4711"/>
    <cellStyle name="60% - 강조색6 2 10" xfId="4712"/>
    <cellStyle name="60% - 강조색6 2 2" xfId="4713"/>
    <cellStyle name="60% - 강조색6 2 2 2" xfId="4714"/>
    <cellStyle name="60% - 강조색6 2 3" xfId="4715"/>
    <cellStyle name="60% - 강조색6 2 3 2" xfId="4716"/>
    <cellStyle name="60% - 강조색6 2 4" xfId="4717"/>
    <cellStyle name="60% - 강조색6 2 4 2" xfId="4718"/>
    <cellStyle name="60% - 강조색6 2 5" xfId="4719"/>
    <cellStyle name="60% - 강조색6 2 5 2" xfId="4720"/>
    <cellStyle name="60% - 강조색6 2 6" xfId="4721"/>
    <cellStyle name="60% - 강조색6 2 6 2" xfId="4722"/>
    <cellStyle name="60% - 강조색6 2 7" xfId="4723"/>
    <cellStyle name="60% - 강조색6 2 7 2" xfId="4724"/>
    <cellStyle name="60% - 강조색6 2 8" xfId="4725"/>
    <cellStyle name="60% - 강조색6 2 8 2" xfId="4726"/>
    <cellStyle name="60% - 강조색6 2 9" xfId="4727"/>
    <cellStyle name="60% - 강조색6 2 9 2" xfId="4728"/>
    <cellStyle name="60% - 강조색6 3" xfId="4729"/>
    <cellStyle name="60% - 강조색6 3 10" xfId="4730"/>
    <cellStyle name="60% - 강조색6 3 2" xfId="4731"/>
    <cellStyle name="60% - 강조색6 3 2 2" xfId="4732"/>
    <cellStyle name="60% - 강조색6 3 3" xfId="4733"/>
    <cellStyle name="60% - 강조색6 3 3 2" xfId="4734"/>
    <cellStyle name="60% - 강조색6 3 4" xfId="4735"/>
    <cellStyle name="60% - 강조색6 3 4 2" xfId="4736"/>
    <cellStyle name="60% - 강조색6 3 5" xfId="4737"/>
    <cellStyle name="60% - 강조색6 3 5 2" xfId="4738"/>
    <cellStyle name="60% - 강조색6 3 6" xfId="4739"/>
    <cellStyle name="60% - 강조색6 3 6 2" xfId="4740"/>
    <cellStyle name="60% - 강조색6 3 7" xfId="4741"/>
    <cellStyle name="60% - 강조색6 3 7 2" xfId="4742"/>
    <cellStyle name="60% - 강조색6 3 8" xfId="4743"/>
    <cellStyle name="60% - 강조색6 3 8 2" xfId="4744"/>
    <cellStyle name="60% - 강조색6 3 9" xfId="4745"/>
    <cellStyle name="60% - 강조색6 3 9 2" xfId="4746"/>
    <cellStyle name="60% - 강조색6 4" xfId="4747"/>
    <cellStyle name="60% - 강조색6 4 10" xfId="4748"/>
    <cellStyle name="60% - 강조색6 4 2" xfId="4749"/>
    <cellStyle name="60% - 강조색6 4 2 2" xfId="4750"/>
    <cellStyle name="60% - 강조색6 4 3" xfId="4751"/>
    <cellStyle name="60% - 강조색6 4 3 2" xfId="4752"/>
    <cellStyle name="60% - 강조색6 4 4" xfId="4753"/>
    <cellStyle name="60% - 강조색6 4 4 2" xfId="4754"/>
    <cellStyle name="60% - 강조색6 4 5" xfId="4755"/>
    <cellStyle name="60% - 강조색6 4 5 2" xfId="4756"/>
    <cellStyle name="60% - 강조색6 4 6" xfId="4757"/>
    <cellStyle name="60% - 강조색6 4 6 2" xfId="4758"/>
    <cellStyle name="60% - 강조색6 4 7" xfId="4759"/>
    <cellStyle name="60% - 강조색6 4 7 2" xfId="4760"/>
    <cellStyle name="60% - 강조색6 4 8" xfId="4761"/>
    <cellStyle name="60% - 강조색6 4 8 2" xfId="4762"/>
    <cellStyle name="60% - 강조색6 4 9" xfId="4763"/>
    <cellStyle name="60% - 강조색6 4 9 2" xfId="4764"/>
    <cellStyle name="60% - 강조색6 5" xfId="4765"/>
    <cellStyle name="60% - 강조색6 5 10" xfId="4766"/>
    <cellStyle name="60% - 강조색6 5 2" xfId="4767"/>
    <cellStyle name="60% - 강조색6 5 2 2" xfId="4768"/>
    <cellStyle name="60% - 강조색6 5 3" xfId="4769"/>
    <cellStyle name="60% - 강조색6 5 3 2" xfId="4770"/>
    <cellStyle name="60% - 강조색6 5 4" xfId="4771"/>
    <cellStyle name="60% - 강조색6 5 4 2" xfId="4772"/>
    <cellStyle name="60% - 강조색6 5 5" xfId="4773"/>
    <cellStyle name="60% - 강조색6 5 5 2" xfId="4774"/>
    <cellStyle name="60% - 강조색6 5 6" xfId="4775"/>
    <cellStyle name="60% - 강조색6 5 6 2" xfId="4776"/>
    <cellStyle name="60% - 강조색6 5 7" xfId="4777"/>
    <cellStyle name="60% - 강조색6 5 7 2" xfId="4778"/>
    <cellStyle name="60% - 강조색6 5 8" xfId="4779"/>
    <cellStyle name="60% - 강조색6 5 8 2" xfId="4780"/>
    <cellStyle name="60% - 강조색6 5 9" xfId="4781"/>
    <cellStyle name="60% - 강조색6 5 9 2" xfId="4782"/>
    <cellStyle name="60% - 강조색6 6" xfId="4783"/>
    <cellStyle name="60% - 강조색6 6 10" xfId="4784"/>
    <cellStyle name="60% - 강조색6 6 2" xfId="4785"/>
    <cellStyle name="60% - 강조색6 6 2 2" xfId="4786"/>
    <cellStyle name="60% - 강조색6 6 3" xfId="4787"/>
    <cellStyle name="60% - 강조색6 6 3 2" xfId="4788"/>
    <cellStyle name="60% - 강조색6 6 4" xfId="4789"/>
    <cellStyle name="60% - 강조색6 6 4 2" xfId="4790"/>
    <cellStyle name="60% - 강조색6 6 5" xfId="4791"/>
    <cellStyle name="60% - 강조색6 6 5 2" xfId="4792"/>
    <cellStyle name="60% - 강조색6 6 6" xfId="4793"/>
    <cellStyle name="60% - 강조색6 6 6 2" xfId="4794"/>
    <cellStyle name="60% - 강조색6 6 7" xfId="4795"/>
    <cellStyle name="60% - 강조색6 6 7 2" xfId="4796"/>
    <cellStyle name="60% - 강조색6 6 8" xfId="4797"/>
    <cellStyle name="60% - 강조색6 6 8 2" xfId="4798"/>
    <cellStyle name="60% - 강조색6 6 9" xfId="4799"/>
    <cellStyle name="60% - 강조색6 6 9 2" xfId="4800"/>
    <cellStyle name="90" xfId="4801"/>
    <cellStyle name="90 2" xfId="4802"/>
    <cellStyle name="A¨­???? [0]_INQUIRY ????¨?¡?A??A?ª " xfId="4803"/>
    <cellStyle name="A¨­????_INQUIRY ????¨?¡?A??A?ª " xfId="4804"/>
    <cellStyle name="A¨­¢¬¢Ò [0]_INQUIRY ¢¯¥ì¨ú¡ÀA©¬A©ª " xfId="4805"/>
    <cellStyle name="A¨­¢¬¢Ò_INQUIRY ¢¯¥ì¨ú¡ÀA©¬A©ª " xfId="4806"/>
    <cellStyle name="AA" xfId="4807"/>
    <cellStyle name="AA 2" xfId="4808"/>
    <cellStyle name="ac 2" xfId="4809"/>
    <cellStyle name="Actual Date" xfId="4810"/>
    <cellStyle name="Actual Date 2" xfId="4811"/>
    <cellStyle name="Aee­ " xfId="4812"/>
    <cellStyle name="Aee­  2" xfId="4813"/>
    <cellStyle name="AeE­ [0]_  A¾  CO  " xfId="4814"/>
    <cellStyle name="ÅëÈ­ [0]_(1.Åä)" xfId="4815"/>
    <cellStyle name="ÅëÈ­ [0]_¸ÅÃâ" xfId="4816"/>
    <cellStyle name="AeE­ [0]_¸ðCu¸·" xfId="4817"/>
    <cellStyle name="ÅëÈ­ [0]_¸ðÇü¸·" xfId="4818"/>
    <cellStyle name="AeE­ [0]_°ßAu¼­2" xfId="4819"/>
    <cellStyle name="ÅëÈ­ [0]_Á¤»ê¼­°©Áö" xfId="4820"/>
    <cellStyle name="AeE­ [0]_A¾CO½A¼³ " xfId="4821"/>
    <cellStyle name="ÅëÈ­ [0]_Á¾ÇÕÃ¶°ÅºÐ " xfId="4822"/>
    <cellStyle name="AeE­ [0]_AMT " xfId="4823"/>
    <cellStyle name="ÅëÈ­ [0]_FINAL(¿øº») " xfId="4824"/>
    <cellStyle name="AeE­ [0]_INQUIRY ¿μ¾÷AßAø " xfId="4825"/>
    <cellStyle name="ÅëÈ­ [0]_kc-elec system check list" xfId="4826"/>
    <cellStyle name="AeE­ [0]_º≫¼± ±æ¾i±uºI ¼o·R Ay°eC￥ " xfId="4827"/>
    <cellStyle name="ÅëÈ­ [0]_RESULTS" xfId="4828"/>
    <cellStyle name="Aee­ _88고속(2공구)투찰40" xfId="4829"/>
    <cellStyle name="AeE­_  A¾  CO  " xfId="4830"/>
    <cellStyle name="ÅëÈ­_(1.Åä)" xfId="4831"/>
    <cellStyle name="AeE­_´e¸²Ei≫e" xfId="4832"/>
    <cellStyle name="ÅëÈ­_¸ÅÃâ" xfId="4833"/>
    <cellStyle name="AeE­_¸ðCu¸·" xfId="4834"/>
    <cellStyle name="ÅëÈ­_¸ðÇü¸·" xfId="4835"/>
    <cellStyle name="AeE­_¼oAI¼º " xfId="4836"/>
    <cellStyle name="ÅëÈ­_¼öÀÍ¼º " xfId="4837"/>
    <cellStyle name="AeE­_¼oAI¼º _1부여부지 콘도미니엄 신축공사 AV설비 견적서_20100121" xfId="4838"/>
    <cellStyle name="ÅëÈ­_Á¤»ê¼­°©Áö" xfId="4839"/>
    <cellStyle name="AeE­_A¾CO½A¼³ " xfId="4840"/>
    <cellStyle name="ÅëÈ­_Á¾ÇÕÃ¶°ÅºÐ " xfId="4841"/>
    <cellStyle name="AeE­_AMT " xfId="4842"/>
    <cellStyle name="ÅëÈ­_FINAL(¿øº») " xfId="4843"/>
    <cellStyle name="AeE­_INQUIRY ¿μ¾÷AßAø " xfId="4844"/>
    <cellStyle name="ÅëÈ­_kc-elec system check list" xfId="4845"/>
    <cellStyle name="AeE­_º≫¼± ±æ¾i±uºI ¼o·R Ay°eC￥ " xfId="4846"/>
    <cellStyle name="ÅëÈ­_RESULTS" xfId="4847"/>
    <cellStyle name="AeE¡? [0]_INQUIRY ????¨?¡?A??A?ª " xfId="4848"/>
    <cellStyle name="AeE¡?_INQUIRY ????¨?¡?A??A?ª " xfId="4849"/>
    <cellStyle name="Æu¼ " xfId="4850"/>
    <cellStyle name="ÆU¼¾ÆR" xfId="4851"/>
    <cellStyle name="ÆU¼¾ÆR 2" xfId="4852"/>
    <cellStyle name="Afrundet valuta_PLDT" xfId="4853"/>
    <cellStyle name="ALIGNMENT" xfId="4854"/>
    <cellStyle name="ALIGNMENT 2" xfId="4855"/>
    <cellStyle name="ALIGNMENT 3" xfId="4856"/>
    <cellStyle name="AoA¤μCAo ¾EA½" xfId="4857"/>
    <cellStyle name="args.style" xfId="4858"/>
    <cellStyle name="args.style 2" xfId="4859"/>
    <cellStyle name="arial12" xfId="4860"/>
    <cellStyle name="arial12 2" xfId="4861"/>
    <cellStyle name="arial14" xfId="4862"/>
    <cellStyle name="arial14 2" xfId="4863"/>
    <cellStyle name="AÞ¸¶ [0]_  A¾  CO  " xfId="4864"/>
    <cellStyle name="ÄÞ¸¶ [0]_(1.Åä)" xfId="4865"/>
    <cellStyle name="AÞ¸¶_  A¾  CO  " xfId="4866"/>
    <cellStyle name="ÄÞ¸¶_(1.Åä)" xfId="4867"/>
    <cellStyle name="Au¸r " xfId="4868"/>
    <cellStyle name="AU¸R¼o" xfId="4869"/>
    <cellStyle name="AU¸R¼o 2" xfId="4870"/>
    <cellStyle name="AU¸R¼o0" xfId="4871"/>
    <cellStyle name="AU¸R¼o0 2" xfId="4872"/>
    <cellStyle name="_x0001_b" xfId="4873"/>
    <cellStyle name="_x0001_b 2" xfId="4874"/>
    <cellStyle name="blank" xfId="4875"/>
    <cellStyle name="blank - Style1" xfId="4876"/>
    <cellStyle name="blank - Style1 2" xfId="4877"/>
    <cellStyle name="blank 2" xfId="4878"/>
    <cellStyle name="blank 3" xfId="4879"/>
    <cellStyle name="Bold 11" xfId="4880"/>
    <cellStyle name="Bold 11 2" xfId="4881"/>
    <cellStyle name="Border" xfId="4882"/>
    <cellStyle name="Border 2" xfId="4883"/>
    <cellStyle name="Border 2 2" xfId="4884"/>
    <cellStyle name="Border 2 2 2" xfId="4885"/>
    <cellStyle name="Border 2 2 3" xfId="4886"/>
    <cellStyle name="Border 2 2 4" xfId="4887"/>
    <cellStyle name="Border 2 2 5" xfId="4888"/>
    <cellStyle name="Border 3" xfId="4889"/>
    <cellStyle name="Border 3 2" xfId="4890"/>
    <cellStyle name="Border 3 3" xfId="4891"/>
    <cellStyle name="Border 3 4" xfId="4892"/>
    <cellStyle name="Border 3 5" xfId="4893"/>
    <cellStyle name="C¡?A¨ª_¡?c¨?¡?¨?I¨?¡Æ AN¡Æe " xfId="4894"/>
    <cellStyle name="C¡ÍA¨ª_¡íc¨ú¡À¨¬I¨¬¡Æ AN¡Æe " xfId="4895"/>
    <cellStyle name="C￥AØ_  A¾  CO  " xfId="4896"/>
    <cellStyle name="Ç¥ÁØ_´ëºñÇ¥" xfId="4897"/>
    <cellStyle name="C￥AØ_¸ðCu¸·" xfId="4898"/>
    <cellStyle name="Ç¥ÁØ_¸ðÇü¸·" xfId="4899"/>
    <cellStyle name="C￥AØ_¸ðCu¸· 2" xfId="4900"/>
    <cellStyle name="Ç¥ÁØ_¸ðÇü¸· 2" xfId="4901"/>
    <cellStyle name="C￥AØ_¸ðCu¸· 3" xfId="4902"/>
    <cellStyle name="Ç¥ÁØ_¸ðÇü¸· 3" xfId="4903"/>
    <cellStyle name="C￥AØ_¸ðCu¸· 4" xfId="4904"/>
    <cellStyle name="Ç¥ÁØ_¸ðÇü¸· 4" xfId="4905"/>
    <cellStyle name="C￥AØ_¸ðCu¸·_상이군경회견적서" xfId="4906"/>
    <cellStyle name="Ç¥ÁØ_¸ðÇü¸·_상이군경회견적서" xfId="4907"/>
    <cellStyle name="C￥AØ_¸ðCu¸·_상이군경회견적서 2" xfId="4908"/>
    <cellStyle name="Ç¥ÁØ_¸ðÇü¸·_상이군경회견적서 2" xfId="4909"/>
    <cellStyle name="C￥AØ_¸ðCu¸·_상이군경회견적서 2 2" xfId="4910"/>
    <cellStyle name="Ç¥ÁØ_¸ðÇü¸·_상이군경회견적서 3" xfId="4911"/>
    <cellStyle name="C￥AØ_¸ðCu¸·_상이군경회견적서 4" xfId="4912"/>
    <cellStyle name="Ç¥ÁØ_¸ðÇü¸·_성남문화회관" xfId="4913"/>
    <cellStyle name="C￥AØ_≫c¾÷ºIº° AN°e " xfId="4914"/>
    <cellStyle name="Ç¥ÁØ_°­´ç (2)_광명견적대비1010" xfId="4915"/>
    <cellStyle name="C￥AØ_°­´c (2)_광명견적대비1010 10" xfId="4916"/>
    <cellStyle name="Ç¥ÁØ_°­´ç (2)_광명견적대비1010 10" xfId="4917"/>
    <cellStyle name="C￥AØ_°­´c (2)_광명견적대비1010 10 2" xfId="4918"/>
    <cellStyle name="Ç¥ÁØ_°­´ç (2)_광명견적대비1010 10 2" xfId="4919"/>
    <cellStyle name="C￥AØ_°­´c (2)_광명견적대비1010 10 3" xfId="4920"/>
    <cellStyle name="Ç¥ÁØ_°­´ç (2)_광명견적대비1010 10 3" xfId="4921"/>
    <cellStyle name="C￥AØ_°­´c (2)_광명견적대비1010 11" xfId="4922"/>
    <cellStyle name="Ç¥ÁØ_°­´ç (2)_광명견적대비1010 11" xfId="4923"/>
    <cellStyle name="C￥AØ_°­´c (2)_광명견적대비1010 11 2" xfId="4924"/>
    <cellStyle name="Ç¥ÁØ_°­´ç (2)_광명견적대비1010 11 2" xfId="4925"/>
    <cellStyle name="C￥AØ_°­´c (2)_광명견적대비1010 11 3" xfId="4926"/>
    <cellStyle name="Ç¥ÁØ_°­´ç (2)_광명견적대비1010 11 3" xfId="4927"/>
    <cellStyle name="C￥AØ_°­´c (2)_광명견적대비1010 12" xfId="4928"/>
    <cellStyle name="Ç¥ÁØ_°­´ç (2)_광명견적대비1010 12" xfId="4929"/>
    <cellStyle name="C￥AØ_°­´c (2)_광명견적대비1010 12 2" xfId="4930"/>
    <cellStyle name="Ç¥ÁØ_°­´ç (2)_광명견적대비1010 12 2" xfId="4931"/>
    <cellStyle name="C￥AØ_°­´c (2)_광명견적대비1010 12 3" xfId="4932"/>
    <cellStyle name="Ç¥ÁØ_°­´ç (2)_광명견적대비1010 12 3" xfId="4933"/>
    <cellStyle name="C￥AØ_°­´c (2)_광명견적대비1010 13" xfId="4934"/>
    <cellStyle name="Ç¥ÁØ_°­´ç (2)_광명견적대비1010 13" xfId="4935"/>
    <cellStyle name="C￥AØ_°­´c (2)_광명견적대비1010 13 2" xfId="4936"/>
    <cellStyle name="Ç¥ÁØ_°­´ç (2)_광명견적대비1010 13 2" xfId="4937"/>
    <cellStyle name="C￥AØ_°­´c (2)_광명견적대비1010 13 3" xfId="4938"/>
    <cellStyle name="Ç¥ÁØ_°­´ç (2)_광명견적대비1010 13 3" xfId="4939"/>
    <cellStyle name="C￥AØ_°­´c (2)_광명견적대비1010 14" xfId="4940"/>
    <cellStyle name="Ç¥ÁØ_°­´ç (2)_광명견적대비1010 14" xfId="4941"/>
    <cellStyle name="C￥AØ_°­´c (2)_광명견적대비1010 14 2" xfId="4942"/>
    <cellStyle name="Ç¥ÁØ_°­´ç (2)_광명견적대비1010 14 2" xfId="4943"/>
    <cellStyle name="C￥AØ_°­´c (2)_광명견적대비1010 14 3" xfId="4944"/>
    <cellStyle name="Ç¥ÁØ_°­´ç (2)_광명견적대비1010 14 3" xfId="4945"/>
    <cellStyle name="C￥AØ_°­´c (2)_광명견적대비1010 15" xfId="4946"/>
    <cellStyle name="Ç¥ÁØ_°­´ç (2)_광명견적대비1010 15" xfId="4947"/>
    <cellStyle name="C￥AØ_°­´c (2)_광명견적대비1010 15 2" xfId="4948"/>
    <cellStyle name="Ç¥ÁØ_°­´ç (2)_광명견적대비1010 15 2" xfId="4949"/>
    <cellStyle name="C￥AØ_°­´c (2)_광명견적대비1010 15 3" xfId="4950"/>
    <cellStyle name="Ç¥ÁØ_°­´ç (2)_광명견적대비1010 15 3" xfId="4951"/>
    <cellStyle name="C￥AØ_°­´c (2)_광명견적대비1010 16" xfId="4952"/>
    <cellStyle name="Ç¥ÁØ_°­´ç (2)_광명견적대비1010 16" xfId="4953"/>
    <cellStyle name="C￥AØ_°­´c (2)_광명견적대비1010 16 2" xfId="4954"/>
    <cellStyle name="Ç¥ÁØ_°­´ç (2)_광명견적대비1010 16 2" xfId="4955"/>
    <cellStyle name="C￥AØ_°­´c (2)_광명견적대비1010 16 3" xfId="4956"/>
    <cellStyle name="Ç¥ÁØ_°­´ç (2)_광명견적대비1010 16 3" xfId="4957"/>
    <cellStyle name="C￥AØ_°­´c (2)_광명견적대비1010 17" xfId="4958"/>
    <cellStyle name="Ç¥ÁØ_°­´ç (2)_광명견적대비1010 17" xfId="4959"/>
    <cellStyle name="C￥AØ_°­´c (2)_광명견적대비1010 17 2" xfId="4960"/>
    <cellStyle name="Ç¥ÁØ_°­´ç (2)_광명견적대비1010 17 2" xfId="4961"/>
    <cellStyle name="C￥AØ_°­´c (2)_광명견적대비1010 17 3" xfId="4962"/>
    <cellStyle name="Ç¥ÁØ_°­´ç (2)_광명견적대비1010 17 3" xfId="4963"/>
    <cellStyle name="C￥AØ_°­´c (2)_광명견적대비1010 18" xfId="4964"/>
    <cellStyle name="Ç¥ÁØ_°­´ç (2)_광명견적대비1010 18" xfId="4965"/>
    <cellStyle name="C￥AØ_°­´c (2)_광명견적대비1010 18 2" xfId="4966"/>
    <cellStyle name="Ç¥ÁØ_°­´ç (2)_광명견적대비1010 18 2" xfId="4967"/>
    <cellStyle name="C￥AØ_°­´c (2)_광명견적대비1010 18 3" xfId="4968"/>
    <cellStyle name="Ç¥ÁØ_°­´ç (2)_광명견적대비1010 18 3" xfId="4969"/>
    <cellStyle name="C￥AØ_°­´c (2)_광명견적대비1010 19" xfId="4970"/>
    <cellStyle name="Ç¥ÁØ_°­´ç (2)_광명견적대비1010 19" xfId="4971"/>
    <cellStyle name="C￥AØ_°­´c (2)_광명견적대비1010 19 2" xfId="4972"/>
    <cellStyle name="Ç¥ÁØ_°­´ç (2)_광명견적대비1010 19 2" xfId="4973"/>
    <cellStyle name="C￥AØ_°­´c (2)_광명견적대비1010 19 3" xfId="4974"/>
    <cellStyle name="Ç¥ÁØ_°­´ç (2)_광명견적대비1010 19 3" xfId="4975"/>
    <cellStyle name="C￥AØ_°­´c (2)_광명견적대비1010 2" xfId="4976"/>
    <cellStyle name="Ç¥ÁØ_°­´ç (2)_광명견적대비1010 2" xfId="4977"/>
    <cellStyle name="C￥AØ_°­´c (2)_광명견적대비1010 2 10" xfId="4978"/>
    <cellStyle name="Ç¥ÁØ_°­´ç (2)_광명견적대비1010 2 2" xfId="4979"/>
    <cellStyle name="C￥AØ_°­´c (2)_광명견적대비1010 2 3" xfId="4980"/>
    <cellStyle name="Ç¥ÁØ_°­´ç (2)_광명견적대비1010 2 3" xfId="4981"/>
    <cellStyle name="C￥AØ_°­´c (2)_광명견적대비1010 21" xfId="4982"/>
    <cellStyle name="Ç¥ÁØ_°­´ç (2)_광명견적대비1010 21" xfId="4983"/>
    <cellStyle name="C￥AØ_°­´c (2)_광명견적대비1010 21 2" xfId="4984"/>
    <cellStyle name="Ç¥ÁØ_°­´ç (2)_광명견적대비1010 21 2" xfId="4985"/>
    <cellStyle name="C￥AØ_°­´c (2)_광명견적대비1010 21 3" xfId="4986"/>
    <cellStyle name="Ç¥ÁØ_°­´ç (2)_광명견적대비1010 21 3" xfId="4987"/>
    <cellStyle name="C￥AØ_°­´c (2)_광명견적대비1010 22" xfId="4988"/>
    <cellStyle name="Ç¥ÁØ_°­´ç (2)_광명견적대비1010 22" xfId="4989"/>
    <cellStyle name="C￥AØ_°­´c (2)_광명견적대비1010 22 2" xfId="4990"/>
    <cellStyle name="Ç¥ÁØ_°­´ç (2)_광명견적대비1010 22 2" xfId="4991"/>
    <cellStyle name="C￥AØ_°­´c (2)_광명견적대비1010 22 3" xfId="4992"/>
    <cellStyle name="Ç¥ÁØ_°­´ç (2)_광명견적대비1010 22 3" xfId="4993"/>
    <cellStyle name="C￥AØ_°­´c (2)_광명견적대비1010 23" xfId="4994"/>
    <cellStyle name="Ç¥ÁØ_°­´ç (2)_광명견적대비1010 23" xfId="4995"/>
    <cellStyle name="C￥AØ_°­´c (2)_광명견적대비1010 23 2" xfId="4996"/>
    <cellStyle name="Ç¥ÁØ_°­´ç (2)_광명견적대비1010 23 2" xfId="4997"/>
    <cellStyle name="C￥AØ_°­´c (2)_광명견적대비1010 23 3" xfId="4998"/>
    <cellStyle name="Ç¥ÁØ_°­´ç (2)_광명견적대비1010 23 3" xfId="4999"/>
    <cellStyle name="C￥AØ_°­´c (2)_광명견적대비1010 24" xfId="5000"/>
    <cellStyle name="Ç¥ÁØ_°­´ç (2)_광명견적대비1010 24" xfId="5001"/>
    <cellStyle name="C￥AØ_°­´c (2)_광명견적대비1010 24 2" xfId="5002"/>
    <cellStyle name="Ç¥ÁØ_°­´ç (2)_광명견적대비1010 24 2" xfId="5003"/>
    <cellStyle name="C￥AØ_°­´c (2)_광명견적대비1010 24 3" xfId="5004"/>
    <cellStyle name="Ç¥ÁØ_°­´ç (2)_광명견적대비1010 24 3" xfId="5005"/>
    <cellStyle name="C￥AØ_°­´c (2)_광명견적대비1010 25" xfId="5006"/>
    <cellStyle name="Ç¥ÁØ_°­´ç (2)_광명견적대비1010 25" xfId="5007"/>
    <cellStyle name="C￥AØ_°­´c (2)_광명견적대비1010 25 2" xfId="5008"/>
    <cellStyle name="Ç¥ÁØ_°­´ç (2)_광명견적대비1010 25 2" xfId="5009"/>
    <cellStyle name="C￥AØ_°­´c (2)_광명견적대비1010 25 3" xfId="5010"/>
    <cellStyle name="Ç¥ÁØ_°­´ç (2)_광명견적대비1010 25 3" xfId="5011"/>
    <cellStyle name="C￥AØ_°­´c (2)_광명견적대비1010 26" xfId="5012"/>
    <cellStyle name="Ç¥ÁØ_°­´ç (2)_광명견적대비1010 26" xfId="5013"/>
    <cellStyle name="C￥AØ_°­´c (2)_광명견적대비1010 26 2" xfId="5014"/>
    <cellStyle name="Ç¥ÁØ_°­´ç (2)_광명견적대비1010 26 2" xfId="5015"/>
    <cellStyle name="C￥AØ_°­´c (2)_광명견적대비1010 26 3" xfId="5016"/>
    <cellStyle name="Ç¥ÁØ_°­´ç (2)_광명견적대비1010 26 3" xfId="5017"/>
    <cellStyle name="C￥AØ_°­´c (2)_광명견적대비1010 27" xfId="5018"/>
    <cellStyle name="Ç¥ÁØ_°­´ç (2)_광명견적대비1010 27" xfId="5019"/>
    <cellStyle name="C￥AØ_°­´c (2)_광명견적대비1010 27 2" xfId="5020"/>
    <cellStyle name="Ç¥ÁØ_°­´ç (2)_광명견적대비1010 27 2" xfId="5021"/>
    <cellStyle name="C￥AØ_°­´c (2)_광명견적대비1010 27 3" xfId="5022"/>
    <cellStyle name="Ç¥ÁØ_°­´ç (2)_광명견적대비1010 27 3" xfId="5023"/>
    <cellStyle name="C￥AØ_°­´c (2)_광명견적대비1010 28" xfId="5024"/>
    <cellStyle name="Ç¥ÁØ_°­´ç (2)_광명견적대비1010 28" xfId="5025"/>
    <cellStyle name="C￥AØ_°­´c (2)_광명견적대비1010 28 2" xfId="5026"/>
    <cellStyle name="Ç¥ÁØ_°­´ç (2)_광명견적대비1010 28 2" xfId="5027"/>
    <cellStyle name="C￥AØ_°­´c (2)_광명견적대비1010 28 3" xfId="5028"/>
    <cellStyle name="Ç¥ÁØ_°­´ç (2)_광명견적대비1010 28 3" xfId="5029"/>
    <cellStyle name="C￥AØ_°­´c (2)_광명견적대비1010 29" xfId="5030"/>
    <cellStyle name="Ç¥ÁØ_°­´ç (2)_광명견적대비1010 29" xfId="5031"/>
    <cellStyle name="C￥AØ_°­´c (2)_광명견적대비1010 29 2" xfId="5032"/>
    <cellStyle name="Ç¥ÁØ_°­´ç (2)_광명견적대비1010 29 2" xfId="5033"/>
    <cellStyle name="C￥AØ_°­´c (2)_광명견적대비1010 29 3" xfId="5034"/>
    <cellStyle name="Ç¥ÁØ_°­´ç (2)_광명견적대비1010 29 3" xfId="5035"/>
    <cellStyle name="C￥AØ_°­´c (2)_광명견적대비1010 3" xfId="5036"/>
    <cellStyle name="Ç¥ÁØ_°­´ç (2)_광명견적대비1010 3" xfId="5037"/>
    <cellStyle name="C￥AØ_°­´c (2)_광명견적대비1010 3 2" xfId="5038"/>
    <cellStyle name="Ç¥ÁØ_°­´ç (2)_광명견적대비1010 3 2" xfId="5039"/>
    <cellStyle name="C￥AØ_°­´c (2)_광명견적대비1010 3 3" xfId="5040"/>
    <cellStyle name="Ç¥ÁØ_°­´ç (2)_광명견적대비1010 3 3" xfId="5041"/>
    <cellStyle name="C￥AØ_°­´c (2)_광명견적대비1010 30" xfId="5042"/>
    <cellStyle name="Ç¥ÁØ_°­´ç (2)_광명견적대비1010 30" xfId="5043"/>
    <cellStyle name="C￥AØ_°­´c (2)_광명견적대비1010 30 2" xfId="5044"/>
    <cellStyle name="Ç¥ÁØ_°­´ç (2)_광명견적대비1010 30 2" xfId="5045"/>
    <cellStyle name="C￥AØ_°­´c (2)_광명견적대비1010 30 3" xfId="5046"/>
    <cellStyle name="Ç¥ÁØ_°­´ç (2)_광명견적대비1010 30 3" xfId="5047"/>
    <cellStyle name="C￥AØ_°­´c (2)_광명견적대비1010 31" xfId="5048"/>
    <cellStyle name="Ç¥ÁØ_°­´ç (2)_광명견적대비1010 31" xfId="5049"/>
    <cellStyle name="C￥AØ_°­´c (2)_광명견적대비1010 31 2" xfId="5050"/>
    <cellStyle name="Ç¥ÁØ_°­´ç (2)_광명견적대비1010 31 2" xfId="5051"/>
    <cellStyle name="C￥AØ_°­´c (2)_광명견적대비1010 31 3" xfId="5052"/>
    <cellStyle name="Ç¥ÁØ_°­´ç (2)_광명견적대비1010 31 3" xfId="5053"/>
    <cellStyle name="C￥AØ_°­´c (2)_광명견적대비1010 32" xfId="5054"/>
    <cellStyle name="Ç¥ÁØ_°­´ç (2)_광명견적대비1010 32" xfId="5055"/>
    <cellStyle name="C￥AØ_°­´c (2)_광명견적대비1010 32 2" xfId="5056"/>
    <cellStyle name="Ç¥ÁØ_°­´ç (2)_광명견적대비1010 32 2" xfId="5057"/>
    <cellStyle name="C￥AØ_°­´c (2)_광명견적대비1010 32 3" xfId="5058"/>
    <cellStyle name="Ç¥ÁØ_°­´ç (2)_광명견적대비1010 32 3" xfId="5059"/>
    <cellStyle name="C￥AØ_°­´c (2)_광명견적대비1010 33" xfId="5060"/>
    <cellStyle name="Ç¥ÁØ_°­´ç (2)_광명견적대비1010 33" xfId="5061"/>
    <cellStyle name="C￥AØ_°­´c (2)_광명견적대비1010 33 2" xfId="5062"/>
    <cellStyle name="Ç¥ÁØ_°­´ç (2)_광명견적대비1010 33 2" xfId="5063"/>
    <cellStyle name="C￥AØ_°­´c (2)_광명견적대비1010 33 3" xfId="5064"/>
    <cellStyle name="Ç¥ÁØ_°­´ç (2)_광명견적대비1010 33 3" xfId="5065"/>
    <cellStyle name="C￥AØ_°­´c (2)_광명견적대비1010 34" xfId="5066"/>
    <cellStyle name="Ç¥ÁØ_°­´ç (2)_광명견적대비1010 34" xfId="5067"/>
    <cellStyle name="C￥AØ_°­´c (2)_광명견적대비1010 34 2" xfId="5068"/>
    <cellStyle name="Ç¥ÁØ_°­´ç (2)_광명견적대비1010 34 2" xfId="5069"/>
    <cellStyle name="C￥AØ_°­´c (2)_광명견적대비1010 34 3" xfId="5070"/>
    <cellStyle name="Ç¥ÁØ_°­´ç (2)_광명견적대비1010 34 3" xfId="5071"/>
    <cellStyle name="C￥AØ_°­´c (2)_광명견적대비1010 35" xfId="5072"/>
    <cellStyle name="Ç¥ÁØ_°­´ç (2)_광명견적대비1010 35" xfId="5073"/>
    <cellStyle name="C￥AØ_°­´c (2)_광명견적대비1010 35 2" xfId="5074"/>
    <cellStyle name="Ç¥ÁØ_°­´ç (2)_광명견적대비1010 35 2" xfId="5075"/>
    <cellStyle name="C￥AØ_°­´c (2)_광명견적대비1010 35 3" xfId="5076"/>
    <cellStyle name="Ç¥ÁØ_°­´ç (2)_광명견적대비1010 35 3" xfId="5077"/>
    <cellStyle name="C￥AØ_°­´c (2)_광명견적대비1010 36" xfId="5078"/>
    <cellStyle name="Ç¥ÁØ_°­´ç (2)_광명견적대비1010 36" xfId="5079"/>
    <cellStyle name="C￥AØ_°­´c (2)_광명견적대비1010 36 2" xfId="5080"/>
    <cellStyle name="Ç¥ÁØ_°­´ç (2)_광명견적대비1010 36 2" xfId="5081"/>
    <cellStyle name="C￥AØ_°­´c (2)_광명견적대비1010 36 3" xfId="5082"/>
    <cellStyle name="Ç¥ÁØ_°­´ç (2)_광명견적대비1010 36 3" xfId="5083"/>
    <cellStyle name="C￥AØ_°­´c (2)_광명견적대비1010 37" xfId="5084"/>
    <cellStyle name="Ç¥ÁØ_°­´ç (2)_광명견적대비1010 37" xfId="5085"/>
    <cellStyle name="C￥AØ_°­´c (2)_광명견적대비1010 37 2" xfId="5086"/>
    <cellStyle name="Ç¥ÁØ_°­´ç (2)_광명견적대비1010 37 2" xfId="5087"/>
    <cellStyle name="C￥AØ_°­´c (2)_광명견적대비1010 37 3" xfId="5088"/>
    <cellStyle name="Ç¥ÁØ_°­´ç (2)_광명견적대비1010 37 3" xfId="5089"/>
    <cellStyle name="C￥AØ_°­´c (2)_광명견적대비1010 38" xfId="5090"/>
    <cellStyle name="Ç¥ÁØ_°­´ç (2)_광명견적대비1010 38" xfId="5091"/>
    <cellStyle name="C￥AØ_°­´c (2)_광명견적대비1010 38 2" xfId="5092"/>
    <cellStyle name="Ç¥ÁØ_°­´ç (2)_광명견적대비1010 38 2" xfId="5093"/>
    <cellStyle name="C￥AØ_°­´c (2)_광명견적대비1010 38 3" xfId="5094"/>
    <cellStyle name="Ç¥ÁØ_°­´ç (2)_광명견적대비1010 38 3" xfId="5095"/>
    <cellStyle name="C￥AØ_°­´c (2)_광명견적대비1010 39" xfId="5096"/>
    <cellStyle name="Ç¥ÁØ_°­´ç (2)_광명견적대비1010 39" xfId="5097"/>
    <cellStyle name="C￥AØ_°­´c (2)_광명견적대비1010 39 2" xfId="5098"/>
    <cellStyle name="Ç¥ÁØ_°­´ç (2)_광명견적대비1010 39 2" xfId="5099"/>
    <cellStyle name="C￥AØ_°­´c (2)_광명견적대비1010 39 3" xfId="5100"/>
    <cellStyle name="Ç¥ÁØ_°­´ç (2)_광명견적대비1010 39 3" xfId="5101"/>
    <cellStyle name="C￥AØ_°­´c (2)_광명견적대비1010 4" xfId="5102"/>
    <cellStyle name="Ç¥ÁØ_°­´ç (2)_광명견적대비1010 4" xfId="5103"/>
    <cellStyle name="C￥AØ_°­´c (2)_광명견적대비1010 4 2" xfId="5104"/>
    <cellStyle name="Ç¥ÁØ_°­´ç (2)_광명견적대비1010 4 2" xfId="5105"/>
    <cellStyle name="C￥AØ_°­´c (2)_광명견적대비1010 4 3" xfId="5106"/>
    <cellStyle name="Ç¥ÁØ_°­´ç (2)_광명견적대비1010 4 3" xfId="5107"/>
    <cellStyle name="C￥AØ_°­´c (2)_광명견적대비1010 40" xfId="5108"/>
    <cellStyle name="Ç¥ÁØ_°­´ç (2)_광명견적대비1010 40" xfId="5109"/>
    <cellStyle name="C￥AØ_°­´c (2)_광명견적대비1010 40 2" xfId="5110"/>
    <cellStyle name="Ç¥ÁØ_°­´ç (2)_광명견적대비1010 40 2" xfId="5111"/>
    <cellStyle name="C￥AØ_°­´c (2)_광명견적대비1010 40 3" xfId="5112"/>
    <cellStyle name="Ç¥ÁØ_°­´ç (2)_광명견적대비1010 40 3" xfId="5113"/>
    <cellStyle name="C￥AØ_°­´c (2)_광명견적대비1010 41" xfId="5114"/>
    <cellStyle name="Ç¥ÁØ_°­´ç (2)_광명견적대비1010 41" xfId="5115"/>
    <cellStyle name="C￥AØ_°­´c (2)_광명견적대비1010 41 2" xfId="5116"/>
    <cellStyle name="Ç¥ÁØ_°­´ç (2)_광명견적대비1010 41 2" xfId="5117"/>
    <cellStyle name="C￥AØ_°­´c (2)_광명견적대비1010 41 3" xfId="5118"/>
    <cellStyle name="Ç¥ÁØ_°­´ç (2)_광명견적대비1010 41 3" xfId="5119"/>
    <cellStyle name="C￥AØ_°­´c (2)_광명견적대비1010 42" xfId="5120"/>
    <cellStyle name="Ç¥ÁØ_°­´ç (2)_광명견적대비1010 42" xfId="5121"/>
    <cellStyle name="C￥AØ_°­´c (2)_광명견적대비1010 42 2" xfId="5122"/>
    <cellStyle name="Ç¥ÁØ_°­´ç (2)_광명견적대비1010 42 2" xfId="5123"/>
    <cellStyle name="C￥AØ_°­´c (2)_광명견적대비1010 42 3" xfId="5124"/>
    <cellStyle name="Ç¥ÁØ_°­´ç (2)_광명견적대비1010 42 3" xfId="5125"/>
    <cellStyle name="C￥AØ_°­´c (2)_광명견적대비1010 43" xfId="5126"/>
    <cellStyle name="Ç¥ÁØ_°­´ç (2)_광명견적대비1010 43" xfId="5127"/>
    <cellStyle name="C￥AØ_°­´c (2)_광명견적대비1010 43 2" xfId="5128"/>
    <cellStyle name="Ç¥ÁØ_°­´ç (2)_광명견적대비1010 43 2" xfId="5129"/>
    <cellStyle name="C￥AØ_°­´c (2)_광명견적대비1010 43 3" xfId="5130"/>
    <cellStyle name="Ç¥ÁØ_°­´ç (2)_광명견적대비1010 43 3" xfId="5131"/>
    <cellStyle name="C￥AØ_°­´c (2)_광명견적대비1010 44" xfId="5132"/>
    <cellStyle name="Ç¥ÁØ_°­´ç (2)_광명견적대비1010 44" xfId="5133"/>
    <cellStyle name="C￥AØ_°­´c (2)_광명견적대비1010 44 2" xfId="5134"/>
    <cellStyle name="Ç¥ÁØ_°­´ç (2)_광명견적대비1010 44 2" xfId="5135"/>
    <cellStyle name="C￥AØ_°­´c (2)_광명견적대비1010 44 3" xfId="5136"/>
    <cellStyle name="Ç¥ÁØ_°­´ç (2)_광명견적대비1010 44 3" xfId="5137"/>
    <cellStyle name="C￥AØ_°­´c (2)_광명견적대비1010 45" xfId="5138"/>
    <cellStyle name="Ç¥ÁØ_°­´ç (2)_광명견적대비1010 45" xfId="5139"/>
    <cellStyle name="C￥AØ_°­´c (2)_광명견적대비1010 45 2" xfId="5140"/>
    <cellStyle name="Ç¥ÁØ_°­´ç (2)_광명견적대비1010 45 2" xfId="5141"/>
    <cellStyle name="C￥AØ_°­´c (2)_광명견적대비1010 45 3" xfId="5142"/>
    <cellStyle name="Ç¥ÁØ_°­´ç (2)_광명견적대비1010 45 3" xfId="5143"/>
    <cellStyle name="C￥AØ_°­´c (2)_광명견적대비1010 46" xfId="5144"/>
    <cellStyle name="Ç¥ÁØ_°­´ç (2)_광명견적대비1010 46" xfId="5145"/>
    <cellStyle name="C￥AØ_°­´c (2)_광명견적대비1010 46 2" xfId="5146"/>
    <cellStyle name="Ç¥ÁØ_°­´ç (2)_광명견적대비1010 46 2" xfId="5147"/>
    <cellStyle name="C￥AØ_°­´c (2)_광명견적대비1010 46 3" xfId="5148"/>
    <cellStyle name="Ç¥ÁØ_°­´ç (2)_광명견적대비1010 46 3" xfId="5149"/>
    <cellStyle name="C￥AØ_°­´c (2)_광명견적대비1010 5" xfId="5150"/>
    <cellStyle name="Ç¥ÁØ_°­´ç (2)_광명견적대비1010 5" xfId="5151"/>
    <cellStyle name="C￥AØ_°­´c (2)_광명견적대비1010 5 2" xfId="5152"/>
    <cellStyle name="Ç¥ÁØ_°­´ç (2)_광명견적대비1010 5 2" xfId="5153"/>
    <cellStyle name="C￥AØ_°­´c (2)_광명견적대비1010 5 3" xfId="5154"/>
    <cellStyle name="Ç¥ÁØ_°­´ç (2)_광명견적대비1010 5 3" xfId="5155"/>
    <cellStyle name="C￥AØ_°­´c (2)_광명견적대비1010 6" xfId="5156"/>
    <cellStyle name="Ç¥ÁØ_°­´ç (2)_광명견적대비1010 6" xfId="5157"/>
    <cellStyle name="C￥AØ_°­´c (2)_광명견적대비1010 6 2" xfId="5158"/>
    <cellStyle name="Ç¥ÁØ_°­´ç (2)_광명견적대비1010 6 2" xfId="5159"/>
    <cellStyle name="C￥AØ_°­´c (2)_광명견적대비1010 6 3" xfId="5160"/>
    <cellStyle name="Ç¥ÁØ_°­´ç (2)_광명견적대비1010 6 3" xfId="5161"/>
    <cellStyle name="C￥AØ_°­´c (2)_광명견적대비1010 7" xfId="5162"/>
    <cellStyle name="Ç¥ÁØ_°­´ç (2)_광명견적대비1010 7" xfId="5163"/>
    <cellStyle name="C￥AØ_°­´c (2)_광명견적대비1010 7 2" xfId="5164"/>
    <cellStyle name="Ç¥ÁØ_°­´ç (2)_광명견적대비1010 7 2" xfId="5165"/>
    <cellStyle name="C￥AØ_°­´c (2)_광명견적대비1010 7 3" xfId="5166"/>
    <cellStyle name="Ç¥ÁØ_°­´ç (2)_광명견적대비1010 7 3" xfId="5167"/>
    <cellStyle name="C￥AØ_°­´c (2)_광명견적대비1010 8" xfId="5168"/>
    <cellStyle name="Ç¥ÁØ_°­´ç (2)_광명견적대비1010 8" xfId="5169"/>
    <cellStyle name="C￥AØ_°­´c (2)_광명견적대비1010 8 2" xfId="5170"/>
    <cellStyle name="Ç¥ÁØ_°­´ç (2)_광명견적대비1010 8 2" xfId="5171"/>
    <cellStyle name="C￥AØ_°­´c (2)_광명견적대비1010 8 3" xfId="5172"/>
    <cellStyle name="Ç¥ÁØ_°­´ç (2)_광명견적대비1010 8 3" xfId="5173"/>
    <cellStyle name="C￥AØ_°­´c (2)_광명견적대비1010 9" xfId="5174"/>
    <cellStyle name="Ç¥ÁØ_°­´ç (2)_광명견적대비1010 9" xfId="5175"/>
    <cellStyle name="C￥AØ_°­´c (2)_광명견적대비1010 9 2" xfId="5176"/>
    <cellStyle name="Ç¥ÁØ_°­´ç (2)_광명견적대비1010 9 2" xfId="5177"/>
    <cellStyle name="C￥AØ_°­´c (2)_광명견적대비1010 9 3" xfId="5178"/>
    <cellStyle name="Ç¥ÁØ_°­´ç (2)_광명견적대비1010 9 3" xfId="5179"/>
    <cellStyle name="C￥AØ_°­´c (2)_광명견적대비1010_롯데 일산점 무대조명_총괄표_100503_수정" xfId="5180"/>
    <cellStyle name="Ç¥ÁØ_°­´ç (2)_광명견적대비1010_롯데 일산점 무대조명_총괄표_100503_수정" xfId="5181"/>
    <cellStyle name="C￥AØ_°­´c (2)_광명견적대비1010_롯데 일산점 무대조명_총괄표_100503_수정 2" xfId="5182"/>
    <cellStyle name="Ç¥ÁØ_°­´ç (2)_광명견적대비1010_롯데 일산점 무대조명_총괄표_100503_수정 2" xfId="5183"/>
    <cellStyle name="C￥AØ_°­´c (2)_광명견적대비1010_롯데 일산점 무대조명_총괄표_100503_수정 3" xfId="5184"/>
    <cellStyle name="Ç¥ÁØ_°­´ç (2)_광명견적대비1010_롯데 일산점 무대조명_총괄표_100503_수정 3" xfId="5185"/>
    <cellStyle name="C￥AØ_°­´c (2)_광명관급" xfId="5186"/>
    <cellStyle name="Ç¥ÁØ_°­´ç (2)_광명관급" xfId="5187"/>
    <cellStyle name="C￥AØ_°­´c (2)_광명관급 2" xfId="5188"/>
    <cellStyle name="Ç¥ÁØ_°­´ç (2)_광명관급 2" xfId="5189"/>
    <cellStyle name="C￥AØ_°­´c (2)_광명관급 2 2" xfId="5190"/>
    <cellStyle name="Ç¥ÁØ_°­´ç (2)_광명관급 3" xfId="5191"/>
    <cellStyle name="C￥AØ_°­´c (2)_광명관급 4" xfId="5192"/>
    <cellStyle name="Ç¥ÁØ_°­´ç (2)_금광" xfId="5193"/>
    <cellStyle name="C￥AØ_°­´c (2)_금광 2" xfId="5194"/>
    <cellStyle name="Ç¥ÁØ_°­´ç (2)_금광 2" xfId="5195"/>
    <cellStyle name="C￥AØ_°­´c (2)_금광 2 10" xfId="5196"/>
    <cellStyle name="Ç¥ÁØ_°­´ç (2)_금광 2 2" xfId="5197"/>
    <cellStyle name="C￥AØ_°­´c (2)_금광 2 3" xfId="5198"/>
    <cellStyle name="Ç¥ÁØ_°­´ç (2)_금광 2 3" xfId="5199"/>
    <cellStyle name="C￥AØ_°­´c (2)_삼사" xfId="5200"/>
    <cellStyle name="Ç¥ÁØ_°­´ç (2)_삼사" xfId="5201"/>
    <cellStyle name="C￥AØ_°­´c (2)_삼사 10" xfId="5202"/>
    <cellStyle name="Ç¥ÁØ_°­´ç (2)_삼사 10" xfId="5203"/>
    <cellStyle name="C￥AØ_°­´c (2)_삼사 10 2" xfId="5204"/>
    <cellStyle name="Ç¥ÁØ_°­´ç (2)_삼사 10 2" xfId="5205"/>
    <cellStyle name="C￥AØ_°­´c (2)_삼사 10 3" xfId="5206"/>
    <cellStyle name="Ç¥ÁØ_°­´ç (2)_삼사 10 3" xfId="5207"/>
    <cellStyle name="C￥AØ_°­´c (2)_삼사 11" xfId="5208"/>
    <cellStyle name="Ç¥ÁØ_°­´ç (2)_삼사 11" xfId="5209"/>
    <cellStyle name="C￥AØ_°­´c (2)_삼사 11 2" xfId="5210"/>
    <cellStyle name="Ç¥ÁØ_°­´ç (2)_삼사 11 2" xfId="5211"/>
    <cellStyle name="C￥AØ_°­´c (2)_삼사 11 3" xfId="5212"/>
    <cellStyle name="Ç¥ÁØ_°­´ç (2)_삼사 11 3" xfId="5213"/>
    <cellStyle name="C￥AØ_°­´c (2)_삼사 12" xfId="5214"/>
    <cellStyle name="Ç¥ÁØ_°­´ç (2)_삼사 12" xfId="5215"/>
    <cellStyle name="C￥AØ_°­´c (2)_삼사 12 2" xfId="5216"/>
    <cellStyle name="Ç¥ÁØ_°­´ç (2)_삼사 12 2" xfId="5217"/>
    <cellStyle name="C￥AØ_°­´c (2)_삼사 12 3" xfId="5218"/>
    <cellStyle name="Ç¥ÁØ_°­´ç (2)_삼사 12 3" xfId="5219"/>
    <cellStyle name="C￥AØ_°­´c (2)_삼사 13" xfId="5220"/>
    <cellStyle name="Ç¥ÁØ_°­´ç (2)_삼사 13" xfId="5221"/>
    <cellStyle name="C￥AØ_°­´c (2)_삼사 13 2" xfId="5222"/>
    <cellStyle name="Ç¥ÁØ_°­´ç (2)_삼사 13 2" xfId="5223"/>
    <cellStyle name="C￥AØ_°­´c (2)_삼사 13 3" xfId="5224"/>
    <cellStyle name="Ç¥ÁØ_°­´ç (2)_삼사 13 3" xfId="5225"/>
    <cellStyle name="C￥AØ_°­´c (2)_삼사 14" xfId="5226"/>
    <cellStyle name="Ç¥ÁØ_°­´ç (2)_삼사 14" xfId="5227"/>
    <cellStyle name="C￥AØ_°­´c (2)_삼사 14 2" xfId="5228"/>
    <cellStyle name="Ç¥ÁØ_°­´ç (2)_삼사 14 2" xfId="5229"/>
    <cellStyle name="C￥AØ_°­´c (2)_삼사 14 3" xfId="5230"/>
    <cellStyle name="Ç¥ÁØ_°­´ç (2)_삼사 14 3" xfId="5231"/>
    <cellStyle name="C￥AØ_°­´c (2)_삼사 15" xfId="5232"/>
    <cellStyle name="Ç¥ÁØ_°­´ç (2)_삼사 15" xfId="5233"/>
    <cellStyle name="C￥AØ_°­´c (2)_삼사 15 2" xfId="5234"/>
    <cellStyle name="Ç¥ÁØ_°­´ç (2)_삼사 15 2" xfId="5235"/>
    <cellStyle name="C￥AØ_°­´c (2)_삼사 15 3" xfId="5236"/>
    <cellStyle name="Ç¥ÁØ_°­´ç (2)_삼사 15 3" xfId="5237"/>
    <cellStyle name="C￥AØ_°­´c (2)_삼사 16" xfId="5238"/>
    <cellStyle name="Ç¥ÁØ_°­´ç (2)_삼사 16" xfId="5239"/>
    <cellStyle name="C￥AØ_°­´c (2)_삼사 16 2" xfId="5240"/>
    <cellStyle name="Ç¥ÁØ_°­´ç (2)_삼사 16 2" xfId="5241"/>
    <cellStyle name="C￥AØ_°­´c (2)_삼사 16 3" xfId="5242"/>
    <cellStyle name="Ç¥ÁØ_°­´ç (2)_삼사 16 3" xfId="5243"/>
    <cellStyle name="C￥AØ_°­´c (2)_삼사 17" xfId="5244"/>
    <cellStyle name="Ç¥ÁØ_°­´ç (2)_삼사 17" xfId="5245"/>
    <cellStyle name="C￥AØ_°­´c (2)_삼사 17 2" xfId="5246"/>
    <cellStyle name="Ç¥ÁØ_°­´ç (2)_삼사 17 2" xfId="5247"/>
    <cellStyle name="C￥AØ_°­´c (2)_삼사 17 3" xfId="5248"/>
    <cellStyle name="Ç¥ÁØ_°­´ç (2)_삼사 17 3" xfId="5249"/>
    <cellStyle name="C￥AØ_°­´c (2)_삼사 18" xfId="5250"/>
    <cellStyle name="Ç¥ÁØ_°­´ç (2)_삼사 18" xfId="5251"/>
    <cellStyle name="C￥AØ_°­´c (2)_삼사 18 2" xfId="5252"/>
    <cellStyle name="Ç¥ÁØ_°­´ç (2)_삼사 18 2" xfId="5253"/>
    <cellStyle name="C￥AØ_°­´c (2)_삼사 18 3" xfId="5254"/>
    <cellStyle name="Ç¥ÁØ_°­´ç (2)_삼사 18 3" xfId="5255"/>
    <cellStyle name="C￥AØ_°­´c (2)_삼사 19" xfId="5256"/>
    <cellStyle name="Ç¥ÁØ_°­´ç (2)_삼사 19" xfId="5257"/>
    <cellStyle name="C￥AØ_°­´c (2)_삼사 19 2" xfId="5258"/>
    <cellStyle name="Ç¥ÁØ_°­´ç (2)_삼사 19 2" xfId="5259"/>
    <cellStyle name="C￥AØ_°­´c (2)_삼사 19 3" xfId="5260"/>
    <cellStyle name="Ç¥ÁØ_°­´ç (2)_삼사 19 3" xfId="5261"/>
    <cellStyle name="C￥AØ_°­´c (2)_삼사 2" xfId="5262"/>
    <cellStyle name="Ç¥ÁØ_°­´ç (2)_삼사 2" xfId="5263"/>
    <cellStyle name="C￥AØ_°­´c (2)_삼사 2 10" xfId="5264"/>
    <cellStyle name="Ç¥ÁØ_°­´ç (2)_삼사 2 2" xfId="5265"/>
    <cellStyle name="C￥AØ_°­´c (2)_삼사 2 3" xfId="5266"/>
    <cellStyle name="Ç¥ÁØ_°­´ç (2)_삼사 2 3" xfId="5267"/>
    <cellStyle name="C￥AØ_°­´c (2)_삼사 20" xfId="5268"/>
    <cellStyle name="Ç¥ÁØ_°­´ç (2)_삼사 20" xfId="5269"/>
    <cellStyle name="C￥AØ_°­´c (2)_삼사 21" xfId="5270"/>
    <cellStyle name="Ç¥ÁØ_°­´ç (2)_삼사 21" xfId="5271"/>
    <cellStyle name="C￥AØ_°­´c (2)_삼사 21 2" xfId="5272"/>
    <cellStyle name="Ç¥ÁØ_°­´ç (2)_삼사 21 2" xfId="5273"/>
    <cellStyle name="C￥AØ_°­´c (2)_삼사 21 3" xfId="5274"/>
    <cellStyle name="Ç¥ÁØ_°­´ç (2)_삼사 21 3" xfId="5275"/>
    <cellStyle name="C￥AØ_°­´c (2)_삼사 22" xfId="5276"/>
    <cellStyle name="Ç¥ÁØ_°­´ç (2)_삼사 22" xfId="5277"/>
    <cellStyle name="C￥AØ_°­´c (2)_삼사 22 2" xfId="5278"/>
    <cellStyle name="Ç¥ÁØ_°­´ç (2)_삼사 22 2" xfId="5279"/>
    <cellStyle name="C￥AØ_°­´c (2)_삼사 22 3" xfId="5280"/>
    <cellStyle name="Ç¥ÁØ_°­´ç (2)_삼사 22 3" xfId="5281"/>
    <cellStyle name="C￥AØ_°­´c (2)_삼사 23" xfId="5282"/>
    <cellStyle name="Ç¥ÁØ_°­´ç (2)_삼사 23" xfId="5283"/>
    <cellStyle name="C￥AØ_°­´c (2)_삼사 23 2" xfId="5284"/>
    <cellStyle name="Ç¥ÁØ_°­´ç (2)_삼사 23 2" xfId="5285"/>
    <cellStyle name="C￥AØ_°­´c (2)_삼사 23 3" xfId="5286"/>
    <cellStyle name="Ç¥ÁØ_°­´ç (2)_삼사 23 3" xfId="5287"/>
    <cellStyle name="C￥AØ_°­´c (2)_삼사 24" xfId="5288"/>
    <cellStyle name="Ç¥ÁØ_°­´ç (2)_삼사 24" xfId="5289"/>
    <cellStyle name="C￥AØ_°­´c (2)_삼사 24 2" xfId="5290"/>
    <cellStyle name="Ç¥ÁØ_°­´ç (2)_삼사 24 2" xfId="5291"/>
    <cellStyle name="C￥AØ_°­´c (2)_삼사 24 3" xfId="5292"/>
    <cellStyle name="Ç¥ÁØ_°­´ç (2)_삼사 24 3" xfId="5293"/>
    <cellStyle name="C￥AØ_°­´c (2)_삼사 25" xfId="5294"/>
    <cellStyle name="Ç¥ÁØ_°­´ç (2)_삼사 25" xfId="5295"/>
    <cellStyle name="C￥AØ_°­´c (2)_삼사 25 2" xfId="5296"/>
    <cellStyle name="Ç¥ÁØ_°­´ç (2)_삼사 25 2" xfId="5297"/>
    <cellStyle name="C￥AØ_°­´c (2)_삼사 25 3" xfId="5298"/>
    <cellStyle name="Ç¥ÁØ_°­´ç (2)_삼사 25 3" xfId="5299"/>
    <cellStyle name="C￥AØ_°­´c (2)_삼사 26" xfId="5300"/>
    <cellStyle name="Ç¥ÁØ_°­´ç (2)_삼사 26" xfId="5301"/>
    <cellStyle name="C￥AØ_°­´c (2)_삼사 26 2" xfId="5302"/>
    <cellStyle name="Ç¥ÁØ_°­´ç (2)_삼사 26 2" xfId="5303"/>
    <cellStyle name="C￥AØ_°­´c (2)_삼사 26 3" xfId="5304"/>
    <cellStyle name="Ç¥ÁØ_°­´ç (2)_삼사 26 3" xfId="5305"/>
    <cellStyle name="C￥AØ_°­´c (2)_삼사 27" xfId="5306"/>
    <cellStyle name="Ç¥ÁØ_°­´ç (2)_삼사 27" xfId="5307"/>
    <cellStyle name="C￥AØ_°­´c (2)_삼사 27 2" xfId="5308"/>
    <cellStyle name="Ç¥ÁØ_°­´ç (2)_삼사 27 2" xfId="5309"/>
    <cellStyle name="C￥AØ_°­´c (2)_삼사 27 3" xfId="5310"/>
    <cellStyle name="Ç¥ÁØ_°­´ç (2)_삼사 27 3" xfId="5311"/>
    <cellStyle name="C￥AØ_°­´c (2)_삼사 28" xfId="5312"/>
    <cellStyle name="Ç¥ÁØ_°­´ç (2)_삼사 28" xfId="5313"/>
    <cellStyle name="C￥AØ_°­´c (2)_삼사 28 2" xfId="5314"/>
    <cellStyle name="Ç¥ÁØ_°­´ç (2)_삼사 28 2" xfId="5315"/>
    <cellStyle name="C￥AØ_°­´c (2)_삼사 28 3" xfId="5316"/>
    <cellStyle name="Ç¥ÁØ_°­´ç (2)_삼사 28 3" xfId="5317"/>
    <cellStyle name="C￥AØ_°­´c (2)_삼사 29" xfId="5318"/>
    <cellStyle name="Ç¥ÁØ_°­´ç (2)_삼사 29" xfId="5319"/>
    <cellStyle name="C￥AØ_°­´c (2)_삼사 29 2" xfId="5320"/>
    <cellStyle name="Ç¥ÁØ_°­´ç (2)_삼사 29 2" xfId="5321"/>
    <cellStyle name="C￥AØ_°­´c (2)_삼사 29 3" xfId="5322"/>
    <cellStyle name="Ç¥ÁØ_°­´ç (2)_삼사 29 3" xfId="5323"/>
    <cellStyle name="C￥AØ_°­´c (2)_삼사 3" xfId="5324"/>
    <cellStyle name="Ç¥ÁØ_°­´ç (2)_삼사 3" xfId="5325"/>
    <cellStyle name="C￥AØ_°­´c (2)_삼사 3 2" xfId="5326"/>
    <cellStyle name="Ç¥ÁØ_°­´ç (2)_삼사 3 2" xfId="5327"/>
    <cellStyle name="C￥AØ_°­´c (2)_삼사 3 3" xfId="5328"/>
    <cellStyle name="Ç¥ÁØ_°­´ç (2)_삼사 3 3" xfId="5329"/>
    <cellStyle name="C￥AØ_°­´c (2)_삼사 3_방통환경공사견적제출" xfId="5330"/>
    <cellStyle name="Ç¥ÁØ_°­´ç (2)_삼사 3_방통환경공사견적제출" xfId="5331"/>
    <cellStyle name="C￥AØ_°­´c (2)_삼사 3_방통환경공사견적제출 2" xfId="5332"/>
    <cellStyle name="Ç¥ÁØ_°­´ç (2)_삼사 3_방통환경공사견적제출 2" xfId="5333"/>
    <cellStyle name="C￥AØ_°­´c (2)_삼사 3_방통환경공사견적제출 3" xfId="5334"/>
    <cellStyle name="Ç¥ÁØ_°­´ç (2)_삼사 3_방통환경공사견적제출 3" xfId="5335"/>
    <cellStyle name="C￥AØ_°­´c (2)_삼사 3_방통환경내역산출" xfId="5336"/>
    <cellStyle name="Ç¥ÁØ_°­´ç (2)_삼사 3_방통환경내역산출" xfId="5337"/>
    <cellStyle name="C￥AØ_°­´c (2)_삼사 3_방통환경내역산출 2" xfId="5338"/>
    <cellStyle name="Ç¥ÁØ_°­´ç (2)_삼사 3_방통환경내역산출 2" xfId="5339"/>
    <cellStyle name="C￥AØ_°­´c (2)_삼사 3_방통환경내역산출 3" xfId="5340"/>
    <cellStyle name="Ç¥ÁØ_°­´ç (2)_삼사 3_방통환경내역산출 3" xfId="5341"/>
    <cellStyle name="C￥AØ_°­´c (2)_삼사 30" xfId="5342"/>
    <cellStyle name="Ç¥ÁØ_°­´ç (2)_삼사 30" xfId="5343"/>
    <cellStyle name="C￥AØ_°­´c (2)_삼사 30 2" xfId="5344"/>
    <cellStyle name="Ç¥ÁØ_°­´ç (2)_삼사 30 2" xfId="5345"/>
    <cellStyle name="C￥AØ_°­´c (2)_삼사 30 3" xfId="5346"/>
    <cellStyle name="Ç¥ÁØ_°­´ç (2)_삼사 30 3" xfId="5347"/>
    <cellStyle name="C￥AØ_°­´c (2)_삼사 31" xfId="5348"/>
    <cellStyle name="Ç¥ÁØ_°­´ç (2)_삼사 31" xfId="5349"/>
    <cellStyle name="C￥AØ_°­´c (2)_삼사 31 2" xfId="5350"/>
    <cellStyle name="Ç¥ÁØ_°­´ç (2)_삼사 31 2" xfId="5351"/>
    <cellStyle name="C￥AØ_°­´c (2)_삼사 31 3" xfId="5352"/>
    <cellStyle name="Ç¥ÁØ_°­´ç (2)_삼사 31 3" xfId="5353"/>
    <cellStyle name="C￥AØ_°­´c (2)_삼사 32" xfId="5354"/>
    <cellStyle name="Ç¥ÁØ_°­´ç (2)_삼사 32" xfId="5355"/>
    <cellStyle name="C￥AØ_°­´c (2)_삼사 32 2" xfId="5356"/>
    <cellStyle name="Ç¥ÁØ_°­´ç (2)_삼사 32 2" xfId="5357"/>
    <cellStyle name="C￥AØ_°­´c (2)_삼사 32 3" xfId="5358"/>
    <cellStyle name="Ç¥ÁØ_°­´ç (2)_삼사 32 3" xfId="5359"/>
    <cellStyle name="C￥AØ_°­´c (2)_삼사 33" xfId="5360"/>
    <cellStyle name="Ç¥ÁØ_°­´ç (2)_삼사 33" xfId="5361"/>
    <cellStyle name="C￥AØ_°­´c (2)_삼사 33 2" xfId="5362"/>
    <cellStyle name="Ç¥ÁØ_°­´ç (2)_삼사 33 2" xfId="5363"/>
    <cellStyle name="C￥AØ_°­´c (2)_삼사 33 3" xfId="5364"/>
    <cellStyle name="Ç¥ÁØ_°­´ç (2)_삼사 33 3" xfId="5365"/>
    <cellStyle name="C￥AØ_°­´c (2)_삼사 34" xfId="5366"/>
    <cellStyle name="Ç¥ÁØ_°­´ç (2)_삼사 34" xfId="5367"/>
    <cellStyle name="C￥AØ_°­´c (2)_삼사 34 2" xfId="5368"/>
    <cellStyle name="Ç¥ÁØ_°­´ç (2)_삼사 34 2" xfId="5369"/>
    <cellStyle name="C￥AØ_°­´c (2)_삼사 34 3" xfId="5370"/>
    <cellStyle name="Ç¥ÁØ_°­´ç (2)_삼사 34 3" xfId="5371"/>
    <cellStyle name="C￥AØ_°­´c (2)_삼사 35" xfId="5372"/>
    <cellStyle name="Ç¥ÁØ_°­´ç (2)_삼사 35" xfId="5373"/>
    <cellStyle name="C￥AØ_°­´c (2)_삼사 35 2" xfId="5374"/>
    <cellStyle name="Ç¥ÁØ_°­´ç (2)_삼사 35 2" xfId="5375"/>
    <cellStyle name="C￥AØ_°­´c (2)_삼사 35 3" xfId="5376"/>
    <cellStyle name="Ç¥ÁØ_°­´ç (2)_삼사 35 3" xfId="5377"/>
    <cellStyle name="C￥AØ_°­´c (2)_삼사 36" xfId="5378"/>
    <cellStyle name="Ç¥ÁØ_°­´ç (2)_삼사 36" xfId="5379"/>
    <cellStyle name="C￥AØ_°­´c (2)_삼사 36 2" xfId="5380"/>
    <cellStyle name="Ç¥ÁØ_°­´ç (2)_삼사 36 2" xfId="5381"/>
    <cellStyle name="C￥AØ_°­´c (2)_삼사 36 3" xfId="5382"/>
    <cellStyle name="Ç¥ÁØ_°­´ç (2)_삼사 36 3" xfId="5383"/>
    <cellStyle name="C￥AØ_°­´c (2)_삼사 37" xfId="5384"/>
    <cellStyle name="Ç¥ÁØ_°­´ç (2)_삼사 37" xfId="5385"/>
    <cellStyle name="C￥AØ_°­´c (2)_삼사 37 2" xfId="5386"/>
    <cellStyle name="Ç¥ÁØ_°­´ç (2)_삼사 37 2" xfId="5387"/>
    <cellStyle name="C￥AØ_°­´c (2)_삼사 37 3" xfId="5388"/>
    <cellStyle name="Ç¥ÁØ_°­´ç (2)_삼사 37 3" xfId="5389"/>
    <cellStyle name="C￥AØ_°­´c (2)_삼사 38" xfId="5390"/>
    <cellStyle name="Ç¥ÁØ_°­´ç (2)_삼사 38" xfId="5391"/>
    <cellStyle name="C￥AØ_°­´c (2)_삼사 38 2" xfId="5392"/>
    <cellStyle name="Ç¥ÁØ_°­´ç (2)_삼사 38 2" xfId="5393"/>
    <cellStyle name="C￥AØ_°­´c (2)_삼사 38 3" xfId="5394"/>
    <cellStyle name="Ç¥ÁØ_°­´ç (2)_삼사 38 3" xfId="5395"/>
    <cellStyle name="C￥AØ_°­´c (2)_삼사 39" xfId="5396"/>
    <cellStyle name="Ç¥ÁØ_°­´ç (2)_삼사 39" xfId="5397"/>
    <cellStyle name="C￥AØ_°­´c (2)_삼사 39 2" xfId="5398"/>
    <cellStyle name="Ç¥ÁØ_°­´ç (2)_삼사 39 2" xfId="5399"/>
    <cellStyle name="C￥AØ_°­´c (2)_삼사 39 3" xfId="5400"/>
    <cellStyle name="Ç¥ÁØ_°­´ç (2)_삼사 39 3" xfId="5401"/>
    <cellStyle name="C￥AØ_°­´c (2)_삼사 4" xfId="5402"/>
    <cellStyle name="Ç¥ÁØ_°­´ç (2)_삼사 4" xfId="5403"/>
    <cellStyle name="C￥AØ_°­´c (2)_삼사 4 2" xfId="5404"/>
    <cellStyle name="Ç¥ÁØ_°­´ç (2)_삼사 4 2" xfId="5405"/>
    <cellStyle name="C￥AØ_°­´c (2)_삼사 4 3" xfId="5406"/>
    <cellStyle name="Ç¥ÁØ_°­´ç (2)_삼사 4 3" xfId="5407"/>
    <cellStyle name="C￥AØ_°­´c (2)_삼사 4_방통환경공사견적제출" xfId="5408"/>
    <cellStyle name="Ç¥ÁØ_°­´ç (2)_삼사 4_방통환경공사견적제출" xfId="5409"/>
    <cellStyle name="C￥AØ_°­´c (2)_삼사 4_방통환경공사견적제출 2" xfId="5410"/>
    <cellStyle name="Ç¥ÁØ_°­´ç (2)_삼사 4_방통환경공사견적제출 2" xfId="5411"/>
    <cellStyle name="C￥AØ_°­´c (2)_삼사 4_방통환경공사견적제출 3" xfId="5412"/>
    <cellStyle name="Ç¥ÁØ_°­´ç (2)_삼사 4_방통환경공사견적제출 3" xfId="5413"/>
    <cellStyle name="C￥AØ_°­´c (2)_삼사 4_방통환경내역산출" xfId="5414"/>
    <cellStyle name="Ç¥ÁØ_°­´ç (2)_삼사 4_방통환경내역산출" xfId="5415"/>
    <cellStyle name="C￥AØ_°­´c (2)_삼사 4_방통환경내역산출 2" xfId="5416"/>
    <cellStyle name="Ç¥ÁØ_°­´ç (2)_삼사 4_방통환경내역산출 2" xfId="5417"/>
    <cellStyle name="C￥AØ_°­´c (2)_삼사 4_방통환경내역산출 3" xfId="5418"/>
    <cellStyle name="Ç¥ÁØ_°­´ç (2)_삼사 4_방통환경내역산출 3" xfId="5419"/>
    <cellStyle name="C￥AØ_°­´c (2)_삼사 40" xfId="5420"/>
    <cellStyle name="Ç¥ÁØ_°­´ç (2)_삼사 40" xfId="5421"/>
    <cellStyle name="C￥AØ_°­´c (2)_삼사 40 2" xfId="5422"/>
    <cellStyle name="Ç¥ÁØ_°­´ç (2)_삼사 40 2" xfId="5423"/>
    <cellStyle name="C￥AØ_°­´c (2)_삼사 40 3" xfId="5424"/>
    <cellStyle name="Ç¥ÁØ_°­´ç (2)_삼사 40 3" xfId="5425"/>
    <cellStyle name="C￥AØ_°­´c (2)_삼사 41" xfId="5426"/>
    <cellStyle name="Ç¥ÁØ_°­´ç (2)_삼사 41" xfId="5427"/>
    <cellStyle name="C￥AØ_°­´c (2)_삼사 41 2" xfId="5428"/>
    <cellStyle name="Ç¥ÁØ_°­´ç (2)_삼사 41 2" xfId="5429"/>
    <cellStyle name="C￥AØ_°­´c (2)_삼사 41 3" xfId="5430"/>
    <cellStyle name="Ç¥ÁØ_°­´ç (2)_삼사 41 3" xfId="5431"/>
    <cellStyle name="C￥AØ_°­´c (2)_삼사 42" xfId="5432"/>
    <cellStyle name="Ç¥ÁØ_°­´ç (2)_삼사 42" xfId="5433"/>
    <cellStyle name="C￥AØ_°­´c (2)_삼사 42 2" xfId="5434"/>
    <cellStyle name="Ç¥ÁØ_°­´ç (2)_삼사 42 2" xfId="5435"/>
    <cellStyle name="C￥AØ_°­´c (2)_삼사 42 3" xfId="5436"/>
    <cellStyle name="Ç¥ÁØ_°­´ç (2)_삼사 42 3" xfId="5437"/>
    <cellStyle name="C￥AØ_°­´c (2)_삼사 43" xfId="5438"/>
    <cellStyle name="Ç¥ÁØ_°­´ç (2)_삼사 43" xfId="5439"/>
    <cellStyle name="C￥AØ_°­´c (2)_삼사 43 2" xfId="5440"/>
    <cellStyle name="Ç¥ÁØ_°­´ç (2)_삼사 43 2" xfId="5441"/>
    <cellStyle name="C￥AØ_°­´c (2)_삼사 43 3" xfId="5442"/>
    <cellStyle name="Ç¥ÁØ_°­´ç (2)_삼사 43 3" xfId="5443"/>
    <cellStyle name="C￥AØ_°­´c (2)_삼사 44" xfId="5444"/>
    <cellStyle name="Ç¥ÁØ_°­´ç (2)_삼사 44" xfId="5445"/>
    <cellStyle name="C￥AØ_°­´c (2)_삼사 44 2" xfId="5446"/>
    <cellStyle name="Ç¥ÁØ_°­´ç (2)_삼사 44 2" xfId="5447"/>
    <cellStyle name="C￥AØ_°­´c (2)_삼사 44 3" xfId="5448"/>
    <cellStyle name="Ç¥ÁØ_°­´ç (2)_삼사 44 3" xfId="5449"/>
    <cellStyle name="C￥AØ_°­´c (2)_삼사 45" xfId="5450"/>
    <cellStyle name="Ç¥ÁØ_°­´ç (2)_삼사 45" xfId="5451"/>
    <cellStyle name="C￥AØ_°­´c (2)_삼사 45 2" xfId="5452"/>
    <cellStyle name="Ç¥ÁØ_°­´ç (2)_삼사 45 2" xfId="5453"/>
    <cellStyle name="C￥AØ_°­´c (2)_삼사 45 3" xfId="5454"/>
    <cellStyle name="Ç¥ÁØ_°­´ç (2)_삼사 45 3" xfId="5455"/>
    <cellStyle name="C￥AØ_°­´c (2)_삼사 46" xfId="5456"/>
    <cellStyle name="Ç¥ÁØ_°­´ç (2)_삼사 46" xfId="5457"/>
    <cellStyle name="C￥AØ_°­´c (2)_삼사 46 2" xfId="5458"/>
    <cellStyle name="Ç¥ÁØ_°­´ç (2)_삼사 46 2" xfId="5459"/>
    <cellStyle name="C￥AØ_°­´c (2)_삼사 46 3" xfId="5460"/>
    <cellStyle name="Ç¥ÁØ_°­´ç (2)_삼사 46 3" xfId="5461"/>
    <cellStyle name="C￥AØ_°­´c (2)_삼사 47" xfId="5462"/>
    <cellStyle name="Ç¥ÁØ_°­´ç (2)_삼사 47" xfId="5463"/>
    <cellStyle name="C￥AØ_°­´c (2)_삼사 5" xfId="5464"/>
    <cellStyle name="Ç¥ÁØ_°­´ç (2)_삼사 5" xfId="5465"/>
    <cellStyle name="C￥AØ_°­´c (2)_삼사 5 2" xfId="5466"/>
    <cellStyle name="Ç¥ÁØ_°­´ç (2)_삼사 5 2" xfId="5467"/>
    <cellStyle name="C￥AØ_°­´c (2)_삼사 5 3" xfId="5468"/>
    <cellStyle name="Ç¥ÁØ_°­´ç (2)_삼사 5 3" xfId="5469"/>
    <cellStyle name="C￥AØ_°­´c (2)_삼사 5_방통환경공사견적제출" xfId="5470"/>
    <cellStyle name="Ç¥ÁØ_°­´ç (2)_삼사 5_방통환경공사견적제출" xfId="5471"/>
    <cellStyle name="C￥AØ_°­´c (2)_삼사 5_방통환경공사견적제출 2" xfId="5472"/>
    <cellStyle name="Ç¥ÁØ_°­´ç (2)_삼사 5_방통환경공사견적제출 2" xfId="5473"/>
    <cellStyle name="C￥AØ_°­´c (2)_삼사 5_방통환경공사견적제출 3" xfId="5474"/>
    <cellStyle name="Ç¥ÁØ_°­´ç (2)_삼사 5_방통환경공사견적제출 3" xfId="5475"/>
    <cellStyle name="C￥AØ_°­´c (2)_삼사 5_방통환경내역산출" xfId="5476"/>
    <cellStyle name="Ç¥ÁØ_°­´ç (2)_삼사 5_방통환경내역산출" xfId="5477"/>
    <cellStyle name="C￥AØ_°­´c (2)_삼사 5_방통환경내역산출 2" xfId="5478"/>
    <cellStyle name="Ç¥ÁØ_°­´ç (2)_삼사 5_방통환경내역산출 2" xfId="5479"/>
    <cellStyle name="C￥AØ_°­´c (2)_삼사 5_방통환경내역산출 3" xfId="5480"/>
    <cellStyle name="Ç¥ÁØ_°­´ç (2)_삼사 5_방통환경내역산출 3" xfId="5481"/>
    <cellStyle name="C￥AØ_°­´c (2)_삼사 6" xfId="5482"/>
    <cellStyle name="Ç¥ÁØ_°­´ç (2)_삼사 6" xfId="5483"/>
    <cellStyle name="C￥AØ_°­´c (2)_삼사 6 2" xfId="5484"/>
    <cellStyle name="Ç¥ÁØ_°­´ç (2)_삼사 6 2" xfId="5485"/>
    <cellStyle name="C￥AØ_°­´c (2)_삼사 6 3" xfId="5486"/>
    <cellStyle name="Ç¥ÁØ_°­´ç (2)_삼사 6 3" xfId="5487"/>
    <cellStyle name="C￥AØ_°­´c (2)_삼사 6_방통환경공사견적제출" xfId="5488"/>
    <cellStyle name="Ç¥ÁØ_°­´ç (2)_삼사 6_방통환경공사견적제출" xfId="5489"/>
    <cellStyle name="C￥AØ_°­´c (2)_삼사 6_방통환경공사견적제출 2" xfId="5490"/>
    <cellStyle name="Ç¥ÁØ_°­´ç (2)_삼사 6_방통환경공사견적제출 2" xfId="5491"/>
    <cellStyle name="C￥AØ_°­´c (2)_삼사 6_방통환경공사견적제출 3" xfId="5492"/>
    <cellStyle name="Ç¥ÁØ_°­´ç (2)_삼사 6_방통환경공사견적제출 3" xfId="5493"/>
    <cellStyle name="C￥AØ_°­´c (2)_삼사 6_방통환경내역산출" xfId="5494"/>
    <cellStyle name="Ç¥ÁØ_°­´ç (2)_삼사 6_방통환경내역산출" xfId="5495"/>
    <cellStyle name="C￥AØ_°­´c (2)_삼사 6_방통환경내역산출 2" xfId="5496"/>
    <cellStyle name="Ç¥ÁØ_°­´ç (2)_삼사 6_방통환경내역산출 2" xfId="5497"/>
    <cellStyle name="C￥AØ_°­´c (2)_삼사 6_방통환경내역산출 3" xfId="5498"/>
    <cellStyle name="Ç¥ÁØ_°­´ç (2)_삼사 6_방통환경내역산출 3" xfId="5499"/>
    <cellStyle name="C￥AØ_°­´c (2)_삼사 7" xfId="5500"/>
    <cellStyle name="Ç¥ÁØ_°­´ç (2)_삼사 7" xfId="5501"/>
    <cellStyle name="C￥AØ_°­´c (2)_삼사 7 2" xfId="5502"/>
    <cellStyle name="Ç¥ÁØ_°­´ç (2)_삼사 7 2" xfId="5503"/>
    <cellStyle name="C￥AØ_°­´c (2)_삼사 7 3" xfId="5504"/>
    <cellStyle name="Ç¥ÁØ_°­´ç (2)_삼사 7 3" xfId="5505"/>
    <cellStyle name="C￥AØ_°­´c (2)_삼사 7_방통환경공사견적제출" xfId="5506"/>
    <cellStyle name="Ç¥ÁØ_°­´ç (2)_삼사 7_방통환경공사견적제출" xfId="5507"/>
    <cellStyle name="C￥AØ_°­´c (2)_삼사 7_방통환경공사견적제출 2" xfId="5508"/>
    <cellStyle name="Ç¥ÁØ_°­´ç (2)_삼사 7_방통환경공사견적제출 2" xfId="5509"/>
    <cellStyle name="C￥AØ_°­´c (2)_삼사 7_방통환경공사견적제출 3" xfId="5510"/>
    <cellStyle name="Ç¥ÁØ_°­´ç (2)_삼사 7_방통환경공사견적제출 3" xfId="5511"/>
    <cellStyle name="C￥AØ_°­´c (2)_삼사 7_방통환경내역산출" xfId="5512"/>
    <cellStyle name="Ç¥ÁØ_°­´ç (2)_삼사 7_방통환경내역산출" xfId="5513"/>
    <cellStyle name="C￥AØ_°­´c (2)_삼사 7_방통환경내역산출 2" xfId="5514"/>
    <cellStyle name="Ç¥ÁØ_°­´ç (2)_삼사 7_방통환경내역산출 2" xfId="5515"/>
    <cellStyle name="C￥AØ_°­´c (2)_삼사 7_방통환경내역산출 3" xfId="5516"/>
    <cellStyle name="Ç¥ÁØ_°­´ç (2)_삼사 7_방통환경내역산출 3" xfId="5517"/>
    <cellStyle name="C￥AØ_°­´c (2)_삼사 8" xfId="5518"/>
    <cellStyle name="Ç¥ÁØ_°­´ç (2)_삼사 8" xfId="5519"/>
    <cellStyle name="C￥AØ_°­´c (2)_삼사 8 2" xfId="5520"/>
    <cellStyle name="Ç¥ÁØ_°­´ç (2)_삼사 8 2" xfId="5521"/>
    <cellStyle name="C￥AØ_°­´c (2)_삼사 8 3" xfId="5522"/>
    <cellStyle name="Ç¥ÁØ_°­´ç (2)_삼사 8 3" xfId="5523"/>
    <cellStyle name="C￥AØ_°­´c (2)_삼사 8_방통환경공사견적제출" xfId="5524"/>
    <cellStyle name="Ç¥ÁØ_°­´ç (2)_삼사 8_방통환경공사견적제출" xfId="5525"/>
    <cellStyle name="C￥AØ_°­´c (2)_삼사 8_방통환경공사견적제출 2" xfId="5526"/>
    <cellStyle name="Ç¥ÁØ_°­´ç (2)_삼사 8_방통환경공사견적제출 2" xfId="5527"/>
    <cellStyle name="C￥AØ_°­´c (2)_삼사 8_방통환경공사견적제출 3" xfId="5528"/>
    <cellStyle name="Ç¥ÁØ_°­´ç (2)_삼사 8_방통환경공사견적제출 3" xfId="5529"/>
    <cellStyle name="C￥AØ_°­´c (2)_삼사 8_방통환경내역산출" xfId="5530"/>
    <cellStyle name="Ç¥ÁØ_°­´ç (2)_삼사 8_방통환경내역산출" xfId="5531"/>
    <cellStyle name="C￥AØ_°­´c (2)_삼사 8_방통환경내역산출 2" xfId="5532"/>
    <cellStyle name="Ç¥ÁØ_°­´ç (2)_삼사 8_방통환경내역산출 2" xfId="5533"/>
    <cellStyle name="C￥AØ_°­´c (2)_삼사 8_방통환경내역산출 3" xfId="5534"/>
    <cellStyle name="Ç¥ÁØ_°­´ç (2)_삼사 8_방통환경내역산출 3" xfId="5535"/>
    <cellStyle name="C￥AØ_°­´c (2)_삼사 9" xfId="5536"/>
    <cellStyle name="Ç¥ÁØ_°­´ç (2)_삼사 9" xfId="5537"/>
    <cellStyle name="C￥AØ_°­´c (2)_삼사 9 2" xfId="5538"/>
    <cellStyle name="Ç¥ÁØ_°­´ç (2)_삼사 9 2" xfId="5539"/>
    <cellStyle name="C￥AØ_°­´c (2)_삼사 9 3" xfId="5540"/>
    <cellStyle name="Ç¥ÁØ_°­´ç (2)_삼사 9 3" xfId="5541"/>
    <cellStyle name="C￥AØ_°­´c (2)_삼사_방통환경공사견적제출" xfId="5542"/>
    <cellStyle name="Ç¥ÁØ_°­´ç (2)_삼사_방통환경공사견적제출" xfId="5543"/>
    <cellStyle name="C￥AØ_°­´c (2)_삼사_방통환경공사견적제출 2" xfId="5544"/>
    <cellStyle name="Ç¥ÁØ_°­´ç (2)_삼사_방통환경공사견적제출 2" xfId="5545"/>
    <cellStyle name="C￥AØ_°­´c (2)_삼사_방통환경공사견적제출 3" xfId="5546"/>
    <cellStyle name="Ç¥ÁØ_°­´ç (2)_삼사_방통환경공사견적제출 3" xfId="5547"/>
    <cellStyle name="C￥AØ_°­´c (2)_삼사_방통환경내역산출" xfId="5548"/>
    <cellStyle name="Ç¥ÁØ_°­´ç (2)_삼사_방통환경내역산출" xfId="5549"/>
    <cellStyle name="C￥AØ_°­´c (2)_삼사_방통환경내역산출 2" xfId="5550"/>
    <cellStyle name="Ç¥ÁØ_°­´ç (2)_삼사_방통환경내역산출 2" xfId="5551"/>
    <cellStyle name="C￥AØ_°­´c (2)_삼사_방통환경내역산출 3" xfId="5552"/>
    <cellStyle name="Ç¥ÁØ_°­´ç (2)_삼사_방통환경내역산출 3" xfId="5553"/>
    <cellStyle name="C￥AØ_°­´c (2)_상이군경회견적서" xfId="5554"/>
    <cellStyle name="Ç¥ÁØ_°­´ç (2)_상이군경회견적서" xfId="5555"/>
    <cellStyle name="C￥AØ_°­´c (2)_상이군경회견적서 2" xfId="5556"/>
    <cellStyle name="Ç¥ÁØ_°­´ç (2)_상이군경회견적서 2" xfId="5557"/>
    <cellStyle name="C￥AØ_°­´c (2)_상이군경회견적서 2 2" xfId="5558"/>
    <cellStyle name="Ç¥ÁØ_°­´ç (2)_상이군경회견적서 3" xfId="5559"/>
    <cellStyle name="C￥AØ_°­´c (2)_상이군경회견적서 4" xfId="5560"/>
    <cellStyle name="Ç¥ÁØ_°­´ç (2)_성남문화회관" xfId="5561"/>
    <cellStyle name="Ç¥ÁØ_°ø¹®" xfId="5562"/>
    <cellStyle name="C￥AØ_0N-HANDLING  3" xfId="5563"/>
    <cellStyle name="Ç¥ÁØ_0N-HANDLING  3" xfId="5564"/>
    <cellStyle name="C￥AØ_¼oAI¼º " xfId="5565"/>
    <cellStyle name="Ç¥ÁØ_¼öÀÍ¼º " xfId="5566"/>
    <cellStyle name="C￥AØ_¼oAI¼º  2" xfId="5567"/>
    <cellStyle name="Ç¥ÁØ_¼öÀÍ¼º  2" xfId="5568"/>
    <cellStyle name="C￥AØ_¼oAI¼º  3" xfId="5569"/>
    <cellStyle name="Ç¥ÁØ_¼öÀÍ¼º  3" xfId="5570"/>
    <cellStyle name="C￥AØ_¾c½A " xfId="5571"/>
    <cellStyle name="Ç¥ÁØ_5-1±¤°í " xfId="5572"/>
    <cellStyle name="C￥AØ_95³aAN°y¼o·R " xfId="5573"/>
    <cellStyle name="Ç¥ÁØ_Á¾ÇÕ½Å¼³ " xfId="5574"/>
    <cellStyle name="C￥AØ_A¾CO½A¼³  2" xfId="5575"/>
    <cellStyle name="Ç¥ÁØ_Á¾ÇÕ½Å¼³  2" xfId="5576"/>
    <cellStyle name="C￥AØ_A¾CO½A¼³  2 2" xfId="5577"/>
    <cellStyle name="Ç¥ÁØ_Á¾ÇÕ½Å¼³  3" xfId="5578"/>
    <cellStyle name="C￥AØ_A¾COA¶°AºÐ  2" xfId="5579"/>
    <cellStyle name="Ç¥ÁØ_Á¾ÇÕÃ¶°ÅºÐ  2" xfId="5580"/>
    <cellStyle name="C￥AØ_A¾COA¶°AºÐ  2 2" xfId="5581"/>
    <cellStyle name="Ç¥ÁØ_Á¾ÇÕÃ¶°ÅºÐ  3" xfId="5582"/>
    <cellStyle name="C￥AØ_AN°y(1.25) " xfId="5583"/>
    <cellStyle name="C￥AØ_CoAo¹yAI °A¾×¿ⓒ½A " xfId="5584"/>
    <cellStyle name="Ç¥ÁØ_ÇöÈ²_¹®Á¦Á¡ " xfId="5585"/>
    <cellStyle name="C￥AØ_E¸AaAO½A " xfId="5586"/>
    <cellStyle name="Ç¥ÁØ_ÈÞÀÏ±Ù·Î" xfId="5587"/>
    <cellStyle name="C￥AØ_FIRE " xfId="5588"/>
    <cellStyle name="Ç¥ÁØ_HATCO HQ" xfId="5589"/>
    <cellStyle name="C￥AØ_LIGHTNING " xfId="5590"/>
    <cellStyle name="Ç¥ÁØ_º¯°æ(ÃÖÁ¾)" xfId="5591"/>
    <cellStyle name="C￥AØ_PERSONAL" xfId="5592"/>
    <cellStyle name="Ç¥ÁØ_Sheet1_0N-HANDLING " xfId="5593"/>
    <cellStyle name="C￥AØ_Sheet1_Ay°eC￥(2¿u) " xfId="5594"/>
    <cellStyle name="Ç¥ÁØ_Sheet1_Áý°èÇ¥(2¿ù) " xfId="5595"/>
    <cellStyle name="C￥AØ_Sheet1_Ay°eC￥(2¿u)  2" xfId="5596"/>
    <cellStyle name="Ç¥ÁØ_Sheet1_Áý°èÇ¥(2¿ù)  2" xfId="5597"/>
    <cellStyle name="C￥AØ_Sheet1_Ay°eC￥(2¿u)  3" xfId="5598"/>
    <cellStyle name="Ç¥ÁØ_Sheet1_Áý°èÇ¥(2¿ù)  3" xfId="5599"/>
    <cellStyle name="C￥AØ_SOON1 " xfId="5600"/>
    <cellStyle name="Ç¥ÁØ_TEL_FA" xfId="5601"/>
    <cellStyle name="Calc Currency (0)" xfId="5602"/>
    <cellStyle name="Calc Currency (0) 10" xfId="5603"/>
    <cellStyle name="Calc Currency (0) 10 2" xfId="5604"/>
    <cellStyle name="Calc Currency (0) 11" xfId="5605"/>
    <cellStyle name="Calc Currency (0) 11 2" xfId="5606"/>
    <cellStyle name="Calc Currency (0) 12" xfId="5607"/>
    <cellStyle name="Calc Currency (0) 12 2" xfId="5608"/>
    <cellStyle name="Calc Currency (0) 13" xfId="5609"/>
    <cellStyle name="Calc Currency (0) 13 2" xfId="5610"/>
    <cellStyle name="Calc Currency (0) 14" xfId="5611"/>
    <cellStyle name="Calc Currency (0) 14 2" xfId="5612"/>
    <cellStyle name="Calc Currency (0) 15" xfId="5613"/>
    <cellStyle name="Calc Currency (0) 15 2" xfId="5614"/>
    <cellStyle name="Calc Currency (0) 16" xfId="5615"/>
    <cellStyle name="Calc Currency (0) 16 2" xfId="5616"/>
    <cellStyle name="Calc Currency (0) 17" xfId="5617"/>
    <cellStyle name="Calc Currency (0) 17 2" xfId="5618"/>
    <cellStyle name="Calc Currency (0) 18" xfId="5619"/>
    <cellStyle name="Calc Currency (0) 18 2" xfId="5620"/>
    <cellStyle name="Calc Currency (0) 19" xfId="5621"/>
    <cellStyle name="Calc Currency (0) 19 2" xfId="5622"/>
    <cellStyle name="Calc Currency (0) 2" xfId="5623"/>
    <cellStyle name="Calc Currency (0) 2 10" xfId="5624"/>
    <cellStyle name="Calc Currency (0) 2 10 2" xfId="5625"/>
    <cellStyle name="Calc Currency (0) 2 11" xfId="5626"/>
    <cellStyle name="Calc Currency (0) 2 11 2" xfId="5627"/>
    <cellStyle name="Calc Currency (0) 2 12" xfId="5628"/>
    <cellStyle name="Calc Currency (0) 2 2" xfId="5629"/>
    <cellStyle name="Calc Currency (0) 2 2 2" xfId="5630"/>
    <cellStyle name="Calc Currency (0) 2 3" xfId="5631"/>
    <cellStyle name="Calc Currency (0) 2 3 2" xfId="5632"/>
    <cellStyle name="Calc Currency (0) 2 4" xfId="5633"/>
    <cellStyle name="Calc Currency (0) 2 4 2" xfId="5634"/>
    <cellStyle name="Calc Currency (0) 2 5" xfId="5635"/>
    <cellStyle name="Calc Currency (0) 2 5 2" xfId="5636"/>
    <cellStyle name="Calc Currency (0) 2 6" xfId="5637"/>
    <cellStyle name="Calc Currency (0) 2 6 2" xfId="5638"/>
    <cellStyle name="Calc Currency (0) 2 7" xfId="5639"/>
    <cellStyle name="Calc Currency (0) 2 7 2" xfId="5640"/>
    <cellStyle name="Calc Currency (0) 2 8" xfId="5641"/>
    <cellStyle name="Calc Currency (0) 2 8 2" xfId="5642"/>
    <cellStyle name="Calc Currency (0) 2 9" xfId="5643"/>
    <cellStyle name="Calc Currency (0) 2 9 2" xfId="5644"/>
    <cellStyle name="Calc Currency (0) 20" xfId="5645"/>
    <cellStyle name="Calc Currency (0) 20 2" xfId="5646"/>
    <cellStyle name="Calc Currency (0) 21" xfId="5647"/>
    <cellStyle name="Calc Currency (0) 21 2" xfId="5648"/>
    <cellStyle name="Calc Currency (0) 22" xfId="5649"/>
    <cellStyle name="Calc Currency (0) 22 2" xfId="5650"/>
    <cellStyle name="Calc Currency (0) 23" xfId="5651"/>
    <cellStyle name="Calc Currency (0) 23 2" xfId="5652"/>
    <cellStyle name="Calc Currency (0) 24" xfId="5653"/>
    <cellStyle name="Calc Currency (0) 24 2" xfId="5654"/>
    <cellStyle name="Calc Currency (0) 25" xfId="5655"/>
    <cellStyle name="Calc Currency (0) 25 2" xfId="5656"/>
    <cellStyle name="Calc Currency (0) 26" xfId="5657"/>
    <cellStyle name="Calc Currency (0) 26 2" xfId="5658"/>
    <cellStyle name="Calc Currency (0) 27" xfId="5659"/>
    <cellStyle name="Calc Currency (0) 27 2" xfId="5660"/>
    <cellStyle name="Calc Currency (0) 28" xfId="5661"/>
    <cellStyle name="Calc Currency (0) 28 2" xfId="5662"/>
    <cellStyle name="Calc Currency (0) 29" xfId="5663"/>
    <cellStyle name="Calc Currency (0) 29 2" xfId="5664"/>
    <cellStyle name="Calc Currency (0) 3" xfId="5665"/>
    <cellStyle name="Calc Currency (0) 3 2" xfId="5666"/>
    <cellStyle name="Calc Currency (0) 30" xfId="5667"/>
    <cellStyle name="Calc Currency (0) 30 2" xfId="5668"/>
    <cellStyle name="Calc Currency (0) 31" xfId="5669"/>
    <cellStyle name="Calc Currency (0) 31 2" xfId="5670"/>
    <cellStyle name="Calc Currency (0) 32" xfId="5671"/>
    <cellStyle name="Calc Currency (0) 32 2" xfId="5672"/>
    <cellStyle name="Calc Currency (0) 33" xfId="5673"/>
    <cellStyle name="Calc Currency (0) 33 2" xfId="5674"/>
    <cellStyle name="Calc Currency (0) 34" xfId="5675"/>
    <cellStyle name="Calc Currency (0) 34 2" xfId="5676"/>
    <cellStyle name="Calc Currency (0) 35" xfId="5677"/>
    <cellStyle name="Calc Currency (0) 35 2" xfId="5678"/>
    <cellStyle name="Calc Currency (0) 36" xfId="5679"/>
    <cellStyle name="Calc Currency (0) 36 2" xfId="5680"/>
    <cellStyle name="Calc Currency (0) 37" xfId="5681"/>
    <cellStyle name="Calc Currency (0) 37 2" xfId="5682"/>
    <cellStyle name="Calc Currency (0) 38" xfId="5683"/>
    <cellStyle name="Calc Currency (0) 38 2" xfId="5684"/>
    <cellStyle name="Calc Currency (0) 39" xfId="5685"/>
    <cellStyle name="Calc Currency (0) 39 2" xfId="5686"/>
    <cellStyle name="Calc Currency (0) 4" xfId="5687"/>
    <cellStyle name="Calc Currency (0) 4 2" xfId="5688"/>
    <cellStyle name="Calc Currency (0) 40" xfId="5689"/>
    <cellStyle name="Calc Currency (0) 40 2" xfId="5690"/>
    <cellStyle name="Calc Currency (0) 41" xfId="5691"/>
    <cellStyle name="Calc Currency (0) 41 2" xfId="5692"/>
    <cellStyle name="Calc Currency (0) 42" xfId="5693"/>
    <cellStyle name="Calc Currency (0) 42 2" xfId="5694"/>
    <cellStyle name="Calc Currency (0) 43" xfId="5695"/>
    <cellStyle name="Calc Currency (0) 43 2" xfId="5696"/>
    <cellStyle name="Calc Currency (0) 44" xfId="5697"/>
    <cellStyle name="Calc Currency (0) 45" xfId="5698"/>
    <cellStyle name="Calc Currency (0) 5" xfId="5699"/>
    <cellStyle name="Calc Currency (0) 5 2" xfId="5700"/>
    <cellStyle name="Calc Currency (0) 6" xfId="5701"/>
    <cellStyle name="Calc Currency (0) 6 2" xfId="5702"/>
    <cellStyle name="Calc Currency (0) 7" xfId="5703"/>
    <cellStyle name="Calc Currency (0) 7 2" xfId="5704"/>
    <cellStyle name="Calc Currency (0) 8" xfId="5705"/>
    <cellStyle name="Calc Currency (0) 8 2" xfId="5706"/>
    <cellStyle name="Calc Currency (0) 9" xfId="5707"/>
    <cellStyle name="Calc Currency (0) 9 2" xfId="5708"/>
    <cellStyle name="Calc Currency (0)_091118 방송통신대학 영상강의실 견적서e-mail" xfId="5709"/>
    <cellStyle name="Calc Currency (2)" xfId="5710"/>
    <cellStyle name="Calc Currency (2) 2" xfId="5711"/>
    <cellStyle name="Calc Percent (0)" xfId="5712"/>
    <cellStyle name="Calc Percent (0) 2" xfId="5713"/>
    <cellStyle name="Calc Percent (1)" xfId="5714"/>
    <cellStyle name="Calc Percent (1) 2" xfId="5715"/>
    <cellStyle name="Calc Percent (2)" xfId="5716"/>
    <cellStyle name="Calc Percent (2) 2" xfId="5717"/>
    <cellStyle name="Calc Units (0)" xfId="5718"/>
    <cellStyle name="Calc Units (0) 2" xfId="5719"/>
    <cellStyle name="Calc Units (1)" xfId="5720"/>
    <cellStyle name="Calc Units (1) 2" xfId="5721"/>
    <cellStyle name="Calc Units (2)" xfId="5722"/>
    <cellStyle name="Calc Units (2) 2" xfId="5723"/>
    <cellStyle name="category" xfId="5724"/>
    <cellStyle name="category 2" xfId="5725"/>
    <cellStyle name="category 3" xfId="5726"/>
    <cellStyle name="ÇÏÀÌÆÛ¸µÅ©" xfId="5727"/>
    <cellStyle name="CIAIÆU¸μAⓒ" xfId="5728"/>
    <cellStyle name="CIAIÆU¸μAⓒ 2" xfId="5729"/>
    <cellStyle name="CO≫e" xfId="5730"/>
    <cellStyle name="CO≫e 2" xfId="5731"/>
    <cellStyle name="Column Heading" xfId="5732"/>
    <cellStyle name="columns_array" xfId="5733"/>
    <cellStyle name="Comma" xfId="5734"/>
    <cellStyle name="Comma  - Style2" xfId="5735"/>
    <cellStyle name="Comma  - Style2 2" xfId="5736"/>
    <cellStyle name="Comma  - Style3" xfId="5737"/>
    <cellStyle name="Comma  - Style3 2" xfId="5738"/>
    <cellStyle name="Comma  - Style4" xfId="5739"/>
    <cellStyle name="Comma  - Style4 2" xfId="5740"/>
    <cellStyle name="Comma  - Style5" xfId="5741"/>
    <cellStyle name="Comma  - Style5 2" xfId="5742"/>
    <cellStyle name="Comma  - Style6" xfId="5743"/>
    <cellStyle name="Comma  - Style6 2" xfId="5744"/>
    <cellStyle name="Comma  - Style7" xfId="5745"/>
    <cellStyle name="Comma  - Style7 2" xfId="5746"/>
    <cellStyle name="Comma  - Style8" xfId="5747"/>
    <cellStyle name="Comma  - Style8 2" xfId="5748"/>
    <cellStyle name="Comma [0]" xfId="5749"/>
    <cellStyle name="Comma [0] 10" xfId="5750"/>
    <cellStyle name="Comma [0] 10 2" xfId="5751"/>
    <cellStyle name="Comma [0] 11" xfId="5752"/>
    <cellStyle name="Comma [0] 11 2" xfId="5753"/>
    <cellStyle name="Comma [0] 12" xfId="5754"/>
    <cellStyle name="Comma [0] 12 2" xfId="5755"/>
    <cellStyle name="Comma [0] 13" xfId="5756"/>
    <cellStyle name="Comma [0] 13 2" xfId="5757"/>
    <cellStyle name="Comma [0] 14" xfId="5758"/>
    <cellStyle name="Comma [0] 14 2" xfId="5759"/>
    <cellStyle name="Comma [0] 15" xfId="5760"/>
    <cellStyle name="Comma [0] 15 2" xfId="5761"/>
    <cellStyle name="Comma [0] 16" xfId="5762"/>
    <cellStyle name="Comma [0] 16 2" xfId="5763"/>
    <cellStyle name="Comma [0] 17" xfId="5764"/>
    <cellStyle name="Comma [0] 17 2" xfId="5765"/>
    <cellStyle name="Comma [0] 18" xfId="5766"/>
    <cellStyle name="Comma [0] 18 2" xfId="5767"/>
    <cellStyle name="Comma [0] 19" xfId="5768"/>
    <cellStyle name="Comma [0] 19 2" xfId="5769"/>
    <cellStyle name="Comma [0] 2" xfId="5770"/>
    <cellStyle name="Comma [0] 2 2" xfId="5771"/>
    <cellStyle name="Comma [0] 20" xfId="5772"/>
    <cellStyle name="Comma [0] 20 2" xfId="5773"/>
    <cellStyle name="Comma [0] 21" xfId="5774"/>
    <cellStyle name="Comma [0] 21 2" xfId="5775"/>
    <cellStyle name="Comma [0] 22" xfId="5776"/>
    <cellStyle name="Comma [0] 22 2" xfId="5777"/>
    <cellStyle name="Comma [0] 23" xfId="5778"/>
    <cellStyle name="Comma [0] 23 2" xfId="5779"/>
    <cellStyle name="Comma [0] 24" xfId="5780"/>
    <cellStyle name="Comma [0] 24 2" xfId="5781"/>
    <cellStyle name="Comma [0] 25" xfId="5782"/>
    <cellStyle name="Comma [0] 25 2" xfId="5783"/>
    <cellStyle name="Comma [0] 26" xfId="5784"/>
    <cellStyle name="Comma [0] 26 2" xfId="5785"/>
    <cellStyle name="Comma [0] 27" xfId="5786"/>
    <cellStyle name="Comma [0] 27 2" xfId="5787"/>
    <cellStyle name="Comma [0] 28" xfId="5788"/>
    <cellStyle name="Comma [0] 28 2" xfId="5789"/>
    <cellStyle name="Comma [0] 29" xfId="5790"/>
    <cellStyle name="Comma [0] 29 2" xfId="5791"/>
    <cellStyle name="Comma [0] 3" xfId="5792"/>
    <cellStyle name="Comma [0] 3 2" xfId="5793"/>
    <cellStyle name="Comma [0] 30" xfId="5794"/>
    <cellStyle name="Comma [0] 30 2" xfId="5795"/>
    <cellStyle name="Comma [0] 31" xfId="5796"/>
    <cellStyle name="Comma [0] 31 2" xfId="5797"/>
    <cellStyle name="Comma [0] 32" xfId="5798"/>
    <cellStyle name="Comma [0] 4" xfId="5799"/>
    <cellStyle name="Comma [0] 4 2" xfId="5800"/>
    <cellStyle name="Comma [0] 5" xfId="5801"/>
    <cellStyle name="Comma [0] 5 2" xfId="5802"/>
    <cellStyle name="Comma [0] 6" xfId="5803"/>
    <cellStyle name="Comma [0] 6 2" xfId="5804"/>
    <cellStyle name="Comma [0] 7" xfId="5805"/>
    <cellStyle name="Comma [0] 7 2" xfId="5806"/>
    <cellStyle name="Comma [0] 8" xfId="5807"/>
    <cellStyle name="Comma [0] 8 2" xfId="5808"/>
    <cellStyle name="Comma [0] 9" xfId="5809"/>
    <cellStyle name="Comma [0] 9 2" xfId="5810"/>
    <cellStyle name="Comma [0]_ SG&amp;A Bridge " xfId="5811"/>
    <cellStyle name="Comma [00]" xfId="5812"/>
    <cellStyle name="Comma [00] 2" xfId="5813"/>
    <cellStyle name="Comma 2" xfId="5814"/>
    <cellStyle name="Comma 3" xfId="5815"/>
    <cellStyle name="comma zerodec" xfId="5816"/>
    <cellStyle name="comma zerodec 10" xfId="5817"/>
    <cellStyle name="comma zerodec 10 2" xfId="5818"/>
    <cellStyle name="comma zerodec 11" xfId="5819"/>
    <cellStyle name="comma zerodec 11 2" xfId="5820"/>
    <cellStyle name="comma zerodec 12" xfId="5821"/>
    <cellStyle name="comma zerodec 12 2" xfId="5822"/>
    <cellStyle name="comma zerodec 13" xfId="5823"/>
    <cellStyle name="comma zerodec 13 2" xfId="5824"/>
    <cellStyle name="comma zerodec 14" xfId="5825"/>
    <cellStyle name="comma zerodec 15" xfId="5826"/>
    <cellStyle name="comma zerodec 16" xfId="5827"/>
    <cellStyle name="comma zerodec 17" xfId="5828"/>
    <cellStyle name="comma zerodec 18" xfId="5829"/>
    <cellStyle name="comma zerodec 2" xfId="5830"/>
    <cellStyle name="comma zerodec 2 2" xfId="5831"/>
    <cellStyle name="comma zerodec 2 2 2" xfId="5832"/>
    <cellStyle name="comma zerodec 2 2 2 2" xfId="5833"/>
    <cellStyle name="comma zerodec 2 2 3" xfId="5834"/>
    <cellStyle name="comma zerodec 2 3" xfId="5835"/>
    <cellStyle name="comma zerodec 2 3 2" xfId="5836"/>
    <cellStyle name="comma zerodec 2 4" xfId="5837"/>
    <cellStyle name="comma zerodec 2 4 2" xfId="5838"/>
    <cellStyle name="comma zerodec 2 5" xfId="5839"/>
    <cellStyle name="comma zerodec 3" xfId="5840"/>
    <cellStyle name="comma zerodec 3 2" xfId="5841"/>
    <cellStyle name="comma zerodec 4" xfId="5842"/>
    <cellStyle name="comma zerodec 4 2" xfId="5843"/>
    <cellStyle name="comma zerodec 5" xfId="5844"/>
    <cellStyle name="comma zerodec 5 2" xfId="5845"/>
    <cellStyle name="comma zerodec 6" xfId="5846"/>
    <cellStyle name="comma zerodec 6 2" xfId="5847"/>
    <cellStyle name="comma zerodec 7" xfId="5848"/>
    <cellStyle name="comma zerodec 7 2" xfId="5849"/>
    <cellStyle name="comma zerodec 7 2 2" xfId="5850"/>
    <cellStyle name="comma zerodec 7 3" xfId="5851"/>
    <cellStyle name="comma zerodec 8" xfId="5852"/>
    <cellStyle name="comma zerodec 8 2" xfId="5853"/>
    <cellStyle name="comma zerodec 9" xfId="5854"/>
    <cellStyle name="comma zerodec 9 2" xfId="5855"/>
    <cellStyle name="comma zerodec_☆견적서" xfId="5856"/>
    <cellStyle name="Comma_ " xfId="5857"/>
    <cellStyle name="Comma0" xfId="5858"/>
    <cellStyle name="Comma0 2" xfId="5859"/>
    <cellStyle name="Comm뼬_E&amp;ONW2" xfId="5860"/>
    <cellStyle name="Copied" xfId="5861"/>
    <cellStyle name="Copied 2" xfId="5862"/>
    <cellStyle name="Copied 2 2" xfId="5863"/>
    <cellStyle name="Copied 2 2 2" xfId="5864"/>
    <cellStyle name="Copied 2 3" xfId="5865"/>
    <cellStyle name="Copied 3" xfId="5866"/>
    <cellStyle name="Copied 3 2" xfId="5867"/>
    <cellStyle name="Copied 4" xfId="5868"/>
    <cellStyle name="Copied 4 2" xfId="5869"/>
    <cellStyle name="Copied 5" xfId="5870"/>
    <cellStyle name="COST1" xfId="5871"/>
    <cellStyle name="COST1 2" xfId="5872"/>
    <cellStyle name="Curr" xfId="5873"/>
    <cellStyle name="Curr 2" xfId="5874"/>
    <cellStyle name="Curre~cy [0]_MATERAL2" xfId="5875"/>
    <cellStyle name="Curren?_x0012_퐀_x0017_?" xfId="5876"/>
    <cellStyle name="Curren?_x0012_퐀_x0017_? 2" xfId="5877"/>
    <cellStyle name="Currenby_Cash&amp;DSO Chart" xfId="5878"/>
    <cellStyle name="Currency" xfId="5879"/>
    <cellStyle name="Currency (0)" xfId="5880"/>
    <cellStyle name="Currency (0) 2" xfId="5881"/>
    <cellStyle name="Currency (2)" xfId="5882"/>
    <cellStyle name="Currency (2) 2" xfId="5883"/>
    <cellStyle name="Currency [0]" xfId="5884"/>
    <cellStyle name="Currency [0] 10" xfId="5885"/>
    <cellStyle name="Currency [0] 10 2" xfId="5886"/>
    <cellStyle name="Currency [0] 11" xfId="5887"/>
    <cellStyle name="Currency [0] 11 2" xfId="5888"/>
    <cellStyle name="Currency [0] 12" xfId="5889"/>
    <cellStyle name="Currency [0] 12 2" xfId="5890"/>
    <cellStyle name="Currency [0] 13" xfId="5891"/>
    <cellStyle name="Currency [0] 13 2" xfId="5892"/>
    <cellStyle name="Currency [0] 14" xfId="5893"/>
    <cellStyle name="Currency [0] 14 2" xfId="5894"/>
    <cellStyle name="Currency [0] 15" xfId="5895"/>
    <cellStyle name="Currency [0] 15 2" xfId="5896"/>
    <cellStyle name="Currency [0] 16" xfId="5897"/>
    <cellStyle name="Currency [0] 16 2" xfId="5898"/>
    <cellStyle name="Currency [0] 17" xfId="5899"/>
    <cellStyle name="Currency [0] 17 2" xfId="5900"/>
    <cellStyle name="Currency [0] 18" xfId="5901"/>
    <cellStyle name="Currency [0] 18 2" xfId="5902"/>
    <cellStyle name="Currency [0] 19" xfId="5903"/>
    <cellStyle name="Currency [0] 19 2" xfId="5904"/>
    <cellStyle name="Currency [0] 2" xfId="5905"/>
    <cellStyle name="Currency [0] 2 2" xfId="5906"/>
    <cellStyle name="Currency [0] 20" xfId="5907"/>
    <cellStyle name="Currency [0] 20 2" xfId="5908"/>
    <cellStyle name="Currency [0] 21" xfId="5909"/>
    <cellStyle name="Currency [0] 21 2" xfId="5910"/>
    <cellStyle name="Currency [0] 22" xfId="5911"/>
    <cellStyle name="Currency [0] 22 2" xfId="5912"/>
    <cellStyle name="Currency [0] 23" xfId="5913"/>
    <cellStyle name="Currency [0] 23 2" xfId="5914"/>
    <cellStyle name="Currency [0] 24" xfId="5915"/>
    <cellStyle name="Currency [0] 24 2" xfId="5916"/>
    <cellStyle name="Currency [0] 25" xfId="5917"/>
    <cellStyle name="Currency [0] 25 2" xfId="5918"/>
    <cellStyle name="Currency [0] 26" xfId="5919"/>
    <cellStyle name="Currency [0] 26 2" xfId="5920"/>
    <cellStyle name="Currency [0] 27" xfId="5921"/>
    <cellStyle name="Currency [0] 27 2" xfId="5922"/>
    <cellStyle name="Currency [0] 28" xfId="5923"/>
    <cellStyle name="Currency [0] 28 2" xfId="5924"/>
    <cellStyle name="Currency [0] 29" xfId="5925"/>
    <cellStyle name="Currency [0] 29 2" xfId="5926"/>
    <cellStyle name="Currency [0] 3" xfId="5927"/>
    <cellStyle name="Currency [0] 3 2" xfId="5928"/>
    <cellStyle name="Currency [0] 30" xfId="5929"/>
    <cellStyle name="Currency [0] 30 2" xfId="5930"/>
    <cellStyle name="Currency [0] 31" xfId="5931"/>
    <cellStyle name="Currency [0] 31 2" xfId="5932"/>
    <cellStyle name="Currency [0] 32" xfId="5933"/>
    <cellStyle name="Currency [0] 4" xfId="5934"/>
    <cellStyle name="Currency [0] 4 2" xfId="5935"/>
    <cellStyle name="Currency [0] 5" xfId="5936"/>
    <cellStyle name="Currency [0] 5 2" xfId="5937"/>
    <cellStyle name="Currency [0] 6" xfId="5938"/>
    <cellStyle name="Currency [0] 6 2" xfId="5939"/>
    <cellStyle name="Currency [0] 7" xfId="5940"/>
    <cellStyle name="Currency [0] 7 2" xfId="5941"/>
    <cellStyle name="Currency [0] 8" xfId="5942"/>
    <cellStyle name="Currency [0] 8 2" xfId="5943"/>
    <cellStyle name="Currency [0] 9" xfId="5944"/>
    <cellStyle name="Currency [0] 9 2" xfId="5945"/>
    <cellStyle name="Currency [0]_ SG&amp;A Bridge " xfId="5946"/>
    <cellStyle name="Currency [0]͢laroux_1" xfId="5947"/>
    <cellStyle name="Currency [00]" xfId="5948"/>
    <cellStyle name="Currency [00] 2" xfId="5949"/>
    <cellStyle name="Currency 10" xfId="5950"/>
    <cellStyle name="Currency 10 2" xfId="5951"/>
    <cellStyle name="Currency 11" xfId="5952"/>
    <cellStyle name="Currency 11 2" xfId="5953"/>
    <cellStyle name="Currency 12" xfId="5954"/>
    <cellStyle name="Currency 12 2" xfId="5955"/>
    <cellStyle name="Currency 13" xfId="5956"/>
    <cellStyle name="Currency 13 2" xfId="5957"/>
    <cellStyle name="Currency 14" xfId="5958"/>
    <cellStyle name="Currency 14 2" xfId="5959"/>
    <cellStyle name="Currency 15" xfId="5960"/>
    <cellStyle name="Currency 15 2" xfId="5961"/>
    <cellStyle name="Currency 16" xfId="5962"/>
    <cellStyle name="Currency 16 2" xfId="5963"/>
    <cellStyle name="Currency 17" xfId="5964"/>
    <cellStyle name="Currency 17 2" xfId="5965"/>
    <cellStyle name="Currency 18" xfId="5966"/>
    <cellStyle name="Currency 18 2" xfId="5967"/>
    <cellStyle name="Currency 19" xfId="5968"/>
    <cellStyle name="Currency 19 2" xfId="5969"/>
    <cellStyle name="Currency 2" xfId="5970"/>
    <cellStyle name="Currency 2 10" xfId="5971"/>
    <cellStyle name="Currency 2 10 2" xfId="5972"/>
    <cellStyle name="Currency 2 11" xfId="5973"/>
    <cellStyle name="Currency 2 11 2" xfId="5974"/>
    <cellStyle name="Currency 2 12" xfId="5975"/>
    <cellStyle name="Currency 2 2" xfId="5976"/>
    <cellStyle name="Currency 2 2 2" xfId="5977"/>
    <cellStyle name="Currency 2 2 2 2" xfId="5978"/>
    <cellStyle name="Currency 2 2 3" xfId="5979"/>
    <cellStyle name="Currency 2 3" xfId="5980"/>
    <cellStyle name="Currency 2 3 2" xfId="5981"/>
    <cellStyle name="Currency 2 4" xfId="5982"/>
    <cellStyle name="Currency 2 4 2" xfId="5983"/>
    <cellStyle name="Currency 2 5" xfId="5984"/>
    <cellStyle name="Currency 2 5 2" xfId="5985"/>
    <cellStyle name="Currency 2 6" xfId="5986"/>
    <cellStyle name="Currency 2 6 2" xfId="5987"/>
    <cellStyle name="Currency 2 7" xfId="5988"/>
    <cellStyle name="Currency 2 7 2" xfId="5989"/>
    <cellStyle name="Currency 2 8" xfId="5990"/>
    <cellStyle name="Currency 2 8 2" xfId="5991"/>
    <cellStyle name="Currency 2 9" xfId="5992"/>
    <cellStyle name="Currency 2 9 2" xfId="5993"/>
    <cellStyle name="Currency 20" xfId="5994"/>
    <cellStyle name="Currency 20 2" xfId="5995"/>
    <cellStyle name="Currency 21" xfId="5996"/>
    <cellStyle name="Currency 21 2" xfId="5997"/>
    <cellStyle name="Currency 22" xfId="5998"/>
    <cellStyle name="Currency 22 2" xfId="5999"/>
    <cellStyle name="Currency 23" xfId="6000"/>
    <cellStyle name="Currency 23 2" xfId="6001"/>
    <cellStyle name="Currency 24" xfId="6002"/>
    <cellStyle name="Currency 24 2" xfId="6003"/>
    <cellStyle name="Currency 25" xfId="6004"/>
    <cellStyle name="Currency 25 2" xfId="6005"/>
    <cellStyle name="Currency 26" xfId="6006"/>
    <cellStyle name="Currency 26 2" xfId="6007"/>
    <cellStyle name="Currency 27" xfId="6008"/>
    <cellStyle name="Currency 27 2" xfId="6009"/>
    <cellStyle name="Currency 28" xfId="6010"/>
    <cellStyle name="Currency 28 2" xfId="6011"/>
    <cellStyle name="Currency 29" xfId="6012"/>
    <cellStyle name="Currency 29 2" xfId="6013"/>
    <cellStyle name="Currency 3" xfId="6014"/>
    <cellStyle name="Currency 3 2" xfId="6015"/>
    <cellStyle name="Currency 30" xfId="6016"/>
    <cellStyle name="Currency 30 2" xfId="6017"/>
    <cellStyle name="Currency 31" xfId="6018"/>
    <cellStyle name="Currency 31 2" xfId="6019"/>
    <cellStyle name="Currency 32" xfId="6020"/>
    <cellStyle name="Currency 33" xfId="6021"/>
    <cellStyle name="Currency 4" xfId="6022"/>
    <cellStyle name="Currency 4 2" xfId="6023"/>
    <cellStyle name="Currency 5" xfId="6024"/>
    <cellStyle name="Currency 5 2" xfId="6025"/>
    <cellStyle name="Currency 6" xfId="6026"/>
    <cellStyle name="Currency 6 2" xfId="6027"/>
    <cellStyle name="Currency 7" xfId="6028"/>
    <cellStyle name="Currency 7 2" xfId="6029"/>
    <cellStyle name="Currency 7 2 2" xfId="6030"/>
    <cellStyle name="Currency 7 3" xfId="6031"/>
    <cellStyle name="Currency 8" xfId="6032"/>
    <cellStyle name="Currency 8 2" xfId="6033"/>
    <cellStyle name="Currency 9" xfId="6034"/>
    <cellStyle name="Currency 9 2" xfId="6035"/>
    <cellStyle name="currency-$" xfId="6036"/>
    <cellStyle name="currency-$ 10" xfId="6037"/>
    <cellStyle name="currency-$ 10 2" xfId="6038"/>
    <cellStyle name="currency-$ 10 2 2" xfId="6039"/>
    <cellStyle name="currency-$ 10 2 2 2" xfId="6040"/>
    <cellStyle name="currency-$ 10 2 2 3" xfId="6041"/>
    <cellStyle name="currency-$ 10 2 2 4" xfId="6042"/>
    <cellStyle name="currency-$ 10 2 2 5" xfId="6043"/>
    <cellStyle name="currency-$ 10 3" xfId="6044"/>
    <cellStyle name="currency-$ 10 3 2" xfId="6045"/>
    <cellStyle name="currency-$ 10 3 3" xfId="6046"/>
    <cellStyle name="currency-$ 10 3 4" xfId="6047"/>
    <cellStyle name="currency-$ 10 3 5" xfId="6048"/>
    <cellStyle name="currency-$ 11" xfId="6049"/>
    <cellStyle name="currency-$ 11 2" xfId="6050"/>
    <cellStyle name="currency-$ 11 2 2" xfId="6051"/>
    <cellStyle name="currency-$ 11 2 2 2" xfId="6052"/>
    <cellStyle name="currency-$ 11 2 2 3" xfId="6053"/>
    <cellStyle name="currency-$ 11 2 2 4" xfId="6054"/>
    <cellStyle name="currency-$ 11 2 2 5" xfId="6055"/>
    <cellStyle name="currency-$ 11 3" xfId="6056"/>
    <cellStyle name="currency-$ 11 3 2" xfId="6057"/>
    <cellStyle name="currency-$ 11 3 3" xfId="6058"/>
    <cellStyle name="currency-$ 11 3 4" xfId="6059"/>
    <cellStyle name="currency-$ 11 3 5" xfId="6060"/>
    <cellStyle name="currency-$ 12" xfId="6061"/>
    <cellStyle name="currency-$ 12 2" xfId="6062"/>
    <cellStyle name="currency-$ 12 2 2" xfId="6063"/>
    <cellStyle name="currency-$ 12 2 2 2" xfId="6064"/>
    <cellStyle name="currency-$ 12 2 2 3" xfId="6065"/>
    <cellStyle name="currency-$ 12 2 2 4" xfId="6066"/>
    <cellStyle name="currency-$ 12 2 2 5" xfId="6067"/>
    <cellStyle name="currency-$ 12 3" xfId="6068"/>
    <cellStyle name="currency-$ 12 3 2" xfId="6069"/>
    <cellStyle name="currency-$ 12 3 3" xfId="6070"/>
    <cellStyle name="currency-$ 12 3 4" xfId="6071"/>
    <cellStyle name="currency-$ 12 3 5" xfId="6072"/>
    <cellStyle name="currency-$ 13" xfId="6073"/>
    <cellStyle name="currency-$ 13 2" xfId="6074"/>
    <cellStyle name="currency-$ 13 2 2" xfId="6075"/>
    <cellStyle name="currency-$ 13 2 2 2" xfId="6076"/>
    <cellStyle name="currency-$ 13 2 2 3" xfId="6077"/>
    <cellStyle name="currency-$ 13 2 2 4" xfId="6078"/>
    <cellStyle name="currency-$ 13 2 2 5" xfId="6079"/>
    <cellStyle name="currency-$ 13 3" xfId="6080"/>
    <cellStyle name="currency-$ 13 3 2" xfId="6081"/>
    <cellStyle name="currency-$ 13 3 3" xfId="6082"/>
    <cellStyle name="currency-$ 13 3 4" xfId="6083"/>
    <cellStyle name="currency-$ 13 3 5" xfId="6084"/>
    <cellStyle name="currency-$ 14" xfId="6085"/>
    <cellStyle name="currency-$ 14 2" xfId="6086"/>
    <cellStyle name="currency-$ 14 2 2" xfId="6087"/>
    <cellStyle name="currency-$ 14 2 2 2" xfId="6088"/>
    <cellStyle name="currency-$ 14 2 2 3" xfId="6089"/>
    <cellStyle name="currency-$ 14 2 2 4" xfId="6090"/>
    <cellStyle name="currency-$ 14 2 2 5" xfId="6091"/>
    <cellStyle name="currency-$ 14 3" xfId="6092"/>
    <cellStyle name="currency-$ 14 3 2" xfId="6093"/>
    <cellStyle name="currency-$ 14 3 3" xfId="6094"/>
    <cellStyle name="currency-$ 14 3 4" xfId="6095"/>
    <cellStyle name="currency-$ 14 3 5" xfId="6096"/>
    <cellStyle name="currency-$ 15" xfId="6097"/>
    <cellStyle name="currency-$ 15 2" xfId="6098"/>
    <cellStyle name="currency-$ 15 2 2" xfId="6099"/>
    <cellStyle name="currency-$ 15 2 2 2" xfId="6100"/>
    <cellStyle name="currency-$ 15 2 2 3" xfId="6101"/>
    <cellStyle name="currency-$ 15 2 2 4" xfId="6102"/>
    <cellStyle name="currency-$ 15 2 2 5" xfId="6103"/>
    <cellStyle name="currency-$ 15 3" xfId="6104"/>
    <cellStyle name="currency-$ 15 3 2" xfId="6105"/>
    <cellStyle name="currency-$ 15 3 3" xfId="6106"/>
    <cellStyle name="currency-$ 15 3 4" xfId="6107"/>
    <cellStyle name="currency-$ 15 3 5" xfId="6108"/>
    <cellStyle name="currency-$ 16" xfId="6109"/>
    <cellStyle name="currency-$ 16 2" xfId="6110"/>
    <cellStyle name="currency-$ 16 2 2" xfId="6111"/>
    <cellStyle name="currency-$ 16 2 2 2" xfId="6112"/>
    <cellStyle name="currency-$ 16 2 2 3" xfId="6113"/>
    <cellStyle name="currency-$ 16 2 2 4" xfId="6114"/>
    <cellStyle name="currency-$ 16 2 2 5" xfId="6115"/>
    <cellStyle name="currency-$ 16 3" xfId="6116"/>
    <cellStyle name="currency-$ 16 3 2" xfId="6117"/>
    <cellStyle name="currency-$ 16 3 3" xfId="6118"/>
    <cellStyle name="currency-$ 16 3 4" xfId="6119"/>
    <cellStyle name="currency-$ 16 3 5" xfId="6120"/>
    <cellStyle name="currency-$ 17" xfId="6121"/>
    <cellStyle name="currency-$ 17 2" xfId="6122"/>
    <cellStyle name="currency-$ 17 2 2" xfId="6123"/>
    <cellStyle name="currency-$ 17 2 2 2" xfId="6124"/>
    <cellStyle name="currency-$ 17 2 2 3" xfId="6125"/>
    <cellStyle name="currency-$ 17 2 2 4" xfId="6126"/>
    <cellStyle name="currency-$ 17 2 2 5" xfId="6127"/>
    <cellStyle name="currency-$ 17 3" xfId="6128"/>
    <cellStyle name="currency-$ 17 3 2" xfId="6129"/>
    <cellStyle name="currency-$ 17 3 3" xfId="6130"/>
    <cellStyle name="currency-$ 17 3 4" xfId="6131"/>
    <cellStyle name="currency-$ 17 3 5" xfId="6132"/>
    <cellStyle name="currency-$ 18" xfId="6133"/>
    <cellStyle name="currency-$ 18 2" xfId="6134"/>
    <cellStyle name="currency-$ 18 2 2" xfId="6135"/>
    <cellStyle name="currency-$ 18 2 2 2" xfId="6136"/>
    <cellStyle name="currency-$ 18 2 2 3" xfId="6137"/>
    <cellStyle name="currency-$ 18 2 2 4" xfId="6138"/>
    <cellStyle name="currency-$ 18 2 2 5" xfId="6139"/>
    <cellStyle name="currency-$ 18 3" xfId="6140"/>
    <cellStyle name="currency-$ 18 3 2" xfId="6141"/>
    <cellStyle name="currency-$ 18 3 3" xfId="6142"/>
    <cellStyle name="currency-$ 18 3 4" xfId="6143"/>
    <cellStyle name="currency-$ 18 3 5" xfId="6144"/>
    <cellStyle name="currency-$ 19" xfId="6145"/>
    <cellStyle name="currency-$ 19 2" xfId="6146"/>
    <cellStyle name="currency-$ 19 2 2" xfId="6147"/>
    <cellStyle name="currency-$ 19 2 2 2" xfId="6148"/>
    <cellStyle name="currency-$ 19 2 2 3" xfId="6149"/>
    <cellStyle name="currency-$ 19 2 2 4" xfId="6150"/>
    <cellStyle name="currency-$ 19 2 2 5" xfId="6151"/>
    <cellStyle name="currency-$ 19 3" xfId="6152"/>
    <cellStyle name="currency-$ 19 3 2" xfId="6153"/>
    <cellStyle name="currency-$ 19 3 3" xfId="6154"/>
    <cellStyle name="currency-$ 19 3 4" xfId="6155"/>
    <cellStyle name="currency-$ 19 3 5" xfId="6156"/>
    <cellStyle name="currency-$ 2" xfId="6157"/>
    <cellStyle name="currency-$ 2 2" xfId="6158"/>
    <cellStyle name="currency-$ 2 2 2" xfId="6159"/>
    <cellStyle name="currency-$ 2 2 2 2" xfId="6160"/>
    <cellStyle name="currency-$ 2 2 2 3" xfId="6161"/>
    <cellStyle name="currency-$ 2 2 2 4" xfId="6162"/>
    <cellStyle name="currency-$ 2 2 2 5" xfId="6163"/>
    <cellStyle name="currency-$ 2 3" xfId="6164"/>
    <cellStyle name="currency-$ 2 3 2" xfId="6165"/>
    <cellStyle name="currency-$ 2 3 3" xfId="6166"/>
    <cellStyle name="currency-$ 2 3 4" xfId="6167"/>
    <cellStyle name="currency-$ 2 3 5" xfId="6168"/>
    <cellStyle name="currency-$ 20" xfId="6169"/>
    <cellStyle name="currency-$ 20 2" xfId="6170"/>
    <cellStyle name="currency-$ 20 2 2" xfId="6171"/>
    <cellStyle name="currency-$ 20 2 2 2" xfId="6172"/>
    <cellStyle name="currency-$ 20 2 2 3" xfId="6173"/>
    <cellStyle name="currency-$ 20 2 2 4" xfId="6174"/>
    <cellStyle name="currency-$ 20 2 2 5" xfId="6175"/>
    <cellStyle name="currency-$ 20 3" xfId="6176"/>
    <cellStyle name="currency-$ 20 3 2" xfId="6177"/>
    <cellStyle name="currency-$ 20 3 3" xfId="6178"/>
    <cellStyle name="currency-$ 20 3 4" xfId="6179"/>
    <cellStyle name="currency-$ 20 3 5" xfId="6180"/>
    <cellStyle name="currency-$ 21" xfId="6181"/>
    <cellStyle name="currency-$ 21 2" xfId="6182"/>
    <cellStyle name="currency-$ 21 2 2" xfId="6183"/>
    <cellStyle name="currency-$ 21 2 2 2" xfId="6184"/>
    <cellStyle name="currency-$ 21 2 2 3" xfId="6185"/>
    <cellStyle name="currency-$ 21 2 2 4" xfId="6186"/>
    <cellStyle name="currency-$ 21 2 2 5" xfId="6187"/>
    <cellStyle name="currency-$ 21 3" xfId="6188"/>
    <cellStyle name="currency-$ 21 3 2" xfId="6189"/>
    <cellStyle name="currency-$ 21 3 3" xfId="6190"/>
    <cellStyle name="currency-$ 21 3 4" xfId="6191"/>
    <cellStyle name="currency-$ 21 3 5" xfId="6192"/>
    <cellStyle name="currency-$ 22" xfId="6193"/>
    <cellStyle name="currency-$ 22 2" xfId="6194"/>
    <cellStyle name="currency-$ 22 2 2" xfId="6195"/>
    <cellStyle name="currency-$ 22 2 2 2" xfId="6196"/>
    <cellStyle name="currency-$ 22 2 2 3" xfId="6197"/>
    <cellStyle name="currency-$ 22 2 2 4" xfId="6198"/>
    <cellStyle name="currency-$ 22 2 2 5" xfId="6199"/>
    <cellStyle name="currency-$ 22 3" xfId="6200"/>
    <cellStyle name="currency-$ 22 3 2" xfId="6201"/>
    <cellStyle name="currency-$ 22 3 3" xfId="6202"/>
    <cellStyle name="currency-$ 22 3 4" xfId="6203"/>
    <cellStyle name="currency-$ 22 3 5" xfId="6204"/>
    <cellStyle name="currency-$ 23" xfId="6205"/>
    <cellStyle name="currency-$ 23 2" xfId="6206"/>
    <cellStyle name="currency-$ 23 2 2" xfId="6207"/>
    <cellStyle name="currency-$ 23 2 2 2" xfId="6208"/>
    <cellStyle name="currency-$ 23 2 2 3" xfId="6209"/>
    <cellStyle name="currency-$ 23 2 2 4" xfId="6210"/>
    <cellStyle name="currency-$ 23 2 2 5" xfId="6211"/>
    <cellStyle name="currency-$ 23 3" xfId="6212"/>
    <cellStyle name="currency-$ 23 3 2" xfId="6213"/>
    <cellStyle name="currency-$ 23 3 3" xfId="6214"/>
    <cellStyle name="currency-$ 23 3 4" xfId="6215"/>
    <cellStyle name="currency-$ 23 3 5" xfId="6216"/>
    <cellStyle name="currency-$ 24" xfId="6217"/>
    <cellStyle name="currency-$ 24 2" xfId="6218"/>
    <cellStyle name="currency-$ 24 2 2" xfId="6219"/>
    <cellStyle name="currency-$ 24 2 2 2" xfId="6220"/>
    <cellStyle name="currency-$ 24 2 2 3" xfId="6221"/>
    <cellStyle name="currency-$ 24 2 2 4" xfId="6222"/>
    <cellStyle name="currency-$ 24 2 2 5" xfId="6223"/>
    <cellStyle name="currency-$ 24 3" xfId="6224"/>
    <cellStyle name="currency-$ 24 3 2" xfId="6225"/>
    <cellStyle name="currency-$ 24 3 3" xfId="6226"/>
    <cellStyle name="currency-$ 24 3 4" xfId="6227"/>
    <cellStyle name="currency-$ 24 3 5" xfId="6228"/>
    <cellStyle name="currency-$ 25" xfId="6229"/>
    <cellStyle name="currency-$ 25 2" xfId="6230"/>
    <cellStyle name="currency-$ 25 2 2" xfId="6231"/>
    <cellStyle name="currency-$ 25 2 2 2" xfId="6232"/>
    <cellStyle name="currency-$ 25 2 2 3" xfId="6233"/>
    <cellStyle name="currency-$ 25 2 2 4" xfId="6234"/>
    <cellStyle name="currency-$ 25 2 2 5" xfId="6235"/>
    <cellStyle name="currency-$ 25 3" xfId="6236"/>
    <cellStyle name="currency-$ 25 3 2" xfId="6237"/>
    <cellStyle name="currency-$ 25 3 3" xfId="6238"/>
    <cellStyle name="currency-$ 25 3 4" xfId="6239"/>
    <cellStyle name="currency-$ 25 3 5" xfId="6240"/>
    <cellStyle name="currency-$ 26" xfId="6241"/>
    <cellStyle name="currency-$ 26 2" xfId="6242"/>
    <cellStyle name="currency-$ 26 2 2" xfId="6243"/>
    <cellStyle name="currency-$ 26 2 2 2" xfId="6244"/>
    <cellStyle name="currency-$ 26 2 2 3" xfId="6245"/>
    <cellStyle name="currency-$ 26 2 2 4" xfId="6246"/>
    <cellStyle name="currency-$ 26 2 2 5" xfId="6247"/>
    <cellStyle name="currency-$ 26 3" xfId="6248"/>
    <cellStyle name="currency-$ 26 3 2" xfId="6249"/>
    <cellStyle name="currency-$ 26 3 3" xfId="6250"/>
    <cellStyle name="currency-$ 26 3 4" xfId="6251"/>
    <cellStyle name="currency-$ 26 3 5" xfId="6252"/>
    <cellStyle name="currency-$ 27" xfId="6253"/>
    <cellStyle name="currency-$ 27 2" xfId="6254"/>
    <cellStyle name="currency-$ 27 2 2" xfId="6255"/>
    <cellStyle name="currency-$ 27 2 2 2" xfId="6256"/>
    <cellStyle name="currency-$ 27 2 2 3" xfId="6257"/>
    <cellStyle name="currency-$ 27 2 2 4" xfId="6258"/>
    <cellStyle name="currency-$ 27 2 2 5" xfId="6259"/>
    <cellStyle name="currency-$ 27 3" xfId="6260"/>
    <cellStyle name="currency-$ 27 3 2" xfId="6261"/>
    <cellStyle name="currency-$ 27 3 3" xfId="6262"/>
    <cellStyle name="currency-$ 27 3 4" xfId="6263"/>
    <cellStyle name="currency-$ 27 3 5" xfId="6264"/>
    <cellStyle name="currency-$ 28" xfId="6265"/>
    <cellStyle name="currency-$ 28 2" xfId="6266"/>
    <cellStyle name="currency-$ 28 2 2" xfId="6267"/>
    <cellStyle name="currency-$ 28 2 2 2" xfId="6268"/>
    <cellStyle name="currency-$ 28 2 2 3" xfId="6269"/>
    <cellStyle name="currency-$ 28 2 2 4" xfId="6270"/>
    <cellStyle name="currency-$ 28 2 2 5" xfId="6271"/>
    <cellStyle name="currency-$ 28 3" xfId="6272"/>
    <cellStyle name="currency-$ 28 3 2" xfId="6273"/>
    <cellStyle name="currency-$ 28 3 3" xfId="6274"/>
    <cellStyle name="currency-$ 28 3 4" xfId="6275"/>
    <cellStyle name="currency-$ 28 3 5" xfId="6276"/>
    <cellStyle name="currency-$ 29" xfId="6277"/>
    <cellStyle name="currency-$ 29 2" xfId="6278"/>
    <cellStyle name="currency-$ 29 2 2" xfId="6279"/>
    <cellStyle name="currency-$ 29 2 2 2" xfId="6280"/>
    <cellStyle name="currency-$ 29 2 2 3" xfId="6281"/>
    <cellStyle name="currency-$ 29 2 2 4" xfId="6282"/>
    <cellStyle name="currency-$ 29 2 2 5" xfId="6283"/>
    <cellStyle name="currency-$ 29 3" xfId="6284"/>
    <cellStyle name="currency-$ 29 3 2" xfId="6285"/>
    <cellStyle name="currency-$ 29 3 3" xfId="6286"/>
    <cellStyle name="currency-$ 29 3 4" xfId="6287"/>
    <cellStyle name="currency-$ 29 3 5" xfId="6288"/>
    <cellStyle name="currency-$ 3" xfId="6289"/>
    <cellStyle name="currency-$ 3 2" xfId="6290"/>
    <cellStyle name="currency-$ 3 2 2" xfId="6291"/>
    <cellStyle name="currency-$ 3 2 2 2" xfId="6292"/>
    <cellStyle name="currency-$ 3 2 2 3" xfId="6293"/>
    <cellStyle name="currency-$ 3 2 2 4" xfId="6294"/>
    <cellStyle name="currency-$ 3 2 2 5" xfId="6295"/>
    <cellStyle name="currency-$ 3 3" xfId="6296"/>
    <cellStyle name="currency-$ 3 3 2" xfId="6297"/>
    <cellStyle name="currency-$ 3 3 3" xfId="6298"/>
    <cellStyle name="currency-$ 3 3 4" xfId="6299"/>
    <cellStyle name="currency-$ 3 3 5" xfId="6300"/>
    <cellStyle name="currency-$ 30" xfId="6301"/>
    <cellStyle name="currency-$ 30 2" xfId="6302"/>
    <cellStyle name="currency-$ 30 2 2" xfId="6303"/>
    <cellStyle name="currency-$ 30 2 2 2" xfId="6304"/>
    <cellStyle name="currency-$ 30 2 2 3" xfId="6305"/>
    <cellStyle name="currency-$ 30 2 2 4" xfId="6306"/>
    <cellStyle name="currency-$ 30 2 2 5" xfId="6307"/>
    <cellStyle name="currency-$ 30 3" xfId="6308"/>
    <cellStyle name="currency-$ 30 3 2" xfId="6309"/>
    <cellStyle name="currency-$ 30 3 3" xfId="6310"/>
    <cellStyle name="currency-$ 30 3 4" xfId="6311"/>
    <cellStyle name="currency-$ 30 3 5" xfId="6312"/>
    <cellStyle name="currency-$ 31" xfId="6313"/>
    <cellStyle name="currency-$ 31 2" xfId="6314"/>
    <cellStyle name="currency-$ 31 2 2" xfId="6315"/>
    <cellStyle name="currency-$ 31 2 2 2" xfId="6316"/>
    <cellStyle name="currency-$ 31 2 2 3" xfId="6317"/>
    <cellStyle name="currency-$ 31 2 2 4" xfId="6318"/>
    <cellStyle name="currency-$ 31 2 2 5" xfId="6319"/>
    <cellStyle name="currency-$ 31 3" xfId="6320"/>
    <cellStyle name="currency-$ 31 3 2" xfId="6321"/>
    <cellStyle name="currency-$ 31 3 3" xfId="6322"/>
    <cellStyle name="currency-$ 31 3 4" xfId="6323"/>
    <cellStyle name="currency-$ 31 3 5" xfId="6324"/>
    <cellStyle name="currency-$ 32" xfId="6325"/>
    <cellStyle name="currency-$ 32 2" xfId="6326"/>
    <cellStyle name="currency-$ 32 2 2" xfId="6327"/>
    <cellStyle name="currency-$ 32 2 2 2" xfId="6328"/>
    <cellStyle name="currency-$ 32 2 2 3" xfId="6329"/>
    <cellStyle name="currency-$ 32 2 2 4" xfId="6330"/>
    <cellStyle name="currency-$ 32 2 2 5" xfId="6331"/>
    <cellStyle name="currency-$ 32 3" xfId="6332"/>
    <cellStyle name="currency-$ 32 3 2" xfId="6333"/>
    <cellStyle name="currency-$ 32 3 3" xfId="6334"/>
    <cellStyle name="currency-$ 32 3 4" xfId="6335"/>
    <cellStyle name="currency-$ 32 3 5" xfId="6336"/>
    <cellStyle name="currency-$ 33" xfId="6337"/>
    <cellStyle name="currency-$ 33 2" xfId="6338"/>
    <cellStyle name="currency-$ 33 2 2" xfId="6339"/>
    <cellStyle name="currency-$ 33 2 2 2" xfId="6340"/>
    <cellStyle name="currency-$ 33 2 2 3" xfId="6341"/>
    <cellStyle name="currency-$ 33 2 2 4" xfId="6342"/>
    <cellStyle name="currency-$ 33 2 2 5" xfId="6343"/>
    <cellStyle name="currency-$ 33 3" xfId="6344"/>
    <cellStyle name="currency-$ 33 3 2" xfId="6345"/>
    <cellStyle name="currency-$ 33 3 3" xfId="6346"/>
    <cellStyle name="currency-$ 33 3 4" xfId="6347"/>
    <cellStyle name="currency-$ 33 3 5" xfId="6348"/>
    <cellStyle name="currency-$ 34" xfId="6349"/>
    <cellStyle name="currency-$ 34 2" xfId="6350"/>
    <cellStyle name="currency-$ 34 2 2" xfId="6351"/>
    <cellStyle name="currency-$ 34 2 2 2" xfId="6352"/>
    <cellStyle name="currency-$ 34 2 2 3" xfId="6353"/>
    <cellStyle name="currency-$ 34 2 2 4" xfId="6354"/>
    <cellStyle name="currency-$ 34 2 2 5" xfId="6355"/>
    <cellStyle name="currency-$ 34 3" xfId="6356"/>
    <cellStyle name="currency-$ 34 3 2" xfId="6357"/>
    <cellStyle name="currency-$ 34 3 3" xfId="6358"/>
    <cellStyle name="currency-$ 34 3 4" xfId="6359"/>
    <cellStyle name="currency-$ 34 3 5" xfId="6360"/>
    <cellStyle name="currency-$ 35" xfId="6361"/>
    <cellStyle name="currency-$ 35 2" xfId="6362"/>
    <cellStyle name="currency-$ 35 2 2" xfId="6363"/>
    <cellStyle name="currency-$ 35 2 2 2" xfId="6364"/>
    <cellStyle name="currency-$ 35 2 2 3" xfId="6365"/>
    <cellStyle name="currency-$ 35 2 2 4" xfId="6366"/>
    <cellStyle name="currency-$ 35 2 2 5" xfId="6367"/>
    <cellStyle name="currency-$ 35 3" xfId="6368"/>
    <cellStyle name="currency-$ 35 3 2" xfId="6369"/>
    <cellStyle name="currency-$ 35 3 3" xfId="6370"/>
    <cellStyle name="currency-$ 35 3 4" xfId="6371"/>
    <cellStyle name="currency-$ 35 3 5" xfId="6372"/>
    <cellStyle name="currency-$ 36" xfId="6373"/>
    <cellStyle name="currency-$ 36 2" xfId="6374"/>
    <cellStyle name="currency-$ 36 2 2" xfId="6375"/>
    <cellStyle name="currency-$ 36 2 2 2" xfId="6376"/>
    <cellStyle name="currency-$ 36 2 2 3" xfId="6377"/>
    <cellStyle name="currency-$ 36 2 2 4" xfId="6378"/>
    <cellStyle name="currency-$ 36 2 2 5" xfId="6379"/>
    <cellStyle name="currency-$ 36 3" xfId="6380"/>
    <cellStyle name="currency-$ 36 3 2" xfId="6381"/>
    <cellStyle name="currency-$ 36 3 3" xfId="6382"/>
    <cellStyle name="currency-$ 36 3 4" xfId="6383"/>
    <cellStyle name="currency-$ 36 3 5" xfId="6384"/>
    <cellStyle name="currency-$ 37" xfId="6385"/>
    <cellStyle name="currency-$ 37 2" xfId="6386"/>
    <cellStyle name="currency-$ 37 2 2" xfId="6387"/>
    <cellStyle name="currency-$ 37 2 2 2" xfId="6388"/>
    <cellStyle name="currency-$ 37 2 2 3" xfId="6389"/>
    <cellStyle name="currency-$ 37 2 2 4" xfId="6390"/>
    <cellStyle name="currency-$ 37 2 2 5" xfId="6391"/>
    <cellStyle name="currency-$ 37 3" xfId="6392"/>
    <cellStyle name="currency-$ 37 3 2" xfId="6393"/>
    <cellStyle name="currency-$ 37 3 3" xfId="6394"/>
    <cellStyle name="currency-$ 37 3 4" xfId="6395"/>
    <cellStyle name="currency-$ 37 3 5" xfId="6396"/>
    <cellStyle name="currency-$ 38" xfId="6397"/>
    <cellStyle name="currency-$ 38 2" xfId="6398"/>
    <cellStyle name="currency-$ 38 2 2" xfId="6399"/>
    <cellStyle name="currency-$ 38 2 2 2" xfId="6400"/>
    <cellStyle name="currency-$ 38 2 2 3" xfId="6401"/>
    <cellStyle name="currency-$ 38 2 2 4" xfId="6402"/>
    <cellStyle name="currency-$ 38 2 2 5" xfId="6403"/>
    <cellStyle name="currency-$ 38 3" xfId="6404"/>
    <cellStyle name="currency-$ 38 3 2" xfId="6405"/>
    <cellStyle name="currency-$ 38 3 3" xfId="6406"/>
    <cellStyle name="currency-$ 38 3 4" xfId="6407"/>
    <cellStyle name="currency-$ 38 3 5" xfId="6408"/>
    <cellStyle name="currency-$ 39" xfId="6409"/>
    <cellStyle name="currency-$ 39 2" xfId="6410"/>
    <cellStyle name="currency-$ 39 2 2" xfId="6411"/>
    <cellStyle name="currency-$ 39 2 2 2" xfId="6412"/>
    <cellStyle name="currency-$ 39 2 2 3" xfId="6413"/>
    <cellStyle name="currency-$ 39 2 2 4" xfId="6414"/>
    <cellStyle name="currency-$ 39 2 2 5" xfId="6415"/>
    <cellStyle name="currency-$ 39 3" xfId="6416"/>
    <cellStyle name="currency-$ 39 3 2" xfId="6417"/>
    <cellStyle name="currency-$ 39 3 3" xfId="6418"/>
    <cellStyle name="currency-$ 39 3 4" xfId="6419"/>
    <cellStyle name="currency-$ 39 3 5" xfId="6420"/>
    <cellStyle name="currency-$ 4" xfId="6421"/>
    <cellStyle name="currency-$ 4 2" xfId="6422"/>
    <cellStyle name="currency-$ 4 2 2" xfId="6423"/>
    <cellStyle name="currency-$ 4 2 2 2" xfId="6424"/>
    <cellStyle name="currency-$ 4 2 2 3" xfId="6425"/>
    <cellStyle name="currency-$ 4 2 2 4" xfId="6426"/>
    <cellStyle name="currency-$ 4 2 2 5" xfId="6427"/>
    <cellStyle name="currency-$ 4 3" xfId="6428"/>
    <cellStyle name="currency-$ 4 3 2" xfId="6429"/>
    <cellStyle name="currency-$ 4 3 3" xfId="6430"/>
    <cellStyle name="currency-$ 4 3 4" xfId="6431"/>
    <cellStyle name="currency-$ 4 3 5" xfId="6432"/>
    <cellStyle name="currency-$ 40" xfId="6433"/>
    <cellStyle name="currency-$ 40 2" xfId="6434"/>
    <cellStyle name="currency-$ 40 2 2" xfId="6435"/>
    <cellStyle name="currency-$ 40 2 2 2" xfId="6436"/>
    <cellStyle name="currency-$ 40 2 2 3" xfId="6437"/>
    <cellStyle name="currency-$ 40 2 2 4" xfId="6438"/>
    <cellStyle name="currency-$ 40 2 2 5" xfId="6439"/>
    <cellStyle name="currency-$ 40 3" xfId="6440"/>
    <cellStyle name="currency-$ 40 3 2" xfId="6441"/>
    <cellStyle name="currency-$ 40 3 3" xfId="6442"/>
    <cellStyle name="currency-$ 40 3 4" xfId="6443"/>
    <cellStyle name="currency-$ 40 3 5" xfId="6444"/>
    <cellStyle name="currency-$ 41" xfId="6445"/>
    <cellStyle name="currency-$ 41 2" xfId="6446"/>
    <cellStyle name="currency-$ 41 2 2" xfId="6447"/>
    <cellStyle name="currency-$ 41 2 2 2" xfId="6448"/>
    <cellStyle name="currency-$ 41 2 2 3" xfId="6449"/>
    <cellStyle name="currency-$ 41 2 2 4" xfId="6450"/>
    <cellStyle name="currency-$ 41 2 2 5" xfId="6451"/>
    <cellStyle name="currency-$ 41 3" xfId="6452"/>
    <cellStyle name="currency-$ 41 3 2" xfId="6453"/>
    <cellStyle name="currency-$ 41 3 3" xfId="6454"/>
    <cellStyle name="currency-$ 41 3 4" xfId="6455"/>
    <cellStyle name="currency-$ 41 3 5" xfId="6456"/>
    <cellStyle name="currency-$ 42" xfId="6457"/>
    <cellStyle name="currency-$ 42 2" xfId="6458"/>
    <cellStyle name="currency-$ 42 2 2" xfId="6459"/>
    <cellStyle name="currency-$ 42 2 2 2" xfId="6460"/>
    <cellStyle name="currency-$ 42 2 2 3" xfId="6461"/>
    <cellStyle name="currency-$ 42 2 2 4" xfId="6462"/>
    <cellStyle name="currency-$ 42 2 2 5" xfId="6463"/>
    <cellStyle name="currency-$ 42 3" xfId="6464"/>
    <cellStyle name="currency-$ 42 3 2" xfId="6465"/>
    <cellStyle name="currency-$ 42 3 3" xfId="6466"/>
    <cellStyle name="currency-$ 42 3 4" xfId="6467"/>
    <cellStyle name="currency-$ 42 3 5" xfId="6468"/>
    <cellStyle name="currency-$ 43" xfId="6469"/>
    <cellStyle name="currency-$ 43 2" xfId="6470"/>
    <cellStyle name="currency-$ 43 2 2" xfId="6471"/>
    <cellStyle name="currency-$ 43 2 2 2" xfId="6472"/>
    <cellStyle name="currency-$ 43 2 2 3" xfId="6473"/>
    <cellStyle name="currency-$ 43 2 2 4" xfId="6474"/>
    <cellStyle name="currency-$ 43 2 2 5" xfId="6475"/>
    <cellStyle name="currency-$ 43 3" xfId="6476"/>
    <cellStyle name="currency-$ 43 3 2" xfId="6477"/>
    <cellStyle name="currency-$ 43 3 3" xfId="6478"/>
    <cellStyle name="currency-$ 43 3 4" xfId="6479"/>
    <cellStyle name="currency-$ 43 3 5" xfId="6480"/>
    <cellStyle name="currency-$ 44" xfId="6481"/>
    <cellStyle name="currency-$ 44 2" xfId="6482"/>
    <cellStyle name="currency-$ 44 2 2" xfId="6483"/>
    <cellStyle name="currency-$ 44 2 2 2" xfId="6484"/>
    <cellStyle name="currency-$ 44 2 2 3" xfId="6485"/>
    <cellStyle name="currency-$ 44 2 2 4" xfId="6486"/>
    <cellStyle name="currency-$ 44 2 2 5" xfId="6487"/>
    <cellStyle name="currency-$ 44 3" xfId="6488"/>
    <cellStyle name="currency-$ 44 3 2" xfId="6489"/>
    <cellStyle name="currency-$ 44 3 3" xfId="6490"/>
    <cellStyle name="currency-$ 44 3 4" xfId="6491"/>
    <cellStyle name="currency-$ 44 3 5" xfId="6492"/>
    <cellStyle name="currency-$ 45" xfId="6493"/>
    <cellStyle name="currency-$ 45 2" xfId="6494"/>
    <cellStyle name="currency-$ 45 2 2" xfId="6495"/>
    <cellStyle name="currency-$ 45 2 2 2" xfId="6496"/>
    <cellStyle name="currency-$ 45 2 2 3" xfId="6497"/>
    <cellStyle name="currency-$ 45 2 2 4" xfId="6498"/>
    <cellStyle name="currency-$ 45 2 2 5" xfId="6499"/>
    <cellStyle name="currency-$ 45 3" xfId="6500"/>
    <cellStyle name="currency-$ 45 3 2" xfId="6501"/>
    <cellStyle name="currency-$ 45 3 3" xfId="6502"/>
    <cellStyle name="currency-$ 45 3 4" xfId="6503"/>
    <cellStyle name="currency-$ 45 3 5" xfId="6504"/>
    <cellStyle name="currency-$ 46" xfId="6505"/>
    <cellStyle name="currency-$ 46 2" xfId="6506"/>
    <cellStyle name="currency-$ 46 2 2" xfId="6507"/>
    <cellStyle name="currency-$ 46 2 2 2" xfId="6508"/>
    <cellStyle name="currency-$ 46 2 2 3" xfId="6509"/>
    <cellStyle name="currency-$ 46 2 2 4" xfId="6510"/>
    <cellStyle name="currency-$ 46 2 2 5" xfId="6511"/>
    <cellStyle name="currency-$ 46 3" xfId="6512"/>
    <cellStyle name="currency-$ 46 3 2" xfId="6513"/>
    <cellStyle name="currency-$ 46 3 3" xfId="6514"/>
    <cellStyle name="currency-$ 46 3 4" xfId="6515"/>
    <cellStyle name="currency-$ 46 3 5" xfId="6516"/>
    <cellStyle name="currency-$ 47" xfId="6517"/>
    <cellStyle name="currency-$ 47 2" xfId="6518"/>
    <cellStyle name="currency-$ 47 2 2" xfId="6519"/>
    <cellStyle name="currency-$ 47 2 2 2" xfId="6520"/>
    <cellStyle name="currency-$ 47 2 2 3" xfId="6521"/>
    <cellStyle name="currency-$ 47 2 2 4" xfId="6522"/>
    <cellStyle name="currency-$ 47 2 2 5" xfId="6523"/>
    <cellStyle name="currency-$ 47 3" xfId="6524"/>
    <cellStyle name="currency-$ 47 3 2" xfId="6525"/>
    <cellStyle name="currency-$ 47 3 3" xfId="6526"/>
    <cellStyle name="currency-$ 47 3 4" xfId="6527"/>
    <cellStyle name="currency-$ 47 3 5" xfId="6528"/>
    <cellStyle name="currency-$ 48" xfId="6529"/>
    <cellStyle name="currency-$ 48 2" xfId="6530"/>
    <cellStyle name="currency-$ 48 2 2" xfId="6531"/>
    <cellStyle name="currency-$ 48 2 2 2" xfId="6532"/>
    <cellStyle name="currency-$ 48 2 2 3" xfId="6533"/>
    <cellStyle name="currency-$ 48 2 2 4" xfId="6534"/>
    <cellStyle name="currency-$ 48 2 2 5" xfId="6535"/>
    <cellStyle name="currency-$ 48 3" xfId="6536"/>
    <cellStyle name="currency-$ 48 3 2" xfId="6537"/>
    <cellStyle name="currency-$ 48 3 3" xfId="6538"/>
    <cellStyle name="currency-$ 48 3 4" xfId="6539"/>
    <cellStyle name="currency-$ 48 3 5" xfId="6540"/>
    <cellStyle name="currency-$ 49" xfId="6541"/>
    <cellStyle name="currency-$ 49 2" xfId="6542"/>
    <cellStyle name="currency-$ 49 2 2" xfId="6543"/>
    <cellStyle name="currency-$ 49 2 2 2" xfId="6544"/>
    <cellStyle name="currency-$ 49 2 2 3" xfId="6545"/>
    <cellStyle name="currency-$ 49 2 2 4" xfId="6546"/>
    <cellStyle name="currency-$ 49 2 2 5" xfId="6547"/>
    <cellStyle name="currency-$ 49 3" xfId="6548"/>
    <cellStyle name="currency-$ 49 3 2" xfId="6549"/>
    <cellStyle name="currency-$ 49 3 3" xfId="6550"/>
    <cellStyle name="currency-$ 49 3 4" xfId="6551"/>
    <cellStyle name="currency-$ 49 3 5" xfId="6552"/>
    <cellStyle name="currency-$ 5" xfId="6553"/>
    <cellStyle name="currency-$ 5 2" xfId="6554"/>
    <cellStyle name="currency-$ 5 2 2" xfId="6555"/>
    <cellStyle name="currency-$ 5 2 2 2" xfId="6556"/>
    <cellStyle name="currency-$ 5 2 2 3" xfId="6557"/>
    <cellStyle name="currency-$ 5 2 2 4" xfId="6558"/>
    <cellStyle name="currency-$ 5 2 2 5" xfId="6559"/>
    <cellStyle name="currency-$ 5 3" xfId="6560"/>
    <cellStyle name="currency-$ 5 3 2" xfId="6561"/>
    <cellStyle name="currency-$ 5 3 3" xfId="6562"/>
    <cellStyle name="currency-$ 5 3 4" xfId="6563"/>
    <cellStyle name="currency-$ 5 3 5" xfId="6564"/>
    <cellStyle name="currency-$ 50" xfId="6565"/>
    <cellStyle name="currency-$ 50 2" xfId="6566"/>
    <cellStyle name="currency-$ 50 2 2" xfId="6567"/>
    <cellStyle name="currency-$ 50 2 2 2" xfId="6568"/>
    <cellStyle name="currency-$ 50 2 2 3" xfId="6569"/>
    <cellStyle name="currency-$ 50 2 2 4" xfId="6570"/>
    <cellStyle name="currency-$ 50 2 2 5" xfId="6571"/>
    <cellStyle name="currency-$ 50 3" xfId="6572"/>
    <cellStyle name="currency-$ 50 3 2" xfId="6573"/>
    <cellStyle name="currency-$ 50 3 3" xfId="6574"/>
    <cellStyle name="currency-$ 50 3 4" xfId="6575"/>
    <cellStyle name="currency-$ 50 3 5" xfId="6576"/>
    <cellStyle name="currency-$ 51" xfId="6577"/>
    <cellStyle name="currency-$ 51 2" xfId="6578"/>
    <cellStyle name="currency-$ 51 2 2" xfId="6579"/>
    <cellStyle name="currency-$ 51 2 2 2" xfId="6580"/>
    <cellStyle name="currency-$ 51 2 2 3" xfId="6581"/>
    <cellStyle name="currency-$ 51 2 2 4" xfId="6582"/>
    <cellStyle name="currency-$ 51 2 2 5" xfId="6583"/>
    <cellStyle name="currency-$ 51 3" xfId="6584"/>
    <cellStyle name="currency-$ 51 3 2" xfId="6585"/>
    <cellStyle name="currency-$ 51 3 3" xfId="6586"/>
    <cellStyle name="currency-$ 51 3 4" xfId="6587"/>
    <cellStyle name="currency-$ 51 3 5" xfId="6588"/>
    <cellStyle name="currency-$ 52" xfId="6589"/>
    <cellStyle name="currency-$ 52 2" xfId="6590"/>
    <cellStyle name="currency-$ 52 2 2" xfId="6591"/>
    <cellStyle name="currency-$ 52 2 2 2" xfId="6592"/>
    <cellStyle name="currency-$ 52 2 2 3" xfId="6593"/>
    <cellStyle name="currency-$ 52 2 2 4" xfId="6594"/>
    <cellStyle name="currency-$ 52 2 2 5" xfId="6595"/>
    <cellStyle name="currency-$ 52 3" xfId="6596"/>
    <cellStyle name="currency-$ 52 3 2" xfId="6597"/>
    <cellStyle name="currency-$ 52 3 3" xfId="6598"/>
    <cellStyle name="currency-$ 52 3 4" xfId="6599"/>
    <cellStyle name="currency-$ 52 3 5" xfId="6600"/>
    <cellStyle name="currency-$ 53" xfId="6601"/>
    <cellStyle name="currency-$ 53 2" xfId="6602"/>
    <cellStyle name="currency-$ 53 2 2" xfId="6603"/>
    <cellStyle name="currency-$ 53 2 2 2" xfId="6604"/>
    <cellStyle name="currency-$ 53 2 2 3" xfId="6605"/>
    <cellStyle name="currency-$ 53 2 2 4" xfId="6606"/>
    <cellStyle name="currency-$ 53 2 2 5" xfId="6607"/>
    <cellStyle name="currency-$ 53 3" xfId="6608"/>
    <cellStyle name="currency-$ 53 3 2" xfId="6609"/>
    <cellStyle name="currency-$ 53 3 3" xfId="6610"/>
    <cellStyle name="currency-$ 53 3 4" xfId="6611"/>
    <cellStyle name="currency-$ 53 3 5" xfId="6612"/>
    <cellStyle name="currency-$ 54" xfId="6613"/>
    <cellStyle name="currency-$ 54 2" xfId="6614"/>
    <cellStyle name="currency-$ 54 2 2" xfId="6615"/>
    <cellStyle name="currency-$ 54 2 2 2" xfId="6616"/>
    <cellStyle name="currency-$ 54 2 2 3" xfId="6617"/>
    <cellStyle name="currency-$ 54 2 2 4" xfId="6618"/>
    <cellStyle name="currency-$ 54 2 2 5" xfId="6619"/>
    <cellStyle name="currency-$ 54 3" xfId="6620"/>
    <cellStyle name="currency-$ 54 3 2" xfId="6621"/>
    <cellStyle name="currency-$ 54 3 3" xfId="6622"/>
    <cellStyle name="currency-$ 54 3 4" xfId="6623"/>
    <cellStyle name="currency-$ 54 3 5" xfId="6624"/>
    <cellStyle name="currency-$ 55" xfId="6625"/>
    <cellStyle name="currency-$ 55 2" xfId="6626"/>
    <cellStyle name="currency-$ 55 2 2" xfId="6627"/>
    <cellStyle name="currency-$ 55 2 2 2" xfId="6628"/>
    <cellStyle name="currency-$ 55 2 2 3" xfId="6629"/>
    <cellStyle name="currency-$ 55 2 2 4" xfId="6630"/>
    <cellStyle name="currency-$ 55 2 2 5" xfId="6631"/>
    <cellStyle name="currency-$ 55 3" xfId="6632"/>
    <cellStyle name="currency-$ 55 3 2" xfId="6633"/>
    <cellStyle name="currency-$ 55 3 3" xfId="6634"/>
    <cellStyle name="currency-$ 55 3 4" xfId="6635"/>
    <cellStyle name="currency-$ 55 3 5" xfId="6636"/>
    <cellStyle name="currency-$ 56" xfId="6637"/>
    <cellStyle name="currency-$ 56 2" xfId="6638"/>
    <cellStyle name="currency-$ 56 2 2" xfId="6639"/>
    <cellStyle name="currency-$ 56 2 2 2" xfId="6640"/>
    <cellStyle name="currency-$ 56 2 2 3" xfId="6641"/>
    <cellStyle name="currency-$ 56 2 2 4" xfId="6642"/>
    <cellStyle name="currency-$ 56 2 2 5" xfId="6643"/>
    <cellStyle name="currency-$ 56 3" xfId="6644"/>
    <cellStyle name="currency-$ 56 3 2" xfId="6645"/>
    <cellStyle name="currency-$ 56 3 3" xfId="6646"/>
    <cellStyle name="currency-$ 56 3 4" xfId="6647"/>
    <cellStyle name="currency-$ 56 3 5" xfId="6648"/>
    <cellStyle name="currency-$ 57" xfId="6649"/>
    <cellStyle name="currency-$ 57 2" xfId="6650"/>
    <cellStyle name="currency-$ 57 2 2" xfId="6651"/>
    <cellStyle name="currency-$ 57 2 3" xfId="6652"/>
    <cellStyle name="currency-$ 57 2 4" xfId="6653"/>
    <cellStyle name="currency-$ 57 2 5" xfId="6654"/>
    <cellStyle name="currency-$ 58" xfId="6655"/>
    <cellStyle name="currency-$ 58 2" xfId="6656"/>
    <cellStyle name="currency-$ 58 3" xfId="6657"/>
    <cellStyle name="currency-$ 58 4" xfId="6658"/>
    <cellStyle name="currency-$ 58 5" xfId="6659"/>
    <cellStyle name="currency-$ 6" xfId="6660"/>
    <cellStyle name="currency-$ 6 2" xfId="6661"/>
    <cellStyle name="currency-$ 6 2 2" xfId="6662"/>
    <cellStyle name="currency-$ 6 2 2 2" xfId="6663"/>
    <cellStyle name="currency-$ 6 2 2 3" xfId="6664"/>
    <cellStyle name="currency-$ 6 2 2 4" xfId="6665"/>
    <cellStyle name="currency-$ 6 2 2 5" xfId="6666"/>
    <cellStyle name="currency-$ 6 3" xfId="6667"/>
    <cellStyle name="currency-$ 6 3 2" xfId="6668"/>
    <cellStyle name="currency-$ 6 3 3" xfId="6669"/>
    <cellStyle name="currency-$ 6 3 4" xfId="6670"/>
    <cellStyle name="currency-$ 6 3 5" xfId="6671"/>
    <cellStyle name="currency-$ 7" xfId="6672"/>
    <cellStyle name="currency-$ 7 2" xfId="6673"/>
    <cellStyle name="currency-$ 7 2 2" xfId="6674"/>
    <cellStyle name="currency-$ 7 2 2 2" xfId="6675"/>
    <cellStyle name="currency-$ 7 2 2 3" xfId="6676"/>
    <cellStyle name="currency-$ 7 2 2 4" xfId="6677"/>
    <cellStyle name="currency-$ 7 2 2 5" xfId="6678"/>
    <cellStyle name="currency-$ 7 3" xfId="6679"/>
    <cellStyle name="currency-$ 7 3 2" xfId="6680"/>
    <cellStyle name="currency-$ 7 3 3" xfId="6681"/>
    <cellStyle name="currency-$ 7 3 4" xfId="6682"/>
    <cellStyle name="currency-$ 7 3 5" xfId="6683"/>
    <cellStyle name="currency-$ 8" xfId="6684"/>
    <cellStyle name="currency-$ 8 2" xfId="6685"/>
    <cellStyle name="currency-$ 8 2 2" xfId="6686"/>
    <cellStyle name="currency-$ 8 2 2 2" xfId="6687"/>
    <cellStyle name="currency-$ 8 2 2 3" xfId="6688"/>
    <cellStyle name="currency-$ 8 2 2 4" xfId="6689"/>
    <cellStyle name="currency-$ 8 2 2 5" xfId="6690"/>
    <cellStyle name="currency-$ 8 3" xfId="6691"/>
    <cellStyle name="currency-$ 8 3 2" xfId="6692"/>
    <cellStyle name="currency-$ 8 3 3" xfId="6693"/>
    <cellStyle name="currency-$ 8 3 4" xfId="6694"/>
    <cellStyle name="currency-$ 8 3 5" xfId="6695"/>
    <cellStyle name="currency-$ 9" xfId="6696"/>
    <cellStyle name="currency-$ 9 2" xfId="6697"/>
    <cellStyle name="currency-$ 9 2 2" xfId="6698"/>
    <cellStyle name="currency-$ 9 2 2 2" xfId="6699"/>
    <cellStyle name="currency-$ 9 2 2 3" xfId="6700"/>
    <cellStyle name="currency-$ 9 2 2 4" xfId="6701"/>
    <cellStyle name="currency-$ 9 2 2 5" xfId="6702"/>
    <cellStyle name="currency-$ 9 3" xfId="6703"/>
    <cellStyle name="currency-$ 9 3 2" xfId="6704"/>
    <cellStyle name="currency-$ 9 3 3" xfId="6705"/>
    <cellStyle name="currency-$ 9 3 4" xfId="6706"/>
    <cellStyle name="currency-$ 9 3 5" xfId="6707"/>
    <cellStyle name="currency-$_표지 " xfId="6708"/>
    <cellStyle name="Currency_ " xfId="6709"/>
    <cellStyle name="Currency0" xfId="6710"/>
    <cellStyle name="Currency0 2" xfId="6711"/>
    <cellStyle name="Currency0 2 2" xfId="6712"/>
    <cellStyle name="Currency0 2 2 2" xfId="6713"/>
    <cellStyle name="Currency0 2 2 2 2" xfId="6714"/>
    <cellStyle name="Currency0 2 2 3" xfId="6715"/>
    <cellStyle name="Currency0 2 3" xfId="6716"/>
    <cellStyle name="Currency0 2 3 2" xfId="6717"/>
    <cellStyle name="Currency0 2 4" xfId="6718"/>
    <cellStyle name="Currency0 2 4 2" xfId="6719"/>
    <cellStyle name="Currency0 2 5" xfId="6720"/>
    <cellStyle name="Currency0 3" xfId="6721"/>
    <cellStyle name="Currency0 3 2" xfId="6722"/>
    <cellStyle name="Currency0 4" xfId="6723"/>
    <cellStyle name="Currency0 4 2" xfId="6724"/>
    <cellStyle name="Currency0 5" xfId="6725"/>
    <cellStyle name="Currency0 5 2" xfId="6726"/>
    <cellStyle name="Currency0 6" xfId="6727"/>
    <cellStyle name="Currency0 6 2" xfId="6728"/>
    <cellStyle name="Currency0 7" xfId="6729"/>
    <cellStyle name="Currency0 7 2" xfId="6730"/>
    <cellStyle name="Currency0 7 2 2" xfId="6731"/>
    <cellStyle name="Currency0 7 3" xfId="6732"/>
    <cellStyle name="Currency0 8" xfId="6733"/>
    <cellStyle name="Currency0 8 2" xfId="6734"/>
    <cellStyle name="Currency0 9" xfId="6735"/>
    <cellStyle name="Currency1" xfId="6736"/>
    <cellStyle name="Currency1 10" xfId="6737"/>
    <cellStyle name="Currency1 10 2" xfId="6738"/>
    <cellStyle name="Currency1 11" xfId="6739"/>
    <cellStyle name="Currency1 11 2" xfId="6740"/>
    <cellStyle name="Currency1 12" xfId="6741"/>
    <cellStyle name="Currency1 12 2" xfId="6742"/>
    <cellStyle name="Currency1 13" xfId="6743"/>
    <cellStyle name="Currency1 13 2" xfId="6744"/>
    <cellStyle name="Currency1 14" xfId="6745"/>
    <cellStyle name="Currency1 15" xfId="6746"/>
    <cellStyle name="Currency1 16" xfId="6747"/>
    <cellStyle name="Currency1 17" xfId="6748"/>
    <cellStyle name="Currency1 18" xfId="6749"/>
    <cellStyle name="Currency1 2" xfId="6750"/>
    <cellStyle name="Currency1 2 2" xfId="6751"/>
    <cellStyle name="Currency1 2 2 2" xfId="6752"/>
    <cellStyle name="Currency1 2 2 2 2" xfId="6753"/>
    <cellStyle name="Currency1 2 2 3" xfId="6754"/>
    <cellStyle name="Currency1 2 3" xfId="6755"/>
    <cellStyle name="Currency1 2 3 2" xfId="6756"/>
    <cellStyle name="Currency1 2 4" xfId="6757"/>
    <cellStyle name="Currency1 2 4 2" xfId="6758"/>
    <cellStyle name="Currency1 2 5" xfId="6759"/>
    <cellStyle name="Currency1 3" xfId="6760"/>
    <cellStyle name="Currency1 3 2" xfId="6761"/>
    <cellStyle name="Currency1 4" xfId="6762"/>
    <cellStyle name="Currency1 4 2" xfId="6763"/>
    <cellStyle name="Currency1 5" xfId="6764"/>
    <cellStyle name="Currency1 5 2" xfId="6765"/>
    <cellStyle name="Currency1 6" xfId="6766"/>
    <cellStyle name="Currency1 6 2" xfId="6767"/>
    <cellStyle name="Currency1 7" xfId="6768"/>
    <cellStyle name="Currency1 7 2" xfId="6769"/>
    <cellStyle name="Currency1 7 2 2" xfId="6770"/>
    <cellStyle name="Currency1 7 3" xfId="6771"/>
    <cellStyle name="Currency1 8" xfId="6772"/>
    <cellStyle name="Currency1 8 2" xfId="6773"/>
    <cellStyle name="Currency1 9" xfId="6774"/>
    <cellStyle name="Currency1 9 2" xfId="6775"/>
    <cellStyle name="Currency1_1부여부지 콘도미니엄 신축공사 AV설비 견적서_20100121" xfId="6776"/>
    <cellStyle name="Date" xfId="6777"/>
    <cellStyle name="Date 10" xfId="6778"/>
    <cellStyle name="Date 10 2" xfId="6779"/>
    <cellStyle name="Date 11" xfId="6780"/>
    <cellStyle name="Date 11 2" xfId="6781"/>
    <cellStyle name="Date 12" xfId="6782"/>
    <cellStyle name="Date 12 2" xfId="6783"/>
    <cellStyle name="Date 13" xfId="6784"/>
    <cellStyle name="Date 13 2" xfId="6785"/>
    <cellStyle name="Date 14" xfId="6786"/>
    <cellStyle name="Date 2" xfId="6787"/>
    <cellStyle name="Date 2 2" xfId="6788"/>
    <cellStyle name="Date 2 2 2" xfId="6789"/>
    <cellStyle name="Date 2 3" xfId="6790"/>
    <cellStyle name="Date 3" xfId="6791"/>
    <cellStyle name="Date 3 2" xfId="6792"/>
    <cellStyle name="Date 4" xfId="6793"/>
    <cellStyle name="Date 4 2" xfId="6794"/>
    <cellStyle name="Date 5" xfId="6795"/>
    <cellStyle name="Date 5 2" xfId="6796"/>
    <cellStyle name="Date 6" xfId="6797"/>
    <cellStyle name="Date 6 2" xfId="6798"/>
    <cellStyle name="Date 7" xfId="6799"/>
    <cellStyle name="Date 7 2" xfId="6800"/>
    <cellStyle name="Date 8" xfId="6801"/>
    <cellStyle name="Date 8 2" xfId="6802"/>
    <cellStyle name="Date 9" xfId="6803"/>
    <cellStyle name="Date 9 2" xfId="6804"/>
    <cellStyle name="Date Short" xfId="6805"/>
    <cellStyle name="Date Short 2" xfId="6806"/>
    <cellStyle name="Date_(060116)음향보정장치공사 내역서" xfId="6807"/>
    <cellStyle name="Date-Time" xfId="6808"/>
    <cellStyle name="Date-Time 2" xfId="6809"/>
    <cellStyle name="Decimal 1" xfId="6810"/>
    <cellStyle name="Decimal 1 2" xfId="6811"/>
    <cellStyle name="Decimal 2" xfId="6812"/>
    <cellStyle name="Decimal 2 2" xfId="6813"/>
    <cellStyle name="Decimal 3" xfId="6814"/>
    <cellStyle name="Decimal 3 2" xfId="6815"/>
    <cellStyle name="DELTA" xfId="6816"/>
    <cellStyle name="DELTA 2" xfId="6817"/>
    <cellStyle name="Dezimal [0]_Ausdruck RUND (D)" xfId="6818"/>
    <cellStyle name="Dezimal_Ausdruck RUND (D)" xfId="6819"/>
    <cellStyle name="Dollar (zero dec)" xfId="6820"/>
    <cellStyle name="Dollar (zero dec) 10" xfId="6821"/>
    <cellStyle name="Dollar (zero dec) 10 2" xfId="6822"/>
    <cellStyle name="Dollar (zero dec) 11" xfId="6823"/>
    <cellStyle name="Dollar (zero dec) 11 2" xfId="6824"/>
    <cellStyle name="Dollar (zero dec) 12" xfId="6825"/>
    <cellStyle name="Dollar (zero dec) 12 2" xfId="6826"/>
    <cellStyle name="Dollar (zero dec) 13" xfId="6827"/>
    <cellStyle name="Dollar (zero dec) 13 2" xfId="6828"/>
    <cellStyle name="Dollar (zero dec) 14" xfId="6829"/>
    <cellStyle name="Dollar (zero dec) 15" xfId="6830"/>
    <cellStyle name="Dollar (zero dec) 16" xfId="6831"/>
    <cellStyle name="Dollar (zero dec) 17" xfId="6832"/>
    <cellStyle name="Dollar (zero dec) 18" xfId="6833"/>
    <cellStyle name="Dollar (zero dec) 2" xfId="6834"/>
    <cellStyle name="Dollar (zero dec) 2 2" xfId="6835"/>
    <cellStyle name="Dollar (zero dec) 2 2 2" xfId="6836"/>
    <cellStyle name="Dollar (zero dec) 2 2 2 2" xfId="6837"/>
    <cellStyle name="Dollar (zero dec) 2 2 3" xfId="6838"/>
    <cellStyle name="Dollar (zero dec) 2 3" xfId="6839"/>
    <cellStyle name="Dollar (zero dec) 2 3 2" xfId="6840"/>
    <cellStyle name="Dollar (zero dec) 2 4" xfId="6841"/>
    <cellStyle name="Dollar (zero dec) 2 4 2" xfId="6842"/>
    <cellStyle name="Dollar (zero dec) 2 5" xfId="6843"/>
    <cellStyle name="Dollar (zero dec) 3" xfId="6844"/>
    <cellStyle name="Dollar (zero dec) 3 2" xfId="6845"/>
    <cellStyle name="Dollar (zero dec) 4" xfId="6846"/>
    <cellStyle name="Dollar (zero dec) 4 2" xfId="6847"/>
    <cellStyle name="Dollar (zero dec) 5" xfId="6848"/>
    <cellStyle name="Dollar (zero dec) 5 2" xfId="6849"/>
    <cellStyle name="Dollar (zero dec) 6" xfId="6850"/>
    <cellStyle name="Dollar (zero dec) 6 2" xfId="6851"/>
    <cellStyle name="Dollar (zero dec) 7" xfId="6852"/>
    <cellStyle name="Dollar (zero dec) 7 2" xfId="6853"/>
    <cellStyle name="Dollar (zero dec) 7 2 2" xfId="6854"/>
    <cellStyle name="Dollar (zero dec) 7 3" xfId="6855"/>
    <cellStyle name="Dollar (zero dec) 8" xfId="6856"/>
    <cellStyle name="Dollar (zero dec) 8 2" xfId="6857"/>
    <cellStyle name="Dollar (zero dec) 9" xfId="6858"/>
    <cellStyle name="Dollar (zero dec) 9 2" xfId="6859"/>
    <cellStyle name="Dollar (zero dec)_1부여부지 콘도미니엄 신축공사 AV설비 견적서_20100121" xfId="6860"/>
    <cellStyle name="E­Æo±aE￡" xfId="6861"/>
    <cellStyle name="E­Æo±aE￡ 2" xfId="6862"/>
    <cellStyle name="E­Æo±aE￡0" xfId="6863"/>
    <cellStyle name="E­Æo±aE￡0 2" xfId="6864"/>
    <cellStyle name="Enter Currency (0)" xfId="6865"/>
    <cellStyle name="Enter Currency (0) 2" xfId="6866"/>
    <cellStyle name="Enter Currency (2)" xfId="6867"/>
    <cellStyle name="Enter Currency (2) 2" xfId="6868"/>
    <cellStyle name="Enter Units (0)" xfId="6869"/>
    <cellStyle name="Enter Units (0) 2" xfId="6870"/>
    <cellStyle name="Enter Units (1)" xfId="6871"/>
    <cellStyle name="Enter Units (1) 2" xfId="6872"/>
    <cellStyle name="Enter Units (2)" xfId="6873"/>
    <cellStyle name="Enter Units (2) 2" xfId="6874"/>
    <cellStyle name="Entered" xfId="6875"/>
    <cellStyle name="Entered 2" xfId="6876"/>
    <cellStyle name="Entered 2 2" xfId="6877"/>
    <cellStyle name="Entered 2 2 2" xfId="6878"/>
    <cellStyle name="Entered 2 3" xfId="6879"/>
    <cellStyle name="Entered 3" xfId="6880"/>
    <cellStyle name="Entered 3 2" xfId="6881"/>
    <cellStyle name="Entered 4" xfId="6882"/>
    <cellStyle name="Entered 4 2" xfId="6883"/>
    <cellStyle name="Entered 5" xfId="6884"/>
    <cellStyle name="F2" xfId="6885"/>
    <cellStyle name="F2 2" xfId="6886"/>
    <cellStyle name="F3" xfId="6887"/>
    <cellStyle name="F3 2" xfId="6888"/>
    <cellStyle name="F4" xfId="6889"/>
    <cellStyle name="F4 2" xfId="6890"/>
    <cellStyle name="F5" xfId="6891"/>
    <cellStyle name="F5 2" xfId="6892"/>
    <cellStyle name="F6" xfId="6893"/>
    <cellStyle name="F6 2" xfId="6894"/>
    <cellStyle name="F7" xfId="6895"/>
    <cellStyle name="F7 2" xfId="6896"/>
    <cellStyle name="F8" xfId="6897"/>
    <cellStyle name="F8 2" xfId="6898"/>
    <cellStyle name="Fixed" xfId="6899"/>
    <cellStyle name="Fixed 10" xfId="6900"/>
    <cellStyle name="Fixed 10 2" xfId="6901"/>
    <cellStyle name="Fixed 11" xfId="6902"/>
    <cellStyle name="Fixed 11 2" xfId="6903"/>
    <cellStyle name="Fixed 12" xfId="6904"/>
    <cellStyle name="Fixed 12 2" xfId="6905"/>
    <cellStyle name="Fixed 13" xfId="6906"/>
    <cellStyle name="Fixed 13 2" xfId="6907"/>
    <cellStyle name="Fixed 14" xfId="6908"/>
    <cellStyle name="Fixed 2" xfId="6909"/>
    <cellStyle name="Fixed 2 2" xfId="6910"/>
    <cellStyle name="Fixed 2 2 2" xfId="6911"/>
    <cellStyle name="Fixed 2 3" xfId="6912"/>
    <cellStyle name="Fixed 3" xfId="6913"/>
    <cellStyle name="Fixed 3 2" xfId="6914"/>
    <cellStyle name="Fixed 4" xfId="6915"/>
    <cellStyle name="Fixed 4 2" xfId="6916"/>
    <cellStyle name="Fixed 5" xfId="6917"/>
    <cellStyle name="Fixed 5 2" xfId="6918"/>
    <cellStyle name="Fixed 6" xfId="6919"/>
    <cellStyle name="Fixed 6 2" xfId="6920"/>
    <cellStyle name="Fixed 7" xfId="6921"/>
    <cellStyle name="Fixed 7 2" xfId="6922"/>
    <cellStyle name="Fixed 8" xfId="6923"/>
    <cellStyle name="Fixed 8 2" xfId="6924"/>
    <cellStyle name="Fixed 9" xfId="6925"/>
    <cellStyle name="Fixed 9 2" xfId="6926"/>
    <cellStyle name="Fixed_1부여부지 콘도미니엄 신축공사 AV설비 견적서_20100121" xfId="6927"/>
    <cellStyle name="Followed Hyperlink" xfId="6928"/>
    <cellStyle name="G10" xfId="6929"/>
    <cellStyle name="G10 2" xfId="6930"/>
    <cellStyle name="ǦǦ_x0003_" xfId="6931"/>
    <cellStyle name="ǦǦ_x0003_ 2" xfId="6932"/>
    <cellStyle name="Grey" xfId="6933"/>
    <cellStyle name="Grey 10" xfId="6934"/>
    <cellStyle name="Grey 10 2" xfId="6935"/>
    <cellStyle name="Grey 11" xfId="6936"/>
    <cellStyle name="Grey 11 2" xfId="6937"/>
    <cellStyle name="Grey 12" xfId="6938"/>
    <cellStyle name="Grey 12 2" xfId="6939"/>
    <cellStyle name="Grey 13" xfId="6940"/>
    <cellStyle name="Grey 13 2" xfId="6941"/>
    <cellStyle name="Grey 14" xfId="6942"/>
    <cellStyle name="Grey 14 2" xfId="6943"/>
    <cellStyle name="Grey 15" xfId="6944"/>
    <cellStyle name="Grey 15 2" xfId="6945"/>
    <cellStyle name="Grey 15 2 2" xfId="6946"/>
    <cellStyle name="Grey 15 3" xfId="6947"/>
    <cellStyle name="Grey 16" xfId="6948"/>
    <cellStyle name="Grey 16 2" xfId="6949"/>
    <cellStyle name="Grey 17" xfId="6950"/>
    <cellStyle name="Grey 18" xfId="6951"/>
    <cellStyle name="Grey 2" xfId="6952"/>
    <cellStyle name="Grey 2 2" xfId="6953"/>
    <cellStyle name="Grey 2 2 2" xfId="6954"/>
    <cellStyle name="Grey 2 2 2 2" xfId="6955"/>
    <cellStyle name="Grey 2 2 3" xfId="6956"/>
    <cellStyle name="Grey 2 3" xfId="6957"/>
    <cellStyle name="Grey 2 3 2" xfId="6958"/>
    <cellStyle name="Grey 2 4" xfId="6959"/>
    <cellStyle name="Grey 2 4 2" xfId="6960"/>
    <cellStyle name="Grey 2 5" xfId="6961"/>
    <cellStyle name="Grey 2 6" xfId="6962"/>
    <cellStyle name="Grey 3" xfId="6963"/>
    <cellStyle name="Grey 3 2" xfId="6964"/>
    <cellStyle name="Grey 3 3" xfId="6965"/>
    <cellStyle name="Grey 4" xfId="6966"/>
    <cellStyle name="Grey 4 2" xfId="6967"/>
    <cellStyle name="Grey 5" xfId="6968"/>
    <cellStyle name="Grey 5 2" xfId="6969"/>
    <cellStyle name="Grey 6" xfId="6970"/>
    <cellStyle name="Grey 6 2" xfId="6971"/>
    <cellStyle name="Grey 7" xfId="6972"/>
    <cellStyle name="Grey 7 2" xfId="6973"/>
    <cellStyle name="Grey 8" xfId="6974"/>
    <cellStyle name="Grey 8 2" xfId="6975"/>
    <cellStyle name="Grey 9" xfId="6976"/>
    <cellStyle name="Grey 9 2" xfId="6977"/>
    <cellStyle name="Grey_한국방송통신 전파진흥원 대회의실 무대장치 설치공사_110905" xfId="6978"/>
    <cellStyle name="H1" xfId="6979"/>
    <cellStyle name="H2" xfId="6980"/>
    <cellStyle name="HEADER" xfId="6981"/>
    <cellStyle name="HEADER 2" xfId="6982"/>
    <cellStyle name="HEADER 2 2" xfId="6983"/>
    <cellStyle name="HEADER 2 2 2" xfId="6984"/>
    <cellStyle name="HEADER 2 3" xfId="6985"/>
    <cellStyle name="HEADER 2 4" xfId="6986"/>
    <cellStyle name="HEADER 3" xfId="6987"/>
    <cellStyle name="HEADER 3 2" xfId="6988"/>
    <cellStyle name="HEADER 4" xfId="6989"/>
    <cellStyle name="HEADER 4 2" xfId="6990"/>
    <cellStyle name="HEADER 5" xfId="6991"/>
    <cellStyle name="HEADER 6" xfId="6992"/>
    <cellStyle name="Header1" xfId="6993"/>
    <cellStyle name="Header1 2" xfId="6994"/>
    <cellStyle name="Header1 3" xfId="6995"/>
    <cellStyle name="Header2" xfId="6996"/>
    <cellStyle name="Header2 2" xfId="6997"/>
    <cellStyle name="Header2 2 2" xfId="6998"/>
    <cellStyle name="Header2 2 2 2" xfId="6999"/>
    <cellStyle name="Header2 2 2 3" xfId="7000"/>
    <cellStyle name="Header2 2 2 4" xfId="7001"/>
    <cellStyle name="Header2 2 2 5" xfId="7002"/>
    <cellStyle name="Header2 3" xfId="7003"/>
    <cellStyle name="Header2 3 2" xfId="7004"/>
    <cellStyle name="Header2 3 3" xfId="7005"/>
    <cellStyle name="Header2 3 4" xfId="7006"/>
    <cellStyle name="Header2 3 5" xfId="7007"/>
    <cellStyle name="Header2 4" xfId="7008"/>
    <cellStyle name="Heading 1" xfId="7009"/>
    <cellStyle name="Heading 1 2" xfId="7010"/>
    <cellStyle name="Heading 2" xfId="7011"/>
    <cellStyle name="Heading 2 2" xfId="7012"/>
    <cellStyle name="Heading1" xfId="7013"/>
    <cellStyle name="Heading1 10" xfId="7014"/>
    <cellStyle name="Heading1 10 2" xfId="7015"/>
    <cellStyle name="Heading1 11" xfId="7016"/>
    <cellStyle name="Heading1 11 2" xfId="7017"/>
    <cellStyle name="Heading1 12" xfId="7018"/>
    <cellStyle name="HEADING1 12 2" xfId="7019"/>
    <cellStyle name="HEADING1 12 2 2" xfId="7020"/>
    <cellStyle name="Heading1 12 3" xfId="7021"/>
    <cellStyle name="Heading1 12 4" xfId="7022"/>
    <cellStyle name="Heading1 13" xfId="7023"/>
    <cellStyle name="Heading1 13 2" xfId="7024"/>
    <cellStyle name="Heading1 14" xfId="7025"/>
    <cellStyle name="Heading1 2" xfId="7026"/>
    <cellStyle name="Heading1 2 10" xfId="7027"/>
    <cellStyle name="Heading1 2 10 2" xfId="7028"/>
    <cellStyle name="Heading1 2 11" xfId="7029"/>
    <cellStyle name="Heading1 2 11 2" xfId="7030"/>
    <cellStyle name="Heading1 2 12" xfId="7031"/>
    <cellStyle name="Heading1 2 2" xfId="7032"/>
    <cellStyle name="Heading1 2 2 2" xfId="7033"/>
    <cellStyle name="Heading1 2 3" xfId="7034"/>
    <cellStyle name="Heading1 2 3 2" xfId="7035"/>
    <cellStyle name="Heading1 2 4" xfId="7036"/>
    <cellStyle name="Heading1 2 4 2" xfId="7037"/>
    <cellStyle name="Heading1 2 5" xfId="7038"/>
    <cellStyle name="Heading1 2 5 2" xfId="7039"/>
    <cellStyle name="Heading1 2 6" xfId="7040"/>
    <cellStyle name="Heading1 2 6 2" xfId="7041"/>
    <cellStyle name="Heading1 2 7" xfId="7042"/>
    <cellStyle name="Heading1 2 7 2" xfId="7043"/>
    <cellStyle name="Heading1 2 8" xfId="7044"/>
    <cellStyle name="Heading1 2 8 2" xfId="7045"/>
    <cellStyle name="Heading1 2 9" xfId="7046"/>
    <cellStyle name="Heading1 2 9 2" xfId="7047"/>
    <cellStyle name="Heading1 3" xfId="7048"/>
    <cellStyle name="Heading1 3 2" xfId="7049"/>
    <cellStyle name="Heading1 4" xfId="7050"/>
    <cellStyle name="Heading1 4 2" xfId="7051"/>
    <cellStyle name="Heading1 5" xfId="7052"/>
    <cellStyle name="Heading1 5 2" xfId="7053"/>
    <cellStyle name="Heading1 6" xfId="7054"/>
    <cellStyle name="Heading1 6 2" xfId="7055"/>
    <cellStyle name="Heading1 7" xfId="7056"/>
    <cellStyle name="Heading1 7 2" xfId="7057"/>
    <cellStyle name="Heading1 8" xfId="7058"/>
    <cellStyle name="Heading1 8 2" xfId="7059"/>
    <cellStyle name="Heading1 9" xfId="7060"/>
    <cellStyle name="Heading1 9 2" xfId="7061"/>
    <cellStyle name="Heading1_1부여부지 콘도미니엄 신축공사 AV설비 견적서_20100121" xfId="7062"/>
    <cellStyle name="Heading2" xfId="7063"/>
    <cellStyle name="Heading2 10" xfId="7064"/>
    <cellStyle name="Heading2 10 2" xfId="7065"/>
    <cellStyle name="Heading2 11" xfId="7066"/>
    <cellStyle name="Heading2 11 2" xfId="7067"/>
    <cellStyle name="Heading2 12" xfId="7068"/>
    <cellStyle name="HEADING2 12 2" xfId="7069"/>
    <cellStyle name="HEADING2 12 2 2" xfId="7070"/>
    <cellStyle name="Heading2 12 3" xfId="7071"/>
    <cellStyle name="Heading2 12 4" xfId="7072"/>
    <cellStyle name="Heading2 13" xfId="7073"/>
    <cellStyle name="Heading2 13 2" xfId="7074"/>
    <cellStyle name="Heading2 14" xfId="7075"/>
    <cellStyle name="Heading2 2" xfId="7076"/>
    <cellStyle name="Heading2 2 10" xfId="7077"/>
    <cellStyle name="Heading2 2 10 2" xfId="7078"/>
    <cellStyle name="Heading2 2 11" xfId="7079"/>
    <cellStyle name="Heading2 2 11 2" xfId="7080"/>
    <cellStyle name="Heading2 2 12" xfId="7081"/>
    <cellStyle name="Heading2 2 2" xfId="7082"/>
    <cellStyle name="Heading2 2 2 2" xfId="7083"/>
    <cellStyle name="Heading2 2 3" xfId="7084"/>
    <cellStyle name="Heading2 2 3 2" xfId="7085"/>
    <cellStyle name="Heading2 2 4" xfId="7086"/>
    <cellStyle name="Heading2 2 4 2" xfId="7087"/>
    <cellStyle name="Heading2 2 5" xfId="7088"/>
    <cellStyle name="Heading2 2 5 2" xfId="7089"/>
    <cellStyle name="Heading2 2 6" xfId="7090"/>
    <cellStyle name="Heading2 2 6 2" xfId="7091"/>
    <cellStyle name="Heading2 2 7" xfId="7092"/>
    <cellStyle name="Heading2 2 7 2" xfId="7093"/>
    <cellStyle name="Heading2 2 8" xfId="7094"/>
    <cellStyle name="Heading2 2 8 2" xfId="7095"/>
    <cellStyle name="Heading2 2 9" xfId="7096"/>
    <cellStyle name="Heading2 2 9 2" xfId="7097"/>
    <cellStyle name="Heading2 3" xfId="7098"/>
    <cellStyle name="Heading2 3 2" xfId="7099"/>
    <cellStyle name="Heading2 4" xfId="7100"/>
    <cellStyle name="Heading2 4 2" xfId="7101"/>
    <cellStyle name="Heading2 5" xfId="7102"/>
    <cellStyle name="Heading2 5 2" xfId="7103"/>
    <cellStyle name="Heading2 6" xfId="7104"/>
    <cellStyle name="Heading2 6 2" xfId="7105"/>
    <cellStyle name="Heading2 7" xfId="7106"/>
    <cellStyle name="Heading2 7 2" xfId="7107"/>
    <cellStyle name="Heading2 8" xfId="7108"/>
    <cellStyle name="Heading2 8 2" xfId="7109"/>
    <cellStyle name="Heading2 9" xfId="7110"/>
    <cellStyle name="Heading2 9 2" xfId="7111"/>
    <cellStyle name="Heading2_1부여부지 콘도미니엄 신축공사 AV설비 견적서_20100121" xfId="7112"/>
    <cellStyle name="HEADINGS" xfId="7113"/>
    <cellStyle name="HEADINGS 2" xfId="7114"/>
    <cellStyle name="HEADINGSTOP" xfId="7115"/>
    <cellStyle name="HEADINGSTOP 2" xfId="7116"/>
    <cellStyle name="Helv8_PFD4.XLS" xfId="7117"/>
    <cellStyle name="HIGHLIGHT" xfId="7118"/>
    <cellStyle name="HIGHLIGHT 2" xfId="7119"/>
    <cellStyle name="Hyperlink" xfId="7120"/>
    <cellStyle name="Hyperlink 2" xfId="7121"/>
    <cellStyle name="Input" xfId="7122"/>
    <cellStyle name="Input %" xfId="7123"/>
    <cellStyle name="Input % 2" xfId="7124"/>
    <cellStyle name="Input [yellow]" xfId="7125"/>
    <cellStyle name="Input [yellow] 10" xfId="7126"/>
    <cellStyle name="Input [yellow] 10 2" xfId="7127"/>
    <cellStyle name="Input [yellow] 10 2 2" xfId="7128"/>
    <cellStyle name="Input [yellow] 10 2 2 2" xfId="7129"/>
    <cellStyle name="Input [yellow] 10 2 2 3" xfId="7130"/>
    <cellStyle name="Input [yellow] 10 2 2 4" xfId="7131"/>
    <cellStyle name="Input [yellow] 10 2 2 5" xfId="7132"/>
    <cellStyle name="Input [yellow] 10 3" xfId="7133"/>
    <cellStyle name="Input [yellow] 10 3 2" xfId="7134"/>
    <cellStyle name="Input [yellow] 10 3 3" xfId="7135"/>
    <cellStyle name="Input [yellow] 10 3 4" xfId="7136"/>
    <cellStyle name="Input [yellow] 10 3 5" xfId="7137"/>
    <cellStyle name="Input [yellow] 11" xfId="7138"/>
    <cellStyle name="Input [yellow] 11 2" xfId="7139"/>
    <cellStyle name="Input [yellow] 11 2 2" xfId="7140"/>
    <cellStyle name="Input [yellow] 11 2 2 2" xfId="7141"/>
    <cellStyle name="Input [yellow] 11 2 2 3" xfId="7142"/>
    <cellStyle name="Input [yellow] 11 2 2 4" xfId="7143"/>
    <cellStyle name="Input [yellow] 11 2 2 5" xfId="7144"/>
    <cellStyle name="Input [yellow] 11 3" xfId="7145"/>
    <cellStyle name="Input [yellow] 11 3 2" xfId="7146"/>
    <cellStyle name="Input [yellow] 11 3 3" xfId="7147"/>
    <cellStyle name="Input [yellow] 11 3 4" xfId="7148"/>
    <cellStyle name="Input [yellow] 11 3 5" xfId="7149"/>
    <cellStyle name="Input [yellow] 12" xfId="7150"/>
    <cellStyle name="Input [yellow] 12 2" xfId="7151"/>
    <cellStyle name="Input [yellow] 12 2 2" xfId="7152"/>
    <cellStyle name="Input [yellow] 12 2 2 2" xfId="7153"/>
    <cellStyle name="Input [yellow] 12 2 2 3" xfId="7154"/>
    <cellStyle name="Input [yellow] 12 2 2 4" xfId="7155"/>
    <cellStyle name="Input [yellow] 12 2 2 5" xfId="7156"/>
    <cellStyle name="Input [yellow] 12 3" xfId="7157"/>
    <cellStyle name="Input [yellow] 12 3 2" xfId="7158"/>
    <cellStyle name="Input [yellow] 12 3 3" xfId="7159"/>
    <cellStyle name="Input [yellow] 12 3 4" xfId="7160"/>
    <cellStyle name="Input [yellow] 12 3 5" xfId="7161"/>
    <cellStyle name="Input [yellow] 13" xfId="7162"/>
    <cellStyle name="Input [yellow] 13 2" xfId="7163"/>
    <cellStyle name="Input [yellow] 13 2 2" xfId="7164"/>
    <cellStyle name="Input [yellow] 13 2 2 2" xfId="7165"/>
    <cellStyle name="Input [yellow] 13 2 2 3" xfId="7166"/>
    <cellStyle name="Input [yellow] 13 2 2 4" xfId="7167"/>
    <cellStyle name="Input [yellow] 13 2 2 5" xfId="7168"/>
    <cellStyle name="Input [yellow] 13 3" xfId="7169"/>
    <cellStyle name="Input [yellow] 13 3 2" xfId="7170"/>
    <cellStyle name="Input [yellow] 13 3 3" xfId="7171"/>
    <cellStyle name="Input [yellow] 13 3 4" xfId="7172"/>
    <cellStyle name="Input [yellow] 13 3 5" xfId="7173"/>
    <cellStyle name="Input [yellow] 14" xfId="7174"/>
    <cellStyle name="Input [yellow] 14 2" xfId="7175"/>
    <cellStyle name="Input [yellow] 14 2 2" xfId="7176"/>
    <cellStyle name="Input [yellow] 14 2 2 2" xfId="7177"/>
    <cellStyle name="Input [yellow] 14 2 2 3" xfId="7178"/>
    <cellStyle name="Input [yellow] 14 2 2 4" xfId="7179"/>
    <cellStyle name="Input [yellow] 14 2 2 5" xfId="7180"/>
    <cellStyle name="Input [yellow] 14 3" xfId="7181"/>
    <cellStyle name="Input [yellow] 14 3 2" xfId="7182"/>
    <cellStyle name="Input [yellow] 14 3 3" xfId="7183"/>
    <cellStyle name="Input [yellow] 14 3 4" xfId="7184"/>
    <cellStyle name="Input [yellow] 14 3 5" xfId="7185"/>
    <cellStyle name="Input [yellow] 15" xfId="7186"/>
    <cellStyle name="Input [yellow] 15 2" xfId="7187"/>
    <cellStyle name="Input [yellow] 15 2 2" xfId="7188"/>
    <cellStyle name="Input [yellow] 15 2 2 2" xfId="7189"/>
    <cellStyle name="Input [yellow] 15 2 2 2 2" xfId="7190"/>
    <cellStyle name="Input [yellow] 15 2 2 2 3" xfId="7191"/>
    <cellStyle name="Input [yellow] 15 2 2 2 4" xfId="7192"/>
    <cellStyle name="Input [yellow] 15 2 2 2 5" xfId="7193"/>
    <cellStyle name="Input [yellow] 15 2 3" xfId="7194"/>
    <cellStyle name="Input [yellow] 15 2 3 2" xfId="7195"/>
    <cellStyle name="Input [yellow] 15 2 3 3" xfId="7196"/>
    <cellStyle name="Input [yellow] 15 2 3 4" xfId="7197"/>
    <cellStyle name="Input [yellow] 15 2 3 5" xfId="7198"/>
    <cellStyle name="Input [yellow] 15 3" xfId="7199"/>
    <cellStyle name="Input [yellow] 15 3 2" xfId="7200"/>
    <cellStyle name="Input [yellow] 15 3 2 2" xfId="7201"/>
    <cellStyle name="Input [yellow] 15 3 2 3" xfId="7202"/>
    <cellStyle name="Input [yellow] 15 3 2 4" xfId="7203"/>
    <cellStyle name="Input [yellow] 15 3 2 5" xfId="7204"/>
    <cellStyle name="Input [yellow] 15 4" xfId="7205"/>
    <cellStyle name="Input [yellow] 15 4 2" xfId="7206"/>
    <cellStyle name="Input [yellow] 15 4 3" xfId="7207"/>
    <cellStyle name="Input [yellow] 15 4 4" xfId="7208"/>
    <cellStyle name="Input [yellow] 15 4 5" xfId="7209"/>
    <cellStyle name="Input [yellow] 16" xfId="7210"/>
    <cellStyle name="Input [yellow] 16 2" xfId="7211"/>
    <cellStyle name="Input [yellow] 16 2 2" xfId="7212"/>
    <cellStyle name="Input [yellow] 16 2 2 2" xfId="7213"/>
    <cellStyle name="Input [yellow] 16 2 2 3" xfId="7214"/>
    <cellStyle name="Input [yellow] 16 2 2 4" xfId="7215"/>
    <cellStyle name="Input [yellow] 16 2 2 5" xfId="7216"/>
    <cellStyle name="Input [yellow] 16 3" xfId="7217"/>
    <cellStyle name="Input [yellow] 16 3 2" xfId="7218"/>
    <cellStyle name="Input [yellow] 16 3 3" xfId="7219"/>
    <cellStyle name="Input [yellow] 16 3 4" xfId="7220"/>
    <cellStyle name="Input [yellow] 16 3 5" xfId="7221"/>
    <cellStyle name="Input [yellow] 17" xfId="7222"/>
    <cellStyle name="Input [yellow] 17 2" xfId="7223"/>
    <cellStyle name="Input [yellow] 17 2 2" xfId="7224"/>
    <cellStyle name="Input [yellow] 17 2 3" xfId="7225"/>
    <cellStyle name="Input [yellow] 17 2 4" xfId="7226"/>
    <cellStyle name="Input [yellow] 17 2 5" xfId="7227"/>
    <cellStyle name="Input [yellow] 18" xfId="7228"/>
    <cellStyle name="Input [yellow] 18 2" xfId="7229"/>
    <cellStyle name="Input [yellow] 18 3" xfId="7230"/>
    <cellStyle name="Input [yellow] 18 4" xfId="7231"/>
    <cellStyle name="Input [yellow] 18 5" xfId="7232"/>
    <cellStyle name="Input [yellow] 19" xfId="7233"/>
    <cellStyle name="Input [yellow] 2" xfId="7234"/>
    <cellStyle name="Input [yellow] 2 2" xfId="7235"/>
    <cellStyle name="Input [yellow] 2 2 2" xfId="7236"/>
    <cellStyle name="Input [yellow] 2 2 2 2" xfId="7237"/>
    <cellStyle name="Input [yellow] 2 2 2 2 2" xfId="7238"/>
    <cellStyle name="Input [yellow] 2 2 2 2 2 2" xfId="7239"/>
    <cellStyle name="Input [yellow] 2 2 2 2 2 3" xfId="7240"/>
    <cellStyle name="Input [yellow] 2 2 2 2 2 4" xfId="7241"/>
    <cellStyle name="Input [yellow] 2 2 2 2 2 5" xfId="7242"/>
    <cellStyle name="Input [yellow] 2 2 2 3" xfId="7243"/>
    <cellStyle name="Input [yellow] 2 2 2 3 2" xfId="7244"/>
    <cellStyle name="Input [yellow] 2 2 2 3 3" xfId="7245"/>
    <cellStyle name="Input [yellow] 2 2 2 3 4" xfId="7246"/>
    <cellStyle name="Input [yellow] 2 2 2 3 5" xfId="7247"/>
    <cellStyle name="Input [yellow] 2 2 3" xfId="7248"/>
    <cellStyle name="Input [yellow] 2 2 3 2" xfId="7249"/>
    <cellStyle name="Input [yellow] 2 2 3 2 2" xfId="7250"/>
    <cellStyle name="Input [yellow] 2 2 3 2 3" xfId="7251"/>
    <cellStyle name="Input [yellow] 2 2 3 2 4" xfId="7252"/>
    <cellStyle name="Input [yellow] 2 2 3 2 5" xfId="7253"/>
    <cellStyle name="Input [yellow] 2 2 4" xfId="7254"/>
    <cellStyle name="Input [yellow] 2 2 4 2" xfId="7255"/>
    <cellStyle name="Input [yellow] 2 2 4 3" xfId="7256"/>
    <cellStyle name="Input [yellow] 2 2 4 4" xfId="7257"/>
    <cellStyle name="Input [yellow] 2 2 4 5" xfId="7258"/>
    <cellStyle name="Input [yellow] 2 3" xfId="7259"/>
    <cellStyle name="Input [yellow] 2 3 2" xfId="7260"/>
    <cellStyle name="Input [yellow] 2 3 2 2" xfId="7261"/>
    <cellStyle name="Input [yellow] 2 3 2 2 2" xfId="7262"/>
    <cellStyle name="Input [yellow] 2 3 2 2 3" xfId="7263"/>
    <cellStyle name="Input [yellow] 2 3 2 2 4" xfId="7264"/>
    <cellStyle name="Input [yellow] 2 3 2 2 5" xfId="7265"/>
    <cellStyle name="Input [yellow] 2 3 3" xfId="7266"/>
    <cellStyle name="Input [yellow] 2 3 3 2" xfId="7267"/>
    <cellStyle name="Input [yellow] 2 3 3 3" xfId="7268"/>
    <cellStyle name="Input [yellow] 2 3 3 4" xfId="7269"/>
    <cellStyle name="Input [yellow] 2 3 3 5" xfId="7270"/>
    <cellStyle name="Input [yellow] 2 4" xfId="7271"/>
    <cellStyle name="Input [yellow] 2 4 2" xfId="7272"/>
    <cellStyle name="Input [yellow] 2 4 2 2" xfId="7273"/>
    <cellStyle name="Input [yellow] 2 4 2 2 2" xfId="7274"/>
    <cellStyle name="Input [yellow] 2 4 2 2 3" xfId="7275"/>
    <cellStyle name="Input [yellow] 2 4 2 2 4" xfId="7276"/>
    <cellStyle name="Input [yellow] 2 4 2 2 5" xfId="7277"/>
    <cellStyle name="Input [yellow] 2 4 3" xfId="7278"/>
    <cellStyle name="Input [yellow] 2 4 3 2" xfId="7279"/>
    <cellStyle name="Input [yellow] 2 4 3 3" xfId="7280"/>
    <cellStyle name="Input [yellow] 2 4 3 4" xfId="7281"/>
    <cellStyle name="Input [yellow] 2 4 3 5" xfId="7282"/>
    <cellStyle name="Input [yellow] 2 5" xfId="7283"/>
    <cellStyle name="Input [yellow] 2 5 2" xfId="7284"/>
    <cellStyle name="Input [yellow] 2 5 2 2" xfId="7285"/>
    <cellStyle name="Input [yellow] 2 5 2 3" xfId="7286"/>
    <cellStyle name="Input [yellow] 2 5 2 4" xfId="7287"/>
    <cellStyle name="Input [yellow] 2 5 2 5" xfId="7288"/>
    <cellStyle name="Input [yellow] 2 6" xfId="7289"/>
    <cellStyle name="Input [yellow] 2 6 2" xfId="7290"/>
    <cellStyle name="Input [yellow] 2 6 2 2" xfId="7291"/>
    <cellStyle name="Input [yellow] 2 6 2 3" xfId="7292"/>
    <cellStyle name="Input [yellow] 2 6 2 4" xfId="7293"/>
    <cellStyle name="Input [yellow] 2 6 2 5" xfId="7294"/>
    <cellStyle name="Input [yellow] 2 7" xfId="7295"/>
    <cellStyle name="Input [yellow] 2 7 2" xfId="7296"/>
    <cellStyle name="Input [yellow] 2 7 3" xfId="7297"/>
    <cellStyle name="Input [yellow] 2 7 4" xfId="7298"/>
    <cellStyle name="Input [yellow] 2 7 5" xfId="7299"/>
    <cellStyle name="Input [yellow] 3" xfId="7300"/>
    <cellStyle name="Input [yellow] 3 2" xfId="7301"/>
    <cellStyle name="Input [yellow] 3 2 2" xfId="7302"/>
    <cellStyle name="Input [yellow] 3 2 2 2" xfId="7303"/>
    <cellStyle name="Input [yellow] 3 2 2 3" xfId="7304"/>
    <cellStyle name="Input [yellow] 3 2 2 4" xfId="7305"/>
    <cellStyle name="Input [yellow] 3 2 2 5" xfId="7306"/>
    <cellStyle name="Input [yellow] 3 3" xfId="7307"/>
    <cellStyle name="Input [yellow] 3 3 2" xfId="7308"/>
    <cellStyle name="Input [yellow] 3 3 2 2" xfId="7309"/>
    <cellStyle name="Input [yellow] 3 3 2 3" xfId="7310"/>
    <cellStyle name="Input [yellow] 3 3 2 4" xfId="7311"/>
    <cellStyle name="Input [yellow] 3 3 2 5" xfId="7312"/>
    <cellStyle name="Input [yellow] 3 4" xfId="7313"/>
    <cellStyle name="Input [yellow] 3 4 2" xfId="7314"/>
    <cellStyle name="Input [yellow] 3 4 3" xfId="7315"/>
    <cellStyle name="Input [yellow] 3 4 4" xfId="7316"/>
    <cellStyle name="Input [yellow] 3 4 5" xfId="7317"/>
    <cellStyle name="Input [yellow] 4" xfId="7318"/>
    <cellStyle name="Input [yellow] 4 2" xfId="7319"/>
    <cellStyle name="Input [yellow] 4 2 2" xfId="7320"/>
    <cellStyle name="Input [yellow] 4 2 2 2" xfId="7321"/>
    <cellStyle name="Input [yellow] 4 2 2 3" xfId="7322"/>
    <cellStyle name="Input [yellow] 4 2 2 4" xfId="7323"/>
    <cellStyle name="Input [yellow] 4 2 2 5" xfId="7324"/>
    <cellStyle name="Input [yellow] 4 3" xfId="7325"/>
    <cellStyle name="Input [yellow] 4 3 2" xfId="7326"/>
    <cellStyle name="Input [yellow] 4 3 3" xfId="7327"/>
    <cellStyle name="Input [yellow] 4 3 4" xfId="7328"/>
    <cellStyle name="Input [yellow] 4 3 5" xfId="7329"/>
    <cellStyle name="Input [yellow] 5" xfId="7330"/>
    <cellStyle name="Input [yellow] 5 2" xfId="7331"/>
    <cellStyle name="Input [yellow] 5 2 2" xfId="7332"/>
    <cellStyle name="Input [yellow] 5 2 2 2" xfId="7333"/>
    <cellStyle name="Input [yellow] 5 2 2 3" xfId="7334"/>
    <cellStyle name="Input [yellow] 5 2 2 4" xfId="7335"/>
    <cellStyle name="Input [yellow] 5 2 2 5" xfId="7336"/>
    <cellStyle name="Input [yellow] 5 3" xfId="7337"/>
    <cellStyle name="Input [yellow] 5 3 2" xfId="7338"/>
    <cellStyle name="Input [yellow] 5 3 3" xfId="7339"/>
    <cellStyle name="Input [yellow] 5 3 4" xfId="7340"/>
    <cellStyle name="Input [yellow] 5 3 5" xfId="7341"/>
    <cellStyle name="Input [yellow] 6" xfId="7342"/>
    <cellStyle name="Input [yellow] 6 2" xfId="7343"/>
    <cellStyle name="Input [yellow] 6 2 2" xfId="7344"/>
    <cellStyle name="Input [yellow] 6 2 2 2" xfId="7345"/>
    <cellStyle name="Input [yellow] 6 2 2 3" xfId="7346"/>
    <cellStyle name="Input [yellow] 6 2 2 4" xfId="7347"/>
    <cellStyle name="Input [yellow] 6 2 2 5" xfId="7348"/>
    <cellStyle name="Input [yellow] 6 3" xfId="7349"/>
    <cellStyle name="Input [yellow] 6 3 2" xfId="7350"/>
    <cellStyle name="Input [yellow] 6 3 3" xfId="7351"/>
    <cellStyle name="Input [yellow] 6 3 4" xfId="7352"/>
    <cellStyle name="Input [yellow] 6 3 5" xfId="7353"/>
    <cellStyle name="Input [yellow] 7" xfId="7354"/>
    <cellStyle name="Input [yellow] 7 2" xfId="7355"/>
    <cellStyle name="Input [yellow] 7 2 2" xfId="7356"/>
    <cellStyle name="Input [yellow] 7 2 2 2" xfId="7357"/>
    <cellStyle name="Input [yellow] 7 2 2 3" xfId="7358"/>
    <cellStyle name="Input [yellow] 7 2 2 4" xfId="7359"/>
    <cellStyle name="Input [yellow] 7 2 2 5" xfId="7360"/>
    <cellStyle name="Input [yellow] 7 3" xfId="7361"/>
    <cellStyle name="Input [yellow] 7 3 2" xfId="7362"/>
    <cellStyle name="Input [yellow] 7 3 3" xfId="7363"/>
    <cellStyle name="Input [yellow] 7 3 4" xfId="7364"/>
    <cellStyle name="Input [yellow] 7 3 5" xfId="7365"/>
    <cellStyle name="Input [yellow] 8" xfId="7366"/>
    <cellStyle name="Input [yellow] 8 2" xfId="7367"/>
    <cellStyle name="Input [yellow] 8 2 2" xfId="7368"/>
    <cellStyle name="Input [yellow] 8 2 2 2" xfId="7369"/>
    <cellStyle name="Input [yellow] 8 2 2 3" xfId="7370"/>
    <cellStyle name="Input [yellow] 8 2 2 4" xfId="7371"/>
    <cellStyle name="Input [yellow] 8 2 2 5" xfId="7372"/>
    <cellStyle name="Input [yellow] 8 3" xfId="7373"/>
    <cellStyle name="Input [yellow] 8 3 2" xfId="7374"/>
    <cellStyle name="Input [yellow] 8 3 3" xfId="7375"/>
    <cellStyle name="Input [yellow] 8 3 4" xfId="7376"/>
    <cellStyle name="Input [yellow] 8 3 5" xfId="7377"/>
    <cellStyle name="Input [yellow] 9" xfId="7378"/>
    <cellStyle name="Input [yellow] 9 2" xfId="7379"/>
    <cellStyle name="Input [yellow] 9 2 2" xfId="7380"/>
    <cellStyle name="Input [yellow] 9 2 2 2" xfId="7381"/>
    <cellStyle name="Input [yellow] 9 2 2 3" xfId="7382"/>
    <cellStyle name="Input [yellow] 9 2 2 4" xfId="7383"/>
    <cellStyle name="Input [yellow] 9 2 2 5" xfId="7384"/>
    <cellStyle name="Input [yellow] 9 3" xfId="7385"/>
    <cellStyle name="Input [yellow] 9 3 2" xfId="7386"/>
    <cellStyle name="Input [yellow] 9 3 3" xfId="7387"/>
    <cellStyle name="Input [yellow] 9 3 4" xfId="7388"/>
    <cellStyle name="Input [yellow] 9 3 5" xfId="7389"/>
    <cellStyle name="Input [yellow]_한국방송통신 전파진흥원 대회의실 무대장치 설치공사_110905" xfId="7390"/>
    <cellStyle name="Input 1" xfId="7391"/>
    <cellStyle name="Input 1 2" xfId="7392"/>
    <cellStyle name="Input 2" xfId="7393"/>
    <cellStyle name="Input 3" xfId="7394"/>
    <cellStyle name="Input 3 2" xfId="7395"/>
    <cellStyle name="Input 4" xfId="7396"/>
    <cellStyle name="Input Cells" xfId="7397"/>
    <cellStyle name="Input Cells 2" xfId="7398"/>
    <cellStyle name="_x0001__x0002_ĵĵ_x0007_ ĵĵ  ƨƬ_x0001__x0002_ƨƬ_x0007_ ǒǓ  ǜǜ  ǪǪ_x0007__x0007__x0005__x0005__x0010__x0001_ဠ" xfId="7399"/>
    <cellStyle name="_x0001__x0002_ĵĵ_x0007__x0009_ĵĵ_x000d__x000d_ƨƬ_x0001__x0002_ƨƬ_x0007__x000d_ǒǓ_x0009__x000d_ǜǜ_x000d__x000d_ǪǪ_x0007__x0007__x0005__x0005__x0010__x0001_ဠ" xfId="7400"/>
    <cellStyle name="Komma [0]_BINV" xfId="7401"/>
    <cellStyle name="Komma_BINV" xfId="7402"/>
    <cellStyle name="L`" xfId="7403"/>
    <cellStyle name="L` 2" xfId="7404"/>
    <cellStyle name="Link Currency (0)" xfId="7405"/>
    <cellStyle name="Link Currency (0) 2" xfId="7406"/>
    <cellStyle name="Link Currency (2)" xfId="7407"/>
    <cellStyle name="Link Currency (2) 2" xfId="7408"/>
    <cellStyle name="Link Units (0)" xfId="7409"/>
    <cellStyle name="Link Units (0) 2" xfId="7410"/>
    <cellStyle name="Link Units (1)" xfId="7411"/>
    <cellStyle name="Link Units (1) 2" xfId="7412"/>
    <cellStyle name="Link Units (2)" xfId="7413"/>
    <cellStyle name="Link Units (2) 2" xfId="7414"/>
    <cellStyle name="Linked Cells" xfId="7415"/>
    <cellStyle name="Linked Cells 2" xfId="7416"/>
    <cellStyle name="LL" xfId="7417"/>
    <cellStyle name="m" xfId="7418"/>
    <cellStyle name="Midtitle" xfId="7419"/>
    <cellStyle name="Milliers [0]_Arabian Spec" xfId="7420"/>
    <cellStyle name="Milliers_Arabian Spec" xfId="7421"/>
    <cellStyle name="Model" xfId="7422"/>
    <cellStyle name="Model 2" xfId="7423"/>
    <cellStyle name="Model 3" xfId="7424"/>
    <cellStyle name="Mon?aire [0]_Arabian Spec" xfId="7425"/>
    <cellStyle name="Mon?aire_Arabian Spec" xfId="7426"/>
    <cellStyle name="Monétaire [0]_CTC" xfId="7427"/>
    <cellStyle name="Monétaire_CTC" xfId="7428"/>
    <cellStyle name="Month" xfId="7429"/>
    <cellStyle name="Month 2" xfId="7430"/>
    <cellStyle name="MS Proofing Tools" xfId="7431"/>
    <cellStyle name="MS Proofing Tools 2" xfId="7432"/>
    <cellStyle name="no dec" xfId="7433"/>
    <cellStyle name="no dec 2" xfId="7434"/>
    <cellStyle name="normal" xfId="7435"/>
    <cellStyle name="Normal - Style1" xfId="7436"/>
    <cellStyle name="Normal - Style1 10" xfId="7437"/>
    <cellStyle name="Normal - Style1 10 2" xfId="7438"/>
    <cellStyle name="Normal - Style1 11" xfId="7439"/>
    <cellStyle name="Normal - Style1 11 2" xfId="7440"/>
    <cellStyle name="Normal - Style1 12" xfId="7441"/>
    <cellStyle name="Normal - Style1 12 2" xfId="7442"/>
    <cellStyle name="Normal - Style1 13" xfId="7443"/>
    <cellStyle name="Normal - Style1 13 2" xfId="7444"/>
    <cellStyle name="Normal - Style1 14" xfId="7445"/>
    <cellStyle name="Normal - Style1 14 2" xfId="7446"/>
    <cellStyle name="Normal - Style1 15" xfId="7447"/>
    <cellStyle name="Normal - Style1 15 2" xfId="7448"/>
    <cellStyle name="Normal - Style1 16" xfId="7449"/>
    <cellStyle name="Normal - Style1 16 2" xfId="7450"/>
    <cellStyle name="Normal - Style1 17" xfId="7451"/>
    <cellStyle name="Normal - Style1 17 2" xfId="7452"/>
    <cellStyle name="Normal - Style1 18" xfId="7453"/>
    <cellStyle name="Normal - Style1 18 2" xfId="7454"/>
    <cellStyle name="Normal - Style1 18 2 2" xfId="7455"/>
    <cellStyle name="Normal - Style1 18 3" xfId="7456"/>
    <cellStyle name="Normal - Style1 19" xfId="7457"/>
    <cellStyle name="Normal - Style1 19 2" xfId="7458"/>
    <cellStyle name="Normal - Style1 2" xfId="7459"/>
    <cellStyle name="Normal - Style1 2 2" xfId="7460"/>
    <cellStyle name="Normal - Style1 2 2 2" xfId="7461"/>
    <cellStyle name="Normal - Style1 2 2 2 2" xfId="7462"/>
    <cellStyle name="Normal - Style1 2 2 2 2 2" xfId="7463"/>
    <cellStyle name="Normal - Style1 2 2 2 3" xfId="7464"/>
    <cellStyle name="Normal - Style1 2 2 3" xfId="7465"/>
    <cellStyle name="Normal - Style1 2 2 3 2" xfId="7466"/>
    <cellStyle name="Normal - Style1 2 2 4" xfId="7467"/>
    <cellStyle name="Normal - Style1 2 2 4 2" xfId="7468"/>
    <cellStyle name="Normal - Style1 2 2 5" xfId="7469"/>
    <cellStyle name="Normal - Style1 2 3" xfId="7470"/>
    <cellStyle name="Normal - Style1 2 3 2" xfId="7471"/>
    <cellStyle name="Normal - Style1 2 4" xfId="7472"/>
    <cellStyle name="Normal - Style1 2 4 2" xfId="7473"/>
    <cellStyle name="Normal - Style1 2 5" xfId="7474"/>
    <cellStyle name="Normal - Style1 2 5 2" xfId="7475"/>
    <cellStyle name="Normal - Style1 2 6" xfId="7476"/>
    <cellStyle name="Normal - Style1 2 6 2" xfId="7477"/>
    <cellStyle name="Normal - Style1 2 6 2 2" xfId="7478"/>
    <cellStyle name="Normal - Style1 2 6 3" xfId="7479"/>
    <cellStyle name="Normal - Style1 2 7" xfId="7480"/>
    <cellStyle name="Normal - Style1 2 7 2" xfId="7481"/>
    <cellStyle name="Normal - Style1 2 8" xfId="7482"/>
    <cellStyle name="Normal - Style1 2 9" xfId="7483"/>
    <cellStyle name="Normal - Style1 20" xfId="7484"/>
    <cellStyle name="Normal - Style1 20 2" xfId="7485"/>
    <cellStyle name="Normal - Style1 21" xfId="7486"/>
    <cellStyle name="Normal - Style1 21 2" xfId="7487"/>
    <cellStyle name="Normal - Style1 22" xfId="7488"/>
    <cellStyle name="Normal - Style1 22 2" xfId="7489"/>
    <cellStyle name="Normal - Style1 23" xfId="7490"/>
    <cellStyle name="Normal - Style1 23 2" xfId="7491"/>
    <cellStyle name="Normal - Style1 24" xfId="7492"/>
    <cellStyle name="Normal - Style1 24 2" xfId="7493"/>
    <cellStyle name="Normal - Style1 25" xfId="7494"/>
    <cellStyle name="Normal - Style1 25 2" xfId="7495"/>
    <cellStyle name="Normal - Style1 26" xfId="7496"/>
    <cellStyle name="Normal - Style1 26 2" xfId="7497"/>
    <cellStyle name="Normal - Style1 27" xfId="7498"/>
    <cellStyle name="Normal - Style1 27 2" xfId="7499"/>
    <cellStyle name="Normal - Style1 28" xfId="7500"/>
    <cellStyle name="Normal - Style1 28 2" xfId="7501"/>
    <cellStyle name="Normal - Style1 29" xfId="7502"/>
    <cellStyle name="Normal - Style1 29 2" xfId="7503"/>
    <cellStyle name="Normal - Style1 3" xfId="7504"/>
    <cellStyle name="Normal - Style1 3 2" xfId="7505"/>
    <cellStyle name="Normal - Style1 3 3" xfId="7506"/>
    <cellStyle name="Normal - Style1 30" xfId="7507"/>
    <cellStyle name="Normal - Style1 30 2" xfId="7508"/>
    <cellStyle name="Normal - Style1 31" xfId="7509"/>
    <cellStyle name="Normal - Style1 31 2" xfId="7510"/>
    <cellStyle name="Normal - Style1 32" xfId="7511"/>
    <cellStyle name="Normal - Style1 32 2" xfId="7512"/>
    <cellStyle name="Normal - Style1 33" xfId="7513"/>
    <cellStyle name="Normal - Style1 33 2" xfId="7514"/>
    <cellStyle name="Normal - Style1 34" xfId="7515"/>
    <cellStyle name="Normal - Style1 34 2" xfId="7516"/>
    <cellStyle name="Normal - Style1 35" xfId="7517"/>
    <cellStyle name="Normal - Style1 35 2" xfId="7518"/>
    <cellStyle name="Normal - Style1 36" xfId="7519"/>
    <cellStyle name="Normal - Style1 36 2" xfId="7520"/>
    <cellStyle name="Normal - Style1 37" xfId="7521"/>
    <cellStyle name="Normal - Style1 37 2" xfId="7522"/>
    <cellStyle name="Normal - Style1 38" xfId="7523"/>
    <cellStyle name="Normal - Style1 38 2" xfId="7524"/>
    <cellStyle name="Normal - Style1 39" xfId="7525"/>
    <cellStyle name="Normal - Style1 39 2" xfId="7526"/>
    <cellStyle name="Normal - Style1 4" xfId="7527"/>
    <cellStyle name="Normal - Style1 4 2" xfId="7528"/>
    <cellStyle name="Normal - Style1 40" xfId="7529"/>
    <cellStyle name="Normal - Style1 40 2" xfId="7530"/>
    <cellStyle name="Normal - Style1 41" xfId="7531"/>
    <cellStyle name="Normal - Style1 41 2" xfId="7532"/>
    <cellStyle name="Normal - Style1 42" xfId="7533"/>
    <cellStyle name="Normal - Style1 42 2" xfId="7534"/>
    <cellStyle name="Normal - Style1 43" xfId="7535"/>
    <cellStyle name="Normal - Style1 43 2" xfId="7536"/>
    <cellStyle name="Normal - Style1 44" xfId="7537"/>
    <cellStyle name="Normal - Style1 44 2" xfId="7538"/>
    <cellStyle name="Normal - Style1 45" xfId="7539"/>
    <cellStyle name="Normal - Style1 46" xfId="7540"/>
    <cellStyle name="Normal - Style1 47" xfId="7541"/>
    <cellStyle name="Normal - Style1 48" xfId="7542"/>
    <cellStyle name="Normal - Style1 5" xfId="7543"/>
    <cellStyle name="Normal - Style1 5 2" xfId="7544"/>
    <cellStyle name="Normal - Style1 6" xfId="7545"/>
    <cellStyle name="Normal - Style1 6 2" xfId="7546"/>
    <cellStyle name="Normal - Style1 7" xfId="7547"/>
    <cellStyle name="Normal - Style1 7 2" xfId="7548"/>
    <cellStyle name="Normal - Style1 8" xfId="7549"/>
    <cellStyle name="Normal - Style1 8 2" xfId="7550"/>
    <cellStyle name="Normal - Style1 9" xfId="7551"/>
    <cellStyle name="Normal - Style1 9 2" xfId="7552"/>
    <cellStyle name="Normal - Style1_100112-부여콘도미니엄 (실행)" xfId="7553"/>
    <cellStyle name="Normal - Style2" xfId="7554"/>
    <cellStyle name="Normal - Style2 2" xfId="7555"/>
    <cellStyle name="Normal - Style3" xfId="7556"/>
    <cellStyle name="Normal - Style3 2" xfId="7557"/>
    <cellStyle name="Normal - Style4" xfId="7558"/>
    <cellStyle name="Normal - Style4 2" xfId="7559"/>
    <cellStyle name="Normal - Style5" xfId="7560"/>
    <cellStyle name="Normal - Style5 2" xfId="7561"/>
    <cellStyle name="Normal - Style6" xfId="7562"/>
    <cellStyle name="Normal - Style6 2" xfId="7563"/>
    <cellStyle name="Normal - Style7" xfId="7564"/>
    <cellStyle name="Normal - Style7 2" xfId="7565"/>
    <cellStyle name="Normal - Style8" xfId="7566"/>
    <cellStyle name="Normal - Style8 2" xfId="7567"/>
    <cellStyle name="Normal - 유형1" xfId="7568"/>
    <cellStyle name="Normal - 유형1 2" xfId="7569"/>
    <cellStyle name="Normal 11" xfId="7570"/>
    <cellStyle name="Normal 11 2" xfId="7571"/>
    <cellStyle name="Normal_ " xfId="7572"/>
    <cellStyle name="N䁯rmal_MCOE Summary (5)_98선급금" xfId="7573"/>
    <cellStyle name="oft Excel]  Comment=The open=/f lines load custom functions into the Paste Function list.  Maximized=3  AutoFormat=" xfId="7574"/>
    <cellStyle name="oft Excel]_x000d__x000a_Comment=The open=/f lines load custom functions into the Paste Function list._x000d__x000a_Maximized=3_x000d__x000a_AutoFormat=" xfId="7575"/>
    <cellStyle name="Oormal_Q3-RPT TRK_갬적-갑지 (3)" xfId="7576"/>
    <cellStyle name="Over1" xfId="7577"/>
    <cellStyle name="Over1 2" xfId="7578"/>
    <cellStyle name="per.style" xfId="7579"/>
    <cellStyle name="per.style 2" xfId="7580"/>
    <cellStyle name="Percent" xfId="7581"/>
    <cellStyle name="Percent ()" xfId="7582"/>
    <cellStyle name="Percent () 2" xfId="7583"/>
    <cellStyle name="Percent (0)" xfId="7584"/>
    <cellStyle name="Percent (0) 2" xfId="7585"/>
    <cellStyle name="Percent (1)" xfId="7586"/>
    <cellStyle name="Percent (1) 2" xfId="7587"/>
    <cellStyle name="Percent [0]" xfId="7588"/>
    <cellStyle name="Percent [0] 2" xfId="7589"/>
    <cellStyle name="Percent [00]" xfId="7590"/>
    <cellStyle name="Percent [00] 2" xfId="7591"/>
    <cellStyle name="Percent [2]" xfId="7592"/>
    <cellStyle name="Percent [2] 2" xfId="7593"/>
    <cellStyle name="Percent [2] 3" xfId="7594"/>
    <cellStyle name="Percent 1" xfId="7595"/>
    <cellStyle name="Percent 1 2" xfId="7596"/>
    <cellStyle name="Percent 10" xfId="7597"/>
    <cellStyle name="Percent 10 2" xfId="7598"/>
    <cellStyle name="Percent 11" xfId="7599"/>
    <cellStyle name="Percent 11 2" xfId="7600"/>
    <cellStyle name="Percent 12" xfId="7601"/>
    <cellStyle name="Percent 12 2" xfId="7602"/>
    <cellStyle name="Percent 13" xfId="7603"/>
    <cellStyle name="Percent 13 2" xfId="7604"/>
    <cellStyle name="Percent 14" xfId="7605"/>
    <cellStyle name="Percent 14 2" xfId="7606"/>
    <cellStyle name="Percent 15" xfId="7607"/>
    <cellStyle name="Percent 15 2" xfId="7608"/>
    <cellStyle name="Percent 16" xfId="7609"/>
    <cellStyle name="Percent 16 2" xfId="7610"/>
    <cellStyle name="Percent 17" xfId="7611"/>
    <cellStyle name="Percent 17 2" xfId="7612"/>
    <cellStyle name="Percent 18" xfId="7613"/>
    <cellStyle name="Percent 18 2" xfId="7614"/>
    <cellStyle name="Percent 19" xfId="7615"/>
    <cellStyle name="Percent 19 2" xfId="7616"/>
    <cellStyle name="Percent 2" xfId="7617"/>
    <cellStyle name="Percent 2 2" xfId="7618"/>
    <cellStyle name="Percent 2 2 2" xfId="7619"/>
    <cellStyle name="Percent 2 2 2 2" xfId="7620"/>
    <cellStyle name="Percent 2 2 3" xfId="7621"/>
    <cellStyle name="Percent 2 3" xfId="7622"/>
    <cellStyle name="Percent 2 3 2" xfId="7623"/>
    <cellStyle name="Percent 2 4" xfId="7624"/>
    <cellStyle name="Percent 2 4 2" xfId="7625"/>
    <cellStyle name="Percent 2 5" xfId="7626"/>
    <cellStyle name="Percent 2_전파진흥원_AV설비_설치공사_(원가포함)_SMT110903" xfId="7627"/>
    <cellStyle name="Percent 20" xfId="7628"/>
    <cellStyle name="Percent 20 2" xfId="7629"/>
    <cellStyle name="Percent 21" xfId="7630"/>
    <cellStyle name="Percent 21 2" xfId="7631"/>
    <cellStyle name="Percent 22" xfId="7632"/>
    <cellStyle name="Percent 22 2" xfId="7633"/>
    <cellStyle name="Percent 23" xfId="7634"/>
    <cellStyle name="Percent 23 2" xfId="7635"/>
    <cellStyle name="Percent 24" xfId="7636"/>
    <cellStyle name="Percent 24 2" xfId="7637"/>
    <cellStyle name="Percent 25" xfId="7638"/>
    <cellStyle name="Percent 25 2" xfId="7639"/>
    <cellStyle name="Percent 26" xfId="7640"/>
    <cellStyle name="Percent 26 2" xfId="7641"/>
    <cellStyle name="Percent 27" xfId="7642"/>
    <cellStyle name="Percent 27 2" xfId="7643"/>
    <cellStyle name="Percent 28" xfId="7644"/>
    <cellStyle name="Percent 28 2" xfId="7645"/>
    <cellStyle name="Percent 29" xfId="7646"/>
    <cellStyle name="Percent 29 2" xfId="7647"/>
    <cellStyle name="Percent 3" xfId="7648"/>
    <cellStyle name="Percent 3 10" xfId="7649"/>
    <cellStyle name="Percent 3 10 2" xfId="7650"/>
    <cellStyle name="Percent 3 11" xfId="7651"/>
    <cellStyle name="Percent 3 11 2" xfId="7652"/>
    <cellStyle name="Percent 3 12" xfId="7653"/>
    <cellStyle name="Percent 3 2" xfId="7654"/>
    <cellStyle name="Percent 3 2 2" xfId="7655"/>
    <cellStyle name="Percent 3 3" xfId="7656"/>
    <cellStyle name="Percent 3 3 2" xfId="7657"/>
    <cellStyle name="Percent 3 4" xfId="7658"/>
    <cellStyle name="Percent 3 4 2" xfId="7659"/>
    <cellStyle name="Percent 3 5" xfId="7660"/>
    <cellStyle name="Percent 3 5 2" xfId="7661"/>
    <cellStyle name="Percent 3 6" xfId="7662"/>
    <cellStyle name="Percent 3 6 2" xfId="7663"/>
    <cellStyle name="Percent 3 7" xfId="7664"/>
    <cellStyle name="Percent 3 7 2" xfId="7665"/>
    <cellStyle name="Percent 3 8" xfId="7666"/>
    <cellStyle name="Percent 3 8 2" xfId="7667"/>
    <cellStyle name="Percent 3 9" xfId="7668"/>
    <cellStyle name="Percent 3 9 2" xfId="7669"/>
    <cellStyle name="Percent 3_전파진흥원_AV설비_설치공사_(원가포함)_SMT110903" xfId="7670"/>
    <cellStyle name="Percent 30" xfId="7671"/>
    <cellStyle name="Percent 30 2" xfId="7672"/>
    <cellStyle name="Percent 31" xfId="7673"/>
    <cellStyle name="Percent 31 2" xfId="7674"/>
    <cellStyle name="Percent 32" xfId="7675"/>
    <cellStyle name="Percent 33" xfId="7676"/>
    <cellStyle name="Percent 4" xfId="7677"/>
    <cellStyle name="Percent 4 2" xfId="7678"/>
    <cellStyle name="Percent 5" xfId="7679"/>
    <cellStyle name="Percent 5 2" xfId="7680"/>
    <cellStyle name="Percent 6" xfId="7681"/>
    <cellStyle name="Percent 6 2" xfId="7682"/>
    <cellStyle name="Percent 7" xfId="7683"/>
    <cellStyle name="Percent 7 2" xfId="7684"/>
    <cellStyle name="Percent 7 2 2" xfId="7685"/>
    <cellStyle name="Percent 7 3" xfId="7686"/>
    <cellStyle name="Percent 8" xfId="7687"/>
    <cellStyle name="Percent 8 2" xfId="7688"/>
    <cellStyle name="Percent 9" xfId="7689"/>
    <cellStyle name="Percent 9 2" xfId="7690"/>
    <cellStyle name="Percent_#####신봉중(완료)-대원실업" xfId="7691"/>
    <cellStyle name="PrePop Currency (0)" xfId="7692"/>
    <cellStyle name="PrePop Currency (0) 2" xfId="7693"/>
    <cellStyle name="PrePop Currency (2)" xfId="7694"/>
    <cellStyle name="PrePop Currency (2) 2" xfId="7695"/>
    <cellStyle name="PrePop Units (0)" xfId="7696"/>
    <cellStyle name="PrePop Units (0) 2" xfId="7697"/>
    <cellStyle name="PrePop Units (1)" xfId="7698"/>
    <cellStyle name="PrePop Units (1) 2" xfId="7699"/>
    <cellStyle name="PrePop Units (2)" xfId="7700"/>
    <cellStyle name="PrePop Units (2) 2" xfId="7701"/>
    <cellStyle name="PRICE2" xfId="7702"/>
    <cellStyle name="PRICE2 2" xfId="7703"/>
    <cellStyle name="pricing" xfId="7704"/>
    <cellStyle name="pricing 2" xfId="7705"/>
    <cellStyle name="Procent_BINV" xfId="7706"/>
    <cellStyle name="Produkt oversk." xfId="7707"/>
    <cellStyle name="Produkt oversk. 2" xfId="7708"/>
    <cellStyle name="PropGenCurrencyFormat" xfId="7709"/>
    <cellStyle name="PropGenCurrencyFormat 2" xfId="7710"/>
    <cellStyle name="PSChar" xfId="7711"/>
    <cellStyle name="PSChar 2" xfId="7712"/>
    <cellStyle name="RAMEY" xfId="7713"/>
    <cellStyle name="Ramey $k" xfId="7714"/>
    <cellStyle name="Ramey $k 2" xfId="7715"/>
    <cellStyle name="RAMEY 2" xfId="7716"/>
    <cellStyle name="RAMEY 3" xfId="7717"/>
    <cellStyle name="RAMEY_P&amp;O BKUP" xfId="7718"/>
    <cellStyle name="regstoresfromspecstores" xfId="7719"/>
    <cellStyle name="regstoresfromspecstores 2" xfId="7720"/>
    <cellStyle name="RevList" xfId="7721"/>
    <cellStyle name="RevList 2" xfId="7722"/>
    <cellStyle name="RevList 2 2" xfId="7723"/>
    <cellStyle name="RevList 2 2 2" xfId="7724"/>
    <cellStyle name="RevList 2 3" xfId="7725"/>
    <cellStyle name="RevList 3" xfId="7726"/>
    <cellStyle name="RevList 3 2" xfId="7727"/>
    <cellStyle name="RevList 4" xfId="7728"/>
    <cellStyle name="RevList 4 2" xfId="7729"/>
    <cellStyle name="RevList 5" xfId="7730"/>
    <cellStyle name="Shaded" xfId="7731"/>
    <cellStyle name="Shaded 2" xfId="7732"/>
    <cellStyle name="SHADEDSTORES" xfId="7733"/>
    <cellStyle name="SHADEDSTORES 2" xfId="7734"/>
    <cellStyle name="SHADEDSTORES 2 2" xfId="7735"/>
    <cellStyle name="SHADEDSTORES 2 2 2" xfId="7736"/>
    <cellStyle name="SHADEDSTORES 2 2 3" xfId="7737"/>
    <cellStyle name="SHADEDSTORES 2 2 4" xfId="7738"/>
    <cellStyle name="SHADEDSTORES 2 2 5" xfId="7739"/>
    <cellStyle name="SHADEDSTORES 3" xfId="7740"/>
    <cellStyle name="SHADEDSTORES 3 2" xfId="7741"/>
    <cellStyle name="SHADEDSTORES 3 3" xfId="7742"/>
    <cellStyle name="SHADEDSTORES 3 4" xfId="7743"/>
    <cellStyle name="SHADEDSTORES 3 5" xfId="7744"/>
    <cellStyle name="specstores" xfId="7745"/>
    <cellStyle name="specstores 2" xfId="7746"/>
    <cellStyle name="_x0001__x0002_ƨƬ_x0007_ ǒǓ  ǜǜ  ǪǪ_x0007__x0007__x0005__x0005__x0010__x0001_ဠ" xfId="7747"/>
    <cellStyle name="_x0001__x0002_ƨƬ_x0007__x000d_ǒǓ_x0009__x000d_ǜǜ_x000d__x000d_ǪǪ_x0007__x0007__x0005__x0005__x0010__x0001_ဠ" xfId="7748"/>
    <cellStyle name="Standaard_BINV" xfId="7749"/>
    <cellStyle name="STANDARD" xfId="7750"/>
    <cellStyle name="STANDARD 2" xfId="7751"/>
    <cellStyle name="Standard_laroux" xfId="7752"/>
    <cellStyle name="STD" xfId="7753"/>
    <cellStyle name="STD 2" xfId="7754"/>
    <cellStyle name="subhead" xfId="7755"/>
    <cellStyle name="subhead 2" xfId="7756"/>
    <cellStyle name="subhead 3" xfId="7757"/>
    <cellStyle name="Subtotal" xfId="7758"/>
    <cellStyle name="Subtotal 2" xfId="7759"/>
    <cellStyle name="Subtotal 2 2" xfId="7760"/>
    <cellStyle name="Subtotal 2 2 2" xfId="7761"/>
    <cellStyle name="Subtotal 2 3" xfId="7762"/>
    <cellStyle name="Subtotal 3" xfId="7763"/>
    <cellStyle name="Subtotal 3 2" xfId="7764"/>
    <cellStyle name="Subtotal 4" xfId="7765"/>
    <cellStyle name="Subtotal 4 2" xfId="7766"/>
    <cellStyle name="Subtotal 5" xfId="7767"/>
    <cellStyle name="Sum" xfId="7768"/>
    <cellStyle name="Sum %of HV" xfId="7769"/>
    <cellStyle name="Sum %of HV 2" xfId="7770"/>
    <cellStyle name="Sum 2" xfId="7771"/>
    <cellStyle name="Sum 3" xfId="7772"/>
    <cellStyle name="testtitle" xfId="7773"/>
    <cellStyle name="Text Indent A" xfId="7774"/>
    <cellStyle name="Text Indent A 2" xfId="7775"/>
    <cellStyle name="Text Indent B" xfId="7776"/>
    <cellStyle name="Text Indent B 2" xfId="7777"/>
    <cellStyle name="Text Indent C" xfId="7778"/>
    <cellStyle name="Text Indent C 2" xfId="7779"/>
    <cellStyle name="þ_x001d_ð'&amp;Oy?Hy9_x0008_E_x000c_￠_x000d__x0007__x0001__x0001_" xfId="7780"/>
    <cellStyle name="Thousands (0)" xfId="7781"/>
    <cellStyle name="Thousands (0) 2" xfId="7782"/>
    <cellStyle name="Thousands (1)" xfId="7783"/>
    <cellStyle name="Thousands (1) 2" xfId="7784"/>
    <cellStyle name="time" xfId="7785"/>
    <cellStyle name="time 2" xfId="7786"/>
    <cellStyle name="Title" xfId="7787"/>
    <cellStyle name="title [1]" xfId="7788"/>
    <cellStyle name="title [1] 2" xfId="7789"/>
    <cellStyle name="title [2]" xfId="7790"/>
    <cellStyle name="title [2] 2" xfId="7791"/>
    <cellStyle name="Title 2" xfId="7792"/>
    <cellStyle name="Title 3" xfId="7793"/>
    <cellStyle name="Total" xfId="7794"/>
    <cellStyle name="Total 10" xfId="7795"/>
    <cellStyle name="Total 10 2" xfId="7796"/>
    <cellStyle name="Total 11" xfId="7797"/>
    <cellStyle name="Total 11 2" xfId="7798"/>
    <cellStyle name="Total 12" xfId="7799"/>
    <cellStyle name="Total 12 2" xfId="7800"/>
    <cellStyle name="Total 13" xfId="7801"/>
    <cellStyle name="Total 13 2" xfId="7802"/>
    <cellStyle name="Total 14" xfId="7803"/>
    <cellStyle name="Total 2" xfId="7804"/>
    <cellStyle name="Total 2 2" xfId="7805"/>
    <cellStyle name="Total 2 2 2" xfId="7806"/>
    <cellStyle name="Total 2 3" xfId="7807"/>
    <cellStyle name="Total 3" xfId="7808"/>
    <cellStyle name="Total 3 2" xfId="7809"/>
    <cellStyle name="Total 4" xfId="7810"/>
    <cellStyle name="Total 4 2" xfId="7811"/>
    <cellStyle name="Total 5" xfId="7812"/>
    <cellStyle name="Total 5 2" xfId="7813"/>
    <cellStyle name="Total 6" xfId="7814"/>
    <cellStyle name="Total 6 2" xfId="7815"/>
    <cellStyle name="Total 7" xfId="7816"/>
    <cellStyle name="Total 7 2" xfId="7817"/>
    <cellStyle name="Total 8" xfId="7818"/>
    <cellStyle name="Total 8 2" xfId="7819"/>
    <cellStyle name="Total 9" xfId="7820"/>
    <cellStyle name="Total 9 2" xfId="7821"/>
    <cellStyle name="Total_1부여부지 콘도미니엄 신축공사 AV설비 견적서_20100121" xfId="7822"/>
    <cellStyle name="UM" xfId="7823"/>
    <cellStyle name="UM 2" xfId="7824"/>
    <cellStyle name="under overskrft" xfId="7825"/>
    <cellStyle name="under overskrft 2" xfId="7826"/>
    <cellStyle name="Underline 2" xfId="7827"/>
    <cellStyle name="Underline 2 2" xfId="7828"/>
    <cellStyle name="Unprot" xfId="7829"/>
    <cellStyle name="Unprot 2" xfId="7830"/>
    <cellStyle name="Unprot$" xfId="7831"/>
    <cellStyle name="Unprot$ 2" xfId="7832"/>
    <cellStyle name="Unprotect" xfId="7833"/>
    <cellStyle name="Unprotect 2" xfId="7834"/>
    <cellStyle name="Valuta [0]_BINV" xfId="7835"/>
    <cellStyle name="Valuta_BINV" xfId="7836"/>
    <cellStyle name="W?rung [0]_Ausdruck RUND (D)" xfId="7837"/>
    <cellStyle name="W?rung_Ausdruck RUND (D)" xfId="7838"/>
    <cellStyle name="Year" xfId="7839"/>
    <cellStyle name="Year 2" xfId="7840"/>
    <cellStyle name="Year 2 2" xfId="7841"/>
    <cellStyle name="Year 2 2 2" xfId="7842"/>
    <cellStyle name="Year 2 2 3" xfId="7843"/>
    <cellStyle name="Year 2 2 4" xfId="7844"/>
    <cellStyle name="Year 2 2 5" xfId="7845"/>
    <cellStyle name="Year 3" xfId="7846"/>
    <cellStyle name="Year 3 2" xfId="7847"/>
    <cellStyle name="Year 3 3" xfId="7848"/>
    <cellStyle name="Year 3 4" xfId="7849"/>
    <cellStyle name="Year 3 5" xfId="7850"/>
    <cellStyle name="μU¿¡ ¿A´A CIAIÆU¸μAⓒ" xfId="7851"/>
    <cellStyle name="μU¿¡ ¿A´A CIAIÆU¸μAⓒ 2" xfId="7852"/>
    <cellStyle name="パーセント_技計ｾﾝﾀ" xfId="7853"/>
    <cellStyle name="_x0010__x0001_ဠ" xfId="7854"/>
    <cellStyle name="_x0010__x0001_ဠ 2" xfId="7855"/>
    <cellStyle name="|?ドE" xfId="7856"/>
    <cellStyle name="|?ドE 2" xfId="7857"/>
    <cellStyle name="강조색1 2" xfId="7858"/>
    <cellStyle name="강조색1 2 10" xfId="7859"/>
    <cellStyle name="강조색1 2 11" xfId="7860"/>
    <cellStyle name="강조색1 2 2" xfId="7861"/>
    <cellStyle name="강조색1 2 2 2" xfId="7862"/>
    <cellStyle name="강조색1 2 3" xfId="7863"/>
    <cellStyle name="강조색1 2 3 2" xfId="7864"/>
    <cellStyle name="강조색1 2 4" xfId="7865"/>
    <cellStyle name="강조색1 2 4 2" xfId="7866"/>
    <cellStyle name="강조색1 2 5" xfId="7867"/>
    <cellStyle name="강조색1 2 5 2" xfId="7868"/>
    <cellStyle name="강조색1 2 6" xfId="7869"/>
    <cellStyle name="강조색1 2 6 2" xfId="7870"/>
    <cellStyle name="강조색1 2 7" xfId="7871"/>
    <cellStyle name="강조색1 2 7 2" xfId="7872"/>
    <cellStyle name="강조색1 2 8" xfId="7873"/>
    <cellStyle name="강조색1 2 8 2" xfId="7874"/>
    <cellStyle name="강조색1 2 9" xfId="7875"/>
    <cellStyle name="강조색1 2 9 2" xfId="7876"/>
    <cellStyle name="강조색1 3" xfId="7877"/>
    <cellStyle name="강조색1 3 10" xfId="7878"/>
    <cellStyle name="강조색1 3 2" xfId="7879"/>
    <cellStyle name="강조색1 3 2 2" xfId="7880"/>
    <cellStyle name="강조색1 3 3" xfId="7881"/>
    <cellStyle name="강조색1 3 3 2" xfId="7882"/>
    <cellStyle name="강조색1 3 4" xfId="7883"/>
    <cellStyle name="강조색1 3 4 2" xfId="7884"/>
    <cellStyle name="강조색1 3 5" xfId="7885"/>
    <cellStyle name="강조색1 3 5 2" xfId="7886"/>
    <cellStyle name="강조색1 3 6" xfId="7887"/>
    <cellStyle name="강조색1 3 6 2" xfId="7888"/>
    <cellStyle name="강조색1 3 7" xfId="7889"/>
    <cellStyle name="강조색1 3 7 2" xfId="7890"/>
    <cellStyle name="강조색1 3 8" xfId="7891"/>
    <cellStyle name="강조색1 3 8 2" xfId="7892"/>
    <cellStyle name="강조색1 3 9" xfId="7893"/>
    <cellStyle name="강조색1 3 9 2" xfId="7894"/>
    <cellStyle name="강조색1 4" xfId="7895"/>
    <cellStyle name="강조색1 4 10" xfId="7896"/>
    <cellStyle name="강조색1 4 2" xfId="7897"/>
    <cellStyle name="강조색1 4 2 2" xfId="7898"/>
    <cellStyle name="강조색1 4 3" xfId="7899"/>
    <cellStyle name="강조색1 4 3 2" xfId="7900"/>
    <cellStyle name="강조색1 4 4" xfId="7901"/>
    <cellStyle name="강조색1 4 4 2" xfId="7902"/>
    <cellStyle name="강조색1 4 5" xfId="7903"/>
    <cellStyle name="강조색1 4 5 2" xfId="7904"/>
    <cellStyle name="강조색1 4 6" xfId="7905"/>
    <cellStyle name="강조색1 4 6 2" xfId="7906"/>
    <cellStyle name="강조색1 4 7" xfId="7907"/>
    <cellStyle name="강조색1 4 7 2" xfId="7908"/>
    <cellStyle name="강조색1 4 8" xfId="7909"/>
    <cellStyle name="강조색1 4 8 2" xfId="7910"/>
    <cellStyle name="강조색1 4 9" xfId="7911"/>
    <cellStyle name="강조색1 4 9 2" xfId="7912"/>
    <cellStyle name="강조색1 5" xfId="7913"/>
    <cellStyle name="강조색1 5 10" xfId="7914"/>
    <cellStyle name="강조색1 5 2" xfId="7915"/>
    <cellStyle name="강조색1 5 2 2" xfId="7916"/>
    <cellStyle name="강조색1 5 3" xfId="7917"/>
    <cellStyle name="강조색1 5 3 2" xfId="7918"/>
    <cellStyle name="강조색1 5 4" xfId="7919"/>
    <cellStyle name="강조색1 5 4 2" xfId="7920"/>
    <cellStyle name="강조색1 5 5" xfId="7921"/>
    <cellStyle name="강조색1 5 5 2" xfId="7922"/>
    <cellStyle name="강조색1 5 6" xfId="7923"/>
    <cellStyle name="강조색1 5 6 2" xfId="7924"/>
    <cellStyle name="강조색1 5 7" xfId="7925"/>
    <cellStyle name="강조색1 5 7 2" xfId="7926"/>
    <cellStyle name="강조색1 5 8" xfId="7927"/>
    <cellStyle name="강조색1 5 8 2" xfId="7928"/>
    <cellStyle name="강조색1 5 9" xfId="7929"/>
    <cellStyle name="강조색1 5 9 2" xfId="7930"/>
    <cellStyle name="강조색1 6" xfId="7931"/>
    <cellStyle name="강조색1 6 10" xfId="7932"/>
    <cellStyle name="강조색1 6 2" xfId="7933"/>
    <cellStyle name="강조색1 6 2 2" xfId="7934"/>
    <cellStyle name="강조색1 6 3" xfId="7935"/>
    <cellStyle name="강조색1 6 3 2" xfId="7936"/>
    <cellStyle name="강조색1 6 4" xfId="7937"/>
    <cellStyle name="강조색1 6 4 2" xfId="7938"/>
    <cellStyle name="강조색1 6 5" xfId="7939"/>
    <cellStyle name="강조색1 6 5 2" xfId="7940"/>
    <cellStyle name="강조색1 6 6" xfId="7941"/>
    <cellStyle name="강조색1 6 6 2" xfId="7942"/>
    <cellStyle name="강조색1 6 7" xfId="7943"/>
    <cellStyle name="강조색1 6 7 2" xfId="7944"/>
    <cellStyle name="강조색1 6 8" xfId="7945"/>
    <cellStyle name="강조색1 6 8 2" xfId="7946"/>
    <cellStyle name="강조색1 6 9" xfId="7947"/>
    <cellStyle name="강조색1 6 9 2" xfId="7948"/>
    <cellStyle name="강조색2 2" xfId="7949"/>
    <cellStyle name="강조색2 2 10" xfId="7950"/>
    <cellStyle name="강조색2 2 2" xfId="7951"/>
    <cellStyle name="강조색2 2 2 2" xfId="7952"/>
    <cellStyle name="강조색2 2 3" xfId="7953"/>
    <cellStyle name="강조색2 2 3 2" xfId="7954"/>
    <cellStyle name="강조색2 2 4" xfId="7955"/>
    <cellStyle name="강조색2 2 4 2" xfId="7956"/>
    <cellStyle name="강조색2 2 5" xfId="7957"/>
    <cellStyle name="강조색2 2 5 2" xfId="7958"/>
    <cellStyle name="강조색2 2 6" xfId="7959"/>
    <cellStyle name="강조색2 2 6 2" xfId="7960"/>
    <cellStyle name="강조색2 2 7" xfId="7961"/>
    <cellStyle name="강조색2 2 7 2" xfId="7962"/>
    <cellStyle name="강조색2 2 8" xfId="7963"/>
    <cellStyle name="강조색2 2 8 2" xfId="7964"/>
    <cellStyle name="강조색2 2 9" xfId="7965"/>
    <cellStyle name="강조색2 2 9 2" xfId="7966"/>
    <cellStyle name="강조색2 3" xfId="7967"/>
    <cellStyle name="강조색2 3 10" xfId="7968"/>
    <cellStyle name="강조색2 3 2" xfId="7969"/>
    <cellStyle name="강조색2 3 2 2" xfId="7970"/>
    <cellStyle name="강조색2 3 3" xfId="7971"/>
    <cellStyle name="강조색2 3 3 2" xfId="7972"/>
    <cellStyle name="강조색2 3 4" xfId="7973"/>
    <cellStyle name="강조색2 3 4 2" xfId="7974"/>
    <cellStyle name="강조색2 3 5" xfId="7975"/>
    <cellStyle name="강조색2 3 5 2" xfId="7976"/>
    <cellStyle name="강조색2 3 6" xfId="7977"/>
    <cellStyle name="강조색2 3 6 2" xfId="7978"/>
    <cellStyle name="강조색2 3 7" xfId="7979"/>
    <cellStyle name="강조색2 3 7 2" xfId="7980"/>
    <cellStyle name="강조색2 3 8" xfId="7981"/>
    <cellStyle name="강조색2 3 8 2" xfId="7982"/>
    <cellStyle name="강조색2 3 9" xfId="7983"/>
    <cellStyle name="강조색2 3 9 2" xfId="7984"/>
    <cellStyle name="강조색2 4" xfId="7985"/>
    <cellStyle name="강조색2 4 10" xfId="7986"/>
    <cellStyle name="강조색2 4 2" xfId="7987"/>
    <cellStyle name="강조색2 4 2 2" xfId="7988"/>
    <cellStyle name="강조색2 4 3" xfId="7989"/>
    <cellStyle name="강조색2 4 3 2" xfId="7990"/>
    <cellStyle name="강조색2 4 4" xfId="7991"/>
    <cellStyle name="강조색2 4 4 2" xfId="7992"/>
    <cellStyle name="강조색2 4 5" xfId="7993"/>
    <cellStyle name="강조색2 4 5 2" xfId="7994"/>
    <cellStyle name="강조색2 4 6" xfId="7995"/>
    <cellStyle name="강조색2 4 6 2" xfId="7996"/>
    <cellStyle name="강조색2 4 7" xfId="7997"/>
    <cellStyle name="강조색2 4 7 2" xfId="7998"/>
    <cellStyle name="강조색2 4 8" xfId="7999"/>
    <cellStyle name="강조색2 4 8 2" xfId="8000"/>
    <cellStyle name="강조색2 4 9" xfId="8001"/>
    <cellStyle name="강조색2 4 9 2" xfId="8002"/>
    <cellStyle name="강조색2 5" xfId="8003"/>
    <cellStyle name="강조색2 5 10" xfId="8004"/>
    <cellStyle name="강조색2 5 2" xfId="8005"/>
    <cellStyle name="강조색2 5 2 2" xfId="8006"/>
    <cellStyle name="강조색2 5 3" xfId="8007"/>
    <cellStyle name="강조색2 5 3 2" xfId="8008"/>
    <cellStyle name="강조색2 5 4" xfId="8009"/>
    <cellStyle name="강조색2 5 4 2" xfId="8010"/>
    <cellStyle name="강조색2 5 5" xfId="8011"/>
    <cellStyle name="강조색2 5 5 2" xfId="8012"/>
    <cellStyle name="강조색2 5 6" xfId="8013"/>
    <cellStyle name="강조색2 5 6 2" xfId="8014"/>
    <cellStyle name="강조색2 5 7" xfId="8015"/>
    <cellStyle name="강조색2 5 7 2" xfId="8016"/>
    <cellStyle name="강조색2 5 8" xfId="8017"/>
    <cellStyle name="강조색2 5 8 2" xfId="8018"/>
    <cellStyle name="강조색2 5 9" xfId="8019"/>
    <cellStyle name="강조색2 5 9 2" xfId="8020"/>
    <cellStyle name="강조색2 6" xfId="8021"/>
    <cellStyle name="강조색2 6 10" xfId="8022"/>
    <cellStyle name="강조색2 6 2" xfId="8023"/>
    <cellStyle name="강조색2 6 2 2" xfId="8024"/>
    <cellStyle name="강조색2 6 3" xfId="8025"/>
    <cellStyle name="강조색2 6 3 2" xfId="8026"/>
    <cellStyle name="강조색2 6 4" xfId="8027"/>
    <cellStyle name="강조색2 6 4 2" xfId="8028"/>
    <cellStyle name="강조색2 6 5" xfId="8029"/>
    <cellStyle name="강조색2 6 5 2" xfId="8030"/>
    <cellStyle name="강조색2 6 6" xfId="8031"/>
    <cellStyle name="강조색2 6 6 2" xfId="8032"/>
    <cellStyle name="강조색2 6 7" xfId="8033"/>
    <cellStyle name="강조색2 6 7 2" xfId="8034"/>
    <cellStyle name="강조색2 6 8" xfId="8035"/>
    <cellStyle name="강조색2 6 8 2" xfId="8036"/>
    <cellStyle name="강조색2 6 9" xfId="8037"/>
    <cellStyle name="강조색2 6 9 2" xfId="8038"/>
    <cellStyle name="강조색3 2" xfId="8039"/>
    <cellStyle name="강조색3 2 10" xfId="8040"/>
    <cellStyle name="강조색3 2 2" xfId="8041"/>
    <cellStyle name="강조색3 2 2 2" xfId="8042"/>
    <cellStyle name="강조색3 2 3" xfId="8043"/>
    <cellStyle name="강조색3 2 3 2" xfId="8044"/>
    <cellStyle name="강조색3 2 4" xfId="8045"/>
    <cellStyle name="강조색3 2 4 2" xfId="8046"/>
    <cellStyle name="강조색3 2 5" xfId="8047"/>
    <cellStyle name="강조색3 2 5 2" xfId="8048"/>
    <cellStyle name="강조색3 2 6" xfId="8049"/>
    <cellStyle name="강조색3 2 6 2" xfId="8050"/>
    <cellStyle name="강조색3 2 7" xfId="8051"/>
    <cellStyle name="강조색3 2 7 2" xfId="8052"/>
    <cellStyle name="강조색3 2 8" xfId="8053"/>
    <cellStyle name="강조색3 2 8 2" xfId="8054"/>
    <cellStyle name="강조색3 2 9" xfId="8055"/>
    <cellStyle name="강조색3 2 9 2" xfId="8056"/>
    <cellStyle name="강조색3 3" xfId="8057"/>
    <cellStyle name="강조색3 3 10" xfId="8058"/>
    <cellStyle name="강조색3 3 2" xfId="8059"/>
    <cellStyle name="강조색3 3 2 2" xfId="8060"/>
    <cellStyle name="강조색3 3 3" xfId="8061"/>
    <cellStyle name="강조색3 3 3 2" xfId="8062"/>
    <cellStyle name="강조색3 3 4" xfId="8063"/>
    <cellStyle name="강조색3 3 4 2" xfId="8064"/>
    <cellStyle name="강조색3 3 5" xfId="8065"/>
    <cellStyle name="강조색3 3 5 2" xfId="8066"/>
    <cellStyle name="강조색3 3 6" xfId="8067"/>
    <cellStyle name="강조색3 3 6 2" xfId="8068"/>
    <cellStyle name="강조색3 3 7" xfId="8069"/>
    <cellStyle name="강조색3 3 7 2" xfId="8070"/>
    <cellStyle name="강조색3 3 8" xfId="8071"/>
    <cellStyle name="강조색3 3 8 2" xfId="8072"/>
    <cellStyle name="강조색3 3 9" xfId="8073"/>
    <cellStyle name="강조색3 3 9 2" xfId="8074"/>
    <cellStyle name="강조색3 4" xfId="8075"/>
    <cellStyle name="강조색3 4 10" xfId="8076"/>
    <cellStyle name="강조색3 4 2" xfId="8077"/>
    <cellStyle name="강조색3 4 2 2" xfId="8078"/>
    <cellStyle name="강조색3 4 3" xfId="8079"/>
    <cellStyle name="강조색3 4 3 2" xfId="8080"/>
    <cellStyle name="강조색3 4 4" xfId="8081"/>
    <cellStyle name="강조색3 4 4 2" xfId="8082"/>
    <cellStyle name="강조색3 4 5" xfId="8083"/>
    <cellStyle name="강조색3 4 5 2" xfId="8084"/>
    <cellStyle name="강조색3 4 6" xfId="8085"/>
    <cellStyle name="강조색3 4 6 2" xfId="8086"/>
    <cellStyle name="강조색3 4 7" xfId="8087"/>
    <cellStyle name="강조색3 4 7 2" xfId="8088"/>
    <cellStyle name="강조색3 4 8" xfId="8089"/>
    <cellStyle name="강조색3 4 8 2" xfId="8090"/>
    <cellStyle name="강조색3 4 9" xfId="8091"/>
    <cellStyle name="강조색3 4 9 2" xfId="8092"/>
    <cellStyle name="강조색3 5" xfId="8093"/>
    <cellStyle name="강조색3 5 10" xfId="8094"/>
    <cellStyle name="강조색3 5 2" xfId="8095"/>
    <cellStyle name="강조색3 5 2 2" xfId="8096"/>
    <cellStyle name="강조색3 5 3" xfId="8097"/>
    <cellStyle name="강조색3 5 3 2" xfId="8098"/>
    <cellStyle name="강조색3 5 4" xfId="8099"/>
    <cellStyle name="강조색3 5 4 2" xfId="8100"/>
    <cellStyle name="강조색3 5 5" xfId="8101"/>
    <cellStyle name="강조색3 5 5 2" xfId="8102"/>
    <cellStyle name="강조색3 5 6" xfId="8103"/>
    <cellStyle name="강조색3 5 6 2" xfId="8104"/>
    <cellStyle name="강조색3 5 7" xfId="8105"/>
    <cellStyle name="강조색3 5 7 2" xfId="8106"/>
    <cellStyle name="강조색3 5 8" xfId="8107"/>
    <cellStyle name="강조색3 5 8 2" xfId="8108"/>
    <cellStyle name="강조색3 5 9" xfId="8109"/>
    <cellStyle name="강조색3 5 9 2" xfId="8110"/>
    <cellStyle name="강조색3 6" xfId="8111"/>
    <cellStyle name="강조색3 6 10" xfId="8112"/>
    <cellStyle name="강조색3 6 2" xfId="8113"/>
    <cellStyle name="강조색3 6 2 2" xfId="8114"/>
    <cellStyle name="강조색3 6 3" xfId="8115"/>
    <cellStyle name="강조색3 6 3 2" xfId="8116"/>
    <cellStyle name="강조색3 6 4" xfId="8117"/>
    <cellStyle name="강조색3 6 4 2" xfId="8118"/>
    <cellStyle name="강조색3 6 5" xfId="8119"/>
    <cellStyle name="강조색3 6 5 2" xfId="8120"/>
    <cellStyle name="강조색3 6 6" xfId="8121"/>
    <cellStyle name="강조색3 6 6 2" xfId="8122"/>
    <cellStyle name="강조색3 6 7" xfId="8123"/>
    <cellStyle name="강조색3 6 7 2" xfId="8124"/>
    <cellStyle name="강조색3 6 8" xfId="8125"/>
    <cellStyle name="강조색3 6 8 2" xfId="8126"/>
    <cellStyle name="강조색3 6 9" xfId="8127"/>
    <cellStyle name="강조색3 6 9 2" xfId="8128"/>
    <cellStyle name="강조색4 2" xfId="8129"/>
    <cellStyle name="강조색4 2 10" xfId="8130"/>
    <cellStyle name="강조색4 2 2" xfId="8131"/>
    <cellStyle name="강조색4 2 2 2" xfId="8132"/>
    <cellStyle name="강조색4 2 3" xfId="8133"/>
    <cellStyle name="강조색4 2 3 2" xfId="8134"/>
    <cellStyle name="강조색4 2 4" xfId="8135"/>
    <cellStyle name="강조색4 2 4 2" xfId="8136"/>
    <cellStyle name="강조색4 2 5" xfId="8137"/>
    <cellStyle name="강조색4 2 5 2" xfId="8138"/>
    <cellStyle name="강조색4 2 6" xfId="8139"/>
    <cellStyle name="강조색4 2 6 2" xfId="8140"/>
    <cellStyle name="강조색4 2 7" xfId="8141"/>
    <cellStyle name="강조색4 2 7 2" xfId="8142"/>
    <cellStyle name="강조색4 2 8" xfId="8143"/>
    <cellStyle name="강조색4 2 8 2" xfId="8144"/>
    <cellStyle name="강조색4 2 9" xfId="8145"/>
    <cellStyle name="강조색4 2 9 2" xfId="8146"/>
    <cellStyle name="강조색4 3" xfId="8147"/>
    <cellStyle name="강조색4 3 10" xfId="8148"/>
    <cellStyle name="강조색4 3 2" xfId="8149"/>
    <cellStyle name="강조색4 3 2 2" xfId="8150"/>
    <cellStyle name="강조색4 3 3" xfId="8151"/>
    <cellStyle name="강조색4 3 3 2" xfId="8152"/>
    <cellStyle name="강조색4 3 4" xfId="8153"/>
    <cellStyle name="강조색4 3 4 2" xfId="8154"/>
    <cellStyle name="강조색4 3 5" xfId="8155"/>
    <cellStyle name="강조색4 3 5 2" xfId="8156"/>
    <cellStyle name="강조색4 3 6" xfId="8157"/>
    <cellStyle name="강조색4 3 6 2" xfId="8158"/>
    <cellStyle name="강조색4 3 7" xfId="8159"/>
    <cellStyle name="강조색4 3 7 2" xfId="8160"/>
    <cellStyle name="강조색4 3 8" xfId="8161"/>
    <cellStyle name="강조색4 3 8 2" xfId="8162"/>
    <cellStyle name="강조색4 3 9" xfId="8163"/>
    <cellStyle name="강조색4 3 9 2" xfId="8164"/>
    <cellStyle name="강조색4 4" xfId="8165"/>
    <cellStyle name="강조색4 4 10" xfId="8166"/>
    <cellStyle name="강조색4 4 2" xfId="8167"/>
    <cellStyle name="강조색4 4 2 2" xfId="8168"/>
    <cellStyle name="강조색4 4 3" xfId="8169"/>
    <cellStyle name="강조색4 4 3 2" xfId="8170"/>
    <cellStyle name="강조색4 4 4" xfId="8171"/>
    <cellStyle name="강조색4 4 4 2" xfId="8172"/>
    <cellStyle name="강조색4 4 5" xfId="8173"/>
    <cellStyle name="강조색4 4 5 2" xfId="8174"/>
    <cellStyle name="강조색4 4 6" xfId="8175"/>
    <cellStyle name="강조색4 4 6 2" xfId="8176"/>
    <cellStyle name="강조색4 4 7" xfId="8177"/>
    <cellStyle name="강조색4 4 7 2" xfId="8178"/>
    <cellStyle name="강조색4 4 8" xfId="8179"/>
    <cellStyle name="강조색4 4 8 2" xfId="8180"/>
    <cellStyle name="강조색4 4 9" xfId="8181"/>
    <cellStyle name="강조색4 4 9 2" xfId="8182"/>
    <cellStyle name="강조색4 5" xfId="8183"/>
    <cellStyle name="강조색4 5 10" xfId="8184"/>
    <cellStyle name="강조색4 5 2" xfId="8185"/>
    <cellStyle name="강조색4 5 2 2" xfId="8186"/>
    <cellStyle name="강조색4 5 3" xfId="8187"/>
    <cellStyle name="강조색4 5 3 2" xfId="8188"/>
    <cellStyle name="강조색4 5 4" xfId="8189"/>
    <cellStyle name="강조색4 5 4 2" xfId="8190"/>
    <cellStyle name="강조색4 5 5" xfId="8191"/>
    <cellStyle name="강조색4 5 5 2" xfId="8192"/>
    <cellStyle name="강조색4 5 6" xfId="8193"/>
    <cellStyle name="강조색4 5 6 2" xfId="8194"/>
    <cellStyle name="강조색4 5 7" xfId="8195"/>
    <cellStyle name="강조색4 5 7 2" xfId="8196"/>
    <cellStyle name="강조색4 5 8" xfId="8197"/>
    <cellStyle name="강조색4 5 8 2" xfId="8198"/>
    <cellStyle name="강조색4 5 9" xfId="8199"/>
    <cellStyle name="강조색4 5 9 2" xfId="8200"/>
    <cellStyle name="강조색4 6" xfId="8201"/>
    <cellStyle name="강조색4 6 10" xfId="8202"/>
    <cellStyle name="강조색4 6 2" xfId="8203"/>
    <cellStyle name="강조색4 6 2 2" xfId="8204"/>
    <cellStyle name="강조색4 6 3" xfId="8205"/>
    <cellStyle name="강조색4 6 3 2" xfId="8206"/>
    <cellStyle name="강조색4 6 4" xfId="8207"/>
    <cellStyle name="강조색4 6 4 2" xfId="8208"/>
    <cellStyle name="강조색4 6 5" xfId="8209"/>
    <cellStyle name="강조색4 6 5 2" xfId="8210"/>
    <cellStyle name="강조색4 6 6" xfId="8211"/>
    <cellStyle name="강조색4 6 6 2" xfId="8212"/>
    <cellStyle name="강조색4 6 7" xfId="8213"/>
    <cellStyle name="강조색4 6 7 2" xfId="8214"/>
    <cellStyle name="강조색4 6 8" xfId="8215"/>
    <cellStyle name="강조색4 6 8 2" xfId="8216"/>
    <cellStyle name="강조색4 6 9" xfId="8217"/>
    <cellStyle name="강조색4 6 9 2" xfId="8218"/>
    <cellStyle name="강조색5 2" xfId="8219"/>
    <cellStyle name="강조색5 2 10" xfId="8220"/>
    <cellStyle name="강조색5 2 2" xfId="8221"/>
    <cellStyle name="강조색5 2 2 2" xfId="8222"/>
    <cellStyle name="강조색5 2 3" xfId="8223"/>
    <cellStyle name="강조색5 2 3 2" xfId="8224"/>
    <cellStyle name="강조색5 2 4" xfId="8225"/>
    <cellStyle name="강조색5 2 4 2" xfId="8226"/>
    <cellStyle name="강조색5 2 5" xfId="8227"/>
    <cellStyle name="강조색5 2 5 2" xfId="8228"/>
    <cellStyle name="강조색5 2 6" xfId="8229"/>
    <cellStyle name="강조색5 2 6 2" xfId="8230"/>
    <cellStyle name="강조색5 2 7" xfId="8231"/>
    <cellStyle name="강조색5 2 7 2" xfId="8232"/>
    <cellStyle name="강조색5 2 8" xfId="8233"/>
    <cellStyle name="강조색5 2 8 2" xfId="8234"/>
    <cellStyle name="강조색5 2 9" xfId="8235"/>
    <cellStyle name="강조색5 2 9 2" xfId="8236"/>
    <cellStyle name="강조색5 3" xfId="8237"/>
    <cellStyle name="강조색5 3 10" xfId="8238"/>
    <cellStyle name="강조색5 3 2" xfId="8239"/>
    <cellStyle name="강조색5 3 2 2" xfId="8240"/>
    <cellStyle name="강조색5 3 3" xfId="8241"/>
    <cellStyle name="강조색5 3 3 2" xfId="8242"/>
    <cellStyle name="강조색5 3 4" xfId="8243"/>
    <cellStyle name="강조색5 3 4 2" xfId="8244"/>
    <cellStyle name="강조색5 3 5" xfId="8245"/>
    <cellStyle name="강조색5 3 5 2" xfId="8246"/>
    <cellStyle name="강조색5 3 6" xfId="8247"/>
    <cellStyle name="강조색5 3 6 2" xfId="8248"/>
    <cellStyle name="강조색5 3 7" xfId="8249"/>
    <cellStyle name="강조색5 3 7 2" xfId="8250"/>
    <cellStyle name="강조색5 3 8" xfId="8251"/>
    <cellStyle name="강조색5 3 8 2" xfId="8252"/>
    <cellStyle name="강조색5 3 9" xfId="8253"/>
    <cellStyle name="강조색5 3 9 2" xfId="8254"/>
    <cellStyle name="강조색5 4" xfId="8255"/>
    <cellStyle name="강조색5 4 10" xfId="8256"/>
    <cellStyle name="강조색5 4 2" xfId="8257"/>
    <cellStyle name="강조색5 4 2 2" xfId="8258"/>
    <cellStyle name="강조색5 4 3" xfId="8259"/>
    <cellStyle name="강조색5 4 3 2" xfId="8260"/>
    <cellStyle name="강조색5 4 4" xfId="8261"/>
    <cellStyle name="강조색5 4 4 2" xfId="8262"/>
    <cellStyle name="강조색5 4 5" xfId="8263"/>
    <cellStyle name="강조색5 4 5 2" xfId="8264"/>
    <cellStyle name="강조색5 4 6" xfId="8265"/>
    <cellStyle name="강조색5 4 6 2" xfId="8266"/>
    <cellStyle name="강조색5 4 7" xfId="8267"/>
    <cellStyle name="강조색5 4 7 2" xfId="8268"/>
    <cellStyle name="강조색5 4 8" xfId="8269"/>
    <cellStyle name="강조색5 4 8 2" xfId="8270"/>
    <cellStyle name="강조색5 4 9" xfId="8271"/>
    <cellStyle name="강조색5 4 9 2" xfId="8272"/>
    <cellStyle name="강조색5 5" xfId="8273"/>
    <cellStyle name="강조색5 5 10" xfId="8274"/>
    <cellStyle name="강조색5 5 2" xfId="8275"/>
    <cellStyle name="강조색5 5 2 2" xfId="8276"/>
    <cellStyle name="강조색5 5 3" xfId="8277"/>
    <cellStyle name="강조색5 5 3 2" xfId="8278"/>
    <cellStyle name="강조색5 5 4" xfId="8279"/>
    <cellStyle name="강조색5 5 4 2" xfId="8280"/>
    <cellStyle name="강조색5 5 5" xfId="8281"/>
    <cellStyle name="강조색5 5 5 2" xfId="8282"/>
    <cellStyle name="강조색5 5 6" xfId="8283"/>
    <cellStyle name="강조색5 5 6 2" xfId="8284"/>
    <cellStyle name="강조색5 5 7" xfId="8285"/>
    <cellStyle name="강조색5 5 7 2" xfId="8286"/>
    <cellStyle name="강조색5 5 8" xfId="8287"/>
    <cellStyle name="강조색5 5 8 2" xfId="8288"/>
    <cellStyle name="강조색5 5 9" xfId="8289"/>
    <cellStyle name="강조색5 5 9 2" xfId="8290"/>
    <cellStyle name="강조색5 6" xfId="8291"/>
    <cellStyle name="강조색5 6 10" xfId="8292"/>
    <cellStyle name="강조색5 6 2" xfId="8293"/>
    <cellStyle name="강조색5 6 2 2" xfId="8294"/>
    <cellStyle name="강조색5 6 3" xfId="8295"/>
    <cellStyle name="강조색5 6 3 2" xfId="8296"/>
    <cellStyle name="강조색5 6 4" xfId="8297"/>
    <cellStyle name="강조색5 6 4 2" xfId="8298"/>
    <cellStyle name="강조색5 6 5" xfId="8299"/>
    <cellStyle name="강조색5 6 5 2" xfId="8300"/>
    <cellStyle name="강조색5 6 6" xfId="8301"/>
    <cellStyle name="강조색5 6 6 2" xfId="8302"/>
    <cellStyle name="강조색5 6 7" xfId="8303"/>
    <cellStyle name="강조색5 6 7 2" xfId="8304"/>
    <cellStyle name="강조색5 6 8" xfId="8305"/>
    <cellStyle name="강조색5 6 8 2" xfId="8306"/>
    <cellStyle name="강조색5 6 9" xfId="8307"/>
    <cellStyle name="강조색5 6 9 2" xfId="8308"/>
    <cellStyle name="강조색6 2" xfId="8309"/>
    <cellStyle name="강조색6 2 10" xfId="8310"/>
    <cellStyle name="강조색6 2 2" xfId="8311"/>
    <cellStyle name="강조색6 2 2 2" xfId="8312"/>
    <cellStyle name="강조색6 2 3" xfId="8313"/>
    <cellStyle name="강조색6 2 3 2" xfId="8314"/>
    <cellStyle name="강조색6 2 4" xfId="8315"/>
    <cellStyle name="강조색6 2 4 2" xfId="8316"/>
    <cellStyle name="강조색6 2 5" xfId="8317"/>
    <cellStyle name="강조색6 2 5 2" xfId="8318"/>
    <cellStyle name="강조색6 2 6" xfId="8319"/>
    <cellStyle name="강조색6 2 6 2" xfId="8320"/>
    <cellStyle name="강조색6 2 7" xfId="8321"/>
    <cellStyle name="강조색6 2 7 2" xfId="8322"/>
    <cellStyle name="강조색6 2 8" xfId="8323"/>
    <cellStyle name="강조색6 2 8 2" xfId="8324"/>
    <cellStyle name="강조색6 2 9" xfId="8325"/>
    <cellStyle name="강조색6 2 9 2" xfId="8326"/>
    <cellStyle name="강조색6 3" xfId="8327"/>
    <cellStyle name="강조색6 3 10" xfId="8328"/>
    <cellStyle name="강조색6 3 2" xfId="8329"/>
    <cellStyle name="강조색6 3 2 2" xfId="8330"/>
    <cellStyle name="강조색6 3 3" xfId="8331"/>
    <cellStyle name="강조색6 3 3 2" xfId="8332"/>
    <cellStyle name="강조색6 3 4" xfId="8333"/>
    <cellStyle name="강조색6 3 4 2" xfId="8334"/>
    <cellStyle name="강조색6 3 5" xfId="8335"/>
    <cellStyle name="강조색6 3 5 2" xfId="8336"/>
    <cellStyle name="강조색6 3 6" xfId="8337"/>
    <cellStyle name="강조색6 3 6 2" xfId="8338"/>
    <cellStyle name="강조색6 3 7" xfId="8339"/>
    <cellStyle name="강조색6 3 7 2" xfId="8340"/>
    <cellStyle name="강조색6 3 8" xfId="8341"/>
    <cellStyle name="강조색6 3 8 2" xfId="8342"/>
    <cellStyle name="강조색6 3 9" xfId="8343"/>
    <cellStyle name="강조색6 3 9 2" xfId="8344"/>
    <cellStyle name="강조색6 4" xfId="8345"/>
    <cellStyle name="강조색6 4 10" xfId="8346"/>
    <cellStyle name="강조색6 4 2" xfId="8347"/>
    <cellStyle name="강조색6 4 2 2" xfId="8348"/>
    <cellStyle name="강조색6 4 3" xfId="8349"/>
    <cellStyle name="강조색6 4 3 2" xfId="8350"/>
    <cellStyle name="강조색6 4 4" xfId="8351"/>
    <cellStyle name="강조색6 4 4 2" xfId="8352"/>
    <cellStyle name="강조색6 4 5" xfId="8353"/>
    <cellStyle name="강조색6 4 5 2" xfId="8354"/>
    <cellStyle name="강조색6 4 6" xfId="8355"/>
    <cellStyle name="강조색6 4 6 2" xfId="8356"/>
    <cellStyle name="강조색6 4 7" xfId="8357"/>
    <cellStyle name="강조색6 4 7 2" xfId="8358"/>
    <cellStyle name="강조색6 4 8" xfId="8359"/>
    <cellStyle name="강조색6 4 8 2" xfId="8360"/>
    <cellStyle name="강조색6 4 9" xfId="8361"/>
    <cellStyle name="강조색6 4 9 2" xfId="8362"/>
    <cellStyle name="강조색6 5" xfId="8363"/>
    <cellStyle name="강조색6 5 10" xfId="8364"/>
    <cellStyle name="강조색6 5 2" xfId="8365"/>
    <cellStyle name="강조색6 5 2 2" xfId="8366"/>
    <cellStyle name="강조색6 5 3" xfId="8367"/>
    <cellStyle name="강조색6 5 3 2" xfId="8368"/>
    <cellStyle name="강조색6 5 4" xfId="8369"/>
    <cellStyle name="강조색6 5 4 2" xfId="8370"/>
    <cellStyle name="강조색6 5 5" xfId="8371"/>
    <cellStyle name="강조색6 5 5 2" xfId="8372"/>
    <cellStyle name="강조색6 5 6" xfId="8373"/>
    <cellStyle name="강조색6 5 6 2" xfId="8374"/>
    <cellStyle name="강조색6 5 7" xfId="8375"/>
    <cellStyle name="강조색6 5 7 2" xfId="8376"/>
    <cellStyle name="강조색6 5 8" xfId="8377"/>
    <cellStyle name="강조색6 5 8 2" xfId="8378"/>
    <cellStyle name="강조색6 5 9" xfId="8379"/>
    <cellStyle name="강조색6 5 9 2" xfId="8380"/>
    <cellStyle name="강조색6 6" xfId="8381"/>
    <cellStyle name="강조색6 6 10" xfId="8382"/>
    <cellStyle name="강조색6 6 2" xfId="8383"/>
    <cellStyle name="강조색6 6 2 2" xfId="8384"/>
    <cellStyle name="강조색6 6 3" xfId="8385"/>
    <cellStyle name="강조색6 6 3 2" xfId="8386"/>
    <cellStyle name="강조색6 6 4" xfId="8387"/>
    <cellStyle name="강조색6 6 4 2" xfId="8388"/>
    <cellStyle name="강조색6 6 5" xfId="8389"/>
    <cellStyle name="강조색6 6 5 2" xfId="8390"/>
    <cellStyle name="강조색6 6 6" xfId="8391"/>
    <cellStyle name="강조색6 6 6 2" xfId="8392"/>
    <cellStyle name="강조색6 6 7" xfId="8393"/>
    <cellStyle name="강조색6 6 7 2" xfId="8394"/>
    <cellStyle name="강조색6 6 8" xfId="8395"/>
    <cellStyle name="강조색6 6 8 2" xfId="8396"/>
    <cellStyle name="강조색6 6 9" xfId="8397"/>
    <cellStyle name="강조색6 6 9 2" xfId="8398"/>
    <cellStyle name="견적" xfId="8399"/>
    <cellStyle name="견적 2" xfId="8400"/>
    <cellStyle name="경고문 2" xfId="8401"/>
    <cellStyle name="경고문 2 10" xfId="8402"/>
    <cellStyle name="경고문 2 2" xfId="8403"/>
    <cellStyle name="경고문 2 2 2" xfId="8404"/>
    <cellStyle name="경고문 2 3" xfId="8405"/>
    <cellStyle name="경고문 2 3 2" xfId="8406"/>
    <cellStyle name="경고문 2 4" xfId="8407"/>
    <cellStyle name="경고문 2 4 2" xfId="8408"/>
    <cellStyle name="경고문 2 5" xfId="8409"/>
    <cellStyle name="경고문 2 5 2" xfId="8410"/>
    <cellStyle name="경고문 2 6" xfId="8411"/>
    <cellStyle name="경고문 2 6 2" xfId="8412"/>
    <cellStyle name="경고문 2 7" xfId="8413"/>
    <cellStyle name="경고문 2 7 2" xfId="8414"/>
    <cellStyle name="경고문 2 8" xfId="8415"/>
    <cellStyle name="경고문 2 8 2" xfId="8416"/>
    <cellStyle name="경고문 2 9" xfId="8417"/>
    <cellStyle name="경고문 2 9 2" xfId="8418"/>
    <cellStyle name="경고문 3" xfId="8419"/>
    <cellStyle name="경고문 3 10" xfId="8420"/>
    <cellStyle name="경고문 3 2" xfId="8421"/>
    <cellStyle name="경고문 3 2 2" xfId="8422"/>
    <cellStyle name="경고문 3 3" xfId="8423"/>
    <cellStyle name="경고문 3 3 2" xfId="8424"/>
    <cellStyle name="경고문 3 4" xfId="8425"/>
    <cellStyle name="경고문 3 4 2" xfId="8426"/>
    <cellStyle name="경고문 3 5" xfId="8427"/>
    <cellStyle name="경고문 3 5 2" xfId="8428"/>
    <cellStyle name="경고문 3 6" xfId="8429"/>
    <cellStyle name="경고문 3 6 2" xfId="8430"/>
    <cellStyle name="경고문 3 7" xfId="8431"/>
    <cellStyle name="경고문 3 7 2" xfId="8432"/>
    <cellStyle name="경고문 3 8" xfId="8433"/>
    <cellStyle name="경고문 3 8 2" xfId="8434"/>
    <cellStyle name="경고문 3 9" xfId="8435"/>
    <cellStyle name="경고문 3 9 2" xfId="8436"/>
    <cellStyle name="경고문 4" xfId="8437"/>
    <cellStyle name="경고문 4 10" xfId="8438"/>
    <cellStyle name="경고문 4 2" xfId="8439"/>
    <cellStyle name="경고문 4 2 2" xfId="8440"/>
    <cellStyle name="경고문 4 3" xfId="8441"/>
    <cellStyle name="경고문 4 3 2" xfId="8442"/>
    <cellStyle name="경고문 4 4" xfId="8443"/>
    <cellStyle name="경고문 4 4 2" xfId="8444"/>
    <cellStyle name="경고문 4 5" xfId="8445"/>
    <cellStyle name="경고문 4 5 2" xfId="8446"/>
    <cellStyle name="경고문 4 6" xfId="8447"/>
    <cellStyle name="경고문 4 6 2" xfId="8448"/>
    <cellStyle name="경고문 4 7" xfId="8449"/>
    <cellStyle name="경고문 4 7 2" xfId="8450"/>
    <cellStyle name="경고문 4 8" xfId="8451"/>
    <cellStyle name="경고문 4 8 2" xfId="8452"/>
    <cellStyle name="경고문 4 9" xfId="8453"/>
    <cellStyle name="경고문 4 9 2" xfId="8454"/>
    <cellStyle name="경고문 5" xfId="8455"/>
    <cellStyle name="경고문 5 10" xfId="8456"/>
    <cellStyle name="경고문 5 2" xfId="8457"/>
    <cellStyle name="경고문 5 2 2" xfId="8458"/>
    <cellStyle name="경고문 5 3" xfId="8459"/>
    <cellStyle name="경고문 5 3 2" xfId="8460"/>
    <cellStyle name="경고문 5 4" xfId="8461"/>
    <cellStyle name="경고문 5 4 2" xfId="8462"/>
    <cellStyle name="경고문 5 5" xfId="8463"/>
    <cellStyle name="경고문 5 5 2" xfId="8464"/>
    <cellStyle name="경고문 5 6" xfId="8465"/>
    <cellStyle name="경고문 5 6 2" xfId="8466"/>
    <cellStyle name="경고문 5 7" xfId="8467"/>
    <cellStyle name="경고문 5 7 2" xfId="8468"/>
    <cellStyle name="경고문 5 8" xfId="8469"/>
    <cellStyle name="경고문 5 8 2" xfId="8470"/>
    <cellStyle name="경고문 5 9" xfId="8471"/>
    <cellStyle name="경고문 5 9 2" xfId="8472"/>
    <cellStyle name="경고문 6" xfId="8473"/>
    <cellStyle name="경고문 6 10" xfId="8474"/>
    <cellStyle name="경고문 6 2" xfId="8475"/>
    <cellStyle name="경고문 6 2 2" xfId="8476"/>
    <cellStyle name="경고문 6 3" xfId="8477"/>
    <cellStyle name="경고문 6 3 2" xfId="8478"/>
    <cellStyle name="경고문 6 4" xfId="8479"/>
    <cellStyle name="경고문 6 4 2" xfId="8480"/>
    <cellStyle name="경고문 6 5" xfId="8481"/>
    <cellStyle name="경고문 6 5 2" xfId="8482"/>
    <cellStyle name="경고문 6 6" xfId="8483"/>
    <cellStyle name="경고문 6 6 2" xfId="8484"/>
    <cellStyle name="경고문 6 7" xfId="8485"/>
    <cellStyle name="경고문 6 7 2" xfId="8486"/>
    <cellStyle name="경고문 6 8" xfId="8487"/>
    <cellStyle name="경고문 6 8 2" xfId="8488"/>
    <cellStyle name="경고문 6 9" xfId="8489"/>
    <cellStyle name="경고문 6 9 2" xfId="8490"/>
    <cellStyle name="계산 2" xfId="8491"/>
    <cellStyle name="계산 2 10" xfId="8492"/>
    <cellStyle name="계산 2 10 2" xfId="8493"/>
    <cellStyle name="계산 2 10 2 2" xfId="8494"/>
    <cellStyle name="계산 2 10 2 3" xfId="8495"/>
    <cellStyle name="계산 2 10 2 4" xfId="8496"/>
    <cellStyle name="계산 2 10 2 5" xfId="8497"/>
    <cellStyle name="계산 2 11" xfId="8498"/>
    <cellStyle name="계산 2 11 2" xfId="8499"/>
    <cellStyle name="계산 2 11 3" xfId="8500"/>
    <cellStyle name="계산 2 11 4" xfId="8501"/>
    <cellStyle name="계산 2 11 5" xfId="8502"/>
    <cellStyle name="계산 2 2" xfId="8503"/>
    <cellStyle name="계산 2 2 2" xfId="8504"/>
    <cellStyle name="계산 2 2 2 2" xfId="8505"/>
    <cellStyle name="계산 2 2 2 2 2" xfId="8506"/>
    <cellStyle name="계산 2 2 2 2 3" xfId="8507"/>
    <cellStyle name="계산 2 2 2 2 4" xfId="8508"/>
    <cellStyle name="계산 2 2 2 2 5" xfId="8509"/>
    <cellStyle name="계산 2 2 3" xfId="8510"/>
    <cellStyle name="계산 2 2 3 2" xfId="8511"/>
    <cellStyle name="계산 2 2 3 3" xfId="8512"/>
    <cellStyle name="계산 2 2 3 4" xfId="8513"/>
    <cellStyle name="계산 2 2 3 5" xfId="8514"/>
    <cellStyle name="계산 2 3" xfId="8515"/>
    <cellStyle name="계산 2 3 2" xfId="8516"/>
    <cellStyle name="계산 2 3 2 2" xfId="8517"/>
    <cellStyle name="계산 2 3 2 2 2" xfId="8518"/>
    <cellStyle name="계산 2 3 2 2 3" xfId="8519"/>
    <cellStyle name="계산 2 3 2 2 4" xfId="8520"/>
    <cellStyle name="계산 2 3 2 2 5" xfId="8521"/>
    <cellStyle name="계산 2 3 3" xfId="8522"/>
    <cellStyle name="계산 2 3 3 2" xfId="8523"/>
    <cellStyle name="계산 2 3 3 3" xfId="8524"/>
    <cellStyle name="계산 2 3 3 4" xfId="8525"/>
    <cellStyle name="계산 2 3 3 5" xfId="8526"/>
    <cellStyle name="계산 2 4" xfId="8527"/>
    <cellStyle name="계산 2 4 2" xfId="8528"/>
    <cellStyle name="계산 2 4 2 2" xfId="8529"/>
    <cellStyle name="계산 2 4 2 2 2" xfId="8530"/>
    <cellStyle name="계산 2 4 2 2 3" xfId="8531"/>
    <cellStyle name="계산 2 4 2 2 4" xfId="8532"/>
    <cellStyle name="계산 2 4 2 2 5" xfId="8533"/>
    <cellStyle name="계산 2 4 3" xfId="8534"/>
    <cellStyle name="계산 2 4 3 2" xfId="8535"/>
    <cellStyle name="계산 2 4 3 3" xfId="8536"/>
    <cellStyle name="계산 2 4 3 4" xfId="8537"/>
    <cellStyle name="계산 2 4 3 5" xfId="8538"/>
    <cellStyle name="계산 2 5" xfId="8539"/>
    <cellStyle name="계산 2 5 2" xfId="8540"/>
    <cellStyle name="계산 2 5 2 2" xfId="8541"/>
    <cellStyle name="계산 2 5 2 2 2" xfId="8542"/>
    <cellStyle name="계산 2 5 2 2 3" xfId="8543"/>
    <cellStyle name="계산 2 5 2 2 4" xfId="8544"/>
    <cellStyle name="계산 2 5 2 2 5" xfId="8545"/>
    <cellStyle name="계산 2 5 3" xfId="8546"/>
    <cellStyle name="계산 2 5 3 2" xfId="8547"/>
    <cellStyle name="계산 2 5 3 3" xfId="8548"/>
    <cellStyle name="계산 2 5 3 4" xfId="8549"/>
    <cellStyle name="계산 2 5 3 5" xfId="8550"/>
    <cellStyle name="계산 2 6" xfId="8551"/>
    <cellStyle name="계산 2 6 2" xfId="8552"/>
    <cellStyle name="계산 2 6 2 2" xfId="8553"/>
    <cellStyle name="계산 2 6 2 2 2" xfId="8554"/>
    <cellStyle name="계산 2 6 2 2 3" xfId="8555"/>
    <cellStyle name="계산 2 6 2 2 4" xfId="8556"/>
    <cellStyle name="계산 2 6 2 2 5" xfId="8557"/>
    <cellStyle name="계산 2 6 3" xfId="8558"/>
    <cellStyle name="계산 2 6 3 2" xfId="8559"/>
    <cellStyle name="계산 2 6 3 3" xfId="8560"/>
    <cellStyle name="계산 2 6 3 4" xfId="8561"/>
    <cellStyle name="계산 2 6 3 5" xfId="8562"/>
    <cellStyle name="계산 2 7" xfId="8563"/>
    <cellStyle name="계산 2 7 2" xfId="8564"/>
    <cellStyle name="계산 2 7 2 2" xfId="8565"/>
    <cellStyle name="계산 2 7 2 2 2" xfId="8566"/>
    <cellStyle name="계산 2 7 2 2 3" xfId="8567"/>
    <cellStyle name="계산 2 7 2 2 4" xfId="8568"/>
    <cellStyle name="계산 2 7 2 2 5" xfId="8569"/>
    <cellStyle name="계산 2 7 3" xfId="8570"/>
    <cellStyle name="계산 2 7 3 2" xfId="8571"/>
    <cellStyle name="계산 2 7 3 3" xfId="8572"/>
    <cellStyle name="계산 2 7 3 4" xfId="8573"/>
    <cellStyle name="계산 2 7 3 5" xfId="8574"/>
    <cellStyle name="계산 2 8" xfId="8575"/>
    <cellStyle name="계산 2 8 2" xfId="8576"/>
    <cellStyle name="계산 2 8 2 2" xfId="8577"/>
    <cellStyle name="계산 2 8 2 2 2" xfId="8578"/>
    <cellStyle name="계산 2 8 2 2 3" xfId="8579"/>
    <cellStyle name="계산 2 8 2 2 4" xfId="8580"/>
    <cellStyle name="계산 2 8 2 2 5" xfId="8581"/>
    <cellStyle name="계산 2 8 3" xfId="8582"/>
    <cellStyle name="계산 2 8 3 2" xfId="8583"/>
    <cellStyle name="계산 2 8 3 3" xfId="8584"/>
    <cellStyle name="계산 2 8 3 4" xfId="8585"/>
    <cellStyle name="계산 2 8 3 5" xfId="8586"/>
    <cellStyle name="계산 2 9" xfId="8587"/>
    <cellStyle name="계산 2 9 2" xfId="8588"/>
    <cellStyle name="계산 2 9 2 2" xfId="8589"/>
    <cellStyle name="계산 2 9 2 2 2" xfId="8590"/>
    <cellStyle name="계산 2 9 2 2 3" xfId="8591"/>
    <cellStyle name="계산 2 9 2 2 4" xfId="8592"/>
    <cellStyle name="계산 2 9 2 2 5" xfId="8593"/>
    <cellStyle name="계산 2 9 3" xfId="8594"/>
    <cellStyle name="계산 2 9 3 2" xfId="8595"/>
    <cellStyle name="계산 2 9 3 3" xfId="8596"/>
    <cellStyle name="계산 2 9 3 4" xfId="8597"/>
    <cellStyle name="계산 2 9 3 5" xfId="8598"/>
    <cellStyle name="계산 3" xfId="8599"/>
    <cellStyle name="계산 3 10" xfId="8600"/>
    <cellStyle name="계산 3 10 2" xfId="8601"/>
    <cellStyle name="계산 3 10 2 2" xfId="8602"/>
    <cellStyle name="계산 3 10 2 3" xfId="8603"/>
    <cellStyle name="계산 3 10 2 4" xfId="8604"/>
    <cellStyle name="계산 3 10 2 5" xfId="8605"/>
    <cellStyle name="계산 3 11" xfId="8606"/>
    <cellStyle name="계산 3 11 2" xfId="8607"/>
    <cellStyle name="계산 3 11 3" xfId="8608"/>
    <cellStyle name="계산 3 11 4" xfId="8609"/>
    <cellStyle name="계산 3 11 5" xfId="8610"/>
    <cellStyle name="계산 3 2" xfId="8611"/>
    <cellStyle name="계산 3 2 2" xfId="8612"/>
    <cellStyle name="계산 3 2 2 2" xfId="8613"/>
    <cellStyle name="계산 3 2 2 2 2" xfId="8614"/>
    <cellStyle name="계산 3 2 2 2 3" xfId="8615"/>
    <cellStyle name="계산 3 2 2 2 4" xfId="8616"/>
    <cellStyle name="계산 3 2 2 2 5" xfId="8617"/>
    <cellStyle name="계산 3 2 3" xfId="8618"/>
    <cellStyle name="계산 3 2 3 2" xfId="8619"/>
    <cellStyle name="계산 3 2 3 3" xfId="8620"/>
    <cellStyle name="계산 3 2 3 4" xfId="8621"/>
    <cellStyle name="계산 3 2 3 5" xfId="8622"/>
    <cellStyle name="계산 3 3" xfId="8623"/>
    <cellStyle name="계산 3 3 2" xfId="8624"/>
    <cellStyle name="계산 3 3 2 2" xfId="8625"/>
    <cellStyle name="계산 3 3 2 2 2" xfId="8626"/>
    <cellStyle name="계산 3 3 2 2 3" xfId="8627"/>
    <cellStyle name="계산 3 3 2 2 4" xfId="8628"/>
    <cellStyle name="계산 3 3 2 2 5" xfId="8629"/>
    <cellStyle name="계산 3 3 3" xfId="8630"/>
    <cellStyle name="계산 3 3 3 2" xfId="8631"/>
    <cellStyle name="계산 3 3 3 3" xfId="8632"/>
    <cellStyle name="계산 3 3 3 4" xfId="8633"/>
    <cellStyle name="계산 3 3 3 5" xfId="8634"/>
    <cellStyle name="계산 3 4" xfId="8635"/>
    <cellStyle name="계산 3 4 2" xfId="8636"/>
    <cellStyle name="계산 3 4 2 2" xfId="8637"/>
    <cellStyle name="계산 3 4 2 2 2" xfId="8638"/>
    <cellStyle name="계산 3 4 2 2 3" xfId="8639"/>
    <cellStyle name="계산 3 4 2 2 4" xfId="8640"/>
    <cellStyle name="계산 3 4 2 2 5" xfId="8641"/>
    <cellStyle name="계산 3 4 3" xfId="8642"/>
    <cellStyle name="계산 3 4 3 2" xfId="8643"/>
    <cellStyle name="계산 3 4 3 3" xfId="8644"/>
    <cellStyle name="계산 3 4 3 4" xfId="8645"/>
    <cellStyle name="계산 3 4 3 5" xfId="8646"/>
    <cellStyle name="계산 3 5" xfId="8647"/>
    <cellStyle name="계산 3 5 2" xfId="8648"/>
    <cellStyle name="계산 3 5 2 2" xfId="8649"/>
    <cellStyle name="계산 3 5 2 2 2" xfId="8650"/>
    <cellStyle name="계산 3 5 2 2 3" xfId="8651"/>
    <cellStyle name="계산 3 5 2 2 4" xfId="8652"/>
    <cellStyle name="계산 3 5 2 2 5" xfId="8653"/>
    <cellStyle name="계산 3 5 3" xfId="8654"/>
    <cellStyle name="계산 3 5 3 2" xfId="8655"/>
    <cellStyle name="계산 3 5 3 3" xfId="8656"/>
    <cellStyle name="계산 3 5 3 4" xfId="8657"/>
    <cellStyle name="계산 3 5 3 5" xfId="8658"/>
    <cellStyle name="계산 3 6" xfId="8659"/>
    <cellStyle name="계산 3 6 2" xfId="8660"/>
    <cellStyle name="계산 3 6 2 2" xfId="8661"/>
    <cellStyle name="계산 3 6 2 2 2" xfId="8662"/>
    <cellStyle name="계산 3 6 2 2 3" xfId="8663"/>
    <cellStyle name="계산 3 6 2 2 4" xfId="8664"/>
    <cellStyle name="계산 3 6 2 2 5" xfId="8665"/>
    <cellStyle name="계산 3 6 3" xfId="8666"/>
    <cellStyle name="계산 3 6 3 2" xfId="8667"/>
    <cellStyle name="계산 3 6 3 3" xfId="8668"/>
    <cellStyle name="계산 3 6 3 4" xfId="8669"/>
    <cellStyle name="계산 3 6 3 5" xfId="8670"/>
    <cellStyle name="계산 3 7" xfId="8671"/>
    <cellStyle name="계산 3 7 2" xfId="8672"/>
    <cellStyle name="계산 3 7 2 2" xfId="8673"/>
    <cellStyle name="계산 3 7 2 2 2" xfId="8674"/>
    <cellStyle name="계산 3 7 2 2 3" xfId="8675"/>
    <cellStyle name="계산 3 7 2 2 4" xfId="8676"/>
    <cellStyle name="계산 3 7 2 2 5" xfId="8677"/>
    <cellStyle name="계산 3 7 3" xfId="8678"/>
    <cellStyle name="계산 3 7 3 2" xfId="8679"/>
    <cellStyle name="계산 3 7 3 3" xfId="8680"/>
    <cellStyle name="계산 3 7 3 4" xfId="8681"/>
    <cellStyle name="계산 3 7 3 5" xfId="8682"/>
    <cellStyle name="계산 3 8" xfId="8683"/>
    <cellStyle name="계산 3 8 2" xfId="8684"/>
    <cellStyle name="계산 3 8 2 2" xfId="8685"/>
    <cellStyle name="계산 3 8 2 2 2" xfId="8686"/>
    <cellStyle name="계산 3 8 2 2 3" xfId="8687"/>
    <cellStyle name="계산 3 8 2 2 4" xfId="8688"/>
    <cellStyle name="계산 3 8 2 2 5" xfId="8689"/>
    <cellStyle name="계산 3 8 3" xfId="8690"/>
    <cellStyle name="계산 3 8 3 2" xfId="8691"/>
    <cellStyle name="계산 3 8 3 3" xfId="8692"/>
    <cellStyle name="계산 3 8 3 4" xfId="8693"/>
    <cellStyle name="계산 3 8 3 5" xfId="8694"/>
    <cellStyle name="계산 3 9" xfId="8695"/>
    <cellStyle name="계산 3 9 2" xfId="8696"/>
    <cellStyle name="계산 3 9 2 2" xfId="8697"/>
    <cellStyle name="계산 3 9 2 2 2" xfId="8698"/>
    <cellStyle name="계산 3 9 2 2 3" xfId="8699"/>
    <cellStyle name="계산 3 9 2 2 4" xfId="8700"/>
    <cellStyle name="계산 3 9 2 2 5" xfId="8701"/>
    <cellStyle name="계산 3 9 3" xfId="8702"/>
    <cellStyle name="계산 3 9 3 2" xfId="8703"/>
    <cellStyle name="계산 3 9 3 3" xfId="8704"/>
    <cellStyle name="계산 3 9 3 4" xfId="8705"/>
    <cellStyle name="계산 3 9 3 5" xfId="8706"/>
    <cellStyle name="계산 4" xfId="8707"/>
    <cellStyle name="계산 4 10" xfId="8708"/>
    <cellStyle name="계산 4 10 2" xfId="8709"/>
    <cellStyle name="계산 4 10 2 2" xfId="8710"/>
    <cellStyle name="계산 4 10 2 3" xfId="8711"/>
    <cellStyle name="계산 4 10 2 4" xfId="8712"/>
    <cellStyle name="계산 4 10 2 5" xfId="8713"/>
    <cellStyle name="계산 4 11" xfId="8714"/>
    <cellStyle name="계산 4 11 2" xfId="8715"/>
    <cellStyle name="계산 4 11 3" xfId="8716"/>
    <cellStyle name="계산 4 11 4" xfId="8717"/>
    <cellStyle name="계산 4 11 5" xfId="8718"/>
    <cellStyle name="계산 4 2" xfId="8719"/>
    <cellStyle name="계산 4 2 2" xfId="8720"/>
    <cellStyle name="계산 4 2 2 2" xfId="8721"/>
    <cellStyle name="계산 4 2 2 2 2" xfId="8722"/>
    <cellStyle name="계산 4 2 2 2 3" xfId="8723"/>
    <cellStyle name="계산 4 2 2 2 4" xfId="8724"/>
    <cellStyle name="계산 4 2 2 2 5" xfId="8725"/>
    <cellStyle name="계산 4 2 3" xfId="8726"/>
    <cellStyle name="계산 4 2 3 2" xfId="8727"/>
    <cellStyle name="계산 4 2 3 3" xfId="8728"/>
    <cellStyle name="계산 4 2 3 4" xfId="8729"/>
    <cellStyle name="계산 4 2 3 5" xfId="8730"/>
    <cellStyle name="계산 4 3" xfId="8731"/>
    <cellStyle name="계산 4 3 2" xfId="8732"/>
    <cellStyle name="계산 4 3 2 2" xfId="8733"/>
    <cellStyle name="계산 4 3 2 2 2" xfId="8734"/>
    <cellStyle name="계산 4 3 2 2 3" xfId="8735"/>
    <cellStyle name="계산 4 3 2 2 4" xfId="8736"/>
    <cellStyle name="계산 4 3 2 2 5" xfId="8737"/>
    <cellStyle name="계산 4 3 3" xfId="8738"/>
    <cellStyle name="계산 4 3 3 2" xfId="8739"/>
    <cellStyle name="계산 4 3 3 3" xfId="8740"/>
    <cellStyle name="계산 4 3 3 4" xfId="8741"/>
    <cellStyle name="계산 4 3 3 5" xfId="8742"/>
    <cellStyle name="계산 4 4" xfId="8743"/>
    <cellStyle name="계산 4 4 2" xfId="8744"/>
    <cellStyle name="계산 4 4 2 2" xfId="8745"/>
    <cellStyle name="계산 4 4 2 2 2" xfId="8746"/>
    <cellStyle name="계산 4 4 2 2 3" xfId="8747"/>
    <cellStyle name="계산 4 4 2 2 4" xfId="8748"/>
    <cellStyle name="계산 4 4 2 2 5" xfId="8749"/>
    <cellStyle name="계산 4 4 3" xfId="8750"/>
    <cellStyle name="계산 4 4 3 2" xfId="8751"/>
    <cellStyle name="계산 4 4 3 3" xfId="8752"/>
    <cellStyle name="계산 4 4 3 4" xfId="8753"/>
    <cellStyle name="계산 4 4 3 5" xfId="8754"/>
    <cellStyle name="계산 4 5" xfId="8755"/>
    <cellStyle name="계산 4 5 2" xfId="8756"/>
    <cellStyle name="계산 4 5 2 2" xfId="8757"/>
    <cellStyle name="계산 4 5 2 2 2" xfId="8758"/>
    <cellStyle name="계산 4 5 2 2 3" xfId="8759"/>
    <cellStyle name="계산 4 5 2 2 4" xfId="8760"/>
    <cellStyle name="계산 4 5 2 2 5" xfId="8761"/>
    <cellStyle name="계산 4 5 3" xfId="8762"/>
    <cellStyle name="계산 4 5 3 2" xfId="8763"/>
    <cellStyle name="계산 4 5 3 3" xfId="8764"/>
    <cellStyle name="계산 4 5 3 4" xfId="8765"/>
    <cellStyle name="계산 4 5 3 5" xfId="8766"/>
    <cellStyle name="계산 4 6" xfId="8767"/>
    <cellStyle name="계산 4 6 2" xfId="8768"/>
    <cellStyle name="계산 4 6 2 2" xfId="8769"/>
    <cellStyle name="계산 4 6 2 2 2" xfId="8770"/>
    <cellStyle name="계산 4 6 2 2 3" xfId="8771"/>
    <cellStyle name="계산 4 6 2 2 4" xfId="8772"/>
    <cellStyle name="계산 4 6 2 2 5" xfId="8773"/>
    <cellStyle name="계산 4 6 3" xfId="8774"/>
    <cellStyle name="계산 4 6 3 2" xfId="8775"/>
    <cellStyle name="계산 4 6 3 3" xfId="8776"/>
    <cellStyle name="계산 4 6 3 4" xfId="8777"/>
    <cellStyle name="계산 4 6 3 5" xfId="8778"/>
    <cellStyle name="계산 4 7" xfId="8779"/>
    <cellStyle name="계산 4 7 2" xfId="8780"/>
    <cellStyle name="계산 4 7 2 2" xfId="8781"/>
    <cellStyle name="계산 4 7 2 2 2" xfId="8782"/>
    <cellStyle name="계산 4 7 2 2 3" xfId="8783"/>
    <cellStyle name="계산 4 7 2 2 4" xfId="8784"/>
    <cellStyle name="계산 4 7 2 2 5" xfId="8785"/>
    <cellStyle name="계산 4 7 3" xfId="8786"/>
    <cellStyle name="계산 4 7 3 2" xfId="8787"/>
    <cellStyle name="계산 4 7 3 3" xfId="8788"/>
    <cellStyle name="계산 4 7 3 4" xfId="8789"/>
    <cellStyle name="계산 4 7 3 5" xfId="8790"/>
    <cellStyle name="계산 4 8" xfId="8791"/>
    <cellStyle name="계산 4 8 2" xfId="8792"/>
    <cellStyle name="계산 4 8 2 2" xfId="8793"/>
    <cellStyle name="계산 4 8 2 2 2" xfId="8794"/>
    <cellStyle name="계산 4 8 2 2 3" xfId="8795"/>
    <cellStyle name="계산 4 8 2 2 4" xfId="8796"/>
    <cellStyle name="계산 4 8 2 2 5" xfId="8797"/>
    <cellStyle name="계산 4 8 3" xfId="8798"/>
    <cellStyle name="계산 4 8 3 2" xfId="8799"/>
    <cellStyle name="계산 4 8 3 3" xfId="8800"/>
    <cellStyle name="계산 4 8 3 4" xfId="8801"/>
    <cellStyle name="계산 4 8 3 5" xfId="8802"/>
    <cellStyle name="계산 4 9" xfId="8803"/>
    <cellStyle name="계산 4 9 2" xfId="8804"/>
    <cellStyle name="계산 4 9 2 2" xfId="8805"/>
    <cellStyle name="계산 4 9 2 2 2" xfId="8806"/>
    <cellStyle name="계산 4 9 2 2 3" xfId="8807"/>
    <cellStyle name="계산 4 9 2 2 4" xfId="8808"/>
    <cellStyle name="계산 4 9 2 2 5" xfId="8809"/>
    <cellStyle name="계산 4 9 3" xfId="8810"/>
    <cellStyle name="계산 4 9 3 2" xfId="8811"/>
    <cellStyle name="계산 4 9 3 3" xfId="8812"/>
    <cellStyle name="계산 4 9 3 4" xfId="8813"/>
    <cellStyle name="계산 4 9 3 5" xfId="8814"/>
    <cellStyle name="계산 5" xfId="8815"/>
    <cellStyle name="계산 5 10" xfId="8816"/>
    <cellStyle name="계산 5 10 2" xfId="8817"/>
    <cellStyle name="계산 5 10 2 2" xfId="8818"/>
    <cellStyle name="계산 5 10 2 3" xfId="8819"/>
    <cellStyle name="계산 5 10 2 4" xfId="8820"/>
    <cellStyle name="계산 5 10 2 5" xfId="8821"/>
    <cellStyle name="계산 5 11" xfId="8822"/>
    <cellStyle name="계산 5 11 2" xfId="8823"/>
    <cellStyle name="계산 5 11 3" xfId="8824"/>
    <cellStyle name="계산 5 11 4" xfId="8825"/>
    <cellStyle name="계산 5 11 5" xfId="8826"/>
    <cellStyle name="계산 5 2" xfId="8827"/>
    <cellStyle name="계산 5 2 2" xfId="8828"/>
    <cellStyle name="계산 5 2 2 2" xfId="8829"/>
    <cellStyle name="계산 5 2 2 2 2" xfId="8830"/>
    <cellStyle name="계산 5 2 2 2 3" xfId="8831"/>
    <cellStyle name="계산 5 2 2 2 4" xfId="8832"/>
    <cellStyle name="계산 5 2 2 2 5" xfId="8833"/>
    <cellStyle name="계산 5 2 3" xfId="8834"/>
    <cellStyle name="계산 5 2 3 2" xfId="8835"/>
    <cellStyle name="계산 5 2 3 3" xfId="8836"/>
    <cellStyle name="계산 5 2 3 4" xfId="8837"/>
    <cellStyle name="계산 5 2 3 5" xfId="8838"/>
    <cellStyle name="계산 5 3" xfId="8839"/>
    <cellStyle name="계산 5 3 2" xfId="8840"/>
    <cellStyle name="계산 5 3 2 2" xfId="8841"/>
    <cellStyle name="계산 5 3 2 2 2" xfId="8842"/>
    <cellStyle name="계산 5 3 2 2 3" xfId="8843"/>
    <cellStyle name="계산 5 3 2 2 4" xfId="8844"/>
    <cellStyle name="계산 5 3 2 2 5" xfId="8845"/>
    <cellStyle name="계산 5 3 3" xfId="8846"/>
    <cellStyle name="계산 5 3 3 2" xfId="8847"/>
    <cellStyle name="계산 5 3 3 3" xfId="8848"/>
    <cellStyle name="계산 5 3 3 4" xfId="8849"/>
    <cellStyle name="계산 5 3 3 5" xfId="8850"/>
    <cellStyle name="계산 5 4" xfId="8851"/>
    <cellStyle name="계산 5 4 2" xfId="8852"/>
    <cellStyle name="계산 5 4 2 2" xfId="8853"/>
    <cellStyle name="계산 5 4 2 2 2" xfId="8854"/>
    <cellStyle name="계산 5 4 2 2 3" xfId="8855"/>
    <cellStyle name="계산 5 4 2 2 4" xfId="8856"/>
    <cellStyle name="계산 5 4 2 2 5" xfId="8857"/>
    <cellStyle name="계산 5 4 3" xfId="8858"/>
    <cellStyle name="계산 5 4 3 2" xfId="8859"/>
    <cellStyle name="계산 5 4 3 3" xfId="8860"/>
    <cellStyle name="계산 5 4 3 4" xfId="8861"/>
    <cellStyle name="계산 5 4 3 5" xfId="8862"/>
    <cellStyle name="계산 5 5" xfId="8863"/>
    <cellStyle name="계산 5 5 2" xfId="8864"/>
    <cellStyle name="계산 5 5 2 2" xfId="8865"/>
    <cellStyle name="계산 5 5 2 2 2" xfId="8866"/>
    <cellStyle name="계산 5 5 2 2 3" xfId="8867"/>
    <cellStyle name="계산 5 5 2 2 4" xfId="8868"/>
    <cellStyle name="계산 5 5 2 2 5" xfId="8869"/>
    <cellStyle name="계산 5 5 3" xfId="8870"/>
    <cellStyle name="계산 5 5 3 2" xfId="8871"/>
    <cellStyle name="계산 5 5 3 3" xfId="8872"/>
    <cellStyle name="계산 5 5 3 4" xfId="8873"/>
    <cellStyle name="계산 5 5 3 5" xfId="8874"/>
    <cellStyle name="계산 5 6" xfId="8875"/>
    <cellStyle name="계산 5 6 2" xfId="8876"/>
    <cellStyle name="계산 5 6 2 2" xfId="8877"/>
    <cellStyle name="계산 5 6 2 2 2" xfId="8878"/>
    <cellStyle name="계산 5 6 2 2 3" xfId="8879"/>
    <cellStyle name="계산 5 6 2 2 4" xfId="8880"/>
    <cellStyle name="계산 5 6 2 2 5" xfId="8881"/>
    <cellStyle name="계산 5 6 3" xfId="8882"/>
    <cellStyle name="계산 5 6 3 2" xfId="8883"/>
    <cellStyle name="계산 5 6 3 3" xfId="8884"/>
    <cellStyle name="계산 5 6 3 4" xfId="8885"/>
    <cellStyle name="계산 5 6 3 5" xfId="8886"/>
    <cellStyle name="계산 5 7" xfId="8887"/>
    <cellStyle name="계산 5 7 2" xfId="8888"/>
    <cellStyle name="계산 5 7 2 2" xfId="8889"/>
    <cellStyle name="계산 5 7 2 2 2" xfId="8890"/>
    <cellStyle name="계산 5 7 2 2 3" xfId="8891"/>
    <cellStyle name="계산 5 7 2 2 4" xfId="8892"/>
    <cellStyle name="계산 5 7 2 2 5" xfId="8893"/>
    <cellStyle name="계산 5 7 3" xfId="8894"/>
    <cellStyle name="계산 5 7 3 2" xfId="8895"/>
    <cellStyle name="계산 5 7 3 3" xfId="8896"/>
    <cellStyle name="계산 5 7 3 4" xfId="8897"/>
    <cellStyle name="계산 5 7 3 5" xfId="8898"/>
    <cellStyle name="계산 5 8" xfId="8899"/>
    <cellStyle name="계산 5 8 2" xfId="8900"/>
    <cellStyle name="계산 5 8 2 2" xfId="8901"/>
    <cellStyle name="계산 5 8 2 2 2" xfId="8902"/>
    <cellStyle name="계산 5 8 2 2 3" xfId="8903"/>
    <cellStyle name="계산 5 8 2 2 4" xfId="8904"/>
    <cellStyle name="계산 5 8 2 2 5" xfId="8905"/>
    <cellStyle name="계산 5 8 3" xfId="8906"/>
    <cellStyle name="계산 5 8 3 2" xfId="8907"/>
    <cellStyle name="계산 5 8 3 3" xfId="8908"/>
    <cellStyle name="계산 5 8 3 4" xfId="8909"/>
    <cellStyle name="계산 5 8 3 5" xfId="8910"/>
    <cellStyle name="계산 5 9" xfId="8911"/>
    <cellStyle name="계산 5 9 2" xfId="8912"/>
    <cellStyle name="계산 5 9 2 2" xfId="8913"/>
    <cellStyle name="계산 5 9 2 2 2" xfId="8914"/>
    <cellStyle name="계산 5 9 2 2 3" xfId="8915"/>
    <cellStyle name="계산 5 9 2 2 4" xfId="8916"/>
    <cellStyle name="계산 5 9 2 2 5" xfId="8917"/>
    <cellStyle name="계산 5 9 3" xfId="8918"/>
    <cellStyle name="계산 5 9 3 2" xfId="8919"/>
    <cellStyle name="계산 5 9 3 3" xfId="8920"/>
    <cellStyle name="계산 5 9 3 4" xfId="8921"/>
    <cellStyle name="계산 5 9 3 5" xfId="8922"/>
    <cellStyle name="계산 6" xfId="8923"/>
    <cellStyle name="계산 6 10" xfId="8924"/>
    <cellStyle name="계산 6 10 2" xfId="8925"/>
    <cellStyle name="계산 6 10 2 2" xfId="8926"/>
    <cellStyle name="계산 6 10 2 3" xfId="8927"/>
    <cellStyle name="계산 6 10 2 4" xfId="8928"/>
    <cellStyle name="계산 6 10 2 5" xfId="8929"/>
    <cellStyle name="계산 6 11" xfId="8930"/>
    <cellStyle name="계산 6 11 2" xfId="8931"/>
    <cellStyle name="계산 6 11 3" xfId="8932"/>
    <cellStyle name="계산 6 11 4" xfId="8933"/>
    <cellStyle name="계산 6 11 5" xfId="8934"/>
    <cellStyle name="계산 6 2" xfId="8935"/>
    <cellStyle name="계산 6 2 2" xfId="8936"/>
    <cellStyle name="계산 6 2 2 2" xfId="8937"/>
    <cellStyle name="계산 6 2 2 2 2" xfId="8938"/>
    <cellStyle name="계산 6 2 2 2 3" xfId="8939"/>
    <cellStyle name="계산 6 2 2 2 4" xfId="8940"/>
    <cellStyle name="계산 6 2 2 2 5" xfId="8941"/>
    <cellStyle name="계산 6 2 3" xfId="8942"/>
    <cellStyle name="계산 6 2 3 2" xfId="8943"/>
    <cellStyle name="계산 6 2 3 3" xfId="8944"/>
    <cellStyle name="계산 6 2 3 4" xfId="8945"/>
    <cellStyle name="계산 6 2 3 5" xfId="8946"/>
    <cellStyle name="계산 6 3" xfId="8947"/>
    <cellStyle name="계산 6 3 2" xfId="8948"/>
    <cellStyle name="계산 6 3 2 2" xfId="8949"/>
    <cellStyle name="계산 6 3 2 2 2" xfId="8950"/>
    <cellStyle name="계산 6 3 2 2 3" xfId="8951"/>
    <cellStyle name="계산 6 3 2 2 4" xfId="8952"/>
    <cellStyle name="계산 6 3 2 2 5" xfId="8953"/>
    <cellStyle name="계산 6 3 3" xfId="8954"/>
    <cellStyle name="계산 6 3 3 2" xfId="8955"/>
    <cellStyle name="계산 6 3 3 3" xfId="8956"/>
    <cellStyle name="계산 6 3 3 4" xfId="8957"/>
    <cellStyle name="계산 6 3 3 5" xfId="8958"/>
    <cellStyle name="계산 6 4" xfId="8959"/>
    <cellStyle name="계산 6 4 2" xfId="8960"/>
    <cellStyle name="계산 6 4 2 2" xfId="8961"/>
    <cellStyle name="계산 6 4 2 2 2" xfId="8962"/>
    <cellStyle name="계산 6 4 2 2 3" xfId="8963"/>
    <cellStyle name="계산 6 4 2 2 4" xfId="8964"/>
    <cellStyle name="계산 6 4 2 2 5" xfId="8965"/>
    <cellStyle name="계산 6 4 3" xfId="8966"/>
    <cellStyle name="계산 6 4 3 2" xfId="8967"/>
    <cellStyle name="계산 6 4 3 3" xfId="8968"/>
    <cellStyle name="계산 6 4 3 4" xfId="8969"/>
    <cellStyle name="계산 6 4 3 5" xfId="8970"/>
    <cellStyle name="계산 6 5" xfId="8971"/>
    <cellStyle name="계산 6 5 2" xfId="8972"/>
    <cellStyle name="계산 6 5 2 2" xfId="8973"/>
    <cellStyle name="계산 6 5 2 2 2" xfId="8974"/>
    <cellStyle name="계산 6 5 2 2 3" xfId="8975"/>
    <cellStyle name="계산 6 5 2 2 4" xfId="8976"/>
    <cellStyle name="계산 6 5 2 2 5" xfId="8977"/>
    <cellStyle name="계산 6 5 3" xfId="8978"/>
    <cellStyle name="계산 6 5 3 2" xfId="8979"/>
    <cellStyle name="계산 6 5 3 3" xfId="8980"/>
    <cellStyle name="계산 6 5 3 4" xfId="8981"/>
    <cellStyle name="계산 6 5 3 5" xfId="8982"/>
    <cellStyle name="계산 6 6" xfId="8983"/>
    <cellStyle name="계산 6 6 2" xfId="8984"/>
    <cellStyle name="계산 6 6 2 2" xfId="8985"/>
    <cellStyle name="계산 6 6 2 2 2" xfId="8986"/>
    <cellStyle name="계산 6 6 2 2 3" xfId="8987"/>
    <cellStyle name="계산 6 6 2 2 4" xfId="8988"/>
    <cellStyle name="계산 6 6 2 2 5" xfId="8989"/>
    <cellStyle name="계산 6 6 3" xfId="8990"/>
    <cellStyle name="계산 6 6 3 2" xfId="8991"/>
    <cellStyle name="계산 6 6 3 3" xfId="8992"/>
    <cellStyle name="계산 6 6 3 4" xfId="8993"/>
    <cellStyle name="계산 6 6 3 5" xfId="8994"/>
    <cellStyle name="계산 6 7" xfId="8995"/>
    <cellStyle name="계산 6 7 2" xfId="8996"/>
    <cellStyle name="계산 6 7 2 2" xfId="8997"/>
    <cellStyle name="계산 6 7 2 2 2" xfId="8998"/>
    <cellStyle name="계산 6 7 2 2 3" xfId="8999"/>
    <cellStyle name="계산 6 7 2 2 4" xfId="9000"/>
    <cellStyle name="계산 6 7 2 2 5" xfId="9001"/>
    <cellStyle name="계산 6 7 3" xfId="9002"/>
    <cellStyle name="계산 6 7 3 2" xfId="9003"/>
    <cellStyle name="계산 6 7 3 3" xfId="9004"/>
    <cellStyle name="계산 6 7 3 4" xfId="9005"/>
    <cellStyle name="계산 6 7 3 5" xfId="9006"/>
    <cellStyle name="계산 6 8" xfId="9007"/>
    <cellStyle name="계산 6 8 2" xfId="9008"/>
    <cellStyle name="계산 6 8 2 2" xfId="9009"/>
    <cellStyle name="계산 6 8 2 2 2" xfId="9010"/>
    <cellStyle name="계산 6 8 2 2 3" xfId="9011"/>
    <cellStyle name="계산 6 8 2 2 4" xfId="9012"/>
    <cellStyle name="계산 6 8 2 2 5" xfId="9013"/>
    <cellStyle name="계산 6 8 3" xfId="9014"/>
    <cellStyle name="계산 6 8 3 2" xfId="9015"/>
    <cellStyle name="계산 6 8 3 3" xfId="9016"/>
    <cellStyle name="계산 6 8 3 4" xfId="9017"/>
    <cellStyle name="계산 6 8 3 5" xfId="9018"/>
    <cellStyle name="계산 6 9" xfId="9019"/>
    <cellStyle name="계산 6 9 2" xfId="9020"/>
    <cellStyle name="계산 6 9 2 2" xfId="9021"/>
    <cellStyle name="계산 6 9 2 2 2" xfId="9022"/>
    <cellStyle name="계산 6 9 2 2 3" xfId="9023"/>
    <cellStyle name="계산 6 9 2 2 4" xfId="9024"/>
    <cellStyle name="계산 6 9 2 2 5" xfId="9025"/>
    <cellStyle name="계산 6 9 3" xfId="9026"/>
    <cellStyle name="계산 6 9 3 2" xfId="9027"/>
    <cellStyle name="계산 6 9 3 3" xfId="9028"/>
    <cellStyle name="계산 6 9 3 4" xfId="9029"/>
    <cellStyle name="계산 6 9 3 5" xfId="9030"/>
    <cellStyle name="고정소숫점" xfId="9031"/>
    <cellStyle name="고정소숫점 10" xfId="9032"/>
    <cellStyle name="고정소숫점 10 2" xfId="9033"/>
    <cellStyle name="고정소숫점 11" xfId="9034"/>
    <cellStyle name="고정소숫점 11 2" xfId="9035"/>
    <cellStyle name="고정소숫점 12" xfId="9036"/>
    <cellStyle name="고정소숫점 12 2" xfId="9037"/>
    <cellStyle name="고정소숫점 13" xfId="9038"/>
    <cellStyle name="고정소숫점 13 2" xfId="9039"/>
    <cellStyle name="고정소숫점 14" xfId="9040"/>
    <cellStyle name="고정소숫점 15" xfId="9041"/>
    <cellStyle name="고정소숫점 16" xfId="9042"/>
    <cellStyle name="고정소숫점 2" xfId="9043"/>
    <cellStyle name="고정소숫점 2 2" xfId="9044"/>
    <cellStyle name="고정소숫점 2 2 2" xfId="9045"/>
    <cellStyle name="고정소숫점 2 3" xfId="9046"/>
    <cellStyle name="고정소숫점 3" xfId="9047"/>
    <cellStyle name="고정소숫점 3 2" xfId="9048"/>
    <cellStyle name="고정소숫점 4" xfId="9049"/>
    <cellStyle name="고정소숫점 4 2" xfId="9050"/>
    <cellStyle name="고정소숫점 5" xfId="9051"/>
    <cellStyle name="고정소숫점 5 2" xfId="9052"/>
    <cellStyle name="고정소숫점 6" xfId="9053"/>
    <cellStyle name="고정소숫점 6 2" xfId="9054"/>
    <cellStyle name="고정소숫점 7" xfId="9055"/>
    <cellStyle name="고정소숫점 7 2" xfId="9056"/>
    <cellStyle name="고정소숫점 8" xfId="9057"/>
    <cellStyle name="고정소숫점 8 2" xfId="9058"/>
    <cellStyle name="고정소숫점 9" xfId="9059"/>
    <cellStyle name="고정소숫점 9 2" xfId="9060"/>
    <cellStyle name="고정소숫점_1부여부지 콘도미니엄 신축공사 AV설비 견적서_20100121" xfId="9061"/>
    <cellStyle name="고정출력1" xfId="9062"/>
    <cellStyle name="고정출력1 2" xfId="9063"/>
    <cellStyle name="고정출력1 2 2" xfId="9064"/>
    <cellStyle name="고정출력1 2 2 2" xfId="9065"/>
    <cellStyle name="고정출력1 2 3" xfId="9066"/>
    <cellStyle name="고정출력1 3" xfId="9067"/>
    <cellStyle name="고정출력1 3 2" xfId="9068"/>
    <cellStyle name="고정출력1 4" xfId="9069"/>
    <cellStyle name="고정출력1 4 2" xfId="9070"/>
    <cellStyle name="고정출력1 5" xfId="9071"/>
    <cellStyle name="고정출력1 6" xfId="9072"/>
    <cellStyle name="고정출력2" xfId="9073"/>
    <cellStyle name="고정출력2 2" xfId="9074"/>
    <cellStyle name="고정출력2 2 2" xfId="9075"/>
    <cellStyle name="고정출력2 2 2 2" xfId="9076"/>
    <cellStyle name="고정출력2 2 3" xfId="9077"/>
    <cellStyle name="고정출력2 3" xfId="9078"/>
    <cellStyle name="고정출력2 3 2" xfId="9079"/>
    <cellStyle name="고정출력2 4" xfId="9080"/>
    <cellStyle name="고정출력2 4 2" xfId="9081"/>
    <cellStyle name="고정출력2 5" xfId="9082"/>
    <cellStyle name="고정출력2 6" xfId="9083"/>
    <cellStyle name="공사원가계산서(조경)" xfId="9084"/>
    <cellStyle name="공사원가계산서(조경) 2" xfId="9085"/>
    <cellStyle name="咬訌裝?INCOM1" xfId="9086"/>
    <cellStyle name="咬訌裝?INCOM1 10" xfId="9087"/>
    <cellStyle name="咬訌裝?INCOM1 10 2" xfId="9088"/>
    <cellStyle name="咬訌裝?INCOM1 11" xfId="9089"/>
    <cellStyle name="咬訌裝?INCOM1 11 2" xfId="9090"/>
    <cellStyle name="咬訌裝?INCOM1 12" xfId="9091"/>
    <cellStyle name="咬訌裝?INCOM1 12 2" xfId="9092"/>
    <cellStyle name="咬訌裝?INCOM1 13" xfId="9093"/>
    <cellStyle name="咬訌裝?INCOM1 13 2" xfId="9094"/>
    <cellStyle name="咬訌裝?INCOM1 14" xfId="9095"/>
    <cellStyle name="咬訌裝?INCOM1 2" xfId="9096"/>
    <cellStyle name="咬訌裝?INCOM1 2 2" xfId="9097"/>
    <cellStyle name="咬訌裝?INCOM1 2 2 2" xfId="9098"/>
    <cellStyle name="咬訌裝?INCOM1 2 3" xfId="9099"/>
    <cellStyle name="咬訌裝?INCOM1 3" xfId="9100"/>
    <cellStyle name="咬訌裝?INCOM1 3 2" xfId="9101"/>
    <cellStyle name="咬訌裝?INCOM1 4" xfId="9102"/>
    <cellStyle name="咬訌裝?INCOM1 4 2" xfId="9103"/>
    <cellStyle name="咬訌裝?INCOM1 5" xfId="9104"/>
    <cellStyle name="咬訌裝?INCOM1 5 2" xfId="9105"/>
    <cellStyle name="咬訌裝?INCOM1 6" xfId="9106"/>
    <cellStyle name="咬訌裝?INCOM1 6 2" xfId="9107"/>
    <cellStyle name="咬訌裝?INCOM1 7" xfId="9108"/>
    <cellStyle name="咬訌裝?INCOM1 7 2" xfId="9109"/>
    <cellStyle name="咬訌裝?INCOM1 8" xfId="9110"/>
    <cellStyle name="咬訌裝?INCOM1 8 2" xfId="9111"/>
    <cellStyle name="咬訌裝?INCOM1 9" xfId="9112"/>
    <cellStyle name="咬訌裝?INCOM1 9 2" xfId="9113"/>
    <cellStyle name="咬訌裝?INCOM10" xfId="9114"/>
    <cellStyle name="咬訌裝?INCOM10 10" xfId="9115"/>
    <cellStyle name="咬訌裝?INCOM10 10 2" xfId="9116"/>
    <cellStyle name="咬訌裝?INCOM10 11" xfId="9117"/>
    <cellStyle name="咬訌裝?INCOM10 11 2" xfId="9118"/>
    <cellStyle name="咬訌裝?INCOM10 12" xfId="9119"/>
    <cellStyle name="咬訌裝?INCOM10 12 2" xfId="9120"/>
    <cellStyle name="咬訌裝?INCOM10 13" xfId="9121"/>
    <cellStyle name="咬訌裝?INCOM10 13 2" xfId="9122"/>
    <cellStyle name="咬訌裝?INCOM10 14" xfId="9123"/>
    <cellStyle name="咬訌裝?INCOM10 2" xfId="9124"/>
    <cellStyle name="咬訌裝?INCOM10 2 2" xfId="9125"/>
    <cellStyle name="咬訌裝?INCOM10 2 2 2" xfId="9126"/>
    <cellStyle name="咬訌裝?INCOM10 2 3" xfId="9127"/>
    <cellStyle name="咬訌裝?INCOM10 3" xfId="9128"/>
    <cellStyle name="咬訌裝?INCOM10 3 2" xfId="9129"/>
    <cellStyle name="咬訌裝?INCOM10 4" xfId="9130"/>
    <cellStyle name="咬訌裝?INCOM10 4 2" xfId="9131"/>
    <cellStyle name="咬訌裝?INCOM10 5" xfId="9132"/>
    <cellStyle name="咬訌裝?INCOM10 5 2" xfId="9133"/>
    <cellStyle name="咬訌裝?INCOM10 6" xfId="9134"/>
    <cellStyle name="咬訌裝?INCOM10 6 2" xfId="9135"/>
    <cellStyle name="咬訌裝?INCOM10 7" xfId="9136"/>
    <cellStyle name="咬訌裝?INCOM10 7 2" xfId="9137"/>
    <cellStyle name="咬訌裝?INCOM10 8" xfId="9138"/>
    <cellStyle name="咬訌裝?INCOM10 8 2" xfId="9139"/>
    <cellStyle name="咬訌裝?INCOM10 9" xfId="9140"/>
    <cellStyle name="咬訌裝?INCOM10 9 2" xfId="9141"/>
    <cellStyle name="咬訌裝?INCOM2" xfId="9142"/>
    <cellStyle name="咬訌裝?INCOM2 10" xfId="9143"/>
    <cellStyle name="咬訌裝?INCOM2 10 2" xfId="9144"/>
    <cellStyle name="咬訌裝?INCOM2 11" xfId="9145"/>
    <cellStyle name="咬訌裝?INCOM2 11 2" xfId="9146"/>
    <cellStyle name="咬訌裝?INCOM2 12" xfId="9147"/>
    <cellStyle name="咬訌裝?INCOM2 12 2" xfId="9148"/>
    <cellStyle name="咬訌裝?INCOM2 13" xfId="9149"/>
    <cellStyle name="咬訌裝?INCOM2 13 2" xfId="9150"/>
    <cellStyle name="咬訌裝?INCOM2 14" xfId="9151"/>
    <cellStyle name="咬訌裝?INCOM2 2" xfId="9152"/>
    <cellStyle name="咬訌裝?INCOM2 2 2" xfId="9153"/>
    <cellStyle name="咬訌裝?INCOM2 2 2 2" xfId="9154"/>
    <cellStyle name="咬訌裝?INCOM2 2 3" xfId="9155"/>
    <cellStyle name="咬訌裝?INCOM2 3" xfId="9156"/>
    <cellStyle name="咬訌裝?INCOM2 3 2" xfId="9157"/>
    <cellStyle name="咬訌裝?INCOM2 4" xfId="9158"/>
    <cellStyle name="咬訌裝?INCOM2 4 2" xfId="9159"/>
    <cellStyle name="咬訌裝?INCOM2 5" xfId="9160"/>
    <cellStyle name="咬訌裝?INCOM2 5 2" xfId="9161"/>
    <cellStyle name="咬訌裝?INCOM2 6" xfId="9162"/>
    <cellStyle name="咬訌裝?INCOM2 6 2" xfId="9163"/>
    <cellStyle name="咬訌裝?INCOM2 7" xfId="9164"/>
    <cellStyle name="咬訌裝?INCOM2 7 2" xfId="9165"/>
    <cellStyle name="咬訌裝?INCOM2 8" xfId="9166"/>
    <cellStyle name="咬訌裝?INCOM2 8 2" xfId="9167"/>
    <cellStyle name="咬訌裝?INCOM2 9" xfId="9168"/>
    <cellStyle name="咬訌裝?INCOM2 9 2" xfId="9169"/>
    <cellStyle name="咬訌裝?INCOM3" xfId="9170"/>
    <cellStyle name="咬訌裝?INCOM3 10" xfId="9171"/>
    <cellStyle name="咬訌裝?INCOM3 10 2" xfId="9172"/>
    <cellStyle name="咬訌裝?INCOM3 11" xfId="9173"/>
    <cellStyle name="咬訌裝?INCOM3 11 2" xfId="9174"/>
    <cellStyle name="咬訌裝?INCOM3 12" xfId="9175"/>
    <cellStyle name="咬訌裝?INCOM3 12 2" xfId="9176"/>
    <cellStyle name="咬訌裝?INCOM3 13" xfId="9177"/>
    <cellStyle name="咬訌裝?INCOM3 13 2" xfId="9178"/>
    <cellStyle name="咬訌裝?INCOM3 14" xfId="9179"/>
    <cellStyle name="咬訌裝?INCOM3 2" xfId="9180"/>
    <cellStyle name="咬訌裝?INCOM3 2 2" xfId="9181"/>
    <cellStyle name="咬訌裝?INCOM3 2 2 2" xfId="9182"/>
    <cellStyle name="咬訌裝?INCOM3 2 3" xfId="9183"/>
    <cellStyle name="咬訌裝?INCOM3 3" xfId="9184"/>
    <cellStyle name="咬訌裝?INCOM3 3 2" xfId="9185"/>
    <cellStyle name="咬訌裝?INCOM3 4" xfId="9186"/>
    <cellStyle name="咬訌裝?INCOM3 4 2" xfId="9187"/>
    <cellStyle name="咬訌裝?INCOM3 5" xfId="9188"/>
    <cellStyle name="咬訌裝?INCOM3 5 2" xfId="9189"/>
    <cellStyle name="咬訌裝?INCOM3 6" xfId="9190"/>
    <cellStyle name="咬訌裝?INCOM3 6 2" xfId="9191"/>
    <cellStyle name="咬訌裝?INCOM3 7" xfId="9192"/>
    <cellStyle name="咬訌裝?INCOM3 7 2" xfId="9193"/>
    <cellStyle name="咬訌裝?INCOM3 8" xfId="9194"/>
    <cellStyle name="咬訌裝?INCOM3 8 2" xfId="9195"/>
    <cellStyle name="咬訌裝?INCOM3 9" xfId="9196"/>
    <cellStyle name="咬訌裝?INCOM3 9 2" xfId="9197"/>
    <cellStyle name="咬訌裝?INCOM4" xfId="9198"/>
    <cellStyle name="咬訌裝?INCOM4 10" xfId="9199"/>
    <cellStyle name="咬訌裝?INCOM4 10 2" xfId="9200"/>
    <cellStyle name="咬訌裝?INCOM4 11" xfId="9201"/>
    <cellStyle name="咬訌裝?INCOM4 11 2" xfId="9202"/>
    <cellStyle name="咬訌裝?INCOM4 12" xfId="9203"/>
    <cellStyle name="咬訌裝?INCOM4 12 2" xfId="9204"/>
    <cellStyle name="咬訌裝?INCOM4 13" xfId="9205"/>
    <cellStyle name="咬訌裝?INCOM4 13 2" xfId="9206"/>
    <cellStyle name="咬訌裝?INCOM4 14" xfId="9207"/>
    <cellStyle name="咬訌裝?INCOM4 2" xfId="9208"/>
    <cellStyle name="咬訌裝?INCOM4 2 2" xfId="9209"/>
    <cellStyle name="咬訌裝?INCOM4 2 2 2" xfId="9210"/>
    <cellStyle name="咬訌裝?INCOM4 2 3" xfId="9211"/>
    <cellStyle name="咬訌裝?INCOM4 3" xfId="9212"/>
    <cellStyle name="咬訌裝?INCOM4 3 2" xfId="9213"/>
    <cellStyle name="咬訌裝?INCOM4 4" xfId="9214"/>
    <cellStyle name="咬訌裝?INCOM4 4 2" xfId="9215"/>
    <cellStyle name="咬訌裝?INCOM4 5" xfId="9216"/>
    <cellStyle name="咬訌裝?INCOM4 5 2" xfId="9217"/>
    <cellStyle name="咬訌裝?INCOM4 6" xfId="9218"/>
    <cellStyle name="咬訌裝?INCOM4 6 2" xfId="9219"/>
    <cellStyle name="咬訌裝?INCOM4 7" xfId="9220"/>
    <cellStyle name="咬訌裝?INCOM4 7 2" xfId="9221"/>
    <cellStyle name="咬訌裝?INCOM4 8" xfId="9222"/>
    <cellStyle name="咬訌裝?INCOM4 8 2" xfId="9223"/>
    <cellStyle name="咬訌裝?INCOM4 9" xfId="9224"/>
    <cellStyle name="咬訌裝?INCOM4 9 2" xfId="9225"/>
    <cellStyle name="咬訌裝?INCOM5" xfId="9226"/>
    <cellStyle name="咬訌裝?INCOM5 10" xfId="9227"/>
    <cellStyle name="咬訌裝?INCOM5 10 2" xfId="9228"/>
    <cellStyle name="咬訌裝?INCOM5 11" xfId="9229"/>
    <cellStyle name="咬訌裝?INCOM5 11 2" xfId="9230"/>
    <cellStyle name="咬訌裝?INCOM5 12" xfId="9231"/>
    <cellStyle name="咬訌裝?INCOM5 12 2" xfId="9232"/>
    <cellStyle name="咬訌裝?INCOM5 13" xfId="9233"/>
    <cellStyle name="咬訌裝?INCOM5 13 2" xfId="9234"/>
    <cellStyle name="咬訌裝?INCOM5 14" xfId="9235"/>
    <cellStyle name="咬訌裝?INCOM5 2" xfId="9236"/>
    <cellStyle name="咬訌裝?INCOM5 2 2" xfId="9237"/>
    <cellStyle name="咬訌裝?INCOM5 2 2 2" xfId="9238"/>
    <cellStyle name="咬訌裝?INCOM5 2 3" xfId="9239"/>
    <cellStyle name="咬訌裝?INCOM5 3" xfId="9240"/>
    <cellStyle name="咬訌裝?INCOM5 3 2" xfId="9241"/>
    <cellStyle name="咬訌裝?INCOM5 4" xfId="9242"/>
    <cellStyle name="咬訌裝?INCOM5 4 2" xfId="9243"/>
    <cellStyle name="咬訌裝?INCOM5 5" xfId="9244"/>
    <cellStyle name="咬訌裝?INCOM5 5 2" xfId="9245"/>
    <cellStyle name="咬訌裝?INCOM5 6" xfId="9246"/>
    <cellStyle name="咬訌裝?INCOM5 6 2" xfId="9247"/>
    <cellStyle name="咬訌裝?INCOM5 7" xfId="9248"/>
    <cellStyle name="咬訌裝?INCOM5 7 2" xfId="9249"/>
    <cellStyle name="咬訌裝?INCOM5 8" xfId="9250"/>
    <cellStyle name="咬訌裝?INCOM5 8 2" xfId="9251"/>
    <cellStyle name="咬訌裝?INCOM5 9" xfId="9252"/>
    <cellStyle name="咬訌裝?INCOM5 9 2" xfId="9253"/>
    <cellStyle name="咬訌裝?INCOM6" xfId="9254"/>
    <cellStyle name="咬訌裝?INCOM6 10" xfId="9255"/>
    <cellStyle name="咬訌裝?INCOM6 10 2" xfId="9256"/>
    <cellStyle name="咬訌裝?INCOM6 11" xfId="9257"/>
    <cellStyle name="咬訌裝?INCOM6 11 2" xfId="9258"/>
    <cellStyle name="咬訌裝?INCOM6 12" xfId="9259"/>
    <cellStyle name="咬訌裝?INCOM6 12 2" xfId="9260"/>
    <cellStyle name="咬訌裝?INCOM6 13" xfId="9261"/>
    <cellStyle name="咬訌裝?INCOM6 13 2" xfId="9262"/>
    <cellStyle name="咬訌裝?INCOM6 14" xfId="9263"/>
    <cellStyle name="咬訌裝?INCOM6 2" xfId="9264"/>
    <cellStyle name="咬訌裝?INCOM6 2 2" xfId="9265"/>
    <cellStyle name="咬訌裝?INCOM6 2 2 2" xfId="9266"/>
    <cellStyle name="咬訌裝?INCOM6 2 3" xfId="9267"/>
    <cellStyle name="咬訌裝?INCOM6 3" xfId="9268"/>
    <cellStyle name="咬訌裝?INCOM6 3 2" xfId="9269"/>
    <cellStyle name="咬訌裝?INCOM6 4" xfId="9270"/>
    <cellStyle name="咬訌裝?INCOM6 4 2" xfId="9271"/>
    <cellStyle name="咬訌裝?INCOM6 5" xfId="9272"/>
    <cellStyle name="咬訌裝?INCOM6 5 2" xfId="9273"/>
    <cellStyle name="咬訌裝?INCOM6 6" xfId="9274"/>
    <cellStyle name="咬訌裝?INCOM6 6 2" xfId="9275"/>
    <cellStyle name="咬訌裝?INCOM6 7" xfId="9276"/>
    <cellStyle name="咬訌裝?INCOM6 7 2" xfId="9277"/>
    <cellStyle name="咬訌裝?INCOM6 8" xfId="9278"/>
    <cellStyle name="咬訌裝?INCOM6 8 2" xfId="9279"/>
    <cellStyle name="咬訌裝?INCOM6 9" xfId="9280"/>
    <cellStyle name="咬訌裝?INCOM6 9 2" xfId="9281"/>
    <cellStyle name="咬訌裝?INCOM7" xfId="9282"/>
    <cellStyle name="咬訌裝?INCOM7 10" xfId="9283"/>
    <cellStyle name="咬訌裝?INCOM7 10 2" xfId="9284"/>
    <cellStyle name="咬訌裝?INCOM7 11" xfId="9285"/>
    <cellStyle name="咬訌裝?INCOM7 11 2" xfId="9286"/>
    <cellStyle name="咬訌裝?INCOM7 12" xfId="9287"/>
    <cellStyle name="咬訌裝?INCOM7 12 2" xfId="9288"/>
    <cellStyle name="咬訌裝?INCOM7 13" xfId="9289"/>
    <cellStyle name="咬訌裝?INCOM7 13 2" xfId="9290"/>
    <cellStyle name="咬訌裝?INCOM7 14" xfId="9291"/>
    <cellStyle name="咬訌裝?INCOM7 2" xfId="9292"/>
    <cellStyle name="咬訌裝?INCOM7 2 2" xfId="9293"/>
    <cellStyle name="咬訌裝?INCOM7 2 2 2" xfId="9294"/>
    <cellStyle name="咬訌裝?INCOM7 2 3" xfId="9295"/>
    <cellStyle name="咬訌裝?INCOM7 3" xfId="9296"/>
    <cellStyle name="咬訌裝?INCOM7 3 2" xfId="9297"/>
    <cellStyle name="咬訌裝?INCOM7 4" xfId="9298"/>
    <cellStyle name="咬訌裝?INCOM7 4 2" xfId="9299"/>
    <cellStyle name="咬訌裝?INCOM7 5" xfId="9300"/>
    <cellStyle name="咬訌裝?INCOM7 5 2" xfId="9301"/>
    <cellStyle name="咬訌裝?INCOM7 6" xfId="9302"/>
    <cellStyle name="咬訌裝?INCOM7 6 2" xfId="9303"/>
    <cellStyle name="咬訌裝?INCOM7 7" xfId="9304"/>
    <cellStyle name="咬訌裝?INCOM7 7 2" xfId="9305"/>
    <cellStyle name="咬訌裝?INCOM7 8" xfId="9306"/>
    <cellStyle name="咬訌裝?INCOM7 8 2" xfId="9307"/>
    <cellStyle name="咬訌裝?INCOM7 9" xfId="9308"/>
    <cellStyle name="咬訌裝?INCOM7 9 2" xfId="9309"/>
    <cellStyle name="咬訌裝?INCOM8" xfId="9310"/>
    <cellStyle name="咬訌裝?INCOM8 10" xfId="9311"/>
    <cellStyle name="咬訌裝?INCOM8 10 2" xfId="9312"/>
    <cellStyle name="咬訌裝?INCOM8 11" xfId="9313"/>
    <cellStyle name="咬訌裝?INCOM8 11 2" xfId="9314"/>
    <cellStyle name="咬訌裝?INCOM8 12" xfId="9315"/>
    <cellStyle name="咬訌裝?INCOM8 12 2" xfId="9316"/>
    <cellStyle name="咬訌裝?INCOM8 13" xfId="9317"/>
    <cellStyle name="咬訌裝?INCOM8 13 2" xfId="9318"/>
    <cellStyle name="咬訌裝?INCOM8 14" xfId="9319"/>
    <cellStyle name="咬訌裝?INCOM8 2" xfId="9320"/>
    <cellStyle name="咬訌裝?INCOM8 2 2" xfId="9321"/>
    <cellStyle name="咬訌裝?INCOM8 2 2 2" xfId="9322"/>
    <cellStyle name="咬訌裝?INCOM8 2 3" xfId="9323"/>
    <cellStyle name="咬訌裝?INCOM8 3" xfId="9324"/>
    <cellStyle name="咬訌裝?INCOM8 3 2" xfId="9325"/>
    <cellStyle name="咬訌裝?INCOM8 4" xfId="9326"/>
    <cellStyle name="咬訌裝?INCOM8 4 2" xfId="9327"/>
    <cellStyle name="咬訌裝?INCOM8 5" xfId="9328"/>
    <cellStyle name="咬訌裝?INCOM8 5 2" xfId="9329"/>
    <cellStyle name="咬訌裝?INCOM8 6" xfId="9330"/>
    <cellStyle name="咬訌裝?INCOM8 6 2" xfId="9331"/>
    <cellStyle name="咬訌裝?INCOM8 7" xfId="9332"/>
    <cellStyle name="咬訌裝?INCOM8 7 2" xfId="9333"/>
    <cellStyle name="咬訌裝?INCOM8 8" xfId="9334"/>
    <cellStyle name="咬訌裝?INCOM8 8 2" xfId="9335"/>
    <cellStyle name="咬訌裝?INCOM8 9" xfId="9336"/>
    <cellStyle name="咬訌裝?INCOM8 9 2" xfId="9337"/>
    <cellStyle name="咬訌裝?INCOM9" xfId="9338"/>
    <cellStyle name="咬訌裝?INCOM9 10" xfId="9339"/>
    <cellStyle name="咬訌裝?INCOM9 10 2" xfId="9340"/>
    <cellStyle name="咬訌裝?INCOM9 11" xfId="9341"/>
    <cellStyle name="咬訌裝?INCOM9 11 2" xfId="9342"/>
    <cellStyle name="咬訌裝?INCOM9 12" xfId="9343"/>
    <cellStyle name="咬訌裝?INCOM9 12 2" xfId="9344"/>
    <cellStyle name="咬訌裝?INCOM9 13" xfId="9345"/>
    <cellStyle name="咬訌裝?INCOM9 13 2" xfId="9346"/>
    <cellStyle name="咬訌裝?INCOM9 14" xfId="9347"/>
    <cellStyle name="咬訌裝?INCOM9 2" xfId="9348"/>
    <cellStyle name="咬訌裝?INCOM9 2 2" xfId="9349"/>
    <cellStyle name="咬訌裝?INCOM9 2 2 2" xfId="9350"/>
    <cellStyle name="咬訌裝?INCOM9 2 3" xfId="9351"/>
    <cellStyle name="咬訌裝?INCOM9 3" xfId="9352"/>
    <cellStyle name="咬訌裝?INCOM9 3 2" xfId="9353"/>
    <cellStyle name="咬訌裝?INCOM9 4" xfId="9354"/>
    <cellStyle name="咬訌裝?INCOM9 4 2" xfId="9355"/>
    <cellStyle name="咬訌裝?INCOM9 5" xfId="9356"/>
    <cellStyle name="咬訌裝?INCOM9 5 2" xfId="9357"/>
    <cellStyle name="咬訌裝?INCOM9 6" xfId="9358"/>
    <cellStyle name="咬訌裝?INCOM9 6 2" xfId="9359"/>
    <cellStyle name="咬訌裝?INCOM9 7" xfId="9360"/>
    <cellStyle name="咬訌裝?INCOM9 7 2" xfId="9361"/>
    <cellStyle name="咬訌裝?INCOM9 8" xfId="9362"/>
    <cellStyle name="咬訌裝?INCOM9 8 2" xfId="9363"/>
    <cellStyle name="咬訌裝?INCOM9 9" xfId="9364"/>
    <cellStyle name="咬訌裝?INCOM9 9 2" xfId="9365"/>
    <cellStyle name="咬訌裝?PRIB11" xfId="9366"/>
    <cellStyle name="咬訌裝?PRIB11 10" xfId="9367"/>
    <cellStyle name="咬訌裝?PRIB11 10 2" xfId="9368"/>
    <cellStyle name="咬訌裝?PRIB11 11" xfId="9369"/>
    <cellStyle name="咬訌裝?PRIB11 11 2" xfId="9370"/>
    <cellStyle name="咬訌裝?PRIB11 12" xfId="9371"/>
    <cellStyle name="咬訌裝?PRIB11 12 2" xfId="9372"/>
    <cellStyle name="咬訌裝?PRIB11 13" xfId="9373"/>
    <cellStyle name="咬訌裝?PRIB11 13 2" xfId="9374"/>
    <cellStyle name="咬訌裝?PRIB11 14" xfId="9375"/>
    <cellStyle name="咬訌裝?PRIB11 2" xfId="9376"/>
    <cellStyle name="咬訌裝?PRIB11 2 2" xfId="9377"/>
    <cellStyle name="咬訌裝?PRIB11 2 2 2" xfId="9378"/>
    <cellStyle name="咬訌裝?PRIB11 2 3" xfId="9379"/>
    <cellStyle name="咬訌裝?PRIB11 3" xfId="9380"/>
    <cellStyle name="咬訌裝?PRIB11 3 2" xfId="9381"/>
    <cellStyle name="咬訌裝?PRIB11 4" xfId="9382"/>
    <cellStyle name="咬訌裝?PRIB11 4 2" xfId="9383"/>
    <cellStyle name="咬訌裝?PRIB11 5" xfId="9384"/>
    <cellStyle name="咬訌裝?PRIB11 5 2" xfId="9385"/>
    <cellStyle name="咬訌裝?PRIB11 6" xfId="9386"/>
    <cellStyle name="咬訌裝?PRIB11 6 2" xfId="9387"/>
    <cellStyle name="咬訌裝?PRIB11 7" xfId="9388"/>
    <cellStyle name="咬訌裝?PRIB11 7 2" xfId="9389"/>
    <cellStyle name="咬訌裝?PRIB11 8" xfId="9390"/>
    <cellStyle name="咬訌裝?PRIB11 8 2" xfId="9391"/>
    <cellStyle name="咬訌裝?PRIB11 9" xfId="9392"/>
    <cellStyle name="咬訌裝?PRIB11 9 2" xfId="9393"/>
    <cellStyle name="금액" xfId="9394"/>
    <cellStyle name="금액 2" xfId="9395"/>
    <cellStyle name="기계" xfId="9396"/>
    <cellStyle name="기계 2" xfId="9397"/>
    <cellStyle name="김해전기" xfId="9398"/>
    <cellStyle name="김해전기 2" xfId="9399"/>
    <cellStyle name="김호(E4전환)" xfId="9400"/>
    <cellStyle name="김호(E4전환) 2" xfId="9401"/>
    <cellStyle name="김호(E4전환) 2 2" xfId="9402"/>
    <cellStyle name="김호(E4전환) 2 2 2" xfId="9403"/>
    <cellStyle name="김호(E4전환) 2 2 3" xfId="9404"/>
    <cellStyle name="김호(E4전환) 2 2 4" xfId="9405"/>
    <cellStyle name="김호(E4전환) 2 2 5" xfId="9406"/>
    <cellStyle name="김호(E4전환) 3" xfId="9407"/>
    <cellStyle name="김호(E4전환) 3 2" xfId="9408"/>
    <cellStyle name="김호(E4전환) 3 3" xfId="9409"/>
    <cellStyle name="김호(E4전환) 3 4" xfId="9410"/>
    <cellStyle name="김호(E4전환) 3 5" xfId="9411"/>
    <cellStyle name="끼_x0001_?" xfId="9412"/>
    <cellStyle name="끼_x0001_? 2" xfId="9413"/>
    <cellStyle name="나쁨 2" xfId="9414"/>
    <cellStyle name="나쁨 2 10" xfId="9415"/>
    <cellStyle name="나쁨 2 2" xfId="9416"/>
    <cellStyle name="나쁨 2 2 2" xfId="9417"/>
    <cellStyle name="나쁨 2 3" xfId="9418"/>
    <cellStyle name="나쁨 2 3 2" xfId="9419"/>
    <cellStyle name="나쁨 2 4" xfId="9420"/>
    <cellStyle name="나쁨 2 4 2" xfId="9421"/>
    <cellStyle name="나쁨 2 5" xfId="9422"/>
    <cellStyle name="나쁨 2 5 2" xfId="9423"/>
    <cellStyle name="나쁨 2 6" xfId="9424"/>
    <cellStyle name="나쁨 2 6 2" xfId="9425"/>
    <cellStyle name="나쁨 2 7" xfId="9426"/>
    <cellStyle name="나쁨 2 7 2" xfId="9427"/>
    <cellStyle name="나쁨 2 8" xfId="9428"/>
    <cellStyle name="나쁨 2 8 2" xfId="9429"/>
    <cellStyle name="나쁨 2 9" xfId="9430"/>
    <cellStyle name="나쁨 2 9 2" xfId="9431"/>
    <cellStyle name="나쁨 3" xfId="9432"/>
    <cellStyle name="나쁨 3 10" xfId="9433"/>
    <cellStyle name="나쁨 3 2" xfId="9434"/>
    <cellStyle name="나쁨 3 2 2" xfId="9435"/>
    <cellStyle name="나쁨 3 3" xfId="9436"/>
    <cellStyle name="나쁨 3 3 2" xfId="9437"/>
    <cellStyle name="나쁨 3 4" xfId="9438"/>
    <cellStyle name="나쁨 3 4 2" xfId="9439"/>
    <cellStyle name="나쁨 3 5" xfId="9440"/>
    <cellStyle name="나쁨 3 5 2" xfId="9441"/>
    <cellStyle name="나쁨 3 6" xfId="9442"/>
    <cellStyle name="나쁨 3 6 2" xfId="9443"/>
    <cellStyle name="나쁨 3 7" xfId="9444"/>
    <cellStyle name="나쁨 3 7 2" xfId="9445"/>
    <cellStyle name="나쁨 3 8" xfId="9446"/>
    <cellStyle name="나쁨 3 8 2" xfId="9447"/>
    <cellStyle name="나쁨 3 9" xfId="9448"/>
    <cellStyle name="나쁨 3 9 2" xfId="9449"/>
    <cellStyle name="나쁨 4" xfId="9450"/>
    <cellStyle name="나쁨 4 10" xfId="9451"/>
    <cellStyle name="나쁨 4 2" xfId="9452"/>
    <cellStyle name="나쁨 4 2 2" xfId="9453"/>
    <cellStyle name="나쁨 4 3" xfId="9454"/>
    <cellStyle name="나쁨 4 3 2" xfId="9455"/>
    <cellStyle name="나쁨 4 4" xfId="9456"/>
    <cellStyle name="나쁨 4 4 2" xfId="9457"/>
    <cellStyle name="나쁨 4 5" xfId="9458"/>
    <cellStyle name="나쁨 4 5 2" xfId="9459"/>
    <cellStyle name="나쁨 4 6" xfId="9460"/>
    <cellStyle name="나쁨 4 6 2" xfId="9461"/>
    <cellStyle name="나쁨 4 7" xfId="9462"/>
    <cellStyle name="나쁨 4 7 2" xfId="9463"/>
    <cellStyle name="나쁨 4 8" xfId="9464"/>
    <cellStyle name="나쁨 4 8 2" xfId="9465"/>
    <cellStyle name="나쁨 4 9" xfId="9466"/>
    <cellStyle name="나쁨 4 9 2" xfId="9467"/>
    <cellStyle name="나쁨 5" xfId="9468"/>
    <cellStyle name="나쁨 5 10" xfId="9469"/>
    <cellStyle name="나쁨 5 2" xfId="9470"/>
    <cellStyle name="나쁨 5 2 2" xfId="9471"/>
    <cellStyle name="나쁨 5 3" xfId="9472"/>
    <cellStyle name="나쁨 5 3 2" xfId="9473"/>
    <cellStyle name="나쁨 5 4" xfId="9474"/>
    <cellStyle name="나쁨 5 4 2" xfId="9475"/>
    <cellStyle name="나쁨 5 5" xfId="9476"/>
    <cellStyle name="나쁨 5 5 2" xfId="9477"/>
    <cellStyle name="나쁨 5 6" xfId="9478"/>
    <cellStyle name="나쁨 5 6 2" xfId="9479"/>
    <cellStyle name="나쁨 5 7" xfId="9480"/>
    <cellStyle name="나쁨 5 7 2" xfId="9481"/>
    <cellStyle name="나쁨 5 8" xfId="9482"/>
    <cellStyle name="나쁨 5 8 2" xfId="9483"/>
    <cellStyle name="나쁨 5 9" xfId="9484"/>
    <cellStyle name="나쁨 5 9 2" xfId="9485"/>
    <cellStyle name="나쁨 6" xfId="9486"/>
    <cellStyle name="나쁨 6 10" xfId="9487"/>
    <cellStyle name="나쁨 6 2" xfId="9488"/>
    <cellStyle name="나쁨 6 2 2" xfId="9489"/>
    <cellStyle name="나쁨 6 3" xfId="9490"/>
    <cellStyle name="나쁨 6 3 2" xfId="9491"/>
    <cellStyle name="나쁨 6 4" xfId="9492"/>
    <cellStyle name="나쁨 6 4 2" xfId="9493"/>
    <cellStyle name="나쁨 6 5" xfId="9494"/>
    <cellStyle name="나쁨 6 5 2" xfId="9495"/>
    <cellStyle name="나쁨 6 6" xfId="9496"/>
    <cellStyle name="나쁨 6 6 2" xfId="9497"/>
    <cellStyle name="나쁨 6 7" xfId="9498"/>
    <cellStyle name="나쁨 6 7 2" xfId="9499"/>
    <cellStyle name="나쁨 6 8" xfId="9500"/>
    <cellStyle name="나쁨 6 8 2" xfId="9501"/>
    <cellStyle name="나쁨 6 9" xfId="9502"/>
    <cellStyle name="나쁨 6 9 2" xfId="9503"/>
    <cellStyle name="날짜" xfId="9504"/>
    <cellStyle name="날짜 2" xfId="9505"/>
    <cellStyle name="날짜 2 2" xfId="9506"/>
    <cellStyle name="날짜 2 2 2" xfId="9507"/>
    <cellStyle name="날짜 2 3" xfId="9508"/>
    <cellStyle name="날짜 3" xfId="9509"/>
    <cellStyle name="날짜 3 2" xfId="9510"/>
    <cellStyle name="날짜 4" xfId="9511"/>
    <cellStyle name="날짜 4 2" xfId="9512"/>
    <cellStyle name="날짜 5" xfId="9513"/>
    <cellStyle name="날짜 6" xfId="9514"/>
    <cellStyle name="내역" xfId="9515"/>
    <cellStyle name="내역 2" xfId="9516"/>
    <cellStyle name="내역서" xfId="9517"/>
    <cellStyle name="내역서 2" xfId="9518"/>
    <cellStyle name="단위" xfId="9519"/>
    <cellStyle name="단위 2" xfId="9520"/>
    <cellStyle name="단위(원)" xfId="9521"/>
    <cellStyle name="단위(원) 2" xfId="9522"/>
    <cellStyle name="달러" xfId="9523"/>
    <cellStyle name="달러 2" xfId="9524"/>
    <cellStyle name="달러 2 2" xfId="9525"/>
    <cellStyle name="달러 2 2 2" xfId="9526"/>
    <cellStyle name="달러 2 3" xfId="9527"/>
    <cellStyle name="달러 3" xfId="9528"/>
    <cellStyle name="달러 3 2" xfId="9529"/>
    <cellStyle name="달러 4" xfId="9530"/>
    <cellStyle name="달러 4 2" xfId="9531"/>
    <cellStyle name="달러 5" xfId="9532"/>
    <cellStyle name="달러 6" xfId="9533"/>
    <cellStyle name="뒤에 오는 하이퍼링크" xfId="9534"/>
    <cellStyle name="뒤에 오는 하이퍼링크 10" xfId="9535"/>
    <cellStyle name="뒤에 오는 하이퍼링크 10 2" xfId="9536"/>
    <cellStyle name="뒤에 오는 하이퍼링크 11" xfId="9537"/>
    <cellStyle name="뒤에 오는 하이퍼링크 11 2" xfId="9538"/>
    <cellStyle name="뒤에 오는 하이퍼링크 12" xfId="9539"/>
    <cellStyle name="뒤에 오는 하이퍼링크 12 2" xfId="9540"/>
    <cellStyle name="뒤에 오는 하이퍼링크 13" xfId="9541"/>
    <cellStyle name="뒤에 오는 하이퍼링크 13 2" xfId="9542"/>
    <cellStyle name="뒤에 오는 하이퍼링크 14" xfId="9543"/>
    <cellStyle name="뒤에 오는 하이퍼링크 2" xfId="9544"/>
    <cellStyle name="뒤에 오는 하이퍼링크 2 2" xfId="9545"/>
    <cellStyle name="뒤에 오는 하이퍼링크 2 2 2" xfId="9546"/>
    <cellStyle name="뒤에 오는 하이퍼링크 2 3" xfId="9547"/>
    <cellStyle name="뒤에 오는 하이퍼링크 3" xfId="9548"/>
    <cellStyle name="뒤에 오는 하이퍼링크 3 2" xfId="9549"/>
    <cellStyle name="뒤에 오는 하이퍼링크 4" xfId="9550"/>
    <cellStyle name="뒤에 오는 하이퍼링크 4 2" xfId="9551"/>
    <cellStyle name="뒤에 오는 하이퍼링크 5" xfId="9552"/>
    <cellStyle name="뒤에 오는 하이퍼링크 5 2" xfId="9553"/>
    <cellStyle name="뒤에 오는 하이퍼링크 6" xfId="9554"/>
    <cellStyle name="뒤에 오는 하이퍼링크 6 2" xfId="9555"/>
    <cellStyle name="뒤에 오는 하이퍼링크 7" xfId="9556"/>
    <cellStyle name="뒤에 오는 하이퍼링크 7 2" xfId="9557"/>
    <cellStyle name="뒤에 오는 하이퍼링크 8" xfId="9558"/>
    <cellStyle name="뒤에 오는 하이퍼링크 8 2" xfId="9559"/>
    <cellStyle name="뒤에 오는 하이퍼링크 9" xfId="9560"/>
    <cellStyle name="뒤에 오는 하이퍼링크 9 2" xfId="9561"/>
    <cellStyle name="뒤에 오는 하이퍼링크_10거제모형추가B" xfId="9562"/>
    <cellStyle name="똿떓죶Ø? [0.00]_PRODUCT DETAIL Q1" xfId="9563"/>
    <cellStyle name="똿떓죶Ø?_PRODUCT DETAIL Q1" xfId="9564"/>
    <cellStyle name="똿떓죶Ø괻 [0.00]_PRODUCT DETAIL Q1" xfId="9565"/>
    <cellStyle name="똿떓죶Ø괻_PRODUCT DETAIL Q1" xfId="9566"/>
    <cellStyle name="똿뗦먛귟 [0.00]_laroux" xfId="9567"/>
    <cellStyle name="똿뗦먛귟_laroux" xfId="9568"/>
    <cellStyle name="메모 2" xfId="9569"/>
    <cellStyle name="메모 2 10" xfId="9570"/>
    <cellStyle name="메모 2 10 2" xfId="9571"/>
    <cellStyle name="메모 2 10 2 2" xfId="9572"/>
    <cellStyle name="메모 2 10 2 3" xfId="9573"/>
    <cellStyle name="메모 2 10 2 4" xfId="9574"/>
    <cellStyle name="메모 2 10 2 5" xfId="9575"/>
    <cellStyle name="메모 2 11" xfId="9576"/>
    <cellStyle name="메모 2 11 2" xfId="9577"/>
    <cellStyle name="메모 2 11 3" xfId="9578"/>
    <cellStyle name="메모 2 11 4" xfId="9579"/>
    <cellStyle name="메모 2 11 5" xfId="9580"/>
    <cellStyle name="메모 2 2" xfId="9581"/>
    <cellStyle name="메모 2 2 2" xfId="9582"/>
    <cellStyle name="메모 2 2 2 2" xfId="9583"/>
    <cellStyle name="메모 2 2 2 2 2" xfId="9584"/>
    <cellStyle name="메모 2 2 2 2 3" xfId="9585"/>
    <cellStyle name="메모 2 2 2 2 4" xfId="9586"/>
    <cellStyle name="메모 2 2 2 2 5" xfId="9587"/>
    <cellStyle name="메모 2 2 3" xfId="9588"/>
    <cellStyle name="메모 2 2 3 2" xfId="9589"/>
    <cellStyle name="메모 2 2 3 3" xfId="9590"/>
    <cellStyle name="메모 2 2 3 4" xfId="9591"/>
    <cellStyle name="메모 2 2 3 5" xfId="9592"/>
    <cellStyle name="메모 2 3" xfId="9593"/>
    <cellStyle name="메모 2 3 2" xfId="9594"/>
    <cellStyle name="메모 2 3 2 2" xfId="9595"/>
    <cellStyle name="메모 2 3 2 2 2" xfId="9596"/>
    <cellStyle name="메모 2 3 2 2 3" xfId="9597"/>
    <cellStyle name="메모 2 3 2 2 4" xfId="9598"/>
    <cellStyle name="메모 2 3 2 2 5" xfId="9599"/>
    <cellStyle name="메모 2 3 3" xfId="9600"/>
    <cellStyle name="메모 2 3 3 2" xfId="9601"/>
    <cellStyle name="메모 2 3 3 3" xfId="9602"/>
    <cellStyle name="메모 2 3 3 4" xfId="9603"/>
    <cellStyle name="메모 2 3 3 5" xfId="9604"/>
    <cellStyle name="메모 2 4" xfId="9605"/>
    <cellStyle name="메모 2 4 2" xfId="9606"/>
    <cellStyle name="메모 2 4 2 2" xfId="9607"/>
    <cellStyle name="메모 2 4 2 2 2" xfId="9608"/>
    <cellStyle name="메모 2 4 2 2 3" xfId="9609"/>
    <cellStyle name="메모 2 4 2 2 4" xfId="9610"/>
    <cellStyle name="메모 2 4 2 2 5" xfId="9611"/>
    <cellStyle name="메모 2 4 3" xfId="9612"/>
    <cellStyle name="메모 2 4 3 2" xfId="9613"/>
    <cellStyle name="메모 2 4 3 3" xfId="9614"/>
    <cellStyle name="메모 2 4 3 4" xfId="9615"/>
    <cellStyle name="메모 2 4 3 5" xfId="9616"/>
    <cellStyle name="메모 2 5" xfId="9617"/>
    <cellStyle name="메모 2 5 2" xfId="9618"/>
    <cellStyle name="메모 2 5 2 2" xfId="9619"/>
    <cellStyle name="메모 2 5 2 2 2" xfId="9620"/>
    <cellStyle name="메모 2 5 2 2 3" xfId="9621"/>
    <cellStyle name="메모 2 5 2 2 4" xfId="9622"/>
    <cellStyle name="메모 2 5 2 2 5" xfId="9623"/>
    <cellStyle name="메모 2 5 3" xfId="9624"/>
    <cellStyle name="메모 2 5 3 2" xfId="9625"/>
    <cellStyle name="메모 2 5 3 3" xfId="9626"/>
    <cellStyle name="메모 2 5 3 4" xfId="9627"/>
    <cellStyle name="메모 2 5 3 5" xfId="9628"/>
    <cellStyle name="메모 2 6" xfId="9629"/>
    <cellStyle name="메모 2 6 2" xfId="9630"/>
    <cellStyle name="메모 2 6 2 2" xfId="9631"/>
    <cellStyle name="메모 2 6 2 2 2" xfId="9632"/>
    <cellStyle name="메모 2 6 2 2 3" xfId="9633"/>
    <cellStyle name="메모 2 6 2 2 4" xfId="9634"/>
    <cellStyle name="메모 2 6 2 2 5" xfId="9635"/>
    <cellStyle name="메모 2 6 3" xfId="9636"/>
    <cellStyle name="메모 2 6 3 2" xfId="9637"/>
    <cellStyle name="메모 2 6 3 3" xfId="9638"/>
    <cellStyle name="메모 2 6 3 4" xfId="9639"/>
    <cellStyle name="메모 2 6 3 5" xfId="9640"/>
    <cellStyle name="메모 2 7" xfId="9641"/>
    <cellStyle name="메모 2 7 2" xfId="9642"/>
    <cellStyle name="메모 2 7 2 2" xfId="9643"/>
    <cellStyle name="메모 2 7 2 2 2" xfId="9644"/>
    <cellStyle name="메모 2 7 2 2 3" xfId="9645"/>
    <cellStyle name="메모 2 7 2 2 4" xfId="9646"/>
    <cellStyle name="메모 2 7 2 2 5" xfId="9647"/>
    <cellStyle name="메모 2 7 3" xfId="9648"/>
    <cellStyle name="메모 2 7 3 2" xfId="9649"/>
    <cellStyle name="메모 2 7 3 3" xfId="9650"/>
    <cellStyle name="메모 2 7 3 4" xfId="9651"/>
    <cellStyle name="메모 2 7 3 5" xfId="9652"/>
    <cellStyle name="메모 2 8" xfId="9653"/>
    <cellStyle name="메모 2 8 2" xfId="9654"/>
    <cellStyle name="메모 2 8 2 2" xfId="9655"/>
    <cellStyle name="메모 2 8 2 2 2" xfId="9656"/>
    <cellStyle name="메모 2 8 2 2 3" xfId="9657"/>
    <cellStyle name="메모 2 8 2 2 4" xfId="9658"/>
    <cellStyle name="메모 2 8 2 2 5" xfId="9659"/>
    <cellStyle name="메모 2 8 3" xfId="9660"/>
    <cellStyle name="메모 2 8 3 2" xfId="9661"/>
    <cellStyle name="메모 2 8 3 3" xfId="9662"/>
    <cellStyle name="메모 2 8 3 4" xfId="9663"/>
    <cellStyle name="메모 2 8 3 5" xfId="9664"/>
    <cellStyle name="메모 2 9" xfId="9665"/>
    <cellStyle name="메모 2 9 2" xfId="9666"/>
    <cellStyle name="메모 2 9 2 2" xfId="9667"/>
    <cellStyle name="메모 2 9 2 2 2" xfId="9668"/>
    <cellStyle name="메모 2 9 2 2 3" xfId="9669"/>
    <cellStyle name="메모 2 9 2 2 4" xfId="9670"/>
    <cellStyle name="메모 2 9 2 2 5" xfId="9671"/>
    <cellStyle name="메모 2 9 3" xfId="9672"/>
    <cellStyle name="메모 2 9 3 2" xfId="9673"/>
    <cellStyle name="메모 2 9 3 3" xfId="9674"/>
    <cellStyle name="메모 2 9 3 4" xfId="9675"/>
    <cellStyle name="메모 2 9 3 5" xfId="9676"/>
    <cellStyle name="메모 3" xfId="9677"/>
    <cellStyle name="메모 3 10" xfId="9678"/>
    <cellStyle name="메모 3 10 2" xfId="9679"/>
    <cellStyle name="메모 3 10 2 2" xfId="9680"/>
    <cellStyle name="메모 3 10 2 3" xfId="9681"/>
    <cellStyle name="메모 3 10 2 4" xfId="9682"/>
    <cellStyle name="메모 3 10 2 5" xfId="9683"/>
    <cellStyle name="메모 3 11" xfId="9684"/>
    <cellStyle name="메모 3 11 2" xfId="9685"/>
    <cellStyle name="메모 3 11 3" xfId="9686"/>
    <cellStyle name="메모 3 11 4" xfId="9687"/>
    <cellStyle name="메모 3 11 5" xfId="9688"/>
    <cellStyle name="메모 3 2" xfId="9689"/>
    <cellStyle name="메모 3 2 2" xfId="9690"/>
    <cellStyle name="메모 3 2 2 2" xfId="9691"/>
    <cellStyle name="메모 3 2 2 2 2" xfId="9692"/>
    <cellStyle name="메모 3 2 2 2 3" xfId="9693"/>
    <cellStyle name="메모 3 2 2 2 4" xfId="9694"/>
    <cellStyle name="메모 3 2 2 2 5" xfId="9695"/>
    <cellStyle name="메모 3 2 3" xfId="9696"/>
    <cellStyle name="메모 3 2 3 2" xfId="9697"/>
    <cellStyle name="메모 3 2 3 3" xfId="9698"/>
    <cellStyle name="메모 3 2 3 4" xfId="9699"/>
    <cellStyle name="메모 3 2 3 5" xfId="9700"/>
    <cellStyle name="메모 3 3" xfId="9701"/>
    <cellStyle name="메모 3 3 2" xfId="9702"/>
    <cellStyle name="메모 3 3 2 2" xfId="9703"/>
    <cellStyle name="메모 3 3 2 2 2" xfId="9704"/>
    <cellStyle name="메모 3 3 2 2 3" xfId="9705"/>
    <cellStyle name="메모 3 3 2 2 4" xfId="9706"/>
    <cellStyle name="메모 3 3 2 2 5" xfId="9707"/>
    <cellStyle name="메모 3 3 3" xfId="9708"/>
    <cellStyle name="메모 3 3 3 2" xfId="9709"/>
    <cellStyle name="메모 3 3 3 3" xfId="9710"/>
    <cellStyle name="메모 3 3 3 4" xfId="9711"/>
    <cellStyle name="메모 3 3 3 5" xfId="9712"/>
    <cellStyle name="메모 3 4" xfId="9713"/>
    <cellStyle name="메모 3 4 2" xfId="9714"/>
    <cellStyle name="메모 3 4 2 2" xfId="9715"/>
    <cellStyle name="메모 3 4 2 2 2" xfId="9716"/>
    <cellStyle name="메모 3 4 2 2 3" xfId="9717"/>
    <cellStyle name="메모 3 4 2 2 4" xfId="9718"/>
    <cellStyle name="메모 3 4 2 2 5" xfId="9719"/>
    <cellStyle name="메모 3 4 3" xfId="9720"/>
    <cellStyle name="메모 3 4 3 2" xfId="9721"/>
    <cellStyle name="메모 3 4 3 3" xfId="9722"/>
    <cellStyle name="메모 3 4 3 4" xfId="9723"/>
    <cellStyle name="메모 3 4 3 5" xfId="9724"/>
    <cellStyle name="메모 3 5" xfId="9725"/>
    <cellStyle name="메모 3 5 2" xfId="9726"/>
    <cellStyle name="메모 3 5 2 2" xfId="9727"/>
    <cellStyle name="메모 3 5 2 2 2" xfId="9728"/>
    <cellStyle name="메모 3 5 2 2 3" xfId="9729"/>
    <cellStyle name="메모 3 5 2 2 4" xfId="9730"/>
    <cellStyle name="메모 3 5 2 2 5" xfId="9731"/>
    <cellStyle name="메모 3 5 3" xfId="9732"/>
    <cellStyle name="메모 3 5 3 2" xfId="9733"/>
    <cellStyle name="메모 3 5 3 3" xfId="9734"/>
    <cellStyle name="메모 3 5 3 4" xfId="9735"/>
    <cellStyle name="메모 3 5 3 5" xfId="9736"/>
    <cellStyle name="메모 3 6" xfId="9737"/>
    <cellStyle name="메모 3 6 2" xfId="9738"/>
    <cellStyle name="메모 3 6 2 2" xfId="9739"/>
    <cellStyle name="메모 3 6 2 2 2" xfId="9740"/>
    <cellStyle name="메모 3 6 2 2 3" xfId="9741"/>
    <cellStyle name="메모 3 6 2 2 4" xfId="9742"/>
    <cellStyle name="메모 3 6 2 2 5" xfId="9743"/>
    <cellStyle name="메모 3 6 3" xfId="9744"/>
    <cellStyle name="메모 3 6 3 2" xfId="9745"/>
    <cellStyle name="메모 3 6 3 3" xfId="9746"/>
    <cellStyle name="메모 3 6 3 4" xfId="9747"/>
    <cellStyle name="메모 3 6 3 5" xfId="9748"/>
    <cellStyle name="메모 3 7" xfId="9749"/>
    <cellStyle name="메모 3 7 2" xfId="9750"/>
    <cellStyle name="메모 3 7 2 2" xfId="9751"/>
    <cellStyle name="메모 3 7 2 2 2" xfId="9752"/>
    <cellStyle name="메모 3 7 2 2 3" xfId="9753"/>
    <cellStyle name="메모 3 7 2 2 4" xfId="9754"/>
    <cellStyle name="메모 3 7 2 2 5" xfId="9755"/>
    <cellStyle name="메모 3 7 3" xfId="9756"/>
    <cellStyle name="메모 3 7 3 2" xfId="9757"/>
    <cellStyle name="메모 3 7 3 3" xfId="9758"/>
    <cellStyle name="메모 3 7 3 4" xfId="9759"/>
    <cellStyle name="메모 3 7 3 5" xfId="9760"/>
    <cellStyle name="메모 3 8" xfId="9761"/>
    <cellStyle name="메모 3 8 2" xfId="9762"/>
    <cellStyle name="메모 3 8 2 2" xfId="9763"/>
    <cellStyle name="메모 3 8 2 2 2" xfId="9764"/>
    <cellStyle name="메모 3 8 2 2 3" xfId="9765"/>
    <cellStyle name="메모 3 8 2 2 4" xfId="9766"/>
    <cellStyle name="메모 3 8 2 2 5" xfId="9767"/>
    <cellStyle name="메모 3 8 3" xfId="9768"/>
    <cellStyle name="메모 3 8 3 2" xfId="9769"/>
    <cellStyle name="메모 3 8 3 3" xfId="9770"/>
    <cellStyle name="메모 3 8 3 4" xfId="9771"/>
    <cellStyle name="메모 3 8 3 5" xfId="9772"/>
    <cellStyle name="메모 3 9" xfId="9773"/>
    <cellStyle name="메모 3 9 2" xfId="9774"/>
    <cellStyle name="메모 3 9 2 2" xfId="9775"/>
    <cellStyle name="메모 3 9 2 2 2" xfId="9776"/>
    <cellStyle name="메모 3 9 2 2 3" xfId="9777"/>
    <cellStyle name="메모 3 9 2 2 4" xfId="9778"/>
    <cellStyle name="메모 3 9 2 2 5" xfId="9779"/>
    <cellStyle name="메모 3 9 3" xfId="9780"/>
    <cellStyle name="메모 3 9 3 2" xfId="9781"/>
    <cellStyle name="메모 3 9 3 3" xfId="9782"/>
    <cellStyle name="메모 3 9 3 4" xfId="9783"/>
    <cellStyle name="메모 3 9 3 5" xfId="9784"/>
    <cellStyle name="메모 4" xfId="9785"/>
    <cellStyle name="메모 4 10" xfId="9786"/>
    <cellStyle name="메모 4 10 2" xfId="9787"/>
    <cellStyle name="메모 4 10 2 2" xfId="9788"/>
    <cellStyle name="메모 4 10 2 3" xfId="9789"/>
    <cellStyle name="메모 4 10 2 4" xfId="9790"/>
    <cellStyle name="메모 4 10 2 5" xfId="9791"/>
    <cellStyle name="메모 4 11" xfId="9792"/>
    <cellStyle name="메모 4 11 2" xfId="9793"/>
    <cellStyle name="메모 4 11 3" xfId="9794"/>
    <cellStyle name="메모 4 11 4" xfId="9795"/>
    <cellStyle name="메모 4 11 5" xfId="9796"/>
    <cellStyle name="메모 4 2" xfId="9797"/>
    <cellStyle name="메모 4 2 2" xfId="9798"/>
    <cellStyle name="메모 4 2 2 2" xfId="9799"/>
    <cellStyle name="메모 4 2 2 2 2" xfId="9800"/>
    <cellStyle name="메모 4 2 2 2 3" xfId="9801"/>
    <cellStyle name="메모 4 2 2 2 4" xfId="9802"/>
    <cellStyle name="메모 4 2 2 2 5" xfId="9803"/>
    <cellStyle name="메모 4 2 3" xfId="9804"/>
    <cellStyle name="메모 4 2 3 2" xfId="9805"/>
    <cellStyle name="메모 4 2 3 3" xfId="9806"/>
    <cellStyle name="메모 4 2 3 4" xfId="9807"/>
    <cellStyle name="메모 4 2 3 5" xfId="9808"/>
    <cellStyle name="메모 4 3" xfId="9809"/>
    <cellStyle name="메모 4 3 2" xfId="9810"/>
    <cellStyle name="메모 4 3 2 2" xfId="9811"/>
    <cellStyle name="메모 4 3 2 2 2" xfId="9812"/>
    <cellStyle name="메모 4 3 2 2 3" xfId="9813"/>
    <cellStyle name="메모 4 3 2 2 4" xfId="9814"/>
    <cellStyle name="메모 4 3 2 2 5" xfId="9815"/>
    <cellStyle name="메모 4 3 3" xfId="9816"/>
    <cellStyle name="메모 4 3 3 2" xfId="9817"/>
    <cellStyle name="메모 4 3 3 3" xfId="9818"/>
    <cellStyle name="메모 4 3 3 4" xfId="9819"/>
    <cellStyle name="메모 4 3 3 5" xfId="9820"/>
    <cellStyle name="메모 4 4" xfId="9821"/>
    <cellStyle name="메모 4 4 2" xfId="9822"/>
    <cellStyle name="메모 4 4 2 2" xfId="9823"/>
    <cellStyle name="메모 4 4 2 2 2" xfId="9824"/>
    <cellStyle name="메모 4 4 2 2 3" xfId="9825"/>
    <cellStyle name="메모 4 4 2 2 4" xfId="9826"/>
    <cellStyle name="메모 4 4 2 2 5" xfId="9827"/>
    <cellStyle name="메모 4 4 3" xfId="9828"/>
    <cellStyle name="메모 4 4 3 2" xfId="9829"/>
    <cellStyle name="메모 4 4 3 3" xfId="9830"/>
    <cellStyle name="메모 4 4 3 4" xfId="9831"/>
    <cellStyle name="메모 4 4 3 5" xfId="9832"/>
    <cellStyle name="메모 4 5" xfId="9833"/>
    <cellStyle name="메모 4 5 2" xfId="9834"/>
    <cellStyle name="메모 4 5 2 2" xfId="9835"/>
    <cellStyle name="메모 4 5 2 2 2" xfId="9836"/>
    <cellStyle name="메모 4 5 2 2 3" xfId="9837"/>
    <cellStyle name="메모 4 5 2 2 4" xfId="9838"/>
    <cellStyle name="메모 4 5 2 2 5" xfId="9839"/>
    <cellStyle name="메모 4 5 3" xfId="9840"/>
    <cellStyle name="메모 4 5 3 2" xfId="9841"/>
    <cellStyle name="메모 4 5 3 3" xfId="9842"/>
    <cellStyle name="메모 4 5 3 4" xfId="9843"/>
    <cellStyle name="메모 4 5 3 5" xfId="9844"/>
    <cellStyle name="메모 4 6" xfId="9845"/>
    <cellStyle name="메모 4 6 2" xfId="9846"/>
    <cellStyle name="메모 4 6 2 2" xfId="9847"/>
    <cellStyle name="메모 4 6 2 2 2" xfId="9848"/>
    <cellStyle name="메모 4 6 2 2 3" xfId="9849"/>
    <cellStyle name="메모 4 6 2 2 4" xfId="9850"/>
    <cellStyle name="메모 4 6 2 2 5" xfId="9851"/>
    <cellStyle name="메모 4 6 3" xfId="9852"/>
    <cellStyle name="메모 4 6 3 2" xfId="9853"/>
    <cellStyle name="메모 4 6 3 3" xfId="9854"/>
    <cellStyle name="메모 4 6 3 4" xfId="9855"/>
    <cellStyle name="메모 4 6 3 5" xfId="9856"/>
    <cellStyle name="메모 4 7" xfId="9857"/>
    <cellStyle name="메모 4 7 2" xfId="9858"/>
    <cellStyle name="메모 4 7 2 2" xfId="9859"/>
    <cellStyle name="메모 4 7 2 2 2" xfId="9860"/>
    <cellStyle name="메모 4 7 2 2 3" xfId="9861"/>
    <cellStyle name="메모 4 7 2 2 4" xfId="9862"/>
    <cellStyle name="메모 4 7 2 2 5" xfId="9863"/>
    <cellStyle name="메모 4 7 3" xfId="9864"/>
    <cellStyle name="메모 4 7 3 2" xfId="9865"/>
    <cellStyle name="메모 4 7 3 3" xfId="9866"/>
    <cellStyle name="메모 4 7 3 4" xfId="9867"/>
    <cellStyle name="메모 4 7 3 5" xfId="9868"/>
    <cellStyle name="메모 4 8" xfId="9869"/>
    <cellStyle name="메모 4 8 2" xfId="9870"/>
    <cellStyle name="메모 4 8 2 2" xfId="9871"/>
    <cellStyle name="메모 4 8 2 2 2" xfId="9872"/>
    <cellStyle name="메모 4 8 2 2 3" xfId="9873"/>
    <cellStyle name="메모 4 8 2 2 4" xfId="9874"/>
    <cellStyle name="메모 4 8 2 2 5" xfId="9875"/>
    <cellStyle name="메모 4 8 3" xfId="9876"/>
    <cellStyle name="메모 4 8 3 2" xfId="9877"/>
    <cellStyle name="메모 4 8 3 3" xfId="9878"/>
    <cellStyle name="메모 4 8 3 4" xfId="9879"/>
    <cellStyle name="메모 4 8 3 5" xfId="9880"/>
    <cellStyle name="메모 4 9" xfId="9881"/>
    <cellStyle name="메모 4 9 2" xfId="9882"/>
    <cellStyle name="메모 4 9 2 2" xfId="9883"/>
    <cellStyle name="메모 4 9 2 2 2" xfId="9884"/>
    <cellStyle name="메모 4 9 2 2 3" xfId="9885"/>
    <cellStyle name="메모 4 9 2 2 4" xfId="9886"/>
    <cellStyle name="메모 4 9 2 2 5" xfId="9887"/>
    <cellStyle name="메모 4 9 3" xfId="9888"/>
    <cellStyle name="메모 4 9 3 2" xfId="9889"/>
    <cellStyle name="메모 4 9 3 3" xfId="9890"/>
    <cellStyle name="메모 4 9 3 4" xfId="9891"/>
    <cellStyle name="메모 4 9 3 5" xfId="9892"/>
    <cellStyle name="메모 5" xfId="9893"/>
    <cellStyle name="메모 5 10" xfId="9894"/>
    <cellStyle name="메모 5 10 2" xfId="9895"/>
    <cellStyle name="메모 5 10 2 2" xfId="9896"/>
    <cellStyle name="메모 5 10 2 3" xfId="9897"/>
    <cellStyle name="메모 5 10 2 4" xfId="9898"/>
    <cellStyle name="메모 5 10 2 5" xfId="9899"/>
    <cellStyle name="메모 5 11" xfId="9900"/>
    <cellStyle name="메모 5 11 2" xfId="9901"/>
    <cellStyle name="메모 5 11 3" xfId="9902"/>
    <cellStyle name="메모 5 11 4" xfId="9903"/>
    <cellStyle name="메모 5 11 5" xfId="9904"/>
    <cellStyle name="메모 5 2" xfId="9905"/>
    <cellStyle name="메모 5 2 2" xfId="9906"/>
    <cellStyle name="메모 5 2 2 2" xfId="9907"/>
    <cellStyle name="메모 5 2 2 2 2" xfId="9908"/>
    <cellStyle name="메모 5 2 2 2 3" xfId="9909"/>
    <cellStyle name="메모 5 2 2 2 4" xfId="9910"/>
    <cellStyle name="메모 5 2 2 2 5" xfId="9911"/>
    <cellStyle name="메모 5 2 3" xfId="9912"/>
    <cellStyle name="메모 5 2 3 2" xfId="9913"/>
    <cellStyle name="메모 5 2 3 3" xfId="9914"/>
    <cellStyle name="메모 5 2 3 4" xfId="9915"/>
    <cellStyle name="메모 5 2 3 5" xfId="9916"/>
    <cellStyle name="메모 5 3" xfId="9917"/>
    <cellStyle name="메모 5 3 2" xfId="9918"/>
    <cellStyle name="메모 5 3 2 2" xfId="9919"/>
    <cellStyle name="메모 5 3 2 2 2" xfId="9920"/>
    <cellStyle name="메모 5 3 2 2 3" xfId="9921"/>
    <cellStyle name="메모 5 3 2 2 4" xfId="9922"/>
    <cellStyle name="메모 5 3 2 2 5" xfId="9923"/>
    <cellStyle name="메모 5 3 3" xfId="9924"/>
    <cellStyle name="메모 5 3 3 2" xfId="9925"/>
    <cellStyle name="메모 5 3 3 3" xfId="9926"/>
    <cellStyle name="메모 5 3 3 4" xfId="9927"/>
    <cellStyle name="메모 5 3 3 5" xfId="9928"/>
    <cellStyle name="메모 5 4" xfId="9929"/>
    <cellStyle name="메모 5 4 2" xfId="9930"/>
    <cellStyle name="메모 5 4 2 2" xfId="9931"/>
    <cellStyle name="메모 5 4 2 2 2" xfId="9932"/>
    <cellStyle name="메모 5 4 2 2 3" xfId="9933"/>
    <cellStyle name="메모 5 4 2 2 4" xfId="9934"/>
    <cellStyle name="메모 5 4 2 2 5" xfId="9935"/>
    <cellStyle name="메모 5 4 3" xfId="9936"/>
    <cellStyle name="메모 5 4 3 2" xfId="9937"/>
    <cellStyle name="메모 5 4 3 3" xfId="9938"/>
    <cellStyle name="메모 5 4 3 4" xfId="9939"/>
    <cellStyle name="메모 5 4 3 5" xfId="9940"/>
    <cellStyle name="메모 5 5" xfId="9941"/>
    <cellStyle name="메모 5 5 2" xfId="9942"/>
    <cellStyle name="메모 5 5 2 2" xfId="9943"/>
    <cellStyle name="메모 5 5 2 2 2" xfId="9944"/>
    <cellStyle name="메모 5 5 2 2 3" xfId="9945"/>
    <cellStyle name="메모 5 5 2 2 4" xfId="9946"/>
    <cellStyle name="메모 5 5 2 2 5" xfId="9947"/>
    <cellStyle name="메모 5 5 3" xfId="9948"/>
    <cellStyle name="메모 5 5 3 2" xfId="9949"/>
    <cellStyle name="메모 5 5 3 3" xfId="9950"/>
    <cellStyle name="메모 5 5 3 4" xfId="9951"/>
    <cellStyle name="메모 5 5 3 5" xfId="9952"/>
    <cellStyle name="메모 5 6" xfId="9953"/>
    <cellStyle name="메모 5 6 2" xfId="9954"/>
    <cellStyle name="메모 5 6 2 2" xfId="9955"/>
    <cellStyle name="메모 5 6 2 2 2" xfId="9956"/>
    <cellStyle name="메모 5 6 2 2 3" xfId="9957"/>
    <cellStyle name="메모 5 6 2 2 4" xfId="9958"/>
    <cellStyle name="메모 5 6 2 2 5" xfId="9959"/>
    <cellStyle name="메모 5 6 3" xfId="9960"/>
    <cellStyle name="메모 5 6 3 2" xfId="9961"/>
    <cellStyle name="메모 5 6 3 3" xfId="9962"/>
    <cellStyle name="메모 5 6 3 4" xfId="9963"/>
    <cellStyle name="메모 5 6 3 5" xfId="9964"/>
    <cellStyle name="메모 5 7" xfId="9965"/>
    <cellStyle name="메모 5 7 2" xfId="9966"/>
    <cellStyle name="메모 5 7 2 2" xfId="9967"/>
    <cellStyle name="메모 5 7 2 2 2" xfId="9968"/>
    <cellStyle name="메모 5 7 2 2 3" xfId="9969"/>
    <cellStyle name="메모 5 7 2 2 4" xfId="9970"/>
    <cellStyle name="메모 5 7 2 2 5" xfId="9971"/>
    <cellStyle name="메모 5 7 3" xfId="9972"/>
    <cellStyle name="메모 5 7 3 2" xfId="9973"/>
    <cellStyle name="메모 5 7 3 3" xfId="9974"/>
    <cellStyle name="메모 5 7 3 4" xfId="9975"/>
    <cellStyle name="메모 5 7 3 5" xfId="9976"/>
    <cellStyle name="메모 5 8" xfId="9977"/>
    <cellStyle name="메모 5 8 2" xfId="9978"/>
    <cellStyle name="메모 5 8 2 2" xfId="9979"/>
    <cellStyle name="메모 5 8 2 2 2" xfId="9980"/>
    <cellStyle name="메모 5 8 2 2 3" xfId="9981"/>
    <cellStyle name="메모 5 8 2 2 4" xfId="9982"/>
    <cellStyle name="메모 5 8 2 2 5" xfId="9983"/>
    <cellStyle name="메모 5 8 3" xfId="9984"/>
    <cellStyle name="메모 5 8 3 2" xfId="9985"/>
    <cellStyle name="메모 5 8 3 3" xfId="9986"/>
    <cellStyle name="메모 5 8 3 4" xfId="9987"/>
    <cellStyle name="메모 5 8 3 5" xfId="9988"/>
    <cellStyle name="메모 5 9" xfId="9989"/>
    <cellStyle name="메모 5 9 2" xfId="9990"/>
    <cellStyle name="메모 5 9 2 2" xfId="9991"/>
    <cellStyle name="메모 5 9 2 2 2" xfId="9992"/>
    <cellStyle name="메모 5 9 2 2 3" xfId="9993"/>
    <cellStyle name="메모 5 9 2 2 4" xfId="9994"/>
    <cellStyle name="메모 5 9 2 2 5" xfId="9995"/>
    <cellStyle name="메모 5 9 3" xfId="9996"/>
    <cellStyle name="메모 5 9 3 2" xfId="9997"/>
    <cellStyle name="메모 5 9 3 3" xfId="9998"/>
    <cellStyle name="메모 5 9 3 4" xfId="9999"/>
    <cellStyle name="메모 5 9 3 5" xfId="10000"/>
    <cellStyle name="메모 6" xfId="10001"/>
    <cellStyle name="메모 6 10" xfId="10002"/>
    <cellStyle name="메모 6 10 2" xfId="10003"/>
    <cellStyle name="메모 6 10 2 2" xfId="10004"/>
    <cellStyle name="메모 6 10 2 3" xfId="10005"/>
    <cellStyle name="메모 6 10 2 4" xfId="10006"/>
    <cellStyle name="메모 6 10 2 5" xfId="10007"/>
    <cellStyle name="메모 6 11" xfId="10008"/>
    <cellStyle name="메모 6 11 2" xfId="10009"/>
    <cellStyle name="메모 6 11 3" xfId="10010"/>
    <cellStyle name="메모 6 11 4" xfId="10011"/>
    <cellStyle name="메모 6 11 5" xfId="10012"/>
    <cellStyle name="메모 6 2" xfId="10013"/>
    <cellStyle name="메모 6 2 2" xfId="10014"/>
    <cellStyle name="메모 6 2 2 2" xfId="10015"/>
    <cellStyle name="메모 6 2 2 2 2" xfId="10016"/>
    <cellStyle name="메모 6 2 2 2 3" xfId="10017"/>
    <cellStyle name="메모 6 2 2 2 4" xfId="10018"/>
    <cellStyle name="메모 6 2 2 2 5" xfId="10019"/>
    <cellStyle name="메모 6 2 3" xfId="10020"/>
    <cellStyle name="메모 6 2 3 2" xfId="10021"/>
    <cellStyle name="메모 6 2 3 3" xfId="10022"/>
    <cellStyle name="메모 6 2 3 4" xfId="10023"/>
    <cellStyle name="메모 6 2 3 5" xfId="10024"/>
    <cellStyle name="메모 6 3" xfId="10025"/>
    <cellStyle name="메모 6 3 2" xfId="10026"/>
    <cellStyle name="메모 6 3 2 2" xfId="10027"/>
    <cellStyle name="메모 6 3 2 2 2" xfId="10028"/>
    <cellStyle name="메모 6 3 2 2 3" xfId="10029"/>
    <cellStyle name="메모 6 3 2 2 4" xfId="10030"/>
    <cellStyle name="메모 6 3 2 2 5" xfId="10031"/>
    <cellStyle name="메모 6 3 3" xfId="10032"/>
    <cellStyle name="메모 6 3 3 2" xfId="10033"/>
    <cellStyle name="메모 6 3 3 3" xfId="10034"/>
    <cellStyle name="메모 6 3 3 4" xfId="10035"/>
    <cellStyle name="메모 6 3 3 5" xfId="10036"/>
    <cellStyle name="메모 6 4" xfId="10037"/>
    <cellStyle name="메모 6 4 2" xfId="10038"/>
    <cellStyle name="메모 6 4 2 2" xfId="10039"/>
    <cellStyle name="메모 6 4 2 2 2" xfId="10040"/>
    <cellStyle name="메모 6 4 2 2 3" xfId="10041"/>
    <cellStyle name="메모 6 4 2 2 4" xfId="10042"/>
    <cellStyle name="메모 6 4 2 2 5" xfId="10043"/>
    <cellStyle name="메모 6 4 3" xfId="10044"/>
    <cellStyle name="메모 6 4 3 2" xfId="10045"/>
    <cellStyle name="메모 6 4 3 3" xfId="10046"/>
    <cellStyle name="메모 6 4 3 4" xfId="10047"/>
    <cellStyle name="메모 6 4 3 5" xfId="10048"/>
    <cellStyle name="메모 6 5" xfId="10049"/>
    <cellStyle name="메모 6 5 2" xfId="10050"/>
    <cellStyle name="메모 6 5 2 2" xfId="10051"/>
    <cellStyle name="메모 6 5 2 2 2" xfId="10052"/>
    <cellStyle name="메모 6 5 2 2 3" xfId="10053"/>
    <cellStyle name="메모 6 5 2 2 4" xfId="10054"/>
    <cellStyle name="메모 6 5 2 2 5" xfId="10055"/>
    <cellStyle name="메모 6 5 3" xfId="10056"/>
    <cellStyle name="메모 6 5 3 2" xfId="10057"/>
    <cellStyle name="메모 6 5 3 3" xfId="10058"/>
    <cellStyle name="메모 6 5 3 4" xfId="10059"/>
    <cellStyle name="메모 6 5 3 5" xfId="10060"/>
    <cellStyle name="메모 6 6" xfId="10061"/>
    <cellStyle name="메모 6 6 2" xfId="10062"/>
    <cellStyle name="메모 6 6 2 2" xfId="10063"/>
    <cellStyle name="메모 6 6 2 2 2" xfId="10064"/>
    <cellStyle name="메모 6 6 2 2 3" xfId="10065"/>
    <cellStyle name="메모 6 6 2 2 4" xfId="10066"/>
    <cellStyle name="메모 6 6 2 2 5" xfId="10067"/>
    <cellStyle name="메모 6 6 3" xfId="10068"/>
    <cellStyle name="메모 6 6 3 2" xfId="10069"/>
    <cellStyle name="메모 6 6 3 3" xfId="10070"/>
    <cellStyle name="메모 6 6 3 4" xfId="10071"/>
    <cellStyle name="메모 6 6 3 5" xfId="10072"/>
    <cellStyle name="메모 6 7" xfId="10073"/>
    <cellStyle name="메모 6 7 2" xfId="10074"/>
    <cellStyle name="메모 6 7 2 2" xfId="10075"/>
    <cellStyle name="메모 6 7 2 2 2" xfId="10076"/>
    <cellStyle name="메모 6 7 2 2 3" xfId="10077"/>
    <cellStyle name="메모 6 7 2 2 4" xfId="10078"/>
    <cellStyle name="메모 6 7 2 2 5" xfId="10079"/>
    <cellStyle name="메모 6 7 3" xfId="10080"/>
    <cellStyle name="메모 6 7 3 2" xfId="10081"/>
    <cellStyle name="메모 6 7 3 3" xfId="10082"/>
    <cellStyle name="메모 6 7 3 4" xfId="10083"/>
    <cellStyle name="메모 6 7 3 5" xfId="10084"/>
    <cellStyle name="메모 6 8" xfId="10085"/>
    <cellStyle name="메모 6 8 2" xfId="10086"/>
    <cellStyle name="메모 6 8 2 2" xfId="10087"/>
    <cellStyle name="메모 6 8 2 2 2" xfId="10088"/>
    <cellStyle name="메모 6 8 2 2 3" xfId="10089"/>
    <cellStyle name="메모 6 8 2 2 4" xfId="10090"/>
    <cellStyle name="메모 6 8 2 2 5" xfId="10091"/>
    <cellStyle name="메모 6 8 3" xfId="10092"/>
    <cellStyle name="메모 6 8 3 2" xfId="10093"/>
    <cellStyle name="메모 6 8 3 3" xfId="10094"/>
    <cellStyle name="메모 6 8 3 4" xfId="10095"/>
    <cellStyle name="메모 6 8 3 5" xfId="10096"/>
    <cellStyle name="메모 6 9" xfId="10097"/>
    <cellStyle name="메모 6 9 2" xfId="10098"/>
    <cellStyle name="메모 6 9 2 2" xfId="10099"/>
    <cellStyle name="메모 6 9 2 2 2" xfId="10100"/>
    <cellStyle name="메모 6 9 2 2 3" xfId="10101"/>
    <cellStyle name="메모 6 9 2 2 4" xfId="10102"/>
    <cellStyle name="메모 6 9 2 2 5" xfId="10103"/>
    <cellStyle name="메모 6 9 3" xfId="10104"/>
    <cellStyle name="메모 6 9 3 2" xfId="10105"/>
    <cellStyle name="메모 6 9 3 3" xfId="10106"/>
    <cellStyle name="메모 6 9 3 4" xfId="10107"/>
    <cellStyle name="메모 6 9 3 5" xfId="10108"/>
    <cellStyle name="묮뎋 [0.00]_PRODUCT DETAIL Q1" xfId="10109"/>
    <cellStyle name="묮뎋_PRODUCT DETAIL Q1" xfId="10110"/>
    <cellStyle name="믅됞 [0.00]_laroux" xfId="10111"/>
    <cellStyle name="믅됞_laroux" xfId="10112"/>
    <cellStyle name="未定義" xfId="10113"/>
    <cellStyle name="未定義 2" xfId="10114"/>
    <cellStyle name="배분" xfId="10115"/>
    <cellStyle name="백 " xfId="10116"/>
    <cellStyle name="백분율 [△1]" xfId="10117"/>
    <cellStyle name="백분율 [△2]" xfId="10118"/>
    <cellStyle name="백분율 [0]" xfId="10119"/>
    <cellStyle name="백분율 [0] 2" xfId="10120"/>
    <cellStyle name="백분율 [2]" xfId="10121"/>
    <cellStyle name="백분율 [2] 2" xfId="10122"/>
    <cellStyle name="백분율 2" xfId="10123"/>
    <cellStyle name="백분율 2 2" xfId="10124"/>
    <cellStyle name="백분율 2 2 2" xfId="10125"/>
    <cellStyle name="백분율 2 3" xfId="10126"/>
    <cellStyle name="백분율 2 4" xfId="10127"/>
    <cellStyle name="백분율 3" xfId="10128"/>
    <cellStyle name="백분율 3 2" xfId="10129"/>
    <cellStyle name="백분율 3 3" xfId="10130"/>
    <cellStyle name="백분율 4" xfId="10131"/>
    <cellStyle name="백분율 4 2" xfId="10132"/>
    <cellStyle name="백분율 4 3" xfId="10133"/>
    <cellStyle name="백분율 5" xfId="10134"/>
    <cellStyle name="백분율 6" xfId="10135"/>
    <cellStyle name="백분율(2no%)" xfId="10136"/>
    <cellStyle name="백분율(3no%)" xfId="10137"/>
    <cellStyle name="백분율(no%)" xfId="10138"/>
    <cellStyle name="백분율(손익)" xfId="10139"/>
    <cellStyle name="백분율(수주)" xfId="10140"/>
    <cellStyle name="백분율［△1］" xfId="10141"/>
    <cellStyle name="백분율［△2］" xfId="10142"/>
    <cellStyle name="병합 후 가운데 맞춤" xfId="10143"/>
    <cellStyle name="병합 후 가운데 정열" xfId="10144"/>
    <cellStyle name="보통 2" xfId="10145"/>
    <cellStyle name="보통 2 10" xfId="10146"/>
    <cellStyle name="보통 2 2" xfId="10147"/>
    <cellStyle name="보통 2 2 2" xfId="10148"/>
    <cellStyle name="보통 2 3" xfId="10149"/>
    <cellStyle name="보통 2 3 2" xfId="10150"/>
    <cellStyle name="보통 2 4" xfId="10151"/>
    <cellStyle name="보통 2 4 2" xfId="10152"/>
    <cellStyle name="보통 2 5" xfId="10153"/>
    <cellStyle name="보통 2 5 2" xfId="10154"/>
    <cellStyle name="보통 2 6" xfId="10155"/>
    <cellStyle name="보통 2 6 2" xfId="10156"/>
    <cellStyle name="보통 2 7" xfId="10157"/>
    <cellStyle name="보통 2 7 2" xfId="10158"/>
    <cellStyle name="보통 2 8" xfId="10159"/>
    <cellStyle name="보통 2 8 2" xfId="10160"/>
    <cellStyle name="보통 2 9" xfId="10161"/>
    <cellStyle name="보통 2 9 2" xfId="10162"/>
    <cellStyle name="보통 3" xfId="10163"/>
    <cellStyle name="보통 3 10" xfId="10164"/>
    <cellStyle name="보통 3 2" xfId="10165"/>
    <cellStyle name="보통 3 2 2" xfId="10166"/>
    <cellStyle name="보통 3 3" xfId="10167"/>
    <cellStyle name="보통 3 3 2" xfId="10168"/>
    <cellStyle name="보통 3 4" xfId="10169"/>
    <cellStyle name="보통 3 4 2" xfId="10170"/>
    <cellStyle name="보통 3 5" xfId="10171"/>
    <cellStyle name="보통 3 5 2" xfId="10172"/>
    <cellStyle name="보통 3 6" xfId="10173"/>
    <cellStyle name="보통 3 6 2" xfId="10174"/>
    <cellStyle name="보통 3 7" xfId="10175"/>
    <cellStyle name="보통 3 7 2" xfId="10176"/>
    <cellStyle name="보통 3 8" xfId="10177"/>
    <cellStyle name="보통 3 8 2" xfId="10178"/>
    <cellStyle name="보통 3 9" xfId="10179"/>
    <cellStyle name="보통 3 9 2" xfId="10180"/>
    <cellStyle name="보통 4" xfId="10181"/>
    <cellStyle name="보통 4 10" xfId="10182"/>
    <cellStyle name="보통 4 2" xfId="10183"/>
    <cellStyle name="보통 4 2 2" xfId="10184"/>
    <cellStyle name="보통 4 3" xfId="10185"/>
    <cellStyle name="보통 4 3 2" xfId="10186"/>
    <cellStyle name="보통 4 4" xfId="10187"/>
    <cellStyle name="보통 4 4 2" xfId="10188"/>
    <cellStyle name="보통 4 5" xfId="10189"/>
    <cellStyle name="보통 4 5 2" xfId="10190"/>
    <cellStyle name="보통 4 6" xfId="10191"/>
    <cellStyle name="보통 4 6 2" xfId="10192"/>
    <cellStyle name="보통 4 7" xfId="10193"/>
    <cellStyle name="보통 4 7 2" xfId="10194"/>
    <cellStyle name="보통 4 8" xfId="10195"/>
    <cellStyle name="보통 4 8 2" xfId="10196"/>
    <cellStyle name="보통 4 9" xfId="10197"/>
    <cellStyle name="보통 4 9 2" xfId="10198"/>
    <cellStyle name="보통 5" xfId="10199"/>
    <cellStyle name="보통 5 10" xfId="10200"/>
    <cellStyle name="보통 5 2" xfId="10201"/>
    <cellStyle name="보통 5 2 2" xfId="10202"/>
    <cellStyle name="보통 5 3" xfId="10203"/>
    <cellStyle name="보통 5 3 2" xfId="10204"/>
    <cellStyle name="보통 5 4" xfId="10205"/>
    <cellStyle name="보통 5 4 2" xfId="10206"/>
    <cellStyle name="보통 5 5" xfId="10207"/>
    <cellStyle name="보통 5 5 2" xfId="10208"/>
    <cellStyle name="보통 5 6" xfId="10209"/>
    <cellStyle name="보통 5 6 2" xfId="10210"/>
    <cellStyle name="보통 5 7" xfId="10211"/>
    <cellStyle name="보통 5 7 2" xfId="10212"/>
    <cellStyle name="보통 5 8" xfId="10213"/>
    <cellStyle name="보통 5 8 2" xfId="10214"/>
    <cellStyle name="보통 5 9" xfId="10215"/>
    <cellStyle name="보통 5 9 2" xfId="10216"/>
    <cellStyle name="보통 6" xfId="10217"/>
    <cellStyle name="보통 6 10" xfId="10218"/>
    <cellStyle name="보통 6 2" xfId="10219"/>
    <cellStyle name="보통 6 2 2" xfId="10220"/>
    <cellStyle name="보통 6 3" xfId="10221"/>
    <cellStyle name="보통 6 3 2" xfId="10222"/>
    <cellStyle name="보통 6 4" xfId="10223"/>
    <cellStyle name="보통 6 4 2" xfId="10224"/>
    <cellStyle name="보통 6 5" xfId="10225"/>
    <cellStyle name="보통 6 5 2" xfId="10226"/>
    <cellStyle name="보통 6 6" xfId="10227"/>
    <cellStyle name="보통 6 6 2" xfId="10228"/>
    <cellStyle name="보통 6 7" xfId="10229"/>
    <cellStyle name="보통 6 7 2" xfId="10230"/>
    <cellStyle name="보통 6 8" xfId="10231"/>
    <cellStyle name="보통 6 8 2" xfId="10232"/>
    <cellStyle name="보통 6 9" xfId="10233"/>
    <cellStyle name="보통 6 9 2" xfId="10234"/>
    <cellStyle name="뷭?" xfId="10235"/>
    <cellStyle name="뷭? 2" xfId="10236"/>
    <cellStyle name="뷭?_?긚??_1" xfId="10237"/>
    <cellStyle name="빨강" xfId="10238"/>
    <cellStyle name="사용자정의" xfId="10239"/>
    <cellStyle name="常规 16" xfId="10240"/>
    <cellStyle name="常规 2" xfId="10241"/>
    <cellStyle name="선택영역의 가운데로" xfId="10242"/>
    <cellStyle name="설계서" xfId="10243"/>
    <cellStyle name="설계서 2" xfId="10244"/>
    <cellStyle name="설계서-내용" xfId="10245"/>
    <cellStyle name="설계서-내용 2" xfId="10246"/>
    <cellStyle name="설계서-내용 2 2" xfId="10247"/>
    <cellStyle name="설계서-내용 2 2 2" xfId="10248"/>
    <cellStyle name="설계서-내용 2 2 3" xfId="10249"/>
    <cellStyle name="설계서-내용 2 2 4" xfId="10250"/>
    <cellStyle name="설계서-내용 2 2 5" xfId="10251"/>
    <cellStyle name="설계서-내용 3" xfId="10252"/>
    <cellStyle name="설계서-내용 3 2" xfId="10253"/>
    <cellStyle name="설계서-내용 3 3" xfId="10254"/>
    <cellStyle name="설계서-내용 3 4" xfId="10255"/>
    <cellStyle name="설계서-내용 3 5" xfId="10256"/>
    <cellStyle name="설계서-내용-소수점" xfId="10257"/>
    <cellStyle name="설계서-내용-소수점 2" xfId="10258"/>
    <cellStyle name="설계서-내용-소수점 2 2" xfId="10259"/>
    <cellStyle name="설계서-내용-소수점 2 2 2" xfId="10260"/>
    <cellStyle name="설계서-내용-소수점 2 2 3" xfId="10261"/>
    <cellStyle name="설계서-내용-소수점 2 2 4" xfId="10262"/>
    <cellStyle name="설계서-내용-소수점 2 2 5" xfId="10263"/>
    <cellStyle name="설계서-내용-소수점 3" xfId="10264"/>
    <cellStyle name="설계서-내용-소수점 3 2" xfId="10265"/>
    <cellStyle name="설계서-내용-소수점 3 3" xfId="10266"/>
    <cellStyle name="설계서-내용-소수점 3 4" xfId="10267"/>
    <cellStyle name="설계서-내용-소수점 3 5" xfId="10268"/>
    <cellStyle name="설계서-내용-우" xfId="10269"/>
    <cellStyle name="설계서-내용-우 2" xfId="10270"/>
    <cellStyle name="설계서-내용-좌" xfId="10271"/>
    <cellStyle name="설계서-내용-좌 2" xfId="10272"/>
    <cellStyle name="설계서-소제목" xfId="10273"/>
    <cellStyle name="설계서-소제목 2" xfId="10274"/>
    <cellStyle name="설계서-소제목 2 2" xfId="10275"/>
    <cellStyle name="설계서-소제목 2 2 2" xfId="10276"/>
    <cellStyle name="설계서-소제목 2 2 3" xfId="10277"/>
    <cellStyle name="설계서-소제목 2 2 4" xfId="10278"/>
    <cellStyle name="설계서-소제목 2 2 5" xfId="10279"/>
    <cellStyle name="설계서-소제목 3" xfId="10280"/>
    <cellStyle name="설계서-소제목 3 2" xfId="10281"/>
    <cellStyle name="설계서-소제목 3 3" xfId="10282"/>
    <cellStyle name="설계서-소제목 3 4" xfId="10283"/>
    <cellStyle name="설계서-소제목 3 5" xfId="10284"/>
    <cellStyle name="설계서-타이틀" xfId="10285"/>
    <cellStyle name="설계서-타이틀 2" xfId="10286"/>
    <cellStyle name="설계서-항목" xfId="10287"/>
    <cellStyle name="설계서-항목 2" xfId="10288"/>
    <cellStyle name="설명 텍스트 2" xfId="10289"/>
    <cellStyle name="설명 텍스트 2 10" xfId="10290"/>
    <cellStyle name="설명 텍스트 2 2" xfId="10291"/>
    <cellStyle name="설명 텍스트 2 2 2" xfId="10292"/>
    <cellStyle name="설명 텍스트 2 3" xfId="10293"/>
    <cellStyle name="설명 텍스트 2 3 2" xfId="10294"/>
    <cellStyle name="설명 텍스트 2 4" xfId="10295"/>
    <cellStyle name="설명 텍스트 2 4 2" xfId="10296"/>
    <cellStyle name="설명 텍스트 2 5" xfId="10297"/>
    <cellStyle name="설명 텍스트 2 5 2" xfId="10298"/>
    <cellStyle name="설명 텍스트 2 6" xfId="10299"/>
    <cellStyle name="설명 텍스트 2 6 2" xfId="10300"/>
    <cellStyle name="설명 텍스트 2 7" xfId="10301"/>
    <cellStyle name="설명 텍스트 2 7 2" xfId="10302"/>
    <cellStyle name="설명 텍스트 2 8" xfId="10303"/>
    <cellStyle name="설명 텍스트 2 8 2" xfId="10304"/>
    <cellStyle name="설명 텍스트 2 9" xfId="10305"/>
    <cellStyle name="설명 텍스트 2 9 2" xfId="10306"/>
    <cellStyle name="설명 텍스트 3" xfId="10307"/>
    <cellStyle name="설명 텍스트 3 10" xfId="10308"/>
    <cellStyle name="설명 텍스트 3 2" xfId="10309"/>
    <cellStyle name="설명 텍스트 3 2 2" xfId="10310"/>
    <cellStyle name="설명 텍스트 3 3" xfId="10311"/>
    <cellStyle name="설명 텍스트 3 3 2" xfId="10312"/>
    <cellStyle name="설명 텍스트 3 4" xfId="10313"/>
    <cellStyle name="설명 텍스트 3 4 2" xfId="10314"/>
    <cellStyle name="설명 텍스트 3 5" xfId="10315"/>
    <cellStyle name="설명 텍스트 3 5 2" xfId="10316"/>
    <cellStyle name="설명 텍스트 3 6" xfId="10317"/>
    <cellStyle name="설명 텍스트 3 6 2" xfId="10318"/>
    <cellStyle name="설명 텍스트 3 7" xfId="10319"/>
    <cellStyle name="설명 텍스트 3 7 2" xfId="10320"/>
    <cellStyle name="설명 텍스트 3 8" xfId="10321"/>
    <cellStyle name="설명 텍스트 3 8 2" xfId="10322"/>
    <cellStyle name="설명 텍스트 3 9" xfId="10323"/>
    <cellStyle name="설명 텍스트 3 9 2" xfId="10324"/>
    <cellStyle name="설명 텍스트 4" xfId="10325"/>
    <cellStyle name="설명 텍스트 4 10" xfId="10326"/>
    <cellStyle name="설명 텍스트 4 2" xfId="10327"/>
    <cellStyle name="설명 텍스트 4 2 2" xfId="10328"/>
    <cellStyle name="설명 텍스트 4 3" xfId="10329"/>
    <cellStyle name="설명 텍스트 4 3 2" xfId="10330"/>
    <cellStyle name="설명 텍스트 4 4" xfId="10331"/>
    <cellStyle name="설명 텍스트 4 4 2" xfId="10332"/>
    <cellStyle name="설명 텍스트 4 5" xfId="10333"/>
    <cellStyle name="설명 텍스트 4 5 2" xfId="10334"/>
    <cellStyle name="설명 텍스트 4 6" xfId="10335"/>
    <cellStyle name="설명 텍스트 4 6 2" xfId="10336"/>
    <cellStyle name="설명 텍스트 4 7" xfId="10337"/>
    <cellStyle name="설명 텍스트 4 7 2" xfId="10338"/>
    <cellStyle name="설명 텍스트 4 8" xfId="10339"/>
    <cellStyle name="설명 텍스트 4 8 2" xfId="10340"/>
    <cellStyle name="설명 텍스트 4 9" xfId="10341"/>
    <cellStyle name="설명 텍스트 4 9 2" xfId="10342"/>
    <cellStyle name="설명 텍스트 5" xfId="10343"/>
    <cellStyle name="설명 텍스트 5 10" xfId="10344"/>
    <cellStyle name="설명 텍스트 5 2" xfId="10345"/>
    <cellStyle name="설명 텍스트 5 2 2" xfId="10346"/>
    <cellStyle name="설명 텍스트 5 3" xfId="10347"/>
    <cellStyle name="설명 텍스트 5 3 2" xfId="10348"/>
    <cellStyle name="설명 텍스트 5 4" xfId="10349"/>
    <cellStyle name="설명 텍스트 5 4 2" xfId="10350"/>
    <cellStyle name="설명 텍스트 5 5" xfId="10351"/>
    <cellStyle name="설명 텍스트 5 5 2" xfId="10352"/>
    <cellStyle name="설명 텍스트 5 6" xfId="10353"/>
    <cellStyle name="설명 텍스트 5 6 2" xfId="10354"/>
    <cellStyle name="설명 텍스트 5 7" xfId="10355"/>
    <cellStyle name="설명 텍스트 5 7 2" xfId="10356"/>
    <cellStyle name="설명 텍스트 5 8" xfId="10357"/>
    <cellStyle name="설명 텍스트 5 8 2" xfId="10358"/>
    <cellStyle name="설명 텍스트 5 9" xfId="10359"/>
    <cellStyle name="설명 텍스트 5 9 2" xfId="10360"/>
    <cellStyle name="설명 텍스트 6" xfId="10361"/>
    <cellStyle name="설명 텍스트 6 10" xfId="10362"/>
    <cellStyle name="설명 텍스트 6 2" xfId="10363"/>
    <cellStyle name="설명 텍스트 6 2 2" xfId="10364"/>
    <cellStyle name="설명 텍스트 6 3" xfId="10365"/>
    <cellStyle name="설명 텍스트 6 3 2" xfId="10366"/>
    <cellStyle name="설명 텍스트 6 4" xfId="10367"/>
    <cellStyle name="설명 텍스트 6 4 2" xfId="10368"/>
    <cellStyle name="설명 텍스트 6 5" xfId="10369"/>
    <cellStyle name="설명 텍스트 6 5 2" xfId="10370"/>
    <cellStyle name="설명 텍스트 6 6" xfId="10371"/>
    <cellStyle name="설명 텍스트 6 6 2" xfId="10372"/>
    <cellStyle name="설명 텍스트 6 7" xfId="10373"/>
    <cellStyle name="설명 텍스트 6 7 2" xfId="10374"/>
    <cellStyle name="설명 텍스트 6 8" xfId="10375"/>
    <cellStyle name="설명 텍스트 6 8 2" xfId="10376"/>
    <cellStyle name="설명 텍스트 6 9" xfId="10377"/>
    <cellStyle name="설명 텍스트 6 9 2" xfId="10378"/>
    <cellStyle name="셀 확인 2" xfId="10379"/>
    <cellStyle name="셀 확인 2 10" xfId="10380"/>
    <cellStyle name="셀 확인 2 2" xfId="10381"/>
    <cellStyle name="셀 확인 2 2 2" xfId="10382"/>
    <cellStyle name="셀 확인 2 3" xfId="10383"/>
    <cellStyle name="셀 확인 2 3 2" xfId="10384"/>
    <cellStyle name="셀 확인 2 4" xfId="10385"/>
    <cellStyle name="셀 확인 2 4 2" xfId="10386"/>
    <cellStyle name="셀 확인 2 5" xfId="10387"/>
    <cellStyle name="셀 확인 2 5 2" xfId="10388"/>
    <cellStyle name="셀 확인 2 6" xfId="10389"/>
    <cellStyle name="셀 확인 2 6 2" xfId="10390"/>
    <cellStyle name="셀 확인 2 7" xfId="10391"/>
    <cellStyle name="셀 확인 2 7 2" xfId="10392"/>
    <cellStyle name="셀 확인 2 8" xfId="10393"/>
    <cellStyle name="셀 확인 2 8 2" xfId="10394"/>
    <cellStyle name="셀 확인 2 9" xfId="10395"/>
    <cellStyle name="셀 확인 2 9 2" xfId="10396"/>
    <cellStyle name="셀 확인 3" xfId="10397"/>
    <cellStyle name="셀 확인 3 10" xfId="10398"/>
    <cellStyle name="셀 확인 3 2" xfId="10399"/>
    <cellStyle name="셀 확인 3 2 2" xfId="10400"/>
    <cellStyle name="셀 확인 3 3" xfId="10401"/>
    <cellStyle name="셀 확인 3 3 2" xfId="10402"/>
    <cellStyle name="셀 확인 3 4" xfId="10403"/>
    <cellStyle name="셀 확인 3 4 2" xfId="10404"/>
    <cellStyle name="셀 확인 3 5" xfId="10405"/>
    <cellStyle name="셀 확인 3 5 2" xfId="10406"/>
    <cellStyle name="셀 확인 3 6" xfId="10407"/>
    <cellStyle name="셀 확인 3 6 2" xfId="10408"/>
    <cellStyle name="셀 확인 3 7" xfId="10409"/>
    <cellStyle name="셀 확인 3 7 2" xfId="10410"/>
    <cellStyle name="셀 확인 3 8" xfId="10411"/>
    <cellStyle name="셀 확인 3 8 2" xfId="10412"/>
    <cellStyle name="셀 확인 3 9" xfId="10413"/>
    <cellStyle name="셀 확인 3 9 2" xfId="10414"/>
    <cellStyle name="셀 확인 4" xfId="10415"/>
    <cellStyle name="셀 확인 4 10" xfId="10416"/>
    <cellStyle name="셀 확인 4 2" xfId="10417"/>
    <cellStyle name="셀 확인 4 2 2" xfId="10418"/>
    <cellStyle name="셀 확인 4 3" xfId="10419"/>
    <cellStyle name="셀 확인 4 3 2" xfId="10420"/>
    <cellStyle name="셀 확인 4 4" xfId="10421"/>
    <cellStyle name="셀 확인 4 4 2" xfId="10422"/>
    <cellStyle name="셀 확인 4 5" xfId="10423"/>
    <cellStyle name="셀 확인 4 5 2" xfId="10424"/>
    <cellStyle name="셀 확인 4 6" xfId="10425"/>
    <cellStyle name="셀 확인 4 6 2" xfId="10426"/>
    <cellStyle name="셀 확인 4 7" xfId="10427"/>
    <cellStyle name="셀 확인 4 7 2" xfId="10428"/>
    <cellStyle name="셀 확인 4 8" xfId="10429"/>
    <cellStyle name="셀 확인 4 8 2" xfId="10430"/>
    <cellStyle name="셀 확인 4 9" xfId="10431"/>
    <cellStyle name="셀 확인 4 9 2" xfId="10432"/>
    <cellStyle name="셀 확인 5" xfId="10433"/>
    <cellStyle name="셀 확인 5 10" xfId="10434"/>
    <cellStyle name="셀 확인 5 2" xfId="10435"/>
    <cellStyle name="셀 확인 5 2 2" xfId="10436"/>
    <cellStyle name="셀 확인 5 3" xfId="10437"/>
    <cellStyle name="셀 확인 5 3 2" xfId="10438"/>
    <cellStyle name="셀 확인 5 4" xfId="10439"/>
    <cellStyle name="셀 확인 5 4 2" xfId="10440"/>
    <cellStyle name="셀 확인 5 5" xfId="10441"/>
    <cellStyle name="셀 확인 5 5 2" xfId="10442"/>
    <cellStyle name="셀 확인 5 6" xfId="10443"/>
    <cellStyle name="셀 확인 5 6 2" xfId="10444"/>
    <cellStyle name="셀 확인 5 7" xfId="10445"/>
    <cellStyle name="셀 확인 5 7 2" xfId="10446"/>
    <cellStyle name="셀 확인 5 8" xfId="10447"/>
    <cellStyle name="셀 확인 5 8 2" xfId="10448"/>
    <cellStyle name="셀 확인 5 9" xfId="10449"/>
    <cellStyle name="셀 확인 5 9 2" xfId="10450"/>
    <cellStyle name="셀 확인 6" xfId="10451"/>
    <cellStyle name="셀 확인 6 10" xfId="10452"/>
    <cellStyle name="셀 확인 6 2" xfId="10453"/>
    <cellStyle name="셀 확인 6 2 2" xfId="10454"/>
    <cellStyle name="셀 확인 6 3" xfId="10455"/>
    <cellStyle name="셀 확인 6 3 2" xfId="10456"/>
    <cellStyle name="셀 확인 6 4" xfId="10457"/>
    <cellStyle name="셀 확인 6 4 2" xfId="10458"/>
    <cellStyle name="셀 확인 6 5" xfId="10459"/>
    <cellStyle name="셀 확인 6 5 2" xfId="10460"/>
    <cellStyle name="셀 확인 6 6" xfId="10461"/>
    <cellStyle name="셀 확인 6 6 2" xfId="10462"/>
    <cellStyle name="셀 확인 6 7" xfId="10463"/>
    <cellStyle name="셀 확인 6 7 2" xfId="10464"/>
    <cellStyle name="셀 확인 6 8" xfId="10465"/>
    <cellStyle name="셀 확인 6 8 2" xfId="10466"/>
    <cellStyle name="셀 확인 6 9" xfId="10467"/>
    <cellStyle name="셀 확인 6 9 2" xfId="10468"/>
    <cellStyle name="소수" xfId="10469"/>
    <cellStyle name="소수3" xfId="10470"/>
    <cellStyle name="소수4" xfId="10471"/>
    <cellStyle name="소수점" xfId="10472"/>
    <cellStyle name="수량" xfId="10473"/>
    <cellStyle name="수량 10" xfId="10474"/>
    <cellStyle name="수량 10 2" xfId="10475"/>
    <cellStyle name="수량 11" xfId="10476"/>
    <cellStyle name="수량 11 2" xfId="10477"/>
    <cellStyle name="수량 12" xfId="10478"/>
    <cellStyle name="수량 12 2" xfId="10479"/>
    <cellStyle name="수량 13" xfId="10480"/>
    <cellStyle name="수량 13 2" xfId="10481"/>
    <cellStyle name="수량 14" xfId="10482"/>
    <cellStyle name="수량 14 2" xfId="10483"/>
    <cellStyle name="수량 14 2 2" xfId="10484"/>
    <cellStyle name="수량 14 2 3" xfId="10485"/>
    <cellStyle name="수량 14 2 4" xfId="10486"/>
    <cellStyle name="수량 14 2 5" xfId="10487"/>
    <cellStyle name="수량 15" xfId="10488"/>
    <cellStyle name="수량 15 2" xfId="10489"/>
    <cellStyle name="수량 15 3" xfId="10490"/>
    <cellStyle name="수량 15 4" xfId="10491"/>
    <cellStyle name="수량 15 5" xfId="10492"/>
    <cellStyle name="수량 2" xfId="10493"/>
    <cellStyle name="수량 2 2" xfId="10494"/>
    <cellStyle name="수량 2 2 2" xfId="10495"/>
    <cellStyle name="수량 2 3" xfId="10496"/>
    <cellStyle name="수량 2 3 2" xfId="10497"/>
    <cellStyle name="수량 2 3 2 2" xfId="10498"/>
    <cellStyle name="수량 2 3 2 3" xfId="10499"/>
    <cellStyle name="수량 2 3 2 4" xfId="10500"/>
    <cellStyle name="수량 2 3 2 5" xfId="10501"/>
    <cellStyle name="수량 2 4" xfId="10502"/>
    <cellStyle name="수량 2 4 2" xfId="10503"/>
    <cellStyle name="수량 2 4 3" xfId="10504"/>
    <cellStyle name="수량 2 4 4" xfId="10505"/>
    <cellStyle name="수량 2 4 5" xfId="10506"/>
    <cellStyle name="수량 3" xfId="10507"/>
    <cellStyle name="수량 3 2" xfId="10508"/>
    <cellStyle name="수량 4" xfId="10509"/>
    <cellStyle name="수량 4 2" xfId="10510"/>
    <cellStyle name="수량 5" xfId="10511"/>
    <cellStyle name="수량 5 2" xfId="10512"/>
    <cellStyle name="수량 6" xfId="10513"/>
    <cellStyle name="수량 6 2" xfId="10514"/>
    <cellStyle name="수량 7" xfId="10515"/>
    <cellStyle name="수량 7 2" xfId="10516"/>
    <cellStyle name="수량 8" xfId="10517"/>
    <cellStyle name="수량 8 2" xfId="10518"/>
    <cellStyle name="수량 9" xfId="10519"/>
    <cellStyle name="수량 9 2" xfId="10520"/>
    <cellStyle name="숨기기" xfId="10521"/>
    <cellStyle name="숫자" xfId="10522"/>
    <cellStyle name="숫자 2" xfId="10523"/>
    <cellStyle name="숫자(R)" xfId="10524"/>
    <cellStyle name="숫자(R) 10" xfId="10525"/>
    <cellStyle name="숫자(R) 10 2" xfId="10526"/>
    <cellStyle name="숫자(R) 11" xfId="10527"/>
    <cellStyle name="숫자(R) 11 2" xfId="10528"/>
    <cellStyle name="숫자(R) 12" xfId="10529"/>
    <cellStyle name="숫자(R) 12 2" xfId="10530"/>
    <cellStyle name="숫자(R) 13" xfId="10531"/>
    <cellStyle name="숫자(R) 13 2" xfId="10532"/>
    <cellStyle name="숫자(R) 14" xfId="10533"/>
    <cellStyle name="숫자(R) 15" xfId="10534"/>
    <cellStyle name="숫자(R) 16" xfId="10535"/>
    <cellStyle name="숫자(R) 2" xfId="10536"/>
    <cellStyle name="숫자(R) 2 2" xfId="10537"/>
    <cellStyle name="숫자(R) 2 2 2" xfId="10538"/>
    <cellStyle name="숫자(R) 2 3" xfId="10539"/>
    <cellStyle name="숫자(R) 3" xfId="10540"/>
    <cellStyle name="숫자(R) 3 2" xfId="10541"/>
    <cellStyle name="숫자(R) 4" xfId="10542"/>
    <cellStyle name="숫자(R) 4 2" xfId="10543"/>
    <cellStyle name="숫자(R) 5" xfId="10544"/>
    <cellStyle name="숫자(R) 5 2" xfId="10545"/>
    <cellStyle name="숫자(R) 6" xfId="10546"/>
    <cellStyle name="숫자(R) 6 2" xfId="10547"/>
    <cellStyle name="숫자(R) 7" xfId="10548"/>
    <cellStyle name="숫자(R) 7 2" xfId="10549"/>
    <cellStyle name="숫자(R) 8" xfId="10550"/>
    <cellStyle name="숫자(R) 8 2" xfId="10551"/>
    <cellStyle name="숫자(R) 9" xfId="10552"/>
    <cellStyle name="숫자(R) 9 2" xfId="10553"/>
    <cellStyle name="숫자(R)_1부여부지 콘도미니엄 신축공사 AV설비 견적서_20100121" xfId="10554"/>
    <cellStyle name="숫자_강교제작및가설계획" xfId="10555"/>
    <cellStyle name="쉼표 [0] 10" xfId="10556"/>
    <cellStyle name="쉼표 [0] 10 10" xfId="10557"/>
    <cellStyle name="쉼표 [0] 10 10 2" xfId="10558"/>
    <cellStyle name="쉼표 [0] 10 11" xfId="10559"/>
    <cellStyle name="쉼표 [0] 10 11 2" xfId="10560"/>
    <cellStyle name="쉼표 [0] 10 12" xfId="10561"/>
    <cellStyle name="쉼표 [0] 10 12 2" xfId="10562"/>
    <cellStyle name="쉼표 [0] 10 13" xfId="10563"/>
    <cellStyle name="쉼표 [0] 10 13 2" xfId="10564"/>
    <cellStyle name="쉼표 [0] 10 14" xfId="10565"/>
    <cellStyle name="쉼표 [0] 10 14 2" xfId="10566"/>
    <cellStyle name="쉼표 [0] 10 15" xfId="10567"/>
    <cellStyle name="쉼표 [0] 10 15 2" xfId="10568"/>
    <cellStyle name="쉼표 [0] 10 16" xfId="10569"/>
    <cellStyle name="쉼표 [0] 10 16 2" xfId="10570"/>
    <cellStyle name="쉼표 [0] 10 17" xfId="10571"/>
    <cellStyle name="쉼표 [0] 10 17 2" xfId="10572"/>
    <cellStyle name="쉼표 [0] 10 18" xfId="10573"/>
    <cellStyle name="쉼표 [0] 10 18 2" xfId="10574"/>
    <cellStyle name="쉼표 [0] 10 19" xfId="10575"/>
    <cellStyle name="쉼표 [0] 10 19 2" xfId="10576"/>
    <cellStyle name="쉼표 [0] 10 2" xfId="10577"/>
    <cellStyle name="쉼표 [0] 10 2 2" xfId="10578"/>
    <cellStyle name="쉼표 [0] 10 20" xfId="10579"/>
    <cellStyle name="쉼표 [0] 10 20 2" xfId="10580"/>
    <cellStyle name="쉼표 [0] 10 21" xfId="10581"/>
    <cellStyle name="쉼표 [0] 10 21 2" xfId="10582"/>
    <cellStyle name="쉼표 [0] 10 22" xfId="10583"/>
    <cellStyle name="쉼표 [0] 10 22 2" xfId="10584"/>
    <cellStyle name="쉼표 [0] 10 23" xfId="10585"/>
    <cellStyle name="쉼표 [0] 10 23 2" xfId="10586"/>
    <cellStyle name="쉼표 [0] 10 24" xfId="10587"/>
    <cellStyle name="쉼표 [0] 10 24 2" xfId="10588"/>
    <cellStyle name="쉼표 [0] 10 25" xfId="10589"/>
    <cellStyle name="쉼표 [0] 10 25 2" xfId="10590"/>
    <cellStyle name="쉼표 [0] 10 26" xfId="10591"/>
    <cellStyle name="쉼표 [0] 10 3" xfId="10592"/>
    <cellStyle name="쉼표 [0] 10 3 2" xfId="10593"/>
    <cellStyle name="쉼표 [0] 10 4" xfId="10594"/>
    <cellStyle name="쉼표 [0] 10 4 2" xfId="10595"/>
    <cellStyle name="쉼표 [0] 10 5" xfId="10596"/>
    <cellStyle name="쉼표 [0] 10 5 2" xfId="10597"/>
    <cellStyle name="쉼표 [0] 10 6" xfId="10598"/>
    <cellStyle name="쉼표 [0] 10 6 2" xfId="10599"/>
    <cellStyle name="쉼표 [0] 10 7" xfId="10600"/>
    <cellStyle name="쉼표 [0] 10 7 2" xfId="10601"/>
    <cellStyle name="쉼표 [0] 10 8" xfId="10602"/>
    <cellStyle name="쉼표 [0] 10 8 2" xfId="10603"/>
    <cellStyle name="쉼표 [0] 10 9" xfId="10604"/>
    <cellStyle name="쉼표 [0] 10 9 2" xfId="10605"/>
    <cellStyle name="쉼표 [0] 11" xfId="10606"/>
    <cellStyle name="쉼표 [0] 11 2" xfId="10607"/>
    <cellStyle name="쉼표 [0] 11 2 2" xfId="10608"/>
    <cellStyle name="쉼표 [0] 12" xfId="10609"/>
    <cellStyle name="쉼표 [0] 12 2" xfId="10610"/>
    <cellStyle name="쉼표 [0] 13" xfId="10611"/>
    <cellStyle name="쉼표 [0] 13 2" xfId="10612"/>
    <cellStyle name="쉼표 [0] 14" xfId="10613"/>
    <cellStyle name="쉼표 [0] 14 2" xfId="10614"/>
    <cellStyle name="쉼표 [0] 15" xfId="10615"/>
    <cellStyle name="쉼표 [0] 15 2" xfId="10616"/>
    <cellStyle name="쉼표 [0] 16" xfId="10617"/>
    <cellStyle name="쉼표 [0] 16 2" xfId="10618"/>
    <cellStyle name="쉼표 [0] 16 2 2" xfId="10619"/>
    <cellStyle name="쉼표 [0] 16 3" xfId="10620"/>
    <cellStyle name="쉼표 [0] 16 3 2" xfId="10621"/>
    <cellStyle name="쉼표 [0] 16 4" xfId="10622"/>
    <cellStyle name="쉼표 [0] 16 4 2" xfId="10623"/>
    <cellStyle name="쉼표 [0] 16 5" xfId="10624"/>
    <cellStyle name="쉼표 [0] 16 5 2" xfId="10625"/>
    <cellStyle name="쉼표 [0] 16 6" xfId="10626"/>
    <cellStyle name="쉼표 [0] 16 6 2" xfId="10627"/>
    <cellStyle name="쉼표 [0] 16 7" xfId="10628"/>
    <cellStyle name="쉼표 [0] 16 7 2" xfId="10629"/>
    <cellStyle name="쉼표 [0] 16 8" xfId="10630"/>
    <cellStyle name="쉼표 [0] 17" xfId="10631"/>
    <cellStyle name="쉼표 [0] 17 2" xfId="10632"/>
    <cellStyle name="쉼표 [0] 17 2 2" xfId="10633"/>
    <cellStyle name="쉼표 [0] 17 3" xfId="10634"/>
    <cellStyle name="쉼표 [0] 17 3 2" xfId="10635"/>
    <cellStyle name="쉼표 [0] 17 4" xfId="10636"/>
    <cellStyle name="쉼표 [0] 17 4 2" xfId="10637"/>
    <cellStyle name="쉼표 [0] 17 5" xfId="10638"/>
    <cellStyle name="쉼표 [0] 17 5 2" xfId="10639"/>
    <cellStyle name="쉼표 [0] 17 6" xfId="10640"/>
    <cellStyle name="쉼표 [0] 17 6 2" xfId="10641"/>
    <cellStyle name="쉼표 [0] 17 7" xfId="10642"/>
    <cellStyle name="쉼표 [0] 17 7 2" xfId="10643"/>
    <cellStyle name="쉼표 [0] 17 8" xfId="10644"/>
    <cellStyle name="쉼표 [0] 17 8 2" xfId="10645"/>
    <cellStyle name="쉼표 [0] 17 9" xfId="10646"/>
    <cellStyle name="쉼표 [0] 18" xfId="10647"/>
    <cellStyle name="쉼표 [0] 18 2" xfId="10648"/>
    <cellStyle name="쉼표 [0] 18 2 2" xfId="10649"/>
    <cellStyle name="쉼표 [0] 18 3" xfId="10650"/>
    <cellStyle name="쉼표 [0] 18 3 2" xfId="10651"/>
    <cellStyle name="쉼표 [0] 18 4" xfId="10652"/>
    <cellStyle name="쉼표 [0] 18 4 2" xfId="10653"/>
    <cellStyle name="쉼표 [0] 18 5" xfId="10654"/>
    <cellStyle name="쉼표 [0] 18 5 2" xfId="10655"/>
    <cellStyle name="쉼표 [0] 18 6" xfId="10656"/>
    <cellStyle name="쉼표 [0] 18 6 2" xfId="10657"/>
    <cellStyle name="쉼표 [0] 18 7" xfId="10658"/>
    <cellStyle name="쉼표 [0] 18 7 2" xfId="10659"/>
    <cellStyle name="쉼표 [0] 18 8" xfId="10660"/>
    <cellStyle name="쉼표 [0] 19" xfId="10661"/>
    <cellStyle name="쉼표 [0] 19 10" xfId="10662"/>
    <cellStyle name="쉼표 [0] 19 10 2" xfId="10663"/>
    <cellStyle name="쉼표 [0] 19 11" xfId="10664"/>
    <cellStyle name="쉼표 [0] 19 11 2" xfId="10665"/>
    <cellStyle name="쉼표 [0] 19 12" xfId="10666"/>
    <cellStyle name="쉼표 [0] 19 12 2" xfId="10667"/>
    <cellStyle name="쉼표 [0] 19 13" xfId="10668"/>
    <cellStyle name="쉼표 [0] 19 13 2" xfId="10669"/>
    <cellStyle name="쉼표 [0] 19 14" xfId="10670"/>
    <cellStyle name="쉼표 [0] 19 14 2" xfId="10671"/>
    <cellStyle name="쉼표 [0] 19 15" xfId="10672"/>
    <cellStyle name="쉼표 [0] 19 15 2" xfId="10673"/>
    <cellStyle name="쉼표 [0] 19 16" xfId="10674"/>
    <cellStyle name="쉼표 [0] 19 16 2" xfId="10675"/>
    <cellStyle name="쉼표 [0] 19 17" xfId="10676"/>
    <cellStyle name="쉼표 [0] 19 2" xfId="10677"/>
    <cellStyle name="쉼표 [0] 19 2 2" xfId="10678"/>
    <cellStyle name="쉼표 [0] 19 3" xfId="10679"/>
    <cellStyle name="쉼표 [0] 19 3 2" xfId="10680"/>
    <cellStyle name="쉼표 [0] 19 4" xfId="10681"/>
    <cellStyle name="쉼표 [0] 19 4 2" xfId="10682"/>
    <cellStyle name="쉼표 [0] 19 5" xfId="10683"/>
    <cellStyle name="쉼표 [0] 19 5 2" xfId="10684"/>
    <cellStyle name="쉼표 [0] 19 6" xfId="10685"/>
    <cellStyle name="쉼표 [0] 19 6 2" xfId="10686"/>
    <cellStyle name="쉼표 [0] 19 7" xfId="10687"/>
    <cellStyle name="쉼표 [0] 19 7 2" xfId="10688"/>
    <cellStyle name="쉼표 [0] 19 8" xfId="10689"/>
    <cellStyle name="쉼표 [0] 19 8 2" xfId="10690"/>
    <cellStyle name="쉼표 [0] 19 9" xfId="10691"/>
    <cellStyle name="쉼표 [0] 19 9 2" xfId="10692"/>
    <cellStyle name="쉼표 [0] 2" xfId="10693"/>
    <cellStyle name="쉼표 [0] 2 10" xfId="10694"/>
    <cellStyle name="쉼표 [0] 2 11" xfId="10695"/>
    <cellStyle name="쉼표 [0] 2 12" xfId="10696"/>
    <cellStyle name="쉼표 [0] 2 13" xfId="10697"/>
    <cellStyle name="쉼표 [0] 2 14" xfId="10698"/>
    <cellStyle name="쉼표 [0] 2 2" xfId="10699"/>
    <cellStyle name="쉼표 [0] 2 2 2" xfId="10700"/>
    <cellStyle name="쉼표 [0] 2 2 2 2" xfId="10701"/>
    <cellStyle name="쉼표 [0] 2 2 2 3" xfId="10702"/>
    <cellStyle name="쉼표 [0] 2 2 3" xfId="10703"/>
    <cellStyle name="쉼표 [0] 2 2 3 2" xfId="10704"/>
    <cellStyle name="쉼표 [0] 2 2 4" xfId="10705"/>
    <cellStyle name="쉼표 [0] 2 2 5" xfId="10706"/>
    <cellStyle name="쉼표 [0] 2 3" xfId="10707"/>
    <cellStyle name="쉼표 [0] 2 3 2" xfId="10708"/>
    <cellStyle name="쉼표 [0] 2 3 2 2" xfId="10709"/>
    <cellStyle name="쉼표 [0] 2 3 2 3" xfId="10710"/>
    <cellStyle name="쉼표 [0] 2 3 3" xfId="10711"/>
    <cellStyle name="쉼표 [0] 2 3 3 2" xfId="10712"/>
    <cellStyle name="쉼표 [0] 2 3 4" xfId="10713"/>
    <cellStyle name="쉼표 [0] 2 3 5" xfId="10714"/>
    <cellStyle name="쉼표 [0] 2 3 6" xfId="10715"/>
    <cellStyle name="쉼표 [0] 2 4" xfId="10716"/>
    <cellStyle name="쉼표 [0] 2 4 2" xfId="10717"/>
    <cellStyle name="쉼표 [0] 2 4 2 2" xfId="10718"/>
    <cellStyle name="쉼표 [0] 2 4 3" xfId="10719"/>
    <cellStyle name="쉼표 [0] 2 4 4" xfId="10720"/>
    <cellStyle name="쉼표 [0] 2 5" xfId="10721"/>
    <cellStyle name="쉼표 [0] 2 5 2" xfId="10722"/>
    <cellStyle name="쉼표 [0] 2 5 2 2" xfId="10723"/>
    <cellStyle name="쉼표 [0] 2 5 3" xfId="10724"/>
    <cellStyle name="쉼표 [0] 2 6" xfId="10725"/>
    <cellStyle name="쉼표 [0] 2 6 2" xfId="10726"/>
    <cellStyle name="쉼표 [0] 2 7" xfId="10727"/>
    <cellStyle name="쉼표 [0] 2 7 2" xfId="10728"/>
    <cellStyle name="쉼표 [0] 2 8" xfId="10729"/>
    <cellStyle name="쉼표 [0] 2 8 2" xfId="10730"/>
    <cellStyle name="쉼표 [0] 2 9" xfId="10731"/>
    <cellStyle name="쉼표 [0] 2 9 2" xfId="10732"/>
    <cellStyle name="쉼표 [0] 2_롯데 일산점 무대조명_총괄표_100503_수정" xfId="10733"/>
    <cellStyle name="쉼표 [0] 20" xfId="10734"/>
    <cellStyle name="쉼표 [0] 20 2" xfId="10735"/>
    <cellStyle name="쉼표 [0] 21" xfId="10736"/>
    <cellStyle name="쉼표 [0] 21 2" xfId="10737"/>
    <cellStyle name="쉼표 [0] 22" xfId="10738"/>
    <cellStyle name="쉼표 [0] 22 2" xfId="10739"/>
    <cellStyle name="쉼표 [0] 23" xfId="10740"/>
    <cellStyle name="쉼표 [0] 23 2" xfId="10741"/>
    <cellStyle name="쉼표 [0] 24" xfId="10742"/>
    <cellStyle name="쉼표 [0] 24 2" xfId="10743"/>
    <cellStyle name="쉼표 [0] 25" xfId="10744"/>
    <cellStyle name="쉼표 [0] 25 2" xfId="10745"/>
    <cellStyle name="쉼표 [0] 26" xfId="10746"/>
    <cellStyle name="쉼표 [0] 26 2" xfId="10747"/>
    <cellStyle name="쉼표 [0] 27" xfId="10748"/>
    <cellStyle name="쉼표 [0] 27 2" xfId="10749"/>
    <cellStyle name="쉼표 [0] 28" xfId="10750"/>
    <cellStyle name="쉼표 [0] 28 2" xfId="10751"/>
    <cellStyle name="쉼표 [0] 29" xfId="10752"/>
    <cellStyle name="쉼표 [0] 29 2" xfId="10753"/>
    <cellStyle name="쉼표 [0] 3" xfId="10754"/>
    <cellStyle name="쉼표 [0] 3 10" xfId="10755"/>
    <cellStyle name="쉼표 [0] 3 10 2" xfId="10756"/>
    <cellStyle name="쉼표 [0] 3 11" xfId="10757"/>
    <cellStyle name="쉼표 [0] 3 11 2" xfId="10758"/>
    <cellStyle name="쉼표 [0] 3 12" xfId="10759"/>
    <cellStyle name="쉼표 [0] 3 13" xfId="10760"/>
    <cellStyle name="쉼표 [0] 3 2" xfId="10761"/>
    <cellStyle name="쉼표 [0] 3 2 2" xfId="10762"/>
    <cellStyle name="쉼표 [0] 3 2 2 2" xfId="10763"/>
    <cellStyle name="쉼표 [0] 3 2 2 3" xfId="10764"/>
    <cellStyle name="쉼표 [0] 3 2 3" xfId="10765"/>
    <cellStyle name="쉼표 [0] 3 2 3 2" xfId="10766"/>
    <cellStyle name="쉼표 [0] 3 2 4" xfId="10767"/>
    <cellStyle name="쉼표 [0] 3 2 5" xfId="10768"/>
    <cellStyle name="쉼표 [0] 3 2 6" xfId="10769"/>
    <cellStyle name="쉼표 [0] 3 3" xfId="10770"/>
    <cellStyle name="쉼표 [0] 3 3 2" xfId="10771"/>
    <cellStyle name="쉼표 [0] 3 4" xfId="10772"/>
    <cellStyle name="쉼표 [0] 3 4 2" xfId="10773"/>
    <cellStyle name="쉼표 [0] 3 4 3" xfId="10774"/>
    <cellStyle name="쉼표 [0] 3 5" xfId="10775"/>
    <cellStyle name="쉼표 [0] 3 5 2" xfId="10776"/>
    <cellStyle name="쉼표 [0] 3 5 2 2" xfId="10777"/>
    <cellStyle name="쉼표 [0] 3 5 3" xfId="10778"/>
    <cellStyle name="쉼표 [0] 3 6" xfId="10779"/>
    <cellStyle name="쉼표 [0] 3 6 2" xfId="10780"/>
    <cellStyle name="쉼표 [0] 3 7" xfId="10781"/>
    <cellStyle name="쉼표 [0] 3 7 2" xfId="10782"/>
    <cellStyle name="쉼표 [0] 3 7 2 2" xfId="10783"/>
    <cellStyle name="쉼표 [0] 3 7 3" xfId="10784"/>
    <cellStyle name="쉼표 [0] 3 8" xfId="10785"/>
    <cellStyle name="쉼표 [0] 3 8 2" xfId="10786"/>
    <cellStyle name="쉼표 [0] 3 9" xfId="10787"/>
    <cellStyle name="쉼표 [0] 3 9 2" xfId="10788"/>
    <cellStyle name="쉼표 [0] 3_전파진흥원_AV설비_설치공사_(원가포함)_SMT110903" xfId="10789"/>
    <cellStyle name="쉼표 [0] 30" xfId="10790"/>
    <cellStyle name="쉼표 [0] 30 2" xfId="10791"/>
    <cellStyle name="쉼표 [0] 31" xfId="10792"/>
    <cellStyle name="쉼표 [0] 31 2" xfId="10793"/>
    <cellStyle name="쉼표 [0] 32" xfId="10794"/>
    <cellStyle name="쉼표 [0] 32 2" xfId="10795"/>
    <cellStyle name="쉼표 [0] 33" xfId="10796"/>
    <cellStyle name="쉼표 [0] 33 2" xfId="10797"/>
    <cellStyle name="쉼표 [0] 34" xfId="10798"/>
    <cellStyle name="쉼표 [0] 34 2" xfId="10799"/>
    <cellStyle name="쉼표 [0] 35" xfId="10800"/>
    <cellStyle name="쉼표 [0] 35 2" xfId="10801"/>
    <cellStyle name="쉼표 [0] 36" xfId="10802"/>
    <cellStyle name="쉼표 [0] 37" xfId="10803"/>
    <cellStyle name="쉼표 [0] 37 2" xfId="10804"/>
    <cellStyle name="쉼표 [0] 38" xfId="10805"/>
    <cellStyle name="쉼표 [0] 38 2" xfId="10806"/>
    <cellStyle name="쉼표 [0] 39" xfId="10807"/>
    <cellStyle name="쉼표 [0] 39 2" xfId="10808"/>
    <cellStyle name="쉼표 [0] 4" xfId="10809"/>
    <cellStyle name="쉼표 [0] 4 2" xfId="10810"/>
    <cellStyle name="쉼표 [0] 4 2 2" xfId="10811"/>
    <cellStyle name="쉼표 [0] 4 2 3" xfId="10812"/>
    <cellStyle name="쉼표 [0] 4 2 4" xfId="10813"/>
    <cellStyle name="쉼표 [0] 4 3" xfId="10814"/>
    <cellStyle name="쉼표 [0] 4 3 2" xfId="10815"/>
    <cellStyle name="쉼표 [0] 4 3 3" xfId="10816"/>
    <cellStyle name="쉼표 [0] 4 4" xfId="10817"/>
    <cellStyle name="쉼표 [0] 4 4 2" xfId="10818"/>
    <cellStyle name="쉼표 [0] 4 5" xfId="10819"/>
    <cellStyle name="쉼표 [0] 4 5 2" xfId="10820"/>
    <cellStyle name="쉼표 [0] 4 6" xfId="10821"/>
    <cellStyle name="쉼표 [0] 4 7" xfId="10822"/>
    <cellStyle name="쉼표 [0] 4 8" xfId="10823"/>
    <cellStyle name="쉼표 [0] 4 9" xfId="10824"/>
    <cellStyle name="쉼표 [0] 40" xfId="10825"/>
    <cellStyle name="쉼표 [0] 41" xfId="10826"/>
    <cellStyle name="쉼표 [0] 41 2" xfId="10827"/>
    <cellStyle name="쉼표 [0] 42" xfId="10828"/>
    <cellStyle name="쉼표 [0] 43" xfId="10829"/>
    <cellStyle name="쉼표 [0] 44" xfId="10830"/>
    <cellStyle name="쉼표 [0] 45" xfId="10831"/>
    <cellStyle name="쉼표 [0] 46" xfId="10832"/>
    <cellStyle name="쉼표 [0] 47" xfId="10833"/>
    <cellStyle name="쉼표 [0] 48" xfId="10834"/>
    <cellStyle name="쉼표 [0] 49" xfId="10835"/>
    <cellStyle name="쉼표 [0] 5" xfId="10836"/>
    <cellStyle name="쉼표 [0] 5 10" xfId="10837"/>
    <cellStyle name="쉼표 [0] 5 11" xfId="10838"/>
    <cellStyle name="쉼표 [0] 5 12" xfId="10839"/>
    <cellStyle name="쉼표 [0] 5 2" xfId="10840"/>
    <cellStyle name="쉼표 [0] 5 2 2" xfId="10841"/>
    <cellStyle name="쉼표 [0] 5 2 3" xfId="10842"/>
    <cellStyle name="쉼표 [0] 5 3" xfId="10843"/>
    <cellStyle name="쉼표 [0] 5 3 2" xfId="10844"/>
    <cellStyle name="쉼표 [0] 5 4" xfId="10845"/>
    <cellStyle name="쉼표 [0] 5 4 2" xfId="10846"/>
    <cellStyle name="쉼표 [0] 5 5" xfId="10847"/>
    <cellStyle name="쉼표 [0] 5 5 2" xfId="10848"/>
    <cellStyle name="쉼표 [0] 5 6" xfId="10849"/>
    <cellStyle name="쉼표 [0] 5 6 2" xfId="10850"/>
    <cellStyle name="쉼표 [0] 5 7" xfId="10851"/>
    <cellStyle name="쉼표 [0] 5 7 2" xfId="10852"/>
    <cellStyle name="쉼표 [0] 5 8" xfId="10853"/>
    <cellStyle name="쉼표 [0] 5 8 2" xfId="10854"/>
    <cellStyle name="쉼표 [0] 5 9" xfId="10855"/>
    <cellStyle name="쉼표 [0] 50" xfId="10856"/>
    <cellStyle name="쉼표 [0] 51" xfId="10857"/>
    <cellStyle name="쉼표 [0] 52" xfId="10858"/>
    <cellStyle name="쉼표 [0] 53" xfId="10859"/>
    <cellStyle name="쉼표 [0] 54" xfId="10860"/>
    <cellStyle name="쉼표 [0] 55" xfId="10861"/>
    <cellStyle name="쉼표 [0] 56" xfId="10862"/>
    <cellStyle name="쉼표 [0] 57" xfId="10863"/>
    <cellStyle name="쉼표 [0] 58" xfId="10864"/>
    <cellStyle name="쉼표 [0] 59" xfId="10865"/>
    <cellStyle name="쉼표 [0] 6" xfId="10866"/>
    <cellStyle name="쉼표 [0] 6 2" xfId="10867"/>
    <cellStyle name="쉼표 [0] 6 2 2" xfId="10868"/>
    <cellStyle name="쉼표 [0] 6 2 3" xfId="10869"/>
    <cellStyle name="쉼표 [0] 6 3" xfId="10870"/>
    <cellStyle name="쉼표 [0] 6 3 2" xfId="10871"/>
    <cellStyle name="쉼표 [0] 6 4" xfId="10872"/>
    <cellStyle name="쉼표 [0] 6 4 2" xfId="10873"/>
    <cellStyle name="쉼표 [0] 6 5" xfId="10874"/>
    <cellStyle name="쉼표 [0] 6 6" xfId="10875"/>
    <cellStyle name="쉼표 [0] 6 7" xfId="10876"/>
    <cellStyle name="쉼표 [0] 6_전파진흥원_AV설비_설치공사_(원가포함)_SMT110903" xfId="10877"/>
    <cellStyle name="쉼표 [0] 60" xfId="10878"/>
    <cellStyle name="쉼표 [0] 61" xfId="10879"/>
    <cellStyle name="쉼표 [0] 62" xfId="10880"/>
    <cellStyle name="쉼표 [0] 63" xfId="10881"/>
    <cellStyle name="쉼표 [0] 64" xfId="10882"/>
    <cellStyle name="쉼표 [0] 65" xfId="10883"/>
    <cellStyle name="쉼표 [0] 66" xfId="10884"/>
    <cellStyle name="쉼표 [0] 69 2" xfId="10885"/>
    <cellStyle name="쉼표 [0] 69 2 2" xfId="10886"/>
    <cellStyle name="쉼표 [0] 7" xfId="10887"/>
    <cellStyle name="쉼표 [0] 7 2" xfId="10888"/>
    <cellStyle name="쉼표 [0] 7 3" xfId="10889"/>
    <cellStyle name="쉼표 [0] 7 4" xfId="10890"/>
    <cellStyle name="쉼표 [0] 78" xfId="10891"/>
    <cellStyle name="쉼표 [0] 78 2" xfId="10892"/>
    <cellStyle name="쉼표 [0] 8" xfId="10893"/>
    <cellStyle name="쉼표 [0] 8 2" xfId="10894"/>
    <cellStyle name="쉼표 [0] 8 3" xfId="10895"/>
    <cellStyle name="쉼표 [0] 8 4" xfId="10896"/>
    <cellStyle name="쉼표 [0] 87 2" xfId="10897"/>
    <cellStyle name="쉼표 [0] 9" xfId="10898"/>
    <cellStyle name="쉼표 [0] 9 2" xfId="10899"/>
    <cellStyle name="쉼표 10" xfId="10900"/>
    <cellStyle name="쉼표 10 2" xfId="10901"/>
    <cellStyle name="쉼표 11" xfId="10902"/>
    <cellStyle name="쉼표 11 2" xfId="10903"/>
    <cellStyle name="쉼표 12" xfId="10904"/>
    <cellStyle name="쉼표 12 2" xfId="10905"/>
    <cellStyle name="쉼표 13" xfId="10906"/>
    <cellStyle name="쉼표 13 2" xfId="10907"/>
    <cellStyle name="쉼표 14" xfId="10908"/>
    <cellStyle name="쉼표 14 2" xfId="10909"/>
    <cellStyle name="쉼표 15" xfId="10910"/>
    <cellStyle name="쉼표 15 2" xfId="10911"/>
    <cellStyle name="쉼표 16" xfId="10912"/>
    <cellStyle name="쉼표 16 2" xfId="10913"/>
    <cellStyle name="쉼표 17" xfId="10914"/>
    <cellStyle name="쉼표 17 2" xfId="10915"/>
    <cellStyle name="쉼표 18" xfId="10916"/>
    <cellStyle name="쉼표 18 2" xfId="10917"/>
    <cellStyle name="쉼표 19" xfId="10918"/>
    <cellStyle name="쉼표 19 2" xfId="10919"/>
    <cellStyle name="쉼표 2" xfId="10920"/>
    <cellStyle name="쉼표 2 2" xfId="10921"/>
    <cellStyle name="쉼표 20" xfId="10922"/>
    <cellStyle name="쉼표 20 2" xfId="10923"/>
    <cellStyle name="쉼표 21" xfId="10924"/>
    <cellStyle name="쉼표 21 2" xfId="10925"/>
    <cellStyle name="쉼표 3" xfId="10926"/>
    <cellStyle name="쉼표 3 2" xfId="10927"/>
    <cellStyle name="쉼표 4" xfId="10928"/>
    <cellStyle name="쉼표 4 2" xfId="10929"/>
    <cellStyle name="쉼표 5" xfId="10930"/>
    <cellStyle name="쉼표 5 2" xfId="10931"/>
    <cellStyle name="쉼표 6" xfId="10932"/>
    <cellStyle name="쉼표 6 2" xfId="10933"/>
    <cellStyle name="쉼표 7" xfId="10934"/>
    <cellStyle name="쉼표 7 2" xfId="10935"/>
    <cellStyle name="쉼표 8" xfId="10936"/>
    <cellStyle name="쉼표 8 2" xfId="10937"/>
    <cellStyle name="쉼표 9" xfId="10938"/>
    <cellStyle name="쉼표 9 2" xfId="10939"/>
    <cellStyle name="스타일 1" xfId="10940"/>
    <cellStyle name="스타일 1 10" xfId="10941"/>
    <cellStyle name="스타일 1 10 2" xfId="10942"/>
    <cellStyle name="스타일 1 11" xfId="10943"/>
    <cellStyle name="스타일 1 11 2" xfId="10944"/>
    <cellStyle name="스타일 1 12" xfId="10945"/>
    <cellStyle name="스타일 1 12 2" xfId="10946"/>
    <cellStyle name="스타일 1 13" xfId="10947"/>
    <cellStyle name="스타일 1 13 2" xfId="10948"/>
    <cellStyle name="스타일 1 14" xfId="10949"/>
    <cellStyle name="스타일 1 14 2" xfId="10950"/>
    <cellStyle name="스타일 1 15" xfId="10951"/>
    <cellStyle name="스타일 1 15 2" xfId="10952"/>
    <cellStyle name="스타일 1 16" xfId="10953"/>
    <cellStyle name="스타일 1 16 2" xfId="10954"/>
    <cellStyle name="스타일 1 17" xfId="10955"/>
    <cellStyle name="스타일 1 17 2" xfId="10956"/>
    <cellStyle name="스타일 1 18" xfId="10957"/>
    <cellStyle name="스타일 1 18 2" xfId="10958"/>
    <cellStyle name="스타일 1 19" xfId="10959"/>
    <cellStyle name="스타일 1 19 2" xfId="10960"/>
    <cellStyle name="스타일 1 2" xfId="10961"/>
    <cellStyle name="스타일 1 2 2" xfId="10962"/>
    <cellStyle name="스타일 1 2 2 2" xfId="10963"/>
    <cellStyle name="스타일 1 2 3" xfId="10964"/>
    <cellStyle name="스타일 1 2 3 2" xfId="10965"/>
    <cellStyle name="스타일 1 2 4" xfId="10966"/>
    <cellStyle name="스타일 1 2 4 2" xfId="10967"/>
    <cellStyle name="스타일 1 2 5" xfId="10968"/>
    <cellStyle name="스타일 1 2 5 2" xfId="10969"/>
    <cellStyle name="스타일 1 2 6" xfId="10970"/>
    <cellStyle name="스타일 1 2 7" xfId="10971"/>
    <cellStyle name="스타일 1 20" xfId="10972"/>
    <cellStyle name="스타일 1 20 2" xfId="10973"/>
    <cellStyle name="스타일 1 21" xfId="10974"/>
    <cellStyle name="스타일 1 21 2" xfId="10975"/>
    <cellStyle name="스타일 1 22" xfId="10976"/>
    <cellStyle name="스타일 1 22 2" xfId="10977"/>
    <cellStyle name="스타일 1 23" xfId="10978"/>
    <cellStyle name="스타일 1 23 2" xfId="10979"/>
    <cellStyle name="스타일 1 24" xfId="10980"/>
    <cellStyle name="스타일 1 24 2" xfId="10981"/>
    <cellStyle name="스타일 1 25" xfId="10982"/>
    <cellStyle name="스타일 1 25 2" xfId="10983"/>
    <cellStyle name="스타일 1 26" xfId="10984"/>
    <cellStyle name="스타일 1 26 2" xfId="10985"/>
    <cellStyle name="스타일 1 27" xfId="10986"/>
    <cellStyle name="스타일 1 27 2" xfId="10987"/>
    <cellStyle name="스타일 1 28" xfId="10988"/>
    <cellStyle name="스타일 1 28 2" xfId="10989"/>
    <cellStyle name="스타일 1 29" xfId="10990"/>
    <cellStyle name="스타일 1 29 2" xfId="10991"/>
    <cellStyle name="스타일 1 3" xfId="10992"/>
    <cellStyle name="스타일 1 3 2" xfId="10993"/>
    <cellStyle name="스타일 1 30" xfId="10994"/>
    <cellStyle name="스타일 1 30 2" xfId="10995"/>
    <cellStyle name="스타일 1 31" xfId="10996"/>
    <cellStyle name="스타일 1 31 2" xfId="10997"/>
    <cellStyle name="스타일 1 32" xfId="10998"/>
    <cellStyle name="스타일 1 32 2" xfId="10999"/>
    <cellStyle name="스타일 1 33" xfId="11000"/>
    <cellStyle name="스타일 1 33 2" xfId="11001"/>
    <cellStyle name="스타일 1 34" xfId="11002"/>
    <cellStyle name="스타일 1 34 2" xfId="11003"/>
    <cellStyle name="스타일 1 35" xfId="11004"/>
    <cellStyle name="스타일 1 35 2" xfId="11005"/>
    <cellStyle name="스타일 1 36" xfId="11006"/>
    <cellStyle name="스타일 1 36 2" xfId="11007"/>
    <cellStyle name="스타일 1 37" xfId="11008"/>
    <cellStyle name="스타일 1 37 2" xfId="11009"/>
    <cellStyle name="스타일 1 38" xfId="11010"/>
    <cellStyle name="스타일 1 38 2" xfId="11011"/>
    <cellStyle name="스타일 1 39" xfId="11012"/>
    <cellStyle name="스타일 1 39 2" xfId="11013"/>
    <cellStyle name="스타일 1 4" xfId="11014"/>
    <cellStyle name="스타일 1 4 2" xfId="11015"/>
    <cellStyle name="스타일 1 40" xfId="11016"/>
    <cellStyle name="스타일 1 40 2" xfId="11017"/>
    <cellStyle name="스타일 1 41" xfId="11018"/>
    <cellStyle name="스타일 1 41 2" xfId="11019"/>
    <cellStyle name="스타일 1 42" xfId="11020"/>
    <cellStyle name="스타일 1 42 2" xfId="11021"/>
    <cellStyle name="스타일 1 43" xfId="11022"/>
    <cellStyle name="스타일 1 43 2" xfId="11023"/>
    <cellStyle name="스타일 1 44" xfId="11024"/>
    <cellStyle name="스타일 1 45" xfId="11025"/>
    <cellStyle name="스타일 1 5" xfId="11026"/>
    <cellStyle name="스타일 1 5 2" xfId="11027"/>
    <cellStyle name="스타일 1 6" xfId="11028"/>
    <cellStyle name="스타일 1 6 2" xfId="11029"/>
    <cellStyle name="스타일 1 7" xfId="11030"/>
    <cellStyle name="스타일 1 7 2" xfId="11031"/>
    <cellStyle name="스타일 1 8" xfId="11032"/>
    <cellStyle name="스타일 1 8 2" xfId="11033"/>
    <cellStyle name="스타일 1 9" xfId="11034"/>
    <cellStyle name="스타일 1 9 2" xfId="11035"/>
    <cellStyle name="스타일 1_1부여부지 콘도미니엄 신축공사 AV설비 견적서_20100121" xfId="11036"/>
    <cellStyle name="스타일 10" xfId="11037"/>
    <cellStyle name="스타일 10 2" xfId="11038"/>
    <cellStyle name="스타일 100" xfId="11039"/>
    <cellStyle name="스타일 100 2" xfId="11040"/>
    <cellStyle name="스타일 101" xfId="11041"/>
    <cellStyle name="스타일 101 2" xfId="11042"/>
    <cellStyle name="스타일 102" xfId="11043"/>
    <cellStyle name="스타일 102 2" xfId="11044"/>
    <cellStyle name="스타일 103" xfId="11045"/>
    <cellStyle name="스타일 103 2" xfId="11046"/>
    <cellStyle name="스타일 104" xfId="11047"/>
    <cellStyle name="스타일 104 2" xfId="11048"/>
    <cellStyle name="스타일 105" xfId="11049"/>
    <cellStyle name="스타일 105 2" xfId="11050"/>
    <cellStyle name="스타일 106" xfId="11051"/>
    <cellStyle name="스타일 106 2" xfId="11052"/>
    <cellStyle name="스타일 107" xfId="11053"/>
    <cellStyle name="스타일 107 2" xfId="11054"/>
    <cellStyle name="스타일 108" xfId="11055"/>
    <cellStyle name="스타일 108 2" xfId="11056"/>
    <cellStyle name="스타일 109" xfId="11057"/>
    <cellStyle name="스타일 109 2" xfId="11058"/>
    <cellStyle name="스타일 11" xfId="11059"/>
    <cellStyle name="스타일 11 2" xfId="11060"/>
    <cellStyle name="스타일 110" xfId="11061"/>
    <cellStyle name="스타일 110 2" xfId="11062"/>
    <cellStyle name="스타일 111" xfId="11063"/>
    <cellStyle name="스타일 111 2" xfId="11064"/>
    <cellStyle name="스타일 112" xfId="11065"/>
    <cellStyle name="스타일 112 2" xfId="11066"/>
    <cellStyle name="스타일 113" xfId="11067"/>
    <cellStyle name="스타일 113 2" xfId="11068"/>
    <cellStyle name="스타일 114" xfId="11069"/>
    <cellStyle name="스타일 114 2" xfId="11070"/>
    <cellStyle name="스타일 115" xfId="11071"/>
    <cellStyle name="스타일 115 2" xfId="11072"/>
    <cellStyle name="스타일 116" xfId="11073"/>
    <cellStyle name="스타일 116 2" xfId="11074"/>
    <cellStyle name="스타일 117" xfId="11075"/>
    <cellStyle name="스타일 117 2" xfId="11076"/>
    <cellStyle name="스타일 118" xfId="11077"/>
    <cellStyle name="스타일 118 2" xfId="11078"/>
    <cellStyle name="스타일 119" xfId="11079"/>
    <cellStyle name="스타일 119 2" xfId="11080"/>
    <cellStyle name="스타일 12" xfId="11081"/>
    <cellStyle name="스타일 12 2" xfId="11082"/>
    <cellStyle name="스타일 120" xfId="11083"/>
    <cellStyle name="스타일 120 2" xfId="11084"/>
    <cellStyle name="스타일 121" xfId="11085"/>
    <cellStyle name="스타일 121 2" xfId="11086"/>
    <cellStyle name="스타일 122" xfId="11087"/>
    <cellStyle name="스타일 122 2" xfId="11088"/>
    <cellStyle name="스타일 123" xfId="11089"/>
    <cellStyle name="스타일 123 2" xfId="11090"/>
    <cellStyle name="스타일 124" xfId="11091"/>
    <cellStyle name="스타일 124 2" xfId="11092"/>
    <cellStyle name="스타일 125" xfId="11093"/>
    <cellStyle name="스타일 125 2" xfId="11094"/>
    <cellStyle name="스타일 126" xfId="11095"/>
    <cellStyle name="스타일 126 2" xfId="11096"/>
    <cellStyle name="스타일 127" xfId="11097"/>
    <cellStyle name="스타일 127 2" xfId="11098"/>
    <cellStyle name="스타일 128" xfId="11099"/>
    <cellStyle name="스타일 128 2" xfId="11100"/>
    <cellStyle name="스타일 129" xfId="11101"/>
    <cellStyle name="스타일 129 2" xfId="11102"/>
    <cellStyle name="스타일 13" xfId="11103"/>
    <cellStyle name="스타일 13 2" xfId="11104"/>
    <cellStyle name="스타일 130" xfId="11105"/>
    <cellStyle name="스타일 130 2" xfId="11106"/>
    <cellStyle name="스타일 131" xfId="11107"/>
    <cellStyle name="스타일 131 2" xfId="11108"/>
    <cellStyle name="스타일 132" xfId="11109"/>
    <cellStyle name="스타일 132 2" xfId="11110"/>
    <cellStyle name="스타일 133" xfId="11111"/>
    <cellStyle name="스타일 133 2" xfId="11112"/>
    <cellStyle name="스타일 134" xfId="11113"/>
    <cellStyle name="스타일 134 2" xfId="11114"/>
    <cellStyle name="스타일 135" xfId="11115"/>
    <cellStyle name="스타일 135 2" xfId="11116"/>
    <cellStyle name="스타일 136" xfId="11117"/>
    <cellStyle name="스타일 136 2" xfId="11118"/>
    <cellStyle name="스타일 137" xfId="11119"/>
    <cellStyle name="스타일 137 2" xfId="11120"/>
    <cellStyle name="스타일 138" xfId="11121"/>
    <cellStyle name="스타일 138 2" xfId="11122"/>
    <cellStyle name="스타일 139" xfId="11123"/>
    <cellStyle name="스타일 139 2" xfId="11124"/>
    <cellStyle name="스타일 14" xfId="11125"/>
    <cellStyle name="스타일 14 2" xfId="11126"/>
    <cellStyle name="스타일 140" xfId="11127"/>
    <cellStyle name="스타일 140 2" xfId="11128"/>
    <cellStyle name="스타일 141" xfId="11129"/>
    <cellStyle name="스타일 141 2" xfId="11130"/>
    <cellStyle name="스타일 142" xfId="11131"/>
    <cellStyle name="스타일 142 2" xfId="11132"/>
    <cellStyle name="스타일 143" xfId="11133"/>
    <cellStyle name="스타일 143 2" xfId="11134"/>
    <cellStyle name="스타일 144" xfId="11135"/>
    <cellStyle name="스타일 144 2" xfId="11136"/>
    <cellStyle name="스타일 145" xfId="11137"/>
    <cellStyle name="스타일 145 2" xfId="11138"/>
    <cellStyle name="스타일 146" xfId="11139"/>
    <cellStyle name="스타일 146 2" xfId="11140"/>
    <cellStyle name="스타일 147" xfId="11141"/>
    <cellStyle name="스타일 147 2" xfId="11142"/>
    <cellStyle name="스타일 148" xfId="11143"/>
    <cellStyle name="스타일 148 2" xfId="11144"/>
    <cellStyle name="스타일 149" xfId="11145"/>
    <cellStyle name="스타일 149 2" xfId="11146"/>
    <cellStyle name="스타일 15" xfId="11147"/>
    <cellStyle name="스타일 15 2" xfId="11148"/>
    <cellStyle name="스타일 150" xfId="11149"/>
    <cellStyle name="스타일 150 2" xfId="11150"/>
    <cellStyle name="스타일 151" xfId="11151"/>
    <cellStyle name="스타일 151 2" xfId="11152"/>
    <cellStyle name="스타일 152" xfId="11153"/>
    <cellStyle name="스타일 152 2" xfId="11154"/>
    <cellStyle name="스타일 153" xfId="11155"/>
    <cellStyle name="스타일 153 2" xfId="11156"/>
    <cellStyle name="스타일 154" xfId="11157"/>
    <cellStyle name="스타일 154 2" xfId="11158"/>
    <cellStyle name="스타일 155" xfId="11159"/>
    <cellStyle name="스타일 155 2" xfId="11160"/>
    <cellStyle name="스타일 156" xfId="11161"/>
    <cellStyle name="스타일 156 2" xfId="11162"/>
    <cellStyle name="스타일 157" xfId="11163"/>
    <cellStyle name="스타일 157 2" xfId="11164"/>
    <cellStyle name="스타일 158" xfId="11165"/>
    <cellStyle name="스타일 158 2" xfId="11166"/>
    <cellStyle name="스타일 159" xfId="11167"/>
    <cellStyle name="스타일 159 2" xfId="11168"/>
    <cellStyle name="스타일 16" xfId="11169"/>
    <cellStyle name="스타일 16 2" xfId="11170"/>
    <cellStyle name="스타일 160" xfId="11171"/>
    <cellStyle name="스타일 160 2" xfId="11172"/>
    <cellStyle name="스타일 161" xfId="11173"/>
    <cellStyle name="스타일 161 2" xfId="11174"/>
    <cellStyle name="스타일 162" xfId="11175"/>
    <cellStyle name="스타일 162 2" xfId="11176"/>
    <cellStyle name="스타일 163" xfId="11177"/>
    <cellStyle name="스타일 163 2" xfId="11178"/>
    <cellStyle name="스타일 164" xfId="11179"/>
    <cellStyle name="스타일 164 2" xfId="11180"/>
    <cellStyle name="스타일 165" xfId="11181"/>
    <cellStyle name="스타일 165 2" xfId="11182"/>
    <cellStyle name="스타일 166" xfId="11183"/>
    <cellStyle name="스타일 166 2" xfId="11184"/>
    <cellStyle name="스타일 167" xfId="11185"/>
    <cellStyle name="스타일 167 2" xfId="11186"/>
    <cellStyle name="스타일 168" xfId="11187"/>
    <cellStyle name="스타일 168 2" xfId="11188"/>
    <cellStyle name="스타일 169" xfId="11189"/>
    <cellStyle name="스타일 169 2" xfId="11190"/>
    <cellStyle name="스타일 17" xfId="11191"/>
    <cellStyle name="스타일 17 2" xfId="11192"/>
    <cellStyle name="스타일 170" xfId="11193"/>
    <cellStyle name="스타일 170 2" xfId="11194"/>
    <cellStyle name="스타일 171" xfId="11195"/>
    <cellStyle name="스타일 171 2" xfId="11196"/>
    <cellStyle name="스타일 172" xfId="11197"/>
    <cellStyle name="스타일 172 2" xfId="11198"/>
    <cellStyle name="스타일 173" xfId="11199"/>
    <cellStyle name="스타일 173 2" xfId="11200"/>
    <cellStyle name="스타일 174" xfId="11201"/>
    <cellStyle name="스타일 174 2" xfId="11202"/>
    <cellStyle name="스타일 175" xfId="11203"/>
    <cellStyle name="스타일 175 2" xfId="11204"/>
    <cellStyle name="스타일 176" xfId="11205"/>
    <cellStyle name="스타일 176 2" xfId="11206"/>
    <cellStyle name="스타일 177" xfId="11207"/>
    <cellStyle name="스타일 177 2" xfId="11208"/>
    <cellStyle name="스타일 178" xfId="11209"/>
    <cellStyle name="스타일 178 2" xfId="11210"/>
    <cellStyle name="스타일 179" xfId="11211"/>
    <cellStyle name="스타일 179 2" xfId="11212"/>
    <cellStyle name="스타일 18" xfId="11213"/>
    <cellStyle name="스타일 18 2" xfId="11214"/>
    <cellStyle name="스타일 180" xfId="11215"/>
    <cellStyle name="스타일 180 2" xfId="11216"/>
    <cellStyle name="스타일 181" xfId="11217"/>
    <cellStyle name="스타일 181 2" xfId="11218"/>
    <cellStyle name="스타일 182" xfId="11219"/>
    <cellStyle name="스타일 182 2" xfId="11220"/>
    <cellStyle name="스타일 183" xfId="11221"/>
    <cellStyle name="스타일 183 2" xfId="11222"/>
    <cellStyle name="스타일 184" xfId="11223"/>
    <cellStyle name="스타일 184 2" xfId="11224"/>
    <cellStyle name="스타일 185" xfId="11225"/>
    <cellStyle name="스타일 185 2" xfId="11226"/>
    <cellStyle name="스타일 186" xfId="11227"/>
    <cellStyle name="스타일 186 2" xfId="11228"/>
    <cellStyle name="스타일 187" xfId="11229"/>
    <cellStyle name="스타일 187 2" xfId="11230"/>
    <cellStyle name="스타일 188" xfId="11231"/>
    <cellStyle name="스타일 188 2" xfId="11232"/>
    <cellStyle name="스타일 189" xfId="11233"/>
    <cellStyle name="스타일 189 2" xfId="11234"/>
    <cellStyle name="스타일 19" xfId="11235"/>
    <cellStyle name="스타일 19 2" xfId="11236"/>
    <cellStyle name="스타일 190" xfId="11237"/>
    <cellStyle name="스타일 190 2" xfId="11238"/>
    <cellStyle name="스타일 191" xfId="11239"/>
    <cellStyle name="스타일 191 2" xfId="11240"/>
    <cellStyle name="스타일 192" xfId="11241"/>
    <cellStyle name="스타일 192 2" xfId="11242"/>
    <cellStyle name="스타일 193" xfId="11243"/>
    <cellStyle name="스타일 193 2" xfId="11244"/>
    <cellStyle name="스타일 194" xfId="11245"/>
    <cellStyle name="스타일 194 2" xfId="11246"/>
    <cellStyle name="스타일 195" xfId="11247"/>
    <cellStyle name="스타일 195 2" xfId="11248"/>
    <cellStyle name="스타일 196" xfId="11249"/>
    <cellStyle name="스타일 196 2" xfId="11250"/>
    <cellStyle name="스타일 197" xfId="11251"/>
    <cellStyle name="스타일 197 2" xfId="11252"/>
    <cellStyle name="스타일 198" xfId="11253"/>
    <cellStyle name="스타일 198 2" xfId="11254"/>
    <cellStyle name="스타일 199" xfId="11255"/>
    <cellStyle name="스타일 199 2" xfId="11256"/>
    <cellStyle name="스타일 2" xfId="11257"/>
    <cellStyle name="스타일 2 10" xfId="11258"/>
    <cellStyle name="스타일 2 10 2" xfId="11259"/>
    <cellStyle name="스타일 2 11" xfId="11260"/>
    <cellStyle name="스타일 2 11 2" xfId="11261"/>
    <cellStyle name="스타일 2 12" xfId="11262"/>
    <cellStyle name="스타일 2 12 2" xfId="11263"/>
    <cellStyle name="스타일 2 13" xfId="11264"/>
    <cellStyle name="스타일 2 13 2" xfId="11265"/>
    <cellStyle name="스타일 2 14" xfId="11266"/>
    <cellStyle name="스타일 2 14 2" xfId="11267"/>
    <cellStyle name="스타일 2 15" xfId="11268"/>
    <cellStyle name="스타일 2 15 2" xfId="11269"/>
    <cellStyle name="스타일 2 16" xfId="11270"/>
    <cellStyle name="스타일 2 16 2" xfId="11271"/>
    <cellStyle name="스타일 2 17" xfId="11272"/>
    <cellStyle name="스타일 2 17 2" xfId="11273"/>
    <cellStyle name="스타일 2 18" xfId="11274"/>
    <cellStyle name="스타일 2 18 2" xfId="11275"/>
    <cellStyle name="스타일 2 19" xfId="11276"/>
    <cellStyle name="스타일 2 19 2" xfId="11277"/>
    <cellStyle name="스타일 2 2" xfId="11278"/>
    <cellStyle name="스타일 2 2 2" xfId="11279"/>
    <cellStyle name="스타일 2 2 2 2" xfId="11280"/>
    <cellStyle name="스타일 2 2 3" xfId="11281"/>
    <cellStyle name="스타일 2 20" xfId="11282"/>
    <cellStyle name="스타일 2 20 2" xfId="11283"/>
    <cellStyle name="스타일 2 21" xfId="11284"/>
    <cellStyle name="스타일 2 21 2" xfId="11285"/>
    <cellStyle name="스타일 2 22" xfId="11286"/>
    <cellStyle name="스타일 2 22 2" xfId="11287"/>
    <cellStyle name="스타일 2 23" xfId="11288"/>
    <cellStyle name="스타일 2 23 2" xfId="11289"/>
    <cellStyle name="스타일 2 24" xfId="11290"/>
    <cellStyle name="스타일 2 24 2" xfId="11291"/>
    <cellStyle name="스타일 2 25" xfId="11292"/>
    <cellStyle name="스타일 2 25 2" xfId="11293"/>
    <cellStyle name="스타일 2 26" xfId="11294"/>
    <cellStyle name="스타일 2 26 2" xfId="11295"/>
    <cellStyle name="스타일 2 27" xfId="11296"/>
    <cellStyle name="스타일 2 27 2" xfId="11297"/>
    <cellStyle name="스타일 2 28" xfId="11298"/>
    <cellStyle name="스타일 2 28 2" xfId="11299"/>
    <cellStyle name="스타일 2 29" xfId="11300"/>
    <cellStyle name="스타일 2 29 2" xfId="11301"/>
    <cellStyle name="스타일 2 3" xfId="11302"/>
    <cellStyle name="스타일 2 3 2" xfId="11303"/>
    <cellStyle name="스타일 2 30" xfId="11304"/>
    <cellStyle name="스타일 2 30 2" xfId="11305"/>
    <cellStyle name="스타일 2 31" xfId="11306"/>
    <cellStyle name="스타일 2 31 2" xfId="11307"/>
    <cellStyle name="스타일 2 32" xfId="11308"/>
    <cellStyle name="스타일 2 32 2" xfId="11309"/>
    <cellStyle name="스타일 2 33" xfId="11310"/>
    <cellStyle name="스타일 2 33 2" xfId="11311"/>
    <cellStyle name="스타일 2 34" xfId="11312"/>
    <cellStyle name="스타일 2 34 2" xfId="11313"/>
    <cellStyle name="스타일 2 35" xfId="11314"/>
    <cellStyle name="스타일 2 35 2" xfId="11315"/>
    <cellStyle name="스타일 2 36" xfId="11316"/>
    <cellStyle name="스타일 2 36 2" xfId="11317"/>
    <cellStyle name="스타일 2 37" xfId="11318"/>
    <cellStyle name="스타일 2 37 2" xfId="11319"/>
    <cellStyle name="스타일 2 38" xfId="11320"/>
    <cellStyle name="스타일 2 38 2" xfId="11321"/>
    <cellStyle name="스타일 2 39" xfId="11322"/>
    <cellStyle name="스타일 2 39 2" xfId="11323"/>
    <cellStyle name="스타일 2 4" xfId="11324"/>
    <cellStyle name="스타일 2 4 2" xfId="11325"/>
    <cellStyle name="스타일 2 40" xfId="11326"/>
    <cellStyle name="스타일 2 40 2" xfId="11327"/>
    <cellStyle name="스타일 2 41" xfId="11328"/>
    <cellStyle name="스타일 2 41 2" xfId="11329"/>
    <cellStyle name="스타일 2 42" xfId="11330"/>
    <cellStyle name="스타일 2 42 2" xfId="11331"/>
    <cellStyle name="스타일 2 43" xfId="11332"/>
    <cellStyle name="스타일 2 43 2" xfId="11333"/>
    <cellStyle name="스타일 2 44" xfId="11334"/>
    <cellStyle name="스타일 2 5" xfId="11335"/>
    <cellStyle name="스타일 2 5 2" xfId="11336"/>
    <cellStyle name="스타일 2 6" xfId="11337"/>
    <cellStyle name="스타일 2 6 2" xfId="11338"/>
    <cellStyle name="스타일 2 7" xfId="11339"/>
    <cellStyle name="스타일 2 7 2" xfId="11340"/>
    <cellStyle name="스타일 2 8" xfId="11341"/>
    <cellStyle name="스타일 2 8 2" xfId="11342"/>
    <cellStyle name="스타일 2 9" xfId="11343"/>
    <cellStyle name="스타일 2 9 2" xfId="11344"/>
    <cellStyle name="스타일 2_1부여부지 콘도미니엄 신축공사 AV설비 견적서_20100121" xfId="11345"/>
    <cellStyle name="스타일 20" xfId="11346"/>
    <cellStyle name="스타일 20 2" xfId="11347"/>
    <cellStyle name="스타일 200" xfId="11348"/>
    <cellStyle name="스타일 200 2" xfId="11349"/>
    <cellStyle name="스타일 201" xfId="11350"/>
    <cellStyle name="스타일 201 2" xfId="11351"/>
    <cellStyle name="스타일 202" xfId="11352"/>
    <cellStyle name="스타일 202 2" xfId="11353"/>
    <cellStyle name="스타일 203" xfId="11354"/>
    <cellStyle name="스타일 203 2" xfId="11355"/>
    <cellStyle name="스타일 204" xfId="11356"/>
    <cellStyle name="스타일 204 2" xfId="11357"/>
    <cellStyle name="스타일 205" xfId="11358"/>
    <cellStyle name="스타일 205 2" xfId="11359"/>
    <cellStyle name="스타일 206" xfId="11360"/>
    <cellStyle name="스타일 206 2" xfId="11361"/>
    <cellStyle name="스타일 207" xfId="11362"/>
    <cellStyle name="스타일 207 2" xfId="11363"/>
    <cellStyle name="스타일 208" xfId="11364"/>
    <cellStyle name="스타일 208 2" xfId="11365"/>
    <cellStyle name="스타일 209" xfId="11366"/>
    <cellStyle name="스타일 209 2" xfId="11367"/>
    <cellStyle name="스타일 21" xfId="11368"/>
    <cellStyle name="스타일 21 2" xfId="11369"/>
    <cellStyle name="스타일 210" xfId="11370"/>
    <cellStyle name="스타일 210 2" xfId="11371"/>
    <cellStyle name="스타일 211" xfId="11372"/>
    <cellStyle name="스타일 211 2" xfId="11373"/>
    <cellStyle name="스타일 212" xfId="11374"/>
    <cellStyle name="스타일 212 2" xfId="11375"/>
    <cellStyle name="스타일 213" xfId="11376"/>
    <cellStyle name="스타일 213 2" xfId="11377"/>
    <cellStyle name="스타일 214" xfId="11378"/>
    <cellStyle name="스타일 214 2" xfId="11379"/>
    <cellStyle name="스타일 215" xfId="11380"/>
    <cellStyle name="스타일 215 2" xfId="11381"/>
    <cellStyle name="스타일 216" xfId="11382"/>
    <cellStyle name="스타일 216 2" xfId="11383"/>
    <cellStyle name="스타일 217" xfId="11384"/>
    <cellStyle name="스타일 217 2" xfId="11385"/>
    <cellStyle name="스타일 218" xfId="11386"/>
    <cellStyle name="스타일 218 2" xfId="11387"/>
    <cellStyle name="스타일 219" xfId="11388"/>
    <cellStyle name="스타일 219 2" xfId="11389"/>
    <cellStyle name="스타일 22" xfId="11390"/>
    <cellStyle name="스타일 22 2" xfId="11391"/>
    <cellStyle name="스타일 220" xfId="11392"/>
    <cellStyle name="스타일 220 2" xfId="11393"/>
    <cellStyle name="스타일 221" xfId="11394"/>
    <cellStyle name="스타일 221 2" xfId="11395"/>
    <cellStyle name="스타일 222" xfId="11396"/>
    <cellStyle name="스타일 222 2" xfId="11397"/>
    <cellStyle name="스타일 223" xfId="11398"/>
    <cellStyle name="스타일 223 2" xfId="11399"/>
    <cellStyle name="스타일 224" xfId="11400"/>
    <cellStyle name="스타일 224 2" xfId="11401"/>
    <cellStyle name="스타일 225" xfId="11402"/>
    <cellStyle name="스타일 225 2" xfId="11403"/>
    <cellStyle name="스타일 226" xfId="11404"/>
    <cellStyle name="스타일 226 2" xfId="11405"/>
    <cellStyle name="스타일 227" xfId="11406"/>
    <cellStyle name="스타일 227 2" xfId="11407"/>
    <cellStyle name="스타일 228" xfId="11408"/>
    <cellStyle name="스타일 228 2" xfId="11409"/>
    <cellStyle name="스타일 229" xfId="11410"/>
    <cellStyle name="스타일 229 2" xfId="11411"/>
    <cellStyle name="스타일 23" xfId="11412"/>
    <cellStyle name="스타일 23 2" xfId="11413"/>
    <cellStyle name="스타일 230" xfId="11414"/>
    <cellStyle name="스타일 230 2" xfId="11415"/>
    <cellStyle name="스타일 231" xfId="11416"/>
    <cellStyle name="스타일 231 2" xfId="11417"/>
    <cellStyle name="스타일 232" xfId="11418"/>
    <cellStyle name="스타일 232 2" xfId="11419"/>
    <cellStyle name="스타일 233" xfId="11420"/>
    <cellStyle name="스타일 233 2" xfId="11421"/>
    <cellStyle name="스타일 234" xfId="11422"/>
    <cellStyle name="스타일 234 2" xfId="11423"/>
    <cellStyle name="스타일 235" xfId="11424"/>
    <cellStyle name="스타일 235 2" xfId="11425"/>
    <cellStyle name="스타일 236" xfId="11426"/>
    <cellStyle name="스타일 236 2" xfId="11427"/>
    <cellStyle name="스타일 237" xfId="11428"/>
    <cellStyle name="스타일 237 2" xfId="11429"/>
    <cellStyle name="스타일 238" xfId="11430"/>
    <cellStyle name="스타일 238 2" xfId="11431"/>
    <cellStyle name="스타일 239" xfId="11432"/>
    <cellStyle name="스타일 239 2" xfId="11433"/>
    <cellStyle name="스타일 24" xfId="11434"/>
    <cellStyle name="스타일 24 2" xfId="11435"/>
    <cellStyle name="스타일 240" xfId="11436"/>
    <cellStyle name="스타일 240 2" xfId="11437"/>
    <cellStyle name="스타일 241" xfId="11438"/>
    <cellStyle name="스타일 241 2" xfId="11439"/>
    <cellStyle name="스타일 242" xfId="11440"/>
    <cellStyle name="스타일 242 2" xfId="11441"/>
    <cellStyle name="스타일 243" xfId="11442"/>
    <cellStyle name="스타일 243 2" xfId="11443"/>
    <cellStyle name="스타일 244" xfId="11444"/>
    <cellStyle name="스타일 244 2" xfId="11445"/>
    <cellStyle name="스타일 245" xfId="11446"/>
    <cellStyle name="스타일 245 2" xfId="11447"/>
    <cellStyle name="스타일 246" xfId="11448"/>
    <cellStyle name="스타일 246 2" xfId="11449"/>
    <cellStyle name="스타일 247" xfId="11450"/>
    <cellStyle name="스타일 247 2" xfId="11451"/>
    <cellStyle name="스타일 248" xfId="11452"/>
    <cellStyle name="스타일 248 2" xfId="11453"/>
    <cellStyle name="스타일 249" xfId="11454"/>
    <cellStyle name="스타일 249 2" xfId="11455"/>
    <cellStyle name="스타일 25" xfId="11456"/>
    <cellStyle name="스타일 25 2" xfId="11457"/>
    <cellStyle name="스타일 250" xfId="11458"/>
    <cellStyle name="스타일 250 2" xfId="11459"/>
    <cellStyle name="스타일 251" xfId="11460"/>
    <cellStyle name="스타일 251 2" xfId="11461"/>
    <cellStyle name="스타일 252" xfId="11462"/>
    <cellStyle name="스타일 252 2" xfId="11463"/>
    <cellStyle name="스타일 253" xfId="11464"/>
    <cellStyle name="스타일 253 2" xfId="11465"/>
    <cellStyle name="스타일 254" xfId="11466"/>
    <cellStyle name="스타일 254 2" xfId="11467"/>
    <cellStyle name="스타일 255" xfId="11468"/>
    <cellStyle name="스타일 255 2" xfId="11469"/>
    <cellStyle name="스타일 26" xfId="11470"/>
    <cellStyle name="스타일 26 2" xfId="11471"/>
    <cellStyle name="스타일 27" xfId="11472"/>
    <cellStyle name="스타일 27 2" xfId="11473"/>
    <cellStyle name="스타일 28" xfId="11474"/>
    <cellStyle name="스타일 28 2" xfId="11475"/>
    <cellStyle name="스타일 29" xfId="11476"/>
    <cellStyle name="스타일 29 2" xfId="11477"/>
    <cellStyle name="스타일 3" xfId="11478"/>
    <cellStyle name="스타일 3 10" xfId="11479"/>
    <cellStyle name="스타일 3 10 2" xfId="11480"/>
    <cellStyle name="스타일 3 11" xfId="11481"/>
    <cellStyle name="스타일 3 11 2" xfId="11482"/>
    <cellStyle name="스타일 3 12" xfId="11483"/>
    <cellStyle name="스타일 3 12 2" xfId="11484"/>
    <cellStyle name="스타일 3 13" xfId="11485"/>
    <cellStyle name="스타일 3 13 2" xfId="11486"/>
    <cellStyle name="스타일 3 14" xfId="11487"/>
    <cellStyle name="스타일 3 14 2" xfId="11488"/>
    <cellStyle name="스타일 3 15" xfId="11489"/>
    <cellStyle name="스타일 3 15 2" xfId="11490"/>
    <cellStyle name="스타일 3 16" xfId="11491"/>
    <cellStyle name="스타일 3 16 2" xfId="11492"/>
    <cellStyle name="스타일 3 17" xfId="11493"/>
    <cellStyle name="스타일 3 17 2" xfId="11494"/>
    <cellStyle name="스타일 3 18" xfId="11495"/>
    <cellStyle name="스타일 3 18 2" xfId="11496"/>
    <cellStyle name="스타일 3 19" xfId="11497"/>
    <cellStyle name="스타일 3 19 2" xfId="11498"/>
    <cellStyle name="스타일 3 2" xfId="11499"/>
    <cellStyle name="스타일 3 2 2" xfId="11500"/>
    <cellStyle name="스타일 3 2 2 2" xfId="11501"/>
    <cellStyle name="스타일 3 2 3" xfId="11502"/>
    <cellStyle name="스타일 3 20" xfId="11503"/>
    <cellStyle name="스타일 3 20 2" xfId="11504"/>
    <cellStyle name="스타일 3 21" xfId="11505"/>
    <cellStyle name="스타일 3 21 2" xfId="11506"/>
    <cellStyle name="스타일 3 22" xfId="11507"/>
    <cellStyle name="스타일 3 22 2" xfId="11508"/>
    <cellStyle name="스타일 3 23" xfId="11509"/>
    <cellStyle name="스타일 3 23 2" xfId="11510"/>
    <cellStyle name="스타일 3 24" xfId="11511"/>
    <cellStyle name="스타일 3 24 2" xfId="11512"/>
    <cellStyle name="스타일 3 25" xfId="11513"/>
    <cellStyle name="스타일 3 25 2" xfId="11514"/>
    <cellStyle name="스타일 3 26" xfId="11515"/>
    <cellStyle name="스타일 3 26 2" xfId="11516"/>
    <cellStyle name="스타일 3 27" xfId="11517"/>
    <cellStyle name="스타일 3 27 2" xfId="11518"/>
    <cellStyle name="스타일 3 28" xfId="11519"/>
    <cellStyle name="스타일 3 28 2" xfId="11520"/>
    <cellStyle name="스타일 3 29" xfId="11521"/>
    <cellStyle name="스타일 3 29 2" xfId="11522"/>
    <cellStyle name="스타일 3 3" xfId="11523"/>
    <cellStyle name="스타일 3 3 2" xfId="11524"/>
    <cellStyle name="스타일 3 30" xfId="11525"/>
    <cellStyle name="스타일 3 30 2" xfId="11526"/>
    <cellStyle name="스타일 3 31" xfId="11527"/>
    <cellStyle name="스타일 3 31 2" xfId="11528"/>
    <cellStyle name="스타일 3 32" xfId="11529"/>
    <cellStyle name="스타일 3 32 2" xfId="11530"/>
    <cellStyle name="스타일 3 33" xfId="11531"/>
    <cellStyle name="스타일 3 33 2" xfId="11532"/>
    <cellStyle name="스타일 3 34" xfId="11533"/>
    <cellStyle name="스타일 3 34 2" xfId="11534"/>
    <cellStyle name="스타일 3 35" xfId="11535"/>
    <cellStyle name="스타일 3 35 2" xfId="11536"/>
    <cellStyle name="스타일 3 36" xfId="11537"/>
    <cellStyle name="스타일 3 36 2" xfId="11538"/>
    <cellStyle name="스타일 3 37" xfId="11539"/>
    <cellStyle name="스타일 3 37 2" xfId="11540"/>
    <cellStyle name="스타일 3 38" xfId="11541"/>
    <cellStyle name="스타일 3 38 2" xfId="11542"/>
    <cellStyle name="스타일 3 39" xfId="11543"/>
    <cellStyle name="스타일 3 39 2" xfId="11544"/>
    <cellStyle name="스타일 3 4" xfId="11545"/>
    <cellStyle name="스타일 3 4 2" xfId="11546"/>
    <cellStyle name="스타일 3 40" xfId="11547"/>
    <cellStyle name="스타일 3 40 2" xfId="11548"/>
    <cellStyle name="스타일 3 41" xfId="11549"/>
    <cellStyle name="스타일 3 41 2" xfId="11550"/>
    <cellStyle name="스타일 3 42" xfId="11551"/>
    <cellStyle name="스타일 3 42 2" xfId="11552"/>
    <cellStyle name="스타일 3 43" xfId="11553"/>
    <cellStyle name="스타일 3 43 2" xfId="11554"/>
    <cellStyle name="스타일 3 44" xfId="11555"/>
    <cellStyle name="스타일 3 5" xfId="11556"/>
    <cellStyle name="스타일 3 5 2" xfId="11557"/>
    <cellStyle name="스타일 3 6" xfId="11558"/>
    <cellStyle name="스타일 3 6 2" xfId="11559"/>
    <cellStyle name="스타일 3 7" xfId="11560"/>
    <cellStyle name="스타일 3 7 2" xfId="11561"/>
    <cellStyle name="스타일 3 8" xfId="11562"/>
    <cellStyle name="스타일 3 8 2" xfId="11563"/>
    <cellStyle name="스타일 3 9" xfId="11564"/>
    <cellStyle name="스타일 3 9 2" xfId="11565"/>
    <cellStyle name="스타일 3_1부여부지 콘도미니엄 신축공사 AV설비 견적서_20100121" xfId="11566"/>
    <cellStyle name="스타일 30" xfId="11567"/>
    <cellStyle name="스타일 30 2" xfId="11568"/>
    <cellStyle name="스타일 31" xfId="11569"/>
    <cellStyle name="스타일 31 2" xfId="11570"/>
    <cellStyle name="스타일 32" xfId="11571"/>
    <cellStyle name="스타일 32 2" xfId="11572"/>
    <cellStyle name="스타일 33" xfId="11573"/>
    <cellStyle name="스타일 33 2" xfId="11574"/>
    <cellStyle name="스타일 34" xfId="11575"/>
    <cellStyle name="스타일 34 2" xfId="11576"/>
    <cellStyle name="스타일 35" xfId="11577"/>
    <cellStyle name="스타일 35 2" xfId="11578"/>
    <cellStyle name="스타일 36" xfId="11579"/>
    <cellStyle name="스타일 36 2" xfId="11580"/>
    <cellStyle name="스타일 37" xfId="11581"/>
    <cellStyle name="스타일 37 2" xfId="11582"/>
    <cellStyle name="스타일 38" xfId="11583"/>
    <cellStyle name="스타일 38 2" xfId="11584"/>
    <cellStyle name="스타일 39" xfId="11585"/>
    <cellStyle name="스타일 39 2" xfId="11586"/>
    <cellStyle name="스타일 4" xfId="11587"/>
    <cellStyle name="스타일 4 10" xfId="11588"/>
    <cellStyle name="스타일 4 10 2" xfId="11589"/>
    <cellStyle name="스타일 4 11" xfId="11590"/>
    <cellStyle name="스타일 4 11 2" xfId="11591"/>
    <cellStyle name="스타일 4 12" xfId="11592"/>
    <cellStyle name="스타일 4 2" xfId="11593"/>
    <cellStyle name="스타일 4 2 2" xfId="11594"/>
    <cellStyle name="스타일 4 2 2 2" xfId="11595"/>
    <cellStyle name="스타일 4 2 3" xfId="11596"/>
    <cellStyle name="스타일 4 3" xfId="11597"/>
    <cellStyle name="스타일 4 3 2" xfId="11598"/>
    <cellStyle name="스타일 4 4" xfId="11599"/>
    <cellStyle name="스타일 4 4 2" xfId="11600"/>
    <cellStyle name="스타일 4 5" xfId="11601"/>
    <cellStyle name="스타일 4 5 2" xfId="11602"/>
    <cellStyle name="스타일 4 6" xfId="11603"/>
    <cellStyle name="스타일 4 6 2" xfId="11604"/>
    <cellStyle name="스타일 4 7" xfId="11605"/>
    <cellStyle name="스타일 4 7 2" xfId="11606"/>
    <cellStyle name="스타일 4 8" xfId="11607"/>
    <cellStyle name="스타일 4 8 2" xfId="11608"/>
    <cellStyle name="스타일 4 9" xfId="11609"/>
    <cellStyle name="스타일 4 9 2" xfId="11610"/>
    <cellStyle name="스타일 4_1부여부지 콘도미니엄 신축공사 AV설비 견적서_20100121" xfId="11611"/>
    <cellStyle name="스타일 40" xfId="11612"/>
    <cellStyle name="스타일 40 2" xfId="11613"/>
    <cellStyle name="스타일 41" xfId="11614"/>
    <cellStyle name="스타일 41 2" xfId="11615"/>
    <cellStyle name="스타일 42" xfId="11616"/>
    <cellStyle name="스타일 42 2" xfId="11617"/>
    <cellStyle name="스타일 43" xfId="11618"/>
    <cellStyle name="스타일 43 2" xfId="11619"/>
    <cellStyle name="스타일 44" xfId="11620"/>
    <cellStyle name="스타일 44 2" xfId="11621"/>
    <cellStyle name="스타일 45" xfId="11622"/>
    <cellStyle name="스타일 45 2" xfId="11623"/>
    <cellStyle name="스타일 46" xfId="11624"/>
    <cellStyle name="스타일 46 2" xfId="11625"/>
    <cellStyle name="스타일 47" xfId="11626"/>
    <cellStyle name="스타일 47 2" xfId="11627"/>
    <cellStyle name="스타일 48" xfId="11628"/>
    <cellStyle name="스타일 48 2" xfId="11629"/>
    <cellStyle name="스타일 49" xfId="11630"/>
    <cellStyle name="스타일 49 2" xfId="11631"/>
    <cellStyle name="스타일 5" xfId="11632"/>
    <cellStyle name="스타일 5 2" xfId="11633"/>
    <cellStyle name="스타일 50" xfId="11634"/>
    <cellStyle name="스타일 50 2" xfId="11635"/>
    <cellStyle name="스타일 51" xfId="11636"/>
    <cellStyle name="스타일 51 2" xfId="11637"/>
    <cellStyle name="스타일 52" xfId="11638"/>
    <cellStyle name="스타일 52 2" xfId="11639"/>
    <cellStyle name="스타일 53" xfId="11640"/>
    <cellStyle name="스타일 53 2" xfId="11641"/>
    <cellStyle name="스타일 54" xfId="11642"/>
    <cellStyle name="스타일 54 2" xfId="11643"/>
    <cellStyle name="스타일 55" xfId="11644"/>
    <cellStyle name="스타일 55 2" xfId="11645"/>
    <cellStyle name="스타일 56" xfId="11646"/>
    <cellStyle name="스타일 56 2" xfId="11647"/>
    <cellStyle name="스타일 57" xfId="11648"/>
    <cellStyle name="스타일 57 2" xfId="11649"/>
    <cellStyle name="스타일 58" xfId="11650"/>
    <cellStyle name="스타일 58 2" xfId="11651"/>
    <cellStyle name="스타일 59" xfId="11652"/>
    <cellStyle name="스타일 59 2" xfId="11653"/>
    <cellStyle name="스타일 6" xfId="11654"/>
    <cellStyle name="스타일 6 2" xfId="11655"/>
    <cellStyle name="스타일 60" xfId="11656"/>
    <cellStyle name="스타일 60 2" xfId="11657"/>
    <cellStyle name="스타일 61" xfId="11658"/>
    <cellStyle name="스타일 61 2" xfId="11659"/>
    <cellStyle name="스타일 62" xfId="11660"/>
    <cellStyle name="스타일 62 2" xfId="11661"/>
    <cellStyle name="스타일 63" xfId="11662"/>
    <cellStyle name="스타일 63 2" xfId="11663"/>
    <cellStyle name="스타일 64" xfId="11664"/>
    <cellStyle name="스타일 64 2" xfId="11665"/>
    <cellStyle name="스타일 65" xfId="11666"/>
    <cellStyle name="스타일 65 2" xfId="11667"/>
    <cellStyle name="스타일 66" xfId="11668"/>
    <cellStyle name="스타일 66 2" xfId="11669"/>
    <cellStyle name="스타일 67" xfId="11670"/>
    <cellStyle name="스타일 67 2" xfId="11671"/>
    <cellStyle name="스타일 68" xfId="11672"/>
    <cellStyle name="스타일 68 2" xfId="11673"/>
    <cellStyle name="스타일 69" xfId="11674"/>
    <cellStyle name="스타일 69 2" xfId="11675"/>
    <cellStyle name="스타일 7" xfId="11676"/>
    <cellStyle name="스타일 7 2" xfId="11677"/>
    <cellStyle name="스타일 70" xfId="11678"/>
    <cellStyle name="스타일 70 2" xfId="11679"/>
    <cellStyle name="스타일 71" xfId="11680"/>
    <cellStyle name="스타일 71 2" xfId="11681"/>
    <cellStyle name="스타일 72" xfId="11682"/>
    <cellStyle name="스타일 72 2" xfId="11683"/>
    <cellStyle name="스타일 73" xfId="11684"/>
    <cellStyle name="스타일 73 2" xfId="11685"/>
    <cellStyle name="스타일 74" xfId="11686"/>
    <cellStyle name="스타일 74 2" xfId="11687"/>
    <cellStyle name="스타일 75" xfId="11688"/>
    <cellStyle name="스타일 75 2" xfId="11689"/>
    <cellStyle name="스타일 76" xfId="11690"/>
    <cellStyle name="스타일 76 2" xfId="11691"/>
    <cellStyle name="스타일 77" xfId="11692"/>
    <cellStyle name="스타일 77 2" xfId="11693"/>
    <cellStyle name="스타일 78" xfId="11694"/>
    <cellStyle name="스타일 78 2" xfId="11695"/>
    <cellStyle name="스타일 79" xfId="11696"/>
    <cellStyle name="스타일 79 2" xfId="11697"/>
    <cellStyle name="스타일 8" xfId="11698"/>
    <cellStyle name="스타일 8 2" xfId="11699"/>
    <cellStyle name="스타일 80" xfId="11700"/>
    <cellStyle name="스타일 80 2" xfId="11701"/>
    <cellStyle name="스타일 81" xfId="11702"/>
    <cellStyle name="스타일 81 2" xfId="11703"/>
    <cellStyle name="스타일 82" xfId="11704"/>
    <cellStyle name="스타일 82 2" xfId="11705"/>
    <cellStyle name="스타일 83" xfId="11706"/>
    <cellStyle name="스타일 83 2" xfId="11707"/>
    <cellStyle name="스타일 84" xfId="11708"/>
    <cellStyle name="스타일 84 2" xfId="11709"/>
    <cellStyle name="스타일 85" xfId="11710"/>
    <cellStyle name="스타일 85 2" xfId="11711"/>
    <cellStyle name="스타일 86" xfId="11712"/>
    <cellStyle name="스타일 86 2" xfId="11713"/>
    <cellStyle name="스타일 87" xfId="11714"/>
    <cellStyle name="스타일 87 2" xfId="11715"/>
    <cellStyle name="스타일 88" xfId="11716"/>
    <cellStyle name="스타일 88 2" xfId="11717"/>
    <cellStyle name="스타일 89" xfId="11718"/>
    <cellStyle name="스타일 89 2" xfId="11719"/>
    <cellStyle name="스타일 9" xfId="11720"/>
    <cellStyle name="스타일 9 2" xfId="11721"/>
    <cellStyle name="스타일 90" xfId="11722"/>
    <cellStyle name="스타일 90 2" xfId="11723"/>
    <cellStyle name="스타일 91" xfId="11724"/>
    <cellStyle name="스타일 91 2" xfId="11725"/>
    <cellStyle name="스타일 92" xfId="11726"/>
    <cellStyle name="스타일 92 2" xfId="11727"/>
    <cellStyle name="스타일 93" xfId="11728"/>
    <cellStyle name="스타일 93 2" xfId="11729"/>
    <cellStyle name="스타일 94" xfId="11730"/>
    <cellStyle name="스타일 94 2" xfId="11731"/>
    <cellStyle name="스타일 95" xfId="11732"/>
    <cellStyle name="스타일 95 2" xfId="11733"/>
    <cellStyle name="스타일 96" xfId="11734"/>
    <cellStyle name="스타일 96 2" xfId="11735"/>
    <cellStyle name="스타일 97" xfId="11736"/>
    <cellStyle name="스타일 97 2" xfId="11737"/>
    <cellStyle name="스타일 98" xfId="11738"/>
    <cellStyle name="스타일 98 2" xfId="11739"/>
    <cellStyle name="스타일 99" xfId="11740"/>
    <cellStyle name="스타일 99 2" xfId="11741"/>
    <cellStyle name="안건회계법인" xfId="11742"/>
    <cellStyle name="안건회계법인 2" xfId="11743"/>
    <cellStyle name="연결된 셀 2" xfId="11744"/>
    <cellStyle name="연결된 셀 2 10" xfId="11745"/>
    <cellStyle name="연결된 셀 2 2" xfId="11746"/>
    <cellStyle name="연결된 셀 2 2 2" xfId="11747"/>
    <cellStyle name="연결된 셀 2 3" xfId="11748"/>
    <cellStyle name="연결된 셀 2 3 2" xfId="11749"/>
    <cellStyle name="연결된 셀 2 4" xfId="11750"/>
    <cellStyle name="연결된 셀 2 4 2" xfId="11751"/>
    <cellStyle name="연결된 셀 2 5" xfId="11752"/>
    <cellStyle name="연결된 셀 2 5 2" xfId="11753"/>
    <cellStyle name="연결된 셀 2 6" xfId="11754"/>
    <cellStyle name="연결된 셀 2 6 2" xfId="11755"/>
    <cellStyle name="연결된 셀 2 7" xfId="11756"/>
    <cellStyle name="연결된 셀 2 7 2" xfId="11757"/>
    <cellStyle name="연결된 셀 2 8" xfId="11758"/>
    <cellStyle name="연결된 셀 2 8 2" xfId="11759"/>
    <cellStyle name="연결된 셀 2 9" xfId="11760"/>
    <cellStyle name="연결된 셀 2 9 2" xfId="11761"/>
    <cellStyle name="연결된 셀 3" xfId="11762"/>
    <cellStyle name="연결된 셀 3 10" xfId="11763"/>
    <cellStyle name="연결된 셀 3 2" xfId="11764"/>
    <cellStyle name="연결된 셀 3 2 2" xfId="11765"/>
    <cellStyle name="연결된 셀 3 3" xfId="11766"/>
    <cellStyle name="연결된 셀 3 3 2" xfId="11767"/>
    <cellStyle name="연결된 셀 3 4" xfId="11768"/>
    <cellStyle name="연결된 셀 3 4 2" xfId="11769"/>
    <cellStyle name="연결된 셀 3 5" xfId="11770"/>
    <cellStyle name="연결된 셀 3 5 2" xfId="11771"/>
    <cellStyle name="연결된 셀 3 6" xfId="11772"/>
    <cellStyle name="연결된 셀 3 6 2" xfId="11773"/>
    <cellStyle name="연결된 셀 3 7" xfId="11774"/>
    <cellStyle name="연결된 셀 3 7 2" xfId="11775"/>
    <cellStyle name="연결된 셀 3 8" xfId="11776"/>
    <cellStyle name="연결된 셀 3 8 2" xfId="11777"/>
    <cellStyle name="연결된 셀 3 9" xfId="11778"/>
    <cellStyle name="연결된 셀 3 9 2" xfId="11779"/>
    <cellStyle name="연결된 셀 4" xfId="11780"/>
    <cellStyle name="연결된 셀 4 10" xfId="11781"/>
    <cellStyle name="연결된 셀 4 2" xfId="11782"/>
    <cellStyle name="연결된 셀 4 2 2" xfId="11783"/>
    <cellStyle name="연결된 셀 4 3" xfId="11784"/>
    <cellStyle name="연결된 셀 4 3 2" xfId="11785"/>
    <cellStyle name="연결된 셀 4 4" xfId="11786"/>
    <cellStyle name="연결된 셀 4 4 2" xfId="11787"/>
    <cellStyle name="연결된 셀 4 5" xfId="11788"/>
    <cellStyle name="연결된 셀 4 5 2" xfId="11789"/>
    <cellStyle name="연결된 셀 4 6" xfId="11790"/>
    <cellStyle name="연결된 셀 4 6 2" xfId="11791"/>
    <cellStyle name="연결된 셀 4 7" xfId="11792"/>
    <cellStyle name="연결된 셀 4 7 2" xfId="11793"/>
    <cellStyle name="연결된 셀 4 8" xfId="11794"/>
    <cellStyle name="연결된 셀 4 8 2" xfId="11795"/>
    <cellStyle name="연결된 셀 4 9" xfId="11796"/>
    <cellStyle name="연결된 셀 4 9 2" xfId="11797"/>
    <cellStyle name="연결된 셀 5" xfId="11798"/>
    <cellStyle name="연결된 셀 5 10" xfId="11799"/>
    <cellStyle name="연결된 셀 5 2" xfId="11800"/>
    <cellStyle name="연결된 셀 5 2 2" xfId="11801"/>
    <cellStyle name="연결된 셀 5 3" xfId="11802"/>
    <cellStyle name="연결된 셀 5 3 2" xfId="11803"/>
    <cellStyle name="연결된 셀 5 4" xfId="11804"/>
    <cellStyle name="연결된 셀 5 4 2" xfId="11805"/>
    <cellStyle name="연결된 셀 5 5" xfId="11806"/>
    <cellStyle name="연결된 셀 5 5 2" xfId="11807"/>
    <cellStyle name="연결된 셀 5 6" xfId="11808"/>
    <cellStyle name="연결된 셀 5 6 2" xfId="11809"/>
    <cellStyle name="연결된 셀 5 7" xfId="11810"/>
    <cellStyle name="연결된 셀 5 7 2" xfId="11811"/>
    <cellStyle name="연결된 셀 5 8" xfId="11812"/>
    <cellStyle name="연결된 셀 5 8 2" xfId="11813"/>
    <cellStyle name="연결된 셀 5 9" xfId="11814"/>
    <cellStyle name="연결된 셀 5 9 2" xfId="11815"/>
    <cellStyle name="연결된 셀 6" xfId="11816"/>
    <cellStyle name="연결된 셀 6 10" xfId="11817"/>
    <cellStyle name="연결된 셀 6 2" xfId="11818"/>
    <cellStyle name="연결된 셀 6 2 2" xfId="11819"/>
    <cellStyle name="연결된 셀 6 3" xfId="11820"/>
    <cellStyle name="연결된 셀 6 3 2" xfId="11821"/>
    <cellStyle name="연결된 셀 6 4" xfId="11822"/>
    <cellStyle name="연결된 셀 6 4 2" xfId="11823"/>
    <cellStyle name="연결된 셀 6 5" xfId="11824"/>
    <cellStyle name="연결된 셀 6 5 2" xfId="11825"/>
    <cellStyle name="연결된 셀 6 6" xfId="11826"/>
    <cellStyle name="연결된 셀 6 6 2" xfId="11827"/>
    <cellStyle name="연결된 셀 6 7" xfId="11828"/>
    <cellStyle name="연결된 셀 6 7 2" xfId="11829"/>
    <cellStyle name="연결된 셀 6 8" xfId="11830"/>
    <cellStyle name="연결된 셀 6 8 2" xfId="11831"/>
    <cellStyle name="연결된 셀 6 9" xfId="11832"/>
    <cellStyle name="연결된 셀 6 9 2" xfId="11833"/>
    <cellStyle name="열어본 하이퍼링크" xfId="11834"/>
    <cellStyle name="열어본 하이퍼링크 2" xfId="11835"/>
    <cellStyle name="옛체" xfId="11836"/>
    <cellStyle name="옛체 2" xfId="11837"/>
    <cellStyle name="왼쪽2" xfId="11838"/>
    <cellStyle name="왼쪽2 2" xfId="11839"/>
    <cellStyle name="왼쪽2 2 2" xfId="11840"/>
    <cellStyle name="왼쪽2 2 3" xfId="11841"/>
    <cellStyle name="왼쪽2 2 4" xfId="11842"/>
    <cellStyle name="왼쪽2 2 5" xfId="11843"/>
    <cellStyle name="요약 2" xfId="11844"/>
    <cellStyle name="요약 2 10" xfId="11845"/>
    <cellStyle name="요약 2 10 2" xfId="11846"/>
    <cellStyle name="요약 2 10 2 2" xfId="11847"/>
    <cellStyle name="요약 2 10 2 3" xfId="11848"/>
    <cellStyle name="요약 2 10 2 4" xfId="11849"/>
    <cellStyle name="요약 2 10 2 5" xfId="11850"/>
    <cellStyle name="요약 2 11" xfId="11851"/>
    <cellStyle name="요약 2 11 2" xfId="11852"/>
    <cellStyle name="요약 2 11 3" xfId="11853"/>
    <cellStyle name="요약 2 11 4" xfId="11854"/>
    <cellStyle name="요약 2 11 5" xfId="11855"/>
    <cellStyle name="요약 2 2" xfId="11856"/>
    <cellStyle name="요약 2 2 2" xfId="11857"/>
    <cellStyle name="요약 2 2 2 2" xfId="11858"/>
    <cellStyle name="요약 2 2 2 2 2" xfId="11859"/>
    <cellStyle name="요약 2 2 2 2 3" xfId="11860"/>
    <cellStyle name="요약 2 2 2 2 4" xfId="11861"/>
    <cellStyle name="요약 2 2 2 2 5" xfId="11862"/>
    <cellStyle name="요약 2 2 3" xfId="11863"/>
    <cellStyle name="요약 2 2 3 2" xfId="11864"/>
    <cellStyle name="요약 2 2 3 3" xfId="11865"/>
    <cellStyle name="요약 2 2 3 4" xfId="11866"/>
    <cellStyle name="요약 2 2 3 5" xfId="11867"/>
    <cellStyle name="요약 2 3" xfId="11868"/>
    <cellStyle name="요약 2 3 2" xfId="11869"/>
    <cellStyle name="요약 2 3 2 2" xfId="11870"/>
    <cellStyle name="요약 2 3 2 2 2" xfId="11871"/>
    <cellStyle name="요약 2 3 2 2 3" xfId="11872"/>
    <cellStyle name="요약 2 3 2 2 4" xfId="11873"/>
    <cellStyle name="요약 2 3 2 2 5" xfId="11874"/>
    <cellStyle name="요약 2 3 3" xfId="11875"/>
    <cellStyle name="요약 2 3 3 2" xfId="11876"/>
    <cellStyle name="요약 2 3 3 3" xfId="11877"/>
    <cellStyle name="요약 2 3 3 4" xfId="11878"/>
    <cellStyle name="요약 2 3 3 5" xfId="11879"/>
    <cellStyle name="요약 2 4" xfId="11880"/>
    <cellStyle name="요약 2 4 2" xfId="11881"/>
    <cellStyle name="요약 2 4 2 2" xfId="11882"/>
    <cellStyle name="요약 2 4 2 2 2" xfId="11883"/>
    <cellStyle name="요약 2 4 2 2 3" xfId="11884"/>
    <cellStyle name="요약 2 4 2 2 4" xfId="11885"/>
    <cellStyle name="요약 2 4 2 2 5" xfId="11886"/>
    <cellStyle name="요약 2 4 3" xfId="11887"/>
    <cellStyle name="요약 2 4 3 2" xfId="11888"/>
    <cellStyle name="요약 2 4 3 3" xfId="11889"/>
    <cellStyle name="요약 2 4 3 4" xfId="11890"/>
    <cellStyle name="요약 2 4 3 5" xfId="11891"/>
    <cellStyle name="요약 2 5" xfId="11892"/>
    <cellStyle name="요약 2 5 2" xfId="11893"/>
    <cellStyle name="요약 2 5 2 2" xfId="11894"/>
    <cellStyle name="요약 2 5 2 2 2" xfId="11895"/>
    <cellStyle name="요약 2 5 2 2 3" xfId="11896"/>
    <cellStyle name="요약 2 5 2 2 4" xfId="11897"/>
    <cellStyle name="요약 2 5 2 2 5" xfId="11898"/>
    <cellStyle name="요약 2 5 3" xfId="11899"/>
    <cellStyle name="요약 2 5 3 2" xfId="11900"/>
    <cellStyle name="요약 2 5 3 3" xfId="11901"/>
    <cellStyle name="요약 2 5 3 4" xfId="11902"/>
    <cellStyle name="요약 2 5 3 5" xfId="11903"/>
    <cellStyle name="요약 2 6" xfId="11904"/>
    <cellStyle name="요약 2 6 2" xfId="11905"/>
    <cellStyle name="요약 2 6 2 2" xfId="11906"/>
    <cellStyle name="요약 2 6 2 2 2" xfId="11907"/>
    <cellStyle name="요약 2 6 2 2 3" xfId="11908"/>
    <cellStyle name="요약 2 6 2 2 4" xfId="11909"/>
    <cellStyle name="요약 2 6 2 2 5" xfId="11910"/>
    <cellStyle name="요약 2 6 3" xfId="11911"/>
    <cellStyle name="요약 2 6 3 2" xfId="11912"/>
    <cellStyle name="요약 2 6 3 3" xfId="11913"/>
    <cellStyle name="요약 2 6 3 4" xfId="11914"/>
    <cellStyle name="요약 2 6 3 5" xfId="11915"/>
    <cellStyle name="요약 2 7" xfId="11916"/>
    <cellStyle name="요약 2 7 2" xfId="11917"/>
    <cellStyle name="요약 2 7 2 2" xfId="11918"/>
    <cellStyle name="요약 2 7 2 2 2" xfId="11919"/>
    <cellStyle name="요약 2 7 2 2 3" xfId="11920"/>
    <cellStyle name="요약 2 7 2 2 4" xfId="11921"/>
    <cellStyle name="요약 2 7 2 2 5" xfId="11922"/>
    <cellStyle name="요약 2 7 3" xfId="11923"/>
    <cellStyle name="요약 2 7 3 2" xfId="11924"/>
    <cellStyle name="요약 2 7 3 3" xfId="11925"/>
    <cellStyle name="요약 2 7 3 4" xfId="11926"/>
    <cellStyle name="요약 2 7 3 5" xfId="11927"/>
    <cellStyle name="요약 2 8" xfId="11928"/>
    <cellStyle name="요약 2 8 2" xfId="11929"/>
    <cellStyle name="요약 2 8 2 2" xfId="11930"/>
    <cellStyle name="요약 2 8 2 2 2" xfId="11931"/>
    <cellStyle name="요약 2 8 2 2 3" xfId="11932"/>
    <cellStyle name="요약 2 8 2 2 4" xfId="11933"/>
    <cellStyle name="요약 2 8 2 2 5" xfId="11934"/>
    <cellStyle name="요약 2 8 3" xfId="11935"/>
    <cellStyle name="요약 2 8 3 2" xfId="11936"/>
    <cellStyle name="요약 2 8 3 3" xfId="11937"/>
    <cellStyle name="요약 2 8 3 4" xfId="11938"/>
    <cellStyle name="요약 2 8 3 5" xfId="11939"/>
    <cellStyle name="요약 2 9" xfId="11940"/>
    <cellStyle name="요약 2 9 2" xfId="11941"/>
    <cellStyle name="요약 2 9 2 2" xfId="11942"/>
    <cellStyle name="요약 2 9 2 2 2" xfId="11943"/>
    <cellStyle name="요약 2 9 2 2 3" xfId="11944"/>
    <cellStyle name="요약 2 9 2 2 4" xfId="11945"/>
    <cellStyle name="요약 2 9 2 2 5" xfId="11946"/>
    <cellStyle name="요약 2 9 3" xfId="11947"/>
    <cellStyle name="요약 2 9 3 2" xfId="11948"/>
    <cellStyle name="요약 2 9 3 3" xfId="11949"/>
    <cellStyle name="요약 2 9 3 4" xfId="11950"/>
    <cellStyle name="요약 2 9 3 5" xfId="11951"/>
    <cellStyle name="요약 3" xfId="11952"/>
    <cellStyle name="요약 3 10" xfId="11953"/>
    <cellStyle name="요약 3 10 2" xfId="11954"/>
    <cellStyle name="요약 3 10 2 2" xfId="11955"/>
    <cellStyle name="요약 3 10 2 3" xfId="11956"/>
    <cellStyle name="요약 3 10 2 4" xfId="11957"/>
    <cellStyle name="요약 3 10 2 5" xfId="11958"/>
    <cellStyle name="요약 3 11" xfId="11959"/>
    <cellStyle name="요약 3 11 2" xfId="11960"/>
    <cellStyle name="요약 3 11 3" xfId="11961"/>
    <cellStyle name="요약 3 11 4" xfId="11962"/>
    <cellStyle name="요약 3 11 5" xfId="11963"/>
    <cellStyle name="요약 3 2" xfId="11964"/>
    <cellStyle name="요약 3 2 2" xfId="11965"/>
    <cellStyle name="요약 3 2 2 2" xfId="11966"/>
    <cellStyle name="요약 3 2 2 2 2" xfId="11967"/>
    <cellStyle name="요약 3 2 2 2 3" xfId="11968"/>
    <cellStyle name="요약 3 2 2 2 4" xfId="11969"/>
    <cellStyle name="요약 3 2 2 2 5" xfId="11970"/>
    <cellStyle name="요약 3 2 3" xfId="11971"/>
    <cellStyle name="요약 3 2 3 2" xfId="11972"/>
    <cellStyle name="요약 3 2 3 3" xfId="11973"/>
    <cellStyle name="요약 3 2 3 4" xfId="11974"/>
    <cellStyle name="요약 3 2 3 5" xfId="11975"/>
    <cellStyle name="요약 3 3" xfId="11976"/>
    <cellStyle name="요약 3 3 2" xfId="11977"/>
    <cellStyle name="요약 3 3 2 2" xfId="11978"/>
    <cellStyle name="요약 3 3 2 2 2" xfId="11979"/>
    <cellStyle name="요약 3 3 2 2 3" xfId="11980"/>
    <cellStyle name="요약 3 3 2 2 4" xfId="11981"/>
    <cellStyle name="요약 3 3 2 2 5" xfId="11982"/>
    <cellStyle name="요약 3 3 3" xfId="11983"/>
    <cellStyle name="요약 3 3 3 2" xfId="11984"/>
    <cellStyle name="요약 3 3 3 3" xfId="11985"/>
    <cellStyle name="요약 3 3 3 4" xfId="11986"/>
    <cellStyle name="요약 3 3 3 5" xfId="11987"/>
    <cellStyle name="요약 3 4" xfId="11988"/>
    <cellStyle name="요약 3 4 2" xfId="11989"/>
    <cellStyle name="요약 3 4 2 2" xfId="11990"/>
    <cellStyle name="요약 3 4 2 2 2" xfId="11991"/>
    <cellStyle name="요약 3 4 2 2 3" xfId="11992"/>
    <cellStyle name="요약 3 4 2 2 4" xfId="11993"/>
    <cellStyle name="요약 3 4 2 2 5" xfId="11994"/>
    <cellStyle name="요약 3 4 3" xfId="11995"/>
    <cellStyle name="요약 3 4 3 2" xfId="11996"/>
    <cellStyle name="요약 3 4 3 3" xfId="11997"/>
    <cellStyle name="요약 3 4 3 4" xfId="11998"/>
    <cellStyle name="요약 3 4 3 5" xfId="11999"/>
    <cellStyle name="요약 3 5" xfId="12000"/>
    <cellStyle name="요약 3 5 2" xfId="12001"/>
    <cellStyle name="요약 3 5 2 2" xfId="12002"/>
    <cellStyle name="요약 3 5 2 2 2" xfId="12003"/>
    <cellStyle name="요약 3 5 2 2 3" xfId="12004"/>
    <cellStyle name="요약 3 5 2 2 4" xfId="12005"/>
    <cellStyle name="요약 3 5 2 2 5" xfId="12006"/>
    <cellStyle name="요약 3 5 3" xfId="12007"/>
    <cellStyle name="요약 3 5 3 2" xfId="12008"/>
    <cellStyle name="요약 3 5 3 3" xfId="12009"/>
    <cellStyle name="요약 3 5 3 4" xfId="12010"/>
    <cellStyle name="요약 3 5 3 5" xfId="12011"/>
    <cellStyle name="요약 3 6" xfId="12012"/>
    <cellStyle name="요약 3 6 2" xfId="12013"/>
    <cellStyle name="요약 3 6 2 2" xfId="12014"/>
    <cellStyle name="요약 3 6 2 2 2" xfId="12015"/>
    <cellStyle name="요약 3 6 2 2 3" xfId="12016"/>
    <cellStyle name="요약 3 6 2 2 4" xfId="12017"/>
    <cellStyle name="요약 3 6 2 2 5" xfId="12018"/>
    <cellStyle name="요약 3 6 3" xfId="12019"/>
    <cellStyle name="요약 3 6 3 2" xfId="12020"/>
    <cellStyle name="요약 3 6 3 3" xfId="12021"/>
    <cellStyle name="요약 3 6 3 4" xfId="12022"/>
    <cellStyle name="요약 3 6 3 5" xfId="12023"/>
    <cellStyle name="요약 3 7" xfId="12024"/>
    <cellStyle name="요약 3 7 2" xfId="12025"/>
    <cellStyle name="요약 3 7 2 2" xfId="12026"/>
    <cellStyle name="요약 3 7 2 2 2" xfId="12027"/>
    <cellStyle name="요약 3 7 2 2 3" xfId="12028"/>
    <cellStyle name="요약 3 7 2 2 4" xfId="12029"/>
    <cellStyle name="요약 3 7 2 2 5" xfId="12030"/>
    <cellStyle name="요약 3 7 3" xfId="12031"/>
    <cellStyle name="요약 3 7 3 2" xfId="12032"/>
    <cellStyle name="요약 3 7 3 3" xfId="12033"/>
    <cellStyle name="요약 3 7 3 4" xfId="12034"/>
    <cellStyle name="요약 3 7 3 5" xfId="12035"/>
    <cellStyle name="요약 3 8" xfId="12036"/>
    <cellStyle name="요약 3 8 2" xfId="12037"/>
    <cellStyle name="요약 3 8 2 2" xfId="12038"/>
    <cellStyle name="요약 3 8 2 2 2" xfId="12039"/>
    <cellStyle name="요약 3 8 2 2 3" xfId="12040"/>
    <cellStyle name="요약 3 8 2 2 4" xfId="12041"/>
    <cellStyle name="요약 3 8 2 2 5" xfId="12042"/>
    <cellStyle name="요약 3 8 3" xfId="12043"/>
    <cellStyle name="요약 3 8 3 2" xfId="12044"/>
    <cellStyle name="요약 3 8 3 3" xfId="12045"/>
    <cellStyle name="요약 3 8 3 4" xfId="12046"/>
    <cellStyle name="요약 3 8 3 5" xfId="12047"/>
    <cellStyle name="요약 3 9" xfId="12048"/>
    <cellStyle name="요약 3 9 2" xfId="12049"/>
    <cellStyle name="요약 3 9 2 2" xfId="12050"/>
    <cellStyle name="요약 3 9 2 2 2" xfId="12051"/>
    <cellStyle name="요약 3 9 2 2 3" xfId="12052"/>
    <cellStyle name="요약 3 9 2 2 4" xfId="12053"/>
    <cellStyle name="요약 3 9 2 2 5" xfId="12054"/>
    <cellStyle name="요약 3 9 3" xfId="12055"/>
    <cellStyle name="요약 3 9 3 2" xfId="12056"/>
    <cellStyle name="요약 3 9 3 3" xfId="12057"/>
    <cellStyle name="요약 3 9 3 4" xfId="12058"/>
    <cellStyle name="요약 3 9 3 5" xfId="12059"/>
    <cellStyle name="요약 4" xfId="12060"/>
    <cellStyle name="요약 4 10" xfId="12061"/>
    <cellStyle name="요약 4 10 2" xfId="12062"/>
    <cellStyle name="요약 4 10 2 2" xfId="12063"/>
    <cellStyle name="요약 4 10 2 3" xfId="12064"/>
    <cellStyle name="요약 4 10 2 4" xfId="12065"/>
    <cellStyle name="요약 4 10 2 5" xfId="12066"/>
    <cellStyle name="요약 4 11" xfId="12067"/>
    <cellStyle name="요약 4 11 2" xfId="12068"/>
    <cellStyle name="요약 4 11 3" xfId="12069"/>
    <cellStyle name="요약 4 11 4" xfId="12070"/>
    <cellStyle name="요약 4 11 5" xfId="12071"/>
    <cellStyle name="요약 4 2" xfId="12072"/>
    <cellStyle name="요약 4 2 2" xfId="12073"/>
    <cellStyle name="요약 4 2 2 2" xfId="12074"/>
    <cellStyle name="요약 4 2 2 2 2" xfId="12075"/>
    <cellStyle name="요약 4 2 2 2 3" xfId="12076"/>
    <cellStyle name="요약 4 2 2 2 4" xfId="12077"/>
    <cellStyle name="요약 4 2 2 2 5" xfId="12078"/>
    <cellStyle name="요약 4 2 3" xfId="12079"/>
    <cellStyle name="요약 4 2 3 2" xfId="12080"/>
    <cellStyle name="요약 4 2 3 3" xfId="12081"/>
    <cellStyle name="요약 4 2 3 4" xfId="12082"/>
    <cellStyle name="요약 4 2 3 5" xfId="12083"/>
    <cellStyle name="요약 4 3" xfId="12084"/>
    <cellStyle name="요약 4 3 2" xfId="12085"/>
    <cellStyle name="요약 4 3 2 2" xfId="12086"/>
    <cellStyle name="요약 4 3 2 2 2" xfId="12087"/>
    <cellStyle name="요약 4 3 2 2 3" xfId="12088"/>
    <cellStyle name="요약 4 3 2 2 4" xfId="12089"/>
    <cellStyle name="요약 4 3 2 2 5" xfId="12090"/>
    <cellStyle name="요약 4 3 3" xfId="12091"/>
    <cellStyle name="요약 4 3 3 2" xfId="12092"/>
    <cellStyle name="요약 4 3 3 3" xfId="12093"/>
    <cellStyle name="요약 4 3 3 4" xfId="12094"/>
    <cellStyle name="요약 4 3 3 5" xfId="12095"/>
    <cellStyle name="요약 4 4" xfId="12096"/>
    <cellStyle name="요약 4 4 2" xfId="12097"/>
    <cellStyle name="요약 4 4 2 2" xfId="12098"/>
    <cellStyle name="요약 4 4 2 2 2" xfId="12099"/>
    <cellStyle name="요약 4 4 2 2 3" xfId="12100"/>
    <cellStyle name="요약 4 4 2 2 4" xfId="12101"/>
    <cellStyle name="요약 4 4 2 2 5" xfId="12102"/>
    <cellStyle name="요약 4 4 3" xfId="12103"/>
    <cellStyle name="요약 4 4 3 2" xfId="12104"/>
    <cellStyle name="요약 4 4 3 3" xfId="12105"/>
    <cellStyle name="요약 4 4 3 4" xfId="12106"/>
    <cellStyle name="요약 4 4 3 5" xfId="12107"/>
    <cellStyle name="요약 4 5" xfId="12108"/>
    <cellStyle name="요약 4 5 2" xfId="12109"/>
    <cellStyle name="요약 4 5 2 2" xfId="12110"/>
    <cellStyle name="요약 4 5 2 2 2" xfId="12111"/>
    <cellStyle name="요약 4 5 2 2 3" xfId="12112"/>
    <cellStyle name="요약 4 5 2 2 4" xfId="12113"/>
    <cellStyle name="요약 4 5 2 2 5" xfId="12114"/>
    <cellStyle name="요약 4 5 3" xfId="12115"/>
    <cellStyle name="요약 4 5 3 2" xfId="12116"/>
    <cellStyle name="요약 4 5 3 3" xfId="12117"/>
    <cellStyle name="요약 4 5 3 4" xfId="12118"/>
    <cellStyle name="요약 4 5 3 5" xfId="12119"/>
    <cellStyle name="요약 4 6" xfId="12120"/>
    <cellStyle name="요약 4 6 2" xfId="12121"/>
    <cellStyle name="요약 4 6 2 2" xfId="12122"/>
    <cellStyle name="요약 4 6 2 2 2" xfId="12123"/>
    <cellStyle name="요약 4 6 2 2 3" xfId="12124"/>
    <cellStyle name="요약 4 6 2 2 4" xfId="12125"/>
    <cellStyle name="요약 4 6 2 2 5" xfId="12126"/>
    <cellStyle name="요약 4 6 3" xfId="12127"/>
    <cellStyle name="요약 4 6 3 2" xfId="12128"/>
    <cellStyle name="요약 4 6 3 3" xfId="12129"/>
    <cellStyle name="요약 4 6 3 4" xfId="12130"/>
    <cellStyle name="요약 4 6 3 5" xfId="12131"/>
    <cellStyle name="요약 4 7" xfId="12132"/>
    <cellStyle name="요약 4 7 2" xfId="12133"/>
    <cellStyle name="요약 4 7 2 2" xfId="12134"/>
    <cellStyle name="요약 4 7 2 2 2" xfId="12135"/>
    <cellStyle name="요약 4 7 2 2 3" xfId="12136"/>
    <cellStyle name="요약 4 7 2 2 4" xfId="12137"/>
    <cellStyle name="요약 4 7 2 2 5" xfId="12138"/>
    <cellStyle name="요약 4 7 3" xfId="12139"/>
    <cellStyle name="요약 4 7 3 2" xfId="12140"/>
    <cellStyle name="요약 4 7 3 3" xfId="12141"/>
    <cellStyle name="요약 4 7 3 4" xfId="12142"/>
    <cellStyle name="요약 4 7 3 5" xfId="12143"/>
    <cellStyle name="요약 4 8" xfId="12144"/>
    <cellStyle name="요약 4 8 2" xfId="12145"/>
    <cellStyle name="요약 4 8 2 2" xfId="12146"/>
    <cellStyle name="요약 4 8 2 2 2" xfId="12147"/>
    <cellStyle name="요약 4 8 2 2 3" xfId="12148"/>
    <cellStyle name="요약 4 8 2 2 4" xfId="12149"/>
    <cellStyle name="요약 4 8 2 2 5" xfId="12150"/>
    <cellStyle name="요약 4 8 3" xfId="12151"/>
    <cellStyle name="요약 4 8 3 2" xfId="12152"/>
    <cellStyle name="요약 4 8 3 3" xfId="12153"/>
    <cellStyle name="요약 4 8 3 4" xfId="12154"/>
    <cellStyle name="요약 4 8 3 5" xfId="12155"/>
    <cellStyle name="요약 4 9" xfId="12156"/>
    <cellStyle name="요약 4 9 2" xfId="12157"/>
    <cellStyle name="요약 4 9 2 2" xfId="12158"/>
    <cellStyle name="요약 4 9 2 2 2" xfId="12159"/>
    <cellStyle name="요약 4 9 2 2 3" xfId="12160"/>
    <cellStyle name="요약 4 9 2 2 4" xfId="12161"/>
    <cellStyle name="요약 4 9 2 2 5" xfId="12162"/>
    <cellStyle name="요약 4 9 3" xfId="12163"/>
    <cellStyle name="요약 4 9 3 2" xfId="12164"/>
    <cellStyle name="요약 4 9 3 3" xfId="12165"/>
    <cellStyle name="요약 4 9 3 4" xfId="12166"/>
    <cellStyle name="요약 4 9 3 5" xfId="12167"/>
    <cellStyle name="요약 5" xfId="12168"/>
    <cellStyle name="요약 5 10" xfId="12169"/>
    <cellStyle name="요약 5 10 2" xfId="12170"/>
    <cellStyle name="요약 5 10 2 2" xfId="12171"/>
    <cellStyle name="요약 5 10 2 3" xfId="12172"/>
    <cellStyle name="요약 5 10 2 4" xfId="12173"/>
    <cellStyle name="요약 5 10 2 5" xfId="12174"/>
    <cellStyle name="요약 5 11" xfId="12175"/>
    <cellStyle name="요약 5 11 2" xfId="12176"/>
    <cellStyle name="요약 5 11 3" xfId="12177"/>
    <cellStyle name="요약 5 11 4" xfId="12178"/>
    <cellStyle name="요약 5 11 5" xfId="12179"/>
    <cellStyle name="요약 5 2" xfId="12180"/>
    <cellStyle name="요약 5 2 2" xfId="12181"/>
    <cellStyle name="요약 5 2 2 2" xfId="12182"/>
    <cellStyle name="요약 5 2 2 2 2" xfId="12183"/>
    <cellStyle name="요약 5 2 2 2 3" xfId="12184"/>
    <cellStyle name="요약 5 2 2 2 4" xfId="12185"/>
    <cellStyle name="요약 5 2 2 2 5" xfId="12186"/>
    <cellStyle name="요약 5 2 3" xfId="12187"/>
    <cellStyle name="요약 5 2 3 2" xfId="12188"/>
    <cellStyle name="요약 5 2 3 3" xfId="12189"/>
    <cellStyle name="요약 5 2 3 4" xfId="12190"/>
    <cellStyle name="요약 5 2 3 5" xfId="12191"/>
    <cellStyle name="요약 5 3" xfId="12192"/>
    <cellStyle name="요약 5 3 2" xfId="12193"/>
    <cellStyle name="요약 5 3 2 2" xfId="12194"/>
    <cellStyle name="요약 5 3 2 2 2" xfId="12195"/>
    <cellStyle name="요약 5 3 2 2 3" xfId="12196"/>
    <cellStyle name="요약 5 3 2 2 4" xfId="12197"/>
    <cellStyle name="요약 5 3 2 2 5" xfId="12198"/>
    <cellStyle name="요약 5 3 3" xfId="12199"/>
    <cellStyle name="요약 5 3 3 2" xfId="12200"/>
    <cellStyle name="요약 5 3 3 3" xfId="12201"/>
    <cellStyle name="요약 5 3 3 4" xfId="12202"/>
    <cellStyle name="요약 5 3 3 5" xfId="12203"/>
    <cellStyle name="요약 5 4" xfId="12204"/>
    <cellStyle name="요약 5 4 2" xfId="12205"/>
    <cellStyle name="요약 5 4 2 2" xfId="12206"/>
    <cellStyle name="요약 5 4 2 2 2" xfId="12207"/>
    <cellStyle name="요약 5 4 2 2 3" xfId="12208"/>
    <cellStyle name="요약 5 4 2 2 4" xfId="12209"/>
    <cellStyle name="요약 5 4 2 2 5" xfId="12210"/>
    <cellStyle name="요약 5 4 3" xfId="12211"/>
    <cellStyle name="요약 5 4 3 2" xfId="12212"/>
    <cellStyle name="요약 5 4 3 3" xfId="12213"/>
    <cellStyle name="요약 5 4 3 4" xfId="12214"/>
    <cellStyle name="요약 5 4 3 5" xfId="12215"/>
    <cellStyle name="요약 5 5" xfId="12216"/>
    <cellStyle name="요약 5 5 2" xfId="12217"/>
    <cellStyle name="요약 5 5 2 2" xfId="12218"/>
    <cellStyle name="요약 5 5 2 2 2" xfId="12219"/>
    <cellStyle name="요약 5 5 2 2 3" xfId="12220"/>
    <cellStyle name="요약 5 5 2 2 4" xfId="12221"/>
    <cellStyle name="요약 5 5 2 2 5" xfId="12222"/>
    <cellStyle name="요약 5 5 3" xfId="12223"/>
    <cellStyle name="요약 5 5 3 2" xfId="12224"/>
    <cellStyle name="요약 5 5 3 3" xfId="12225"/>
    <cellStyle name="요약 5 5 3 4" xfId="12226"/>
    <cellStyle name="요약 5 5 3 5" xfId="12227"/>
    <cellStyle name="요약 5 6" xfId="12228"/>
    <cellStyle name="요약 5 6 2" xfId="12229"/>
    <cellStyle name="요약 5 6 2 2" xfId="12230"/>
    <cellStyle name="요약 5 6 2 2 2" xfId="12231"/>
    <cellStyle name="요약 5 6 2 2 3" xfId="12232"/>
    <cellStyle name="요약 5 6 2 2 4" xfId="12233"/>
    <cellStyle name="요약 5 6 2 2 5" xfId="12234"/>
    <cellStyle name="요약 5 6 3" xfId="12235"/>
    <cellStyle name="요약 5 6 3 2" xfId="12236"/>
    <cellStyle name="요약 5 6 3 3" xfId="12237"/>
    <cellStyle name="요약 5 6 3 4" xfId="12238"/>
    <cellStyle name="요약 5 6 3 5" xfId="12239"/>
    <cellStyle name="요약 5 7" xfId="12240"/>
    <cellStyle name="요약 5 7 2" xfId="12241"/>
    <cellStyle name="요약 5 7 2 2" xfId="12242"/>
    <cellStyle name="요약 5 7 2 2 2" xfId="12243"/>
    <cellStyle name="요약 5 7 2 2 3" xfId="12244"/>
    <cellStyle name="요약 5 7 2 2 4" xfId="12245"/>
    <cellStyle name="요약 5 7 2 2 5" xfId="12246"/>
    <cellStyle name="요약 5 7 3" xfId="12247"/>
    <cellStyle name="요약 5 7 3 2" xfId="12248"/>
    <cellStyle name="요약 5 7 3 3" xfId="12249"/>
    <cellStyle name="요약 5 7 3 4" xfId="12250"/>
    <cellStyle name="요약 5 7 3 5" xfId="12251"/>
    <cellStyle name="요약 5 8" xfId="12252"/>
    <cellStyle name="요약 5 8 2" xfId="12253"/>
    <cellStyle name="요약 5 8 2 2" xfId="12254"/>
    <cellStyle name="요약 5 8 2 2 2" xfId="12255"/>
    <cellStyle name="요약 5 8 2 2 3" xfId="12256"/>
    <cellStyle name="요약 5 8 2 2 4" xfId="12257"/>
    <cellStyle name="요약 5 8 2 2 5" xfId="12258"/>
    <cellStyle name="요약 5 8 3" xfId="12259"/>
    <cellStyle name="요약 5 8 3 2" xfId="12260"/>
    <cellStyle name="요약 5 8 3 3" xfId="12261"/>
    <cellStyle name="요약 5 8 3 4" xfId="12262"/>
    <cellStyle name="요약 5 8 3 5" xfId="12263"/>
    <cellStyle name="요약 5 9" xfId="12264"/>
    <cellStyle name="요약 5 9 2" xfId="12265"/>
    <cellStyle name="요약 5 9 2 2" xfId="12266"/>
    <cellStyle name="요약 5 9 2 2 2" xfId="12267"/>
    <cellStyle name="요약 5 9 2 2 3" xfId="12268"/>
    <cellStyle name="요약 5 9 2 2 4" xfId="12269"/>
    <cellStyle name="요약 5 9 2 2 5" xfId="12270"/>
    <cellStyle name="요약 5 9 3" xfId="12271"/>
    <cellStyle name="요약 5 9 3 2" xfId="12272"/>
    <cellStyle name="요약 5 9 3 3" xfId="12273"/>
    <cellStyle name="요약 5 9 3 4" xfId="12274"/>
    <cellStyle name="요약 5 9 3 5" xfId="12275"/>
    <cellStyle name="요약 6" xfId="12276"/>
    <cellStyle name="요약 6 10" xfId="12277"/>
    <cellStyle name="요약 6 10 2" xfId="12278"/>
    <cellStyle name="요약 6 10 2 2" xfId="12279"/>
    <cellStyle name="요약 6 10 2 3" xfId="12280"/>
    <cellStyle name="요약 6 10 2 4" xfId="12281"/>
    <cellStyle name="요약 6 10 2 5" xfId="12282"/>
    <cellStyle name="요약 6 11" xfId="12283"/>
    <cellStyle name="요약 6 11 2" xfId="12284"/>
    <cellStyle name="요약 6 11 3" xfId="12285"/>
    <cellStyle name="요약 6 11 4" xfId="12286"/>
    <cellStyle name="요약 6 11 5" xfId="12287"/>
    <cellStyle name="요약 6 2" xfId="12288"/>
    <cellStyle name="요약 6 2 2" xfId="12289"/>
    <cellStyle name="요약 6 2 2 2" xfId="12290"/>
    <cellStyle name="요약 6 2 2 2 2" xfId="12291"/>
    <cellStyle name="요약 6 2 2 2 3" xfId="12292"/>
    <cellStyle name="요약 6 2 2 2 4" xfId="12293"/>
    <cellStyle name="요약 6 2 2 2 5" xfId="12294"/>
    <cellStyle name="요약 6 2 3" xfId="12295"/>
    <cellStyle name="요약 6 2 3 2" xfId="12296"/>
    <cellStyle name="요약 6 2 3 3" xfId="12297"/>
    <cellStyle name="요약 6 2 3 4" xfId="12298"/>
    <cellStyle name="요약 6 2 3 5" xfId="12299"/>
    <cellStyle name="요약 6 3" xfId="12300"/>
    <cellStyle name="요약 6 3 2" xfId="12301"/>
    <cellStyle name="요약 6 3 2 2" xfId="12302"/>
    <cellStyle name="요약 6 3 2 2 2" xfId="12303"/>
    <cellStyle name="요약 6 3 2 2 3" xfId="12304"/>
    <cellStyle name="요약 6 3 2 2 4" xfId="12305"/>
    <cellStyle name="요약 6 3 2 2 5" xfId="12306"/>
    <cellStyle name="요약 6 3 3" xfId="12307"/>
    <cellStyle name="요약 6 3 3 2" xfId="12308"/>
    <cellStyle name="요약 6 3 3 3" xfId="12309"/>
    <cellStyle name="요약 6 3 3 4" xfId="12310"/>
    <cellStyle name="요약 6 3 3 5" xfId="12311"/>
    <cellStyle name="요약 6 4" xfId="12312"/>
    <cellStyle name="요약 6 4 2" xfId="12313"/>
    <cellStyle name="요약 6 4 2 2" xfId="12314"/>
    <cellStyle name="요약 6 4 2 2 2" xfId="12315"/>
    <cellStyle name="요약 6 4 2 2 3" xfId="12316"/>
    <cellStyle name="요약 6 4 2 2 4" xfId="12317"/>
    <cellStyle name="요약 6 4 2 2 5" xfId="12318"/>
    <cellStyle name="요약 6 4 3" xfId="12319"/>
    <cellStyle name="요약 6 4 3 2" xfId="12320"/>
    <cellStyle name="요약 6 4 3 3" xfId="12321"/>
    <cellStyle name="요약 6 4 3 4" xfId="12322"/>
    <cellStyle name="요약 6 4 3 5" xfId="12323"/>
    <cellStyle name="요약 6 5" xfId="12324"/>
    <cellStyle name="요약 6 5 2" xfId="12325"/>
    <cellStyle name="요약 6 5 2 2" xfId="12326"/>
    <cellStyle name="요약 6 5 2 2 2" xfId="12327"/>
    <cellStyle name="요약 6 5 2 2 3" xfId="12328"/>
    <cellStyle name="요약 6 5 2 2 4" xfId="12329"/>
    <cellStyle name="요약 6 5 2 2 5" xfId="12330"/>
    <cellStyle name="요약 6 5 3" xfId="12331"/>
    <cellStyle name="요약 6 5 3 2" xfId="12332"/>
    <cellStyle name="요약 6 5 3 3" xfId="12333"/>
    <cellStyle name="요약 6 5 3 4" xfId="12334"/>
    <cellStyle name="요약 6 5 3 5" xfId="12335"/>
    <cellStyle name="요약 6 6" xfId="12336"/>
    <cellStyle name="요약 6 6 2" xfId="12337"/>
    <cellStyle name="요약 6 6 2 2" xfId="12338"/>
    <cellStyle name="요약 6 6 2 2 2" xfId="12339"/>
    <cellStyle name="요약 6 6 2 2 3" xfId="12340"/>
    <cellStyle name="요약 6 6 2 2 4" xfId="12341"/>
    <cellStyle name="요약 6 6 2 2 5" xfId="12342"/>
    <cellStyle name="요약 6 6 3" xfId="12343"/>
    <cellStyle name="요약 6 6 3 2" xfId="12344"/>
    <cellStyle name="요약 6 6 3 3" xfId="12345"/>
    <cellStyle name="요약 6 6 3 4" xfId="12346"/>
    <cellStyle name="요약 6 6 3 5" xfId="12347"/>
    <cellStyle name="요약 6 7" xfId="12348"/>
    <cellStyle name="요약 6 7 2" xfId="12349"/>
    <cellStyle name="요약 6 7 2 2" xfId="12350"/>
    <cellStyle name="요약 6 7 2 2 2" xfId="12351"/>
    <cellStyle name="요약 6 7 2 2 3" xfId="12352"/>
    <cellStyle name="요약 6 7 2 2 4" xfId="12353"/>
    <cellStyle name="요약 6 7 2 2 5" xfId="12354"/>
    <cellStyle name="요약 6 7 3" xfId="12355"/>
    <cellStyle name="요약 6 7 3 2" xfId="12356"/>
    <cellStyle name="요약 6 7 3 3" xfId="12357"/>
    <cellStyle name="요약 6 7 3 4" xfId="12358"/>
    <cellStyle name="요약 6 7 3 5" xfId="12359"/>
    <cellStyle name="요약 6 8" xfId="12360"/>
    <cellStyle name="요약 6 8 2" xfId="12361"/>
    <cellStyle name="요약 6 8 2 2" xfId="12362"/>
    <cellStyle name="요약 6 8 2 2 2" xfId="12363"/>
    <cellStyle name="요약 6 8 2 2 3" xfId="12364"/>
    <cellStyle name="요약 6 8 2 2 4" xfId="12365"/>
    <cellStyle name="요약 6 8 2 2 5" xfId="12366"/>
    <cellStyle name="요약 6 8 3" xfId="12367"/>
    <cellStyle name="요약 6 8 3 2" xfId="12368"/>
    <cellStyle name="요약 6 8 3 3" xfId="12369"/>
    <cellStyle name="요약 6 8 3 4" xfId="12370"/>
    <cellStyle name="요약 6 8 3 5" xfId="12371"/>
    <cellStyle name="요약 6 9" xfId="12372"/>
    <cellStyle name="요약 6 9 2" xfId="12373"/>
    <cellStyle name="요약 6 9 2 2" xfId="12374"/>
    <cellStyle name="요약 6 9 2 2 2" xfId="12375"/>
    <cellStyle name="요약 6 9 2 2 3" xfId="12376"/>
    <cellStyle name="요약 6 9 2 2 4" xfId="12377"/>
    <cellStyle name="요약 6 9 2 2 5" xfId="12378"/>
    <cellStyle name="요약 6 9 3" xfId="12379"/>
    <cellStyle name="요약 6 9 3 2" xfId="12380"/>
    <cellStyle name="요약 6 9 3 3" xfId="12381"/>
    <cellStyle name="요약 6 9 3 4" xfId="12382"/>
    <cellStyle name="요약 6 9 3 5" xfId="12383"/>
    <cellStyle name="원" xfId="12384"/>
    <cellStyle name="원 10" xfId="12385"/>
    <cellStyle name="원 10 2" xfId="12386"/>
    <cellStyle name="원 11" xfId="12387"/>
    <cellStyle name="원 11 2" xfId="12388"/>
    <cellStyle name="원 12" xfId="12389"/>
    <cellStyle name="원 12 2" xfId="12390"/>
    <cellStyle name="원 13" xfId="12391"/>
    <cellStyle name="원 13 2" xfId="12392"/>
    <cellStyle name="원 14" xfId="12393"/>
    <cellStyle name="원 14 2" xfId="12394"/>
    <cellStyle name="원 15" xfId="12395"/>
    <cellStyle name="원 15 2" xfId="12396"/>
    <cellStyle name="원 16" xfId="12397"/>
    <cellStyle name="원 16 2" xfId="12398"/>
    <cellStyle name="원 17" xfId="12399"/>
    <cellStyle name="원 17 2" xfId="12400"/>
    <cellStyle name="원 18" xfId="12401"/>
    <cellStyle name="원 18 2" xfId="12402"/>
    <cellStyle name="원 19" xfId="12403"/>
    <cellStyle name="원 19 2" xfId="12404"/>
    <cellStyle name="원 2" xfId="12405"/>
    <cellStyle name="원 2 2" xfId="12406"/>
    <cellStyle name="원 2 2 2" xfId="12407"/>
    <cellStyle name="원 2 3" xfId="12408"/>
    <cellStyle name="원 20" xfId="12409"/>
    <cellStyle name="원 20 2" xfId="12410"/>
    <cellStyle name="원 21" xfId="12411"/>
    <cellStyle name="원 21 2" xfId="12412"/>
    <cellStyle name="원 22" xfId="12413"/>
    <cellStyle name="원 22 2" xfId="12414"/>
    <cellStyle name="원 23" xfId="12415"/>
    <cellStyle name="원 23 2" xfId="12416"/>
    <cellStyle name="원 24" xfId="12417"/>
    <cellStyle name="원 24 2" xfId="12418"/>
    <cellStyle name="원 25" xfId="12419"/>
    <cellStyle name="원 25 2" xfId="12420"/>
    <cellStyle name="원 26" xfId="12421"/>
    <cellStyle name="원 26 2" xfId="12422"/>
    <cellStyle name="원 27" xfId="12423"/>
    <cellStyle name="원 27 2" xfId="12424"/>
    <cellStyle name="원 28" xfId="12425"/>
    <cellStyle name="원 28 2" xfId="12426"/>
    <cellStyle name="원 29" xfId="12427"/>
    <cellStyle name="원 29 2" xfId="12428"/>
    <cellStyle name="원 3" xfId="12429"/>
    <cellStyle name="원 3 2" xfId="12430"/>
    <cellStyle name="원 30" xfId="12431"/>
    <cellStyle name="원 30 2" xfId="12432"/>
    <cellStyle name="원 31" xfId="12433"/>
    <cellStyle name="원 31 2" xfId="12434"/>
    <cellStyle name="원 32" xfId="12435"/>
    <cellStyle name="원 32 2" xfId="12436"/>
    <cellStyle name="원 33" xfId="12437"/>
    <cellStyle name="원 33 2" xfId="12438"/>
    <cellStyle name="원 34" xfId="12439"/>
    <cellStyle name="원 34 2" xfId="12440"/>
    <cellStyle name="원 35" xfId="12441"/>
    <cellStyle name="원 35 2" xfId="12442"/>
    <cellStyle name="원 36" xfId="12443"/>
    <cellStyle name="원 36 2" xfId="12444"/>
    <cellStyle name="원 37" xfId="12445"/>
    <cellStyle name="원 37 2" xfId="12446"/>
    <cellStyle name="원 38" xfId="12447"/>
    <cellStyle name="원 38 2" xfId="12448"/>
    <cellStyle name="원 39" xfId="12449"/>
    <cellStyle name="원 39 2" xfId="12450"/>
    <cellStyle name="원 4" xfId="12451"/>
    <cellStyle name="원 4 2" xfId="12452"/>
    <cellStyle name="원 40" xfId="12453"/>
    <cellStyle name="원 40 2" xfId="12454"/>
    <cellStyle name="원 41" xfId="12455"/>
    <cellStyle name="원 41 2" xfId="12456"/>
    <cellStyle name="원 42" xfId="12457"/>
    <cellStyle name="원 42 2" xfId="12458"/>
    <cellStyle name="원 43" xfId="12459"/>
    <cellStyle name="원 43 2" xfId="12460"/>
    <cellStyle name="원 44" xfId="12461"/>
    <cellStyle name="원 5" xfId="12462"/>
    <cellStyle name="원 5 2" xfId="12463"/>
    <cellStyle name="원 6" xfId="12464"/>
    <cellStyle name="원 6 2" xfId="12465"/>
    <cellStyle name="원 7" xfId="12466"/>
    <cellStyle name="원 7 2" xfId="12467"/>
    <cellStyle name="원 8" xfId="12468"/>
    <cellStyle name="원 8 2" xfId="12469"/>
    <cellStyle name="원 9" xfId="12470"/>
    <cellStyle name="원 9 2" xfId="12471"/>
    <cellStyle name="원_465_kangwon2002-5-2-1)최종수정)" xfId="12472"/>
    <cellStyle name="원_인흥공사비(수지예산서)" xfId="12473"/>
    <cellStyle name="원_점리내역" xfId="12474"/>
    <cellStyle name="원_창봉지급자재단가" xfId="12475"/>
    <cellStyle name="유1" xfId="12476"/>
    <cellStyle name="유1 2" xfId="12477"/>
    <cellStyle name="유영" xfId="12478"/>
    <cellStyle name="一般_NEGS" xfId="12479"/>
    <cellStyle name="입력 2" xfId="12480"/>
    <cellStyle name="입력 2 10" xfId="12481"/>
    <cellStyle name="입력 2 10 2" xfId="12482"/>
    <cellStyle name="입력 2 10 2 2" xfId="12483"/>
    <cellStyle name="입력 2 10 2 3" xfId="12484"/>
    <cellStyle name="입력 2 10 2 4" xfId="12485"/>
    <cellStyle name="입력 2 10 2 5" xfId="12486"/>
    <cellStyle name="입력 2 11" xfId="12487"/>
    <cellStyle name="입력 2 11 2" xfId="12488"/>
    <cellStyle name="입력 2 11 3" xfId="12489"/>
    <cellStyle name="입력 2 11 4" xfId="12490"/>
    <cellStyle name="입력 2 11 5" xfId="12491"/>
    <cellStyle name="입력 2 2" xfId="12492"/>
    <cellStyle name="입력 2 2 2" xfId="12493"/>
    <cellStyle name="입력 2 2 2 2" xfId="12494"/>
    <cellStyle name="입력 2 2 2 2 2" xfId="12495"/>
    <cellStyle name="입력 2 2 2 2 3" xfId="12496"/>
    <cellStyle name="입력 2 2 2 2 4" xfId="12497"/>
    <cellStyle name="입력 2 2 2 2 5" xfId="12498"/>
    <cellStyle name="입력 2 2 3" xfId="12499"/>
    <cellStyle name="입력 2 2 3 2" xfId="12500"/>
    <cellStyle name="입력 2 2 3 3" xfId="12501"/>
    <cellStyle name="입력 2 2 3 4" xfId="12502"/>
    <cellStyle name="입력 2 2 3 5" xfId="12503"/>
    <cellStyle name="입력 2 3" xfId="12504"/>
    <cellStyle name="입력 2 3 2" xfId="12505"/>
    <cellStyle name="입력 2 3 2 2" xfId="12506"/>
    <cellStyle name="입력 2 3 2 2 2" xfId="12507"/>
    <cellStyle name="입력 2 3 2 2 3" xfId="12508"/>
    <cellStyle name="입력 2 3 2 2 4" xfId="12509"/>
    <cellStyle name="입력 2 3 2 2 5" xfId="12510"/>
    <cellStyle name="입력 2 3 3" xfId="12511"/>
    <cellStyle name="입력 2 3 3 2" xfId="12512"/>
    <cellStyle name="입력 2 3 3 3" xfId="12513"/>
    <cellStyle name="입력 2 3 3 4" xfId="12514"/>
    <cellStyle name="입력 2 3 3 5" xfId="12515"/>
    <cellStyle name="입력 2 4" xfId="12516"/>
    <cellStyle name="입력 2 4 2" xfId="12517"/>
    <cellStyle name="입력 2 4 2 2" xfId="12518"/>
    <cellStyle name="입력 2 4 2 2 2" xfId="12519"/>
    <cellStyle name="입력 2 4 2 2 3" xfId="12520"/>
    <cellStyle name="입력 2 4 2 2 4" xfId="12521"/>
    <cellStyle name="입력 2 4 2 2 5" xfId="12522"/>
    <cellStyle name="입력 2 4 3" xfId="12523"/>
    <cellStyle name="입력 2 4 3 2" xfId="12524"/>
    <cellStyle name="입력 2 4 3 3" xfId="12525"/>
    <cellStyle name="입력 2 4 3 4" xfId="12526"/>
    <cellStyle name="입력 2 4 3 5" xfId="12527"/>
    <cellStyle name="입력 2 5" xfId="12528"/>
    <cellStyle name="입력 2 5 2" xfId="12529"/>
    <cellStyle name="입력 2 5 2 2" xfId="12530"/>
    <cellStyle name="입력 2 5 2 2 2" xfId="12531"/>
    <cellStyle name="입력 2 5 2 2 3" xfId="12532"/>
    <cellStyle name="입력 2 5 2 2 4" xfId="12533"/>
    <cellStyle name="입력 2 5 2 2 5" xfId="12534"/>
    <cellStyle name="입력 2 5 3" xfId="12535"/>
    <cellStyle name="입력 2 5 3 2" xfId="12536"/>
    <cellStyle name="입력 2 5 3 3" xfId="12537"/>
    <cellStyle name="입력 2 5 3 4" xfId="12538"/>
    <cellStyle name="입력 2 5 3 5" xfId="12539"/>
    <cellStyle name="입력 2 6" xfId="12540"/>
    <cellStyle name="입력 2 6 2" xfId="12541"/>
    <cellStyle name="입력 2 6 2 2" xfId="12542"/>
    <cellStyle name="입력 2 6 2 2 2" xfId="12543"/>
    <cellStyle name="입력 2 6 2 2 3" xfId="12544"/>
    <cellStyle name="입력 2 6 2 2 4" xfId="12545"/>
    <cellStyle name="입력 2 6 2 2 5" xfId="12546"/>
    <cellStyle name="입력 2 6 3" xfId="12547"/>
    <cellStyle name="입력 2 6 3 2" xfId="12548"/>
    <cellStyle name="입력 2 6 3 3" xfId="12549"/>
    <cellStyle name="입력 2 6 3 4" xfId="12550"/>
    <cellStyle name="입력 2 6 3 5" xfId="12551"/>
    <cellStyle name="입력 2 7" xfId="12552"/>
    <cellStyle name="입력 2 7 2" xfId="12553"/>
    <cellStyle name="입력 2 7 2 2" xfId="12554"/>
    <cellStyle name="입력 2 7 2 2 2" xfId="12555"/>
    <cellStyle name="입력 2 7 2 2 3" xfId="12556"/>
    <cellStyle name="입력 2 7 2 2 4" xfId="12557"/>
    <cellStyle name="입력 2 7 2 2 5" xfId="12558"/>
    <cellStyle name="입력 2 7 3" xfId="12559"/>
    <cellStyle name="입력 2 7 3 2" xfId="12560"/>
    <cellStyle name="입력 2 7 3 3" xfId="12561"/>
    <cellStyle name="입력 2 7 3 4" xfId="12562"/>
    <cellStyle name="입력 2 7 3 5" xfId="12563"/>
    <cellStyle name="입력 2 8" xfId="12564"/>
    <cellStyle name="입력 2 8 2" xfId="12565"/>
    <cellStyle name="입력 2 8 2 2" xfId="12566"/>
    <cellStyle name="입력 2 8 2 2 2" xfId="12567"/>
    <cellStyle name="입력 2 8 2 2 3" xfId="12568"/>
    <cellStyle name="입력 2 8 2 2 4" xfId="12569"/>
    <cellStyle name="입력 2 8 2 2 5" xfId="12570"/>
    <cellStyle name="입력 2 8 3" xfId="12571"/>
    <cellStyle name="입력 2 8 3 2" xfId="12572"/>
    <cellStyle name="입력 2 8 3 3" xfId="12573"/>
    <cellStyle name="입력 2 8 3 4" xfId="12574"/>
    <cellStyle name="입력 2 8 3 5" xfId="12575"/>
    <cellStyle name="입력 2 9" xfId="12576"/>
    <cellStyle name="입력 2 9 2" xfId="12577"/>
    <cellStyle name="입력 2 9 2 2" xfId="12578"/>
    <cellStyle name="입력 2 9 2 2 2" xfId="12579"/>
    <cellStyle name="입력 2 9 2 2 3" xfId="12580"/>
    <cellStyle name="입력 2 9 2 2 4" xfId="12581"/>
    <cellStyle name="입력 2 9 2 2 5" xfId="12582"/>
    <cellStyle name="입력 2 9 3" xfId="12583"/>
    <cellStyle name="입력 2 9 3 2" xfId="12584"/>
    <cellStyle name="입력 2 9 3 3" xfId="12585"/>
    <cellStyle name="입력 2 9 3 4" xfId="12586"/>
    <cellStyle name="입력 2 9 3 5" xfId="12587"/>
    <cellStyle name="입력 3" xfId="12588"/>
    <cellStyle name="입력 3 10" xfId="12589"/>
    <cellStyle name="입력 3 10 2" xfId="12590"/>
    <cellStyle name="입력 3 10 2 2" xfId="12591"/>
    <cellStyle name="입력 3 10 2 3" xfId="12592"/>
    <cellStyle name="입력 3 10 2 4" xfId="12593"/>
    <cellStyle name="입력 3 10 2 5" xfId="12594"/>
    <cellStyle name="입력 3 11" xfId="12595"/>
    <cellStyle name="입력 3 11 2" xfId="12596"/>
    <cellStyle name="입력 3 11 3" xfId="12597"/>
    <cellStyle name="입력 3 11 4" xfId="12598"/>
    <cellStyle name="입력 3 11 5" xfId="12599"/>
    <cellStyle name="입력 3 2" xfId="12600"/>
    <cellStyle name="입력 3 2 2" xfId="12601"/>
    <cellStyle name="입력 3 2 2 2" xfId="12602"/>
    <cellStyle name="입력 3 2 2 2 2" xfId="12603"/>
    <cellStyle name="입력 3 2 2 2 3" xfId="12604"/>
    <cellStyle name="입력 3 2 2 2 4" xfId="12605"/>
    <cellStyle name="입력 3 2 2 2 5" xfId="12606"/>
    <cellStyle name="입력 3 2 3" xfId="12607"/>
    <cellStyle name="입력 3 2 3 2" xfId="12608"/>
    <cellStyle name="입력 3 2 3 3" xfId="12609"/>
    <cellStyle name="입력 3 2 3 4" xfId="12610"/>
    <cellStyle name="입력 3 2 3 5" xfId="12611"/>
    <cellStyle name="입력 3 3" xfId="12612"/>
    <cellStyle name="입력 3 3 2" xfId="12613"/>
    <cellStyle name="입력 3 3 2 2" xfId="12614"/>
    <cellStyle name="입력 3 3 2 2 2" xfId="12615"/>
    <cellStyle name="입력 3 3 2 2 3" xfId="12616"/>
    <cellStyle name="입력 3 3 2 2 4" xfId="12617"/>
    <cellStyle name="입력 3 3 2 2 5" xfId="12618"/>
    <cellStyle name="입력 3 3 3" xfId="12619"/>
    <cellStyle name="입력 3 3 3 2" xfId="12620"/>
    <cellStyle name="입력 3 3 3 3" xfId="12621"/>
    <cellStyle name="입력 3 3 3 4" xfId="12622"/>
    <cellStyle name="입력 3 3 3 5" xfId="12623"/>
    <cellStyle name="입력 3 4" xfId="12624"/>
    <cellStyle name="입력 3 4 2" xfId="12625"/>
    <cellStyle name="입력 3 4 2 2" xfId="12626"/>
    <cellStyle name="입력 3 4 2 2 2" xfId="12627"/>
    <cellStyle name="입력 3 4 2 2 3" xfId="12628"/>
    <cellStyle name="입력 3 4 2 2 4" xfId="12629"/>
    <cellStyle name="입력 3 4 2 2 5" xfId="12630"/>
    <cellStyle name="입력 3 4 3" xfId="12631"/>
    <cellStyle name="입력 3 4 3 2" xfId="12632"/>
    <cellStyle name="입력 3 4 3 3" xfId="12633"/>
    <cellStyle name="입력 3 4 3 4" xfId="12634"/>
    <cellStyle name="입력 3 4 3 5" xfId="12635"/>
    <cellStyle name="입력 3 5" xfId="12636"/>
    <cellStyle name="입력 3 5 2" xfId="12637"/>
    <cellStyle name="입력 3 5 2 2" xfId="12638"/>
    <cellStyle name="입력 3 5 2 2 2" xfId="12639"/>
    <cellStyle name="입력 3 5 2 2 3" xfId="12640"/>
    <cellStyle name="입력 3 5 2 2 4" xfId="12641"/>
    <cellStyle name="입력 3 5 2 2 5" xfId="12642"/>
    <cellStyle name="입력 3 5 3" xfId="12643"/>
    <cellStyle name="입력 3 5 3 2" xfId="12644"/>
    <cellStyle name="입력 3 5 3 3" xfId="12645"/>
    <cellStyle name="입력 3 5 3 4" xfId="12646"/>
    <cellStyle name="입력 3 5 3 5" xfId="12647"/>
    <cellStyle name="입력 3 6" xfId="12648"/>
    <cellStyle name="입력 3 6 2" xfId="12649"/>
    <cellStyle name="입력 3 6 2 2" xfId="12650"/>
    <cellStyle name="입력 3 6 2 2 2" xfId="12651"/>
    <cellStyle name="입력 3 6 2 2 3" xfId="12652"/>
    <cellStyle name="입력 3 6 2 2 4" xfId="12653"/>
    <cellStyle name="입력 3 6 2 2 5" xfId="12654"/>
    <cellStyle name="입력 3 6 3" xfId="12655"/>
    <cellStyle name="입력 3 6 3 2" xfId="12656"/>
    <cellStyle name="입력 3 6 3 3" xfId="12657"/>
    <cellStyle name="입력 3 6 3 4" xfId="12658"/>
    <cellStyle name="입력 3 6 3 5" xfId="12659"/>
    <cellStyle name="입력 3 7" xfId="12660"/>
    <cellStyle name="입력 3 7 2" xfId="12661"/>
    <cellStyle name="입력 3 7 2 2" xfId="12662"/>
    <cellStyle name="입력 3 7 2 2 2" xfId="12663"/>
    <cellStyle name="입력 3 7 2 2 3" xfId="12664"/>
    <cellStyle name="입력 3 7 2 2 4" xfId="12665"/>
    <cellStyle name="입력 3 7 2 2 5" xfId="12666"/>
    <cellStyle name="입력 3 7 3" xfId="12667"/>
    <cellStyle name="입력 3 7 3 2" xfId="12668"/>
    <cellStyle name="입력 3 7 3 3" xfId="12669"/>
    <cellStyle name="입력 3 7 3 4" xfId="12670"/>
    <cellStyle name="입력 3 7 3 5" xfId="12671"/>
    <cellStyle name="입력 3 8" xfId="12672"/>
    <cellStyle name="입력 3 8 2" xfId="12673"/>
    <cellStyle name="입력 3 8 2 2" xfId="12674"/>
    <cellStyle name="입력 3 8 2 2 2" xfId="12675"/>
    <cellStyle name="입력 3 8 2 2 3" xfId="12676"/>
    <cellStyle name="입력 3 8 2 2 4" xfId="12677"/>
    <cellStyle name="입력 3 8 2 2 5" xfId="12678"/>
    <cellStyle name="입력 3 8 3" xfId="12679"/>
    <cellStyle name="입력 3 8 3 2" xfId="12680"/>
    <cellStyle name="입력 3 8 3 3" xfId="12681"/>
    <cellStyle name="입력 3 8 3 4" xfId="12682"/>
    <cellStyle name="입력 3 8 3 5" xfId="12683"/>
    <cellStyle name="입력 3 9" xfId="12684"/>
    <cellStyle name="입력 3 9 2" xfId="12685"/>
    <cellStyle name="입력 3 9 2 2" xfId="12686"/>
    <cellStyle name="입력 3 9 2 2 2" xfId="12687"/>
    <cellStyle name="입력 3 9 2 2 3" xfId="12688"/>
    <cellStyle name="입력 3 9 2 2 4" xfId="12689"/>
    <cellStyle name="입력 3 9 2 2 5" xfId="12690"/>
    <cellStyle name="입력 3 9 3" xfId="12691"/>
    <cellStyle name="입력 3 9 3 2" xfId="12692"/>
    <cellStyle name="입력 3 9 3 3" xfId="12693"/>
    <cellStyle name="입력 3 9 3 4" xfId="12694"/>
    <cellStyle name="입력 3 9 3 5" xfId="12695"/>
    <cellStyle name="입력 4" xfId="12696"/>
    <cellStyle name="입력 4 10" xfId="12697"/>
    <cellStyle name="입력 4 10 2" xfId="12698"/>
    <cellStyle name="입력 4 10 2 2" xfId="12699"/>
    <cellStyle name="입력 4 10 2 3" xfId="12700"/>
    <cellStyle name="입력 4 10 2 4" xfId="12701"/>
    <cellStyle name="입력 4 10 2 5" xfId="12702"/>
    <cellStyle name="입력 4 11" xfId="12703"/>
    <cellStyle name="입력 4 11 2" xfId="12704"/>
    <cellStyle name="입력 4 11 3" xfId="12705"/>
    <cellStyle name="입력 4 11 4" xfId="12706"/>
    <cellStyle name="입력 4 11 5" xfId="12707"/>
    <cellStyle name="입력 4 2" xfId="12708"/>
    <cellStyle name="입력 4 2 2" xfId="12709"/>
    <cellStyle name="입력 4 2 2 2" xfId="12710"/>
    <cellStyle name="입력 4 2 2 2 2" xfId="12711"/>
    <cellStyle name="입력 4 2 2 2 3" xfId="12712"/>
    <cellStyle name="입력 4 2 2 2 4" xfId="12713"/>
    <cellStyle name="입력 4 2 2 2 5" xfId="12714"/>
    <cellStyle name="입력 4 2 3" xfId="12715"/>
    <cellStyle name="입력 4 2 3 2" xfId="12716"/>
    <cellStyle name="입력 4 2 3 3" xfId="12717"/>
    <cellStyle name="입력 4 2 3 4" xfId="12718"/>
    <cellStyle name="입력 4 2 3 5" xfId="12719"/>
    <cellStyle name="입력 4 3" xfId="12720"/>
    <cellStyle name="입력 4 3 2" xfId="12721"/>
    <cellStyle name="입력 4 3 2 2" xfId="12722"/>
    <cellStyle name="입력 4 3 2 2 2" xfId="12723"/>
    <cellStyle name="입력 4 3 2 2 3" xfId="12724"/>
    <cellStyle name="입력 4 3 2 2 4" xfId="12725"/>
    <cellStyle name="입력 4 3 2 2 5" xfId="12726"/>
    <cellStyle name="입력 4 3 3" xfId="12727"/>
    <cellStyle name="입력 4 3 3 2" xfId="12728"/>
    <cellStyle name="입력 4 3 3 3" xfId="12729"/>
    <cellStyle name="입력 4 3 3 4" xfId="12730"/>
    <cellStyle name="입력 4 3 3 5" xfId="12731"/>
    <cellStyle name="입력 4 4" xfId="12732"/>
    <cellStyle name="입력 4 4 2" xfId="12733"/>
    <cellStyle name="입력 4 4 2 2" xfId="12734"/>
    <cellStyle name="입력 4 4 2 2 2" xfId="12735"/>
    <cellStyle name="입력 4 4 2 2 3" xfId="12736"/>
    <cellStyle name="입력 4 4 2 2 4" xfId="12737"/>
    <cellStyle name="입력 4 4 2 2 5" xfId="12738"/>
    <cellStyle name="입력 4 4 3" xfId="12739"/>
    <cellStyle name="입력 4 4 3 2" xfId="12740"/>
    <cellStyle name="입력 4 4 3 3" xfId="12741"/>
    <cellStyle name="입력 4 4 3 4" xfId="12742"/>
    <cellStyle name="입력 4 4 3 5" xfId="12743"/>
    <cellStyle name="입력 4 5" xfId="12744"/>
    <cellStyle name="입력 4 5 2" xfId="12745"/>
    <cellStyle name="입력 4 5 2 2" xfId="12746"/>
    <cellStyle name="입력 4 5 2 2 2" xfId="12747"/>
    <cellStyle name="입력 4 5 2 2 3" xfId="12748"/>
    <cellStyle name="입력 4 5 2 2 4" xfId="12749"/>
    <cellStyle name="입력 4 5 2 2 5" xfId="12750"/>
    <cellStyle name="입력 4 5 3" xfId="12751"/>
    <cellStyle name="입력 4 5 3 2" xfId="12752"/>
    <cellStyle name="입력 4 5 3 3" xfId="12753"/>
    <cellStyle name="입력 4 5 3 4" xfId="12754"/>
    <cellStyle name="입력 4 5 3 5" xfId="12755"/>
    <cellStyle name="입력 4 6" xfId="12756"/>
    <cellStyle name="입력 4 6 2" xfId="12757"/>
    <cellStyle name="입력 4 6 2 2" xfId="12758"/>
    <cellStyle name="입력 4 6 2 2 2" xfId="12759"/>
    <cellStyle name="입력 4 6 2 2 3" xfId="12760"/>
    <cellStyle name="입력 4 6 2 2 4" xfId="12761"/>
    <cellStyle name="입력 4 6 2 2 5" xfId="12762"/>
    <cellStyle name="입력 4 6 3" xfId="12763"/>
    <cellStyle name="입력 4 6 3 2" xfId="12764"/>
    <cellStyle name="입력 4 6 3 3" xfId="12765"/>
    <cellStyle name="입력 4 6 3 4" xfId="12766"/>
    <cellStyle name="입력 4 6 3 5" xfId="12767"/>
    <cellStyle name="입력 4 7" xfId="12768"/>
    <cellStyle name="입력 4 7 2" xfId="12769"/>
    <cellStyle name="입력 4 7 2 2" xfId="12770"/>
    <cellStyle name="입력 4 7 2 2 2" xfId="12771"/>
    <cellStyle name="입력 4 7 2 2 3" xfId="12772"/>
    <cellStyle name="입력 4 7 2 2 4" xfId="12773"/>
    <cellStyle name="입력 4 7 2 2 5" xfId="12774"/>
    <cellStyle name="입력 4 7 3" xfId="12775"/>
    <cellStyle name="입력 4 7 3 2" xfId="12776"/>
    <cellStyle name="입력 4 7 3 3" xfId="12777"/>
    <cellStyle name="입력 4 7 3 4" xfId="12778"/>
    <cellStyle name="입력 4 7 3 5" xfId="12779"/>
    <cellStyle name="입력 4 8" xfId="12780"/>
    <cellStyle name="입력 4 8 2" xfId="12781"/>
    <cellStyle name="입력 4 8 2 2" xfId="12782"/>
    <cellStyle name="입력 4 8 2 2 2" xfId="12783"/>
    <cellStyle name="입력 4 8 2 2 3" xfId="12784"/>
    <cellStyle name="입력 4 8 2 2 4" xfId="12785"/>
    <cellStyle name="입력 4 8 2 2 5" xfId="12786"/>
    <cellStyle name="입력 4 8 3" xfId="12787"/>
    <cellStyle name="입력 4 8 3 2" xfId="12788"/>
    <cellStyle name="입력 4 8 3 3" xfId="12789"/>
    <cellStyle name="입력 4 8 3 4" xfId="12790"/>
    <cellStyle name="입력 4 8 3 5" xfId="12791"/>
    <cellStyle name="입력 4 9" xfId="12792"/>
    <cellStyle name="입력 4 9 2" xfId="12793"/>
    <cellStyle name="입력 4 9 2 2" xfId="12794"/>
    <cellStyle name="입력 4 9 2 2 2" xfId="12795"/>
    <cellStyle name="입력 4 9 2 2 3" xfId="12796"/>
    <cellStyle name="입력 4 9 2 2 4" xfId="12797"/>
    <cellStyle name="입력 4 9 2 2 5" xfId="12798"/>
    <cellStyle name="입력 4 9 3" xfId="12799"/>
    <cellStyle name="입력 4 9 3 2" xfId="12800"/>
    <cellStyle name="입력 4 9 3 3" xfId="12801"/>
    <cellStyle name="입력 4 9 3 4" xfId="12802"/>
    <cellStyle name="입력 4 9 3 5" xfId="12803"/>
    <cellStyle name="입력 5" xfId="12804"/>
    <cellStyle name="입력 5 10" xfId="12805"/>
    <cellStyle name="입력 5 10 2" xfId="12806"/>
    <cellStyle name="입력 5 10 2 2" xfId="12807"/>
    <cellStyle name="입력 5 10 2 3" xfId="12808"/>
    <cellStyle name="입력 5 10 2 4" xfId="12809"/>
    <cellStyle name="입력 5 10 2 5" xfId="12810"/>
    <cellStyle name="입력 5 11" xfId="12811"/>
    <cellStyle name="입력 5 11 2" xfId="12812"/>
    <cellStyle name="입력 5 11 3" xfId="12813"/>
    <cellStyle name="입력 5 11 4" xfId="12814"/>
    <cellStyle name="입력 5 11 5" xfId="12815"/>
    <cellStyle name="입력 5 2" xfId="12816"/>
    <cellStyle name="입력 5 2 2" xfId="12817"/>
    <cellStyle name="입력 5 2 2 2" xfId="12818"/>
    <cellStyle name="입력 5 2 2 2 2" xfId="12819"/>
    <cellStyle name="입력 5 2 2 2 3" xfId="12820"/>
    <cellStyle name="입력 5 2 2 2 4" xfId="12821"/>
    <cellStyle name="입력 5 2 2 2 5" xfId="12822"/>
    <cellStyle name="입력 5 2 3" xfId="12823"/>
    <cellStyle name="입력 5 2 3 2" xfId="12824"/>
    <cellStyle name="입력 5 2 3 3" xfId="12825"/>
    <cellStyle name="입력 5 2 3 4" xfId="12826"/>
    <cellStyle name="입력 5 2 3 5" xfId="12827"/>
    <cellStyle name="입력 5 3" xfId="12828"/>
    <cellStyle name="입력 5 3 2" xfId="12829"/>
    <cellStyle name="입력 5 3 2 2" xfId="12830"/>
    <cellStyle name="입력 5 3 2 2 2" xfId="12831"/>
    <cellStyle name="입력 5 3 2 2 3" xfId="12832"/>
    <cellStyle name="입력 5 3 2 2 4" xfId="12833"/>
    <cellStyle name="입력 5 3 2 2 5" xfId="12834"/>
    <cellStyle name="입력 5 3 3" xfId="12835"/>
    <cellStyle name="입력 5 3 3 2" xfId="12836"/>
    <cellStyle name="입력 5 3 3 3" xfId="12837"/>
    <cellStyle name="입력 5 3 3 4" xfId="12838"/>
    <cellStyle name="입력 5 3 3 5" xfId="12839"/>
    <cellStyle name="입력 5 4" xfId="12840"/>
    <cellStyle name="입력 5 4 2" xfId="12841"/>
    <cellStyle name="입력 5 4 2 2" xfId="12842"/>
    <cellStyle name="입력 5 4 2 2 2" xfId="12843"/>
    <cellStyle name="입력 5 4 2 2 3" xfId="12844"/>
    <cellStyle name="입력 5 4 2 2 4" xfId="12845"/>
    <cellStyle name="입력 5 4 2 2 5" xfId="12846"/>
    <cellStyle name="입력 5 4 3" xfId="12847"/>
    <cellStyle name="입력 5 4 3 2" xfId="12848"/>
    <cellStyle name="입력 5 4 3 3" xfId="12849"/>
    <cellStyle name="입력 5 4 3 4" xfId="12850"/>
    <cellStyle name="입력 5 4 3 5" xfId="12851"/>
    <cellStyle name="입력 5 5" xfId="12852"/>
    <cellStyle name="입력 5 5 2" xfId="12853"/>
    <cellStyle name="입력 5 5 2 2" xfId="12854"/>
    <cellStyle name="입력 5 5 2 2 2" xfId="12855"/>
    <cellStyle name="입력 5 5 2 2 3" xfId="12856"/>
    <cellStyle name="입력 5 5 2 2 4" xfId="12857"/>
    <cellStyle name="입력 5 5 2 2 5" xfId="12858"/>
    <cellStyle name="입력 5 5 3" xfId="12859"/>
    <cellStyle name="입력 5 5 3 2" xfId="12860"/>
    <cellStyle name="입력 5 5 3 3" xfId="12861"/>
    <cellStyle name="입력 5 5 3 4" xfId="12862"/>
    <cellStyle name="입력 5 5 3 5" xfId="12863"/>
    <cellStyle name="입력 5 6" xfId="12864"/>
    <cellStyle name="입력 5 6 2" xfId="12865"/>
    <cellStyle name="입력 5 6 2 2" xfId="12866"/>
    <cellStyle name="입력 5 6 2 2 2" xfId="12867"/>
    <cellStyle name="입력 5 6 2 2 3" xfId="12868"/>
    <cellStyle name="입력 5 6 2 2 4" xfId="12869"/>
    <cellStyle name="입력 5 6 2 2 5" xfId="12870"/>
    <cellStyle name="입력 5 6 3" xfId="12871"/>
    <cellStyle name="입력 5 6 3 2" xfId="12872"/>
    <cellStyle name="입력 5 6 3 3" xfId="12873"/>
    <cellStyle name="입력 5 6 3 4" xfId="12874"/>
    <cellStyle name="입력 5 6 3 5" xfId="12875"/>
    <cellStyle name="입력 5 7" xfId="12876"/>
    <cellStyle name="입력 5 7 2" xfId="12877"/>
    <cellStyle name="입력 5 7 2 2" xfId="12878"/>
    <cellStyle name="입력 5 7 2 2 2" xfId="12879"/>
    <cellStyle name="입력 5 7 2 2 3" xfId="12880"/>
    <cellStyle name="입력 5 7 2 2 4" xfId="12881"/>
    <cellStyle name="입력 5 7 2 2 5" xfId="12882"/>
    <cellStyle name="입력 5 7 3" xfId="12883"/>
    <cellStyle name="입력 5 7 3 2" xfId="12884"/>
    <cellStyle name="입력 5 7 3 3" xfId="12885"/>
    <cellStyle name="입력 5 7 3 4" xfId="12886"/>
    <cellStyle name="입력 5 7 3 5" xfId="12887"/>
    <cellStyle name="입력 5 8" xfId="12888"/>
    <cellStyle name="입력 5 8 2" xfId="12889"/>
    <cellStyle name="입력 5 8 2 2" xfId="12890"/>
    <cellStyle name="입력 5 8 2 2 2" xfId="12891"/>
    <cellStyle name="입력 5 8 2 2 3" xfId="12892"/>
    <cellStyle name="입력 5 8 2 2 4" xfId="12893"/>
    <cellStyle name="입력 5 8 2 2 5" xfId="12894"/>
    <cellStyle name="입력 5 8 3" xfId="12895"/>
    <cellStyle name="입력 5 8 3 2" xfId="12896"/>
    <cellStyle name="입력 5 8 3 3" xfId="12897"/>
    <cellStyle name="입력 5 8 3 4" xfId="12898"/>
    <cellStyle name="입력 5 8 3 5" xfId="12899"/>
    <cellStyle name="입력 5 9" xfId="12900"/>
    <cellStyle name="입력 5 9 2" xfId="12901"/>
    <cellStyle name="입력 5 9 2 2" xfId="12902"/>
    <cellStyle name="입력 5 9 2 2 2" xfId="12903"/>
    <cellStyle name="입력 5 9 2 2 3" xfId="12904"/>
    <cellStyle name="입력 5 9 2 2 4" xfId="12905"/>
    <cellStyle name="입력 5 9 2 2 5" xfId="12906"/>
    <cellStyle name="입력 5 9 3" xfId="12907"/>
    <cellStyle name="입력 5 9 3 2" xfId="12908"/>
    <cellStyle name="입력 5 9 3 3" xfId="12909"/>
    <cellStyle name="입력 5 9 3 4" xfId="12910"/>
    <cellStyle name="입력 5 9 3 5" xfId="12911"/>
    <cellStyle name="입력 6" xfId="12912"/>
    <cellStyle name="입력 6 10" xfId="12913"/>
    <cellStyle name="입력 6 10 2" xfId="12914"/>
    <cellStyle name="입력 6 10 2 2" xfId="12915"/>
    <cellStyle name="입력 6 10 2 3" xfId="12916"/>
    <cellStyle name="입력 6 10 2 4" xfId="12917"/>
    <cellStyle name="입력 6 10 2 5" xfId="12918"/>
    <cellStyle name="입력 6 11" xfId="12919"/>
    <cellStyle name="입력 6 11 2" xfId="12920"/>
    <cellStyle name="입력 6 11 3" xfId="12921"/>
    <cellStyle name="입력 6 11 4" xfId="12922"/>
    <cellStyle name="입력 6 11 5" xfId="12923"/>
    <cellStyle name="입력 6 2" xfId="12924"/>
    <cellStyle name="입력 6 2 2" xfId="12925"/>
    <cellStyle name="입력 6 2 2 2" xfId="12926"/>
    <cellStyle name="입력 6 2 2 2 2" xfId="12927"/>
    <cellStyle name="입력 6 2 2 2 3" xfId="12928"/>
    <cellStyle name="입력 6 2 2 2 4" xfId="12929"/>
    <cellStyle name="입력 6 2 2 2 5" xfId="12930"/>
    <cellStyle name="입력 6 2 3" xfId="12931"/>
    <cellStyle name="입력 6 2 3 2" xfId="12932"/>
    <cellStyle name="입력 6 2 3 3" xfId="12933"/>
    <cellStyle name="입력 6 2 3 4" xfId="12934"/>
    <cellStyle name="입력 6 2 3 5" xfId="12935"/>
    <cellStyle name="입력 6 3" xfId="12936"/>
    <cellStyle name="입력 6 3 2" xfId="12937"/>
    <cellStyle name="입력 6 3 2 2" xfId="12938"/>
    <cellStyle name="입력 6 3 2 2 2" xfId="12939"/>
    <cellStyle name="입력 6 3 2 2 3" xfId="12940"/>
    <cellStyle name="입력 6 3 2 2 4" xfId="12941"/>
    <cellStyle name="입력 6 3 2 2 5" xfId="12942"/>
    <cellStyle name="입력 6 3 3" xfId="12943"/>
    <cellStyle name="입력 6 3 3 2" xfId="12944"/>
    <cellStyle name="입력 6 3 3 3" xfId="12945"/>
    <cellStyle name="입력 6 3 3 4" xfId="12946"/>
    <cellStyle name="입력 6 3 3 5" xfId="12947"/>
    <cellStyle name="입력 6 4" xfId="12948"/>
    <cellStyle name="입력 6 4 2" xfId="12949"/>
    <cellStyle name="입력 6 4 2 2" xfId="12950"/>
    <cellStyle name="입력 6 4 2 2 2" xfId="12951"/>
    <cellStyle name="입력 6 4 2 2 3" xfId="12952"/>
    <cellStyle name="입력 6 4 2 2 4" xfId="12953"/>
    <cellStyle name="입력 6 4 2 2 5" xfId="12954"/>
    <cellStyle name="입력 6 4 3" xfId="12955"/>
    <cellStyle name="입력 6 4 3 2" xfId="12956"/>
    <cellStyle name="입력 6 4 3 3" xfId="12957"/>
    <cellStyle name="입력 6 4 3 4" xfId="12958"/>
    <cellStyle name="입력 6 4 3 5" xfId="12959"/>
    <cellStyle name="입력 6 5" xfId="12960"/>
    <cellStyle name="입력 6 5 2" xfId="12961"/>
    <cellStyle name="입력 6 5 2 2" xfId="12962"/>
    <cellStyle name="입력 6 5 2 2 2" xfId="12963"/>
    <cellStyle name="입력 6 5 2 2 3" xfId="12964"/>
    <cellStyle name="입력 6 5 2 2 4" xfId="12965"/>
    <cellStyle name="입력 6 5 2 2 5" xfId="12966"/>
    <cellStyle name="입력 6 5 3" xfId="12967"/>
    <cellStyle name="입력 6 5 3 2" xfId="12968"/>
    <cellStyle name="입력 6 5 3 3" xfId="12969"/>
    <cellStyle name="입력 6 5 3 4" xfId="12970"/>
    <cellStyle name="입력 6 5 3 5" xfId="12971"/>
    <cellStyle name="입력 6 6" xfId="12972"/>
    <cellStyle name="입력 6 6 2" xfId="12973"/>
    <cellStyle name="입력 6 6 2 2" xfId="12974"/>
    <cellStyle name="입력 6 6 2 2 2" xfId="12975"/>
    <cellStyle name="입력 6 6 2 2 3" xfId="12976"/>
    <cellStyle name="입력 6 6 2 2 4" xfId="12977"/>
    <cellStyle name="입력 6 6 2 2 5" xfId="12978"/>
    <cellStyle name="입력 6 6 3" xfId="12979"/>
    <cellStyle name="입력 6 6 3 2" xfId="12980"/>
    <cellStyle name="입력 6 6 3 3" xfId="12981"/>
    <cellStyle name="입력 6 6 3 4" xfId="12982"/>
    <cellStyle name="입력 6 6 3 5" xfId="12983"/>
    <cellStyle name="입력 6 7" xfId="12984"/>
    <cellStyle name="입력 6 7 2" xfId="12985"/>
    <cellStyle name="입력 6 7 2 2" xfId="12986"/>
    <cellStyle name="입력 6 7 2 2 2" xfId="12987"/>
    <cellStyle name="입력 6 7 2 2 3" xfId="12988"/>
    <cellStyle name="입력 6 7 2 2 4" xfId="12989"/>
    <cellStyle name="입력 6 7 2 2 5" xfId="12990"/>
    <cellStyle name="입력 6 7 3" xfId="12991"/>
    <cellStyle name="입력 6 7 3 2" xfId="12992"/>
    <cellStyle name="입력 6 7 3 3" xfId="12993"/>
    <cellStyle name="입력 6 7 3 4" xfId="12994"/>
    <cellStyle name="입력 6 7 3 5" xfId="12995"/>
    <cellStyle name="입력 6 8" xfId="12996"/>
    <cellStyle name="입력 6 8 2" xfId="12997"/>
    <cellStyle name="입력 6 8 2 2" xfId="12998"/>
    <cellStyle name="입력 6 8 2 2 2" xfId="12999"/>
    <cellStyle name="입력 6 8 2 2 3" xfId="13000"/>
    <cellStyle name="입력 6 8 2 2 4" xfId="13001"/>
    <cellStyle name="입력 6 8 2 2 5" xfId="13002"/>
    <cellStyle name="입력 6 8 3" xfId="13003"/>
    <cellStyle name="입력 6 8 3 2" xfId="13004"/>
    <cellStyle name="입력 6 8 3 3" xfId="13005"/>
    <cellStyle name="입력 6 8 3 4" xfId="13006"/>
    <cellStyle name="입력 6 8 3 5" xfId="13007"/>
    <cellStyle name="입력 6 9" xfId="13008"/>
    <cellStyle name="입력 6 9 2" xfId="13009"/>
    <cellStyle name="입력 6 9 2 2" xfId="13010"/>
    <cellStyle name="입력 6 9 2 2 2" xfId="13011"/>
    <cellStyle name="입력 6 9 2 2 3" xfId="13012"/>
    <cellStyle name="입력 6 9 2 2 4" xfId="13013"/>
    <cellStyle name="입력 6 9 2 2 5" xfId="13014"/>
    <cellStyle name="입력 6 9 3" xfId="13015"/>
    <cellStyle name="입력 6 9 3 2" xfId="13016"/>
    <cellStyle name="입력 6 9 3 3" xfId="13017"/>
    <cellStyle name="입력 6 9 3 4" xfId="13018"/>
    <cellStyle name="입력 6 9 3 5" xfId="13019"/>
    <cellStyle name="자리수" xfId="13020"/>
    <cellStyle name="자리수 2" xfId="13021"/>
    <cellStyle name="자리수 2 2" xfId="13022"/>
    <cellStyle name="자리수 2 2 2" xfId="13023"/>
    <cellStyle name="자리수 2 3" xfId="13024"/>
    <cellStyle name="자리수 3" xfId="13025"/>
    <cellStyle name="자리수 3 2" xfId="13026"/>
    <cellStyle name="자리수 4" xfId="13027"/>
    <cellStyle name="자리수 4 2" xfId="13028"/>
    <cellStyle name="자리수 5" xfId="13029"/>
    <cellStyle name="자리수 6" xfId="13030"/>
    <cellStyle name="자리수0" xfId="13031"/>
    <cellStyle name="자리수0 10" xfId="13032"/>
    <cellStyle name="자리수0 10 2" xfId="13033"/>
    <cellStyle name="자리수0 11" xfId="13034"/>
    <cellStyle name="자리수0 11 2" xfId="13035"/>
    <cellStyle name="자리수0 12" xfId="13036"/>
    <cellStyle name="자리수0 12 2" xfId="13037"/>
    <cellStyle name="자리수0 13" xfId="13038"/>
    <cellStyle name="자리수0 13 2" xfId="13039"/>
    <cellStyle name="자리수0 14" xfId="13040"/>
    <cellStyle name="자리수0 15" xfId="13041"/>
    <cellStyle name="자리수0 16" xfId="13042"/>
    <cellStyle name="자리수0 2" xfId="13043"/>
    <cellStyle name="자리수0 2 2" xfId="13044"/>
    <cellStyle name="자리수0 2 2 2" xfId="13045"/>
    <cellStyle name="자리수0 2 3" xfId="13046"/>
    <cellStyle name="자리수0 3" xfId="13047"/>
    <cellStyle name="자리수0 3 2" xfId="13048"/>
    <cellStyle name="자리수0 4" xfId="13049"/>
    <cellStyle name="자리수0 4 2" xfId="13050"/>
    <cellStyle name="자리수0 5" xfId="13051"/>
    <cellStyle name="자리수0 5 2" xfId="13052"/>
    <cellStyle name="자리수0 6" xfId="13053"/>
    <cellStyle name="자리수0 6 2" xfId="13054"/>
    <cellStyle name="자리수0 7" xfId="13055"/>
    <cellStyle name="자리수0 7 2" xfId="13056"/>
    <cellStyle name="자리수0 8" xfId="13057"/>
    <cellStyle name="자리수0 8 2" xfId="13058"/>
    <cellStyle name="자리수0 9" xfId="13059"/>
    <cellStyle name="자리수0 9 2" xfId="13060"/>
    <cellStyle name="자리수0_1부여부지 콘도미니엄 신축공사 AV설비 견적서_20100121" xfId="13061"/>
    <cellStyle name="정렬" xfId="13062"/>
    <cellStyle name="제목 1 2" xfId="13063"/>
    <cellStyle name="제목 1 2 10" xfId="13064"/>
    <cellStyle name="제목 1 2 2" xfId="13065"/>
    <cellStyle name="제목 1 2 2 2" xfId="13066"/>
    <cellStyle name="제목 1 2 3" xfId="13067"/>
    <cellStyle name="제목 1 2 3 2" xfId="13068"/>
    <cellStyle name="제목 1 2 4" xfId="13069"/>
    <cellStyle name="제목 1 2 4 2" xfId="13070"/>
    <cellStyle name="제목 1 2 5" xfId="13071"/>
    <cellStyle name="제목 1 2 5 2" xfId="13072"/>
    <cellStyle name="제목 1 2 6" xfId="13073"/>
    <cellStyle name="제목 1 2 6 2" xfId="13074"/>
    <cellStyle name="제목 1 2 7" xfId="13075"/>
    <cellStyle name="제목 1 2 7 2" xfId="13076"/>
    <cellStyle name="제목 1 2 8" xfId="13077"/>
    <cellStyle name="제목 1 2 8 2" xfId="13078"/>
    <cellStyle name="제목 1 2 9" xfId="13079"/>
    <cellStyle name="제목 1 2 9 2" xfId="13080"/>
    <cellStyle name="제목 1 3" xfId="13081"/>
    <cellStyle name="제목 1 3 10" xfId="13082"/>
    <cellStyle name="제목 1 3 2" xfId="13083"/>
    <cellStyle name="제목 1 3 2 2" xfId="13084"/>
    <cellStyle name="제목 1 3 3" xfId="13085"/>
    <cellStyle name="제목 1 3 3 2" xfId="13086"/>
    <cellStyle name="제목 1 3 4" xfId="13087"/>
    <cellStyle name="제목 1 3 4 2" xfId="13088"/>
    <cellStyle name="제목 1 3 5" xfId="13089"/>
    <cellStyle name="제목 1 3 5 2" xfId="13090"/>
    <cellStyle name="제목 1 3 6" xfId="13091"/>
    <cellStyle name="제목 1 3 6 2" xfId="13092"/>
    <cellStyle name="제목 1 3 7" xfId="13093"/>
    <cellStyle name="제목 1 3 7 2" xfId="13094"/>
    <cellStyle name="제목 1 3 8" xfId="13095"/>
    <cellStyle name="제목 1 3 8 2" xfId="13096"/>
    <cellStyle name="제목 1 3 9" xfId="13097"/>
    <cellStyle name="제목 1 3 9 2" xfId="13098"/>
    <cellStyle name="제목 1 4" xfId="13099"/>
    <cellStyle name="제목 1 4 10" xfId="13100"/>
    <cellStyle name="제목 1 4 2" xfId="13101"/>
    <cellStyle name="제목 1 4 2 2" xfId="13102"/>
    <cellStyle name="제목 1 4 3" xfId="13103"/>
    <cellStyle name="제목 1 4 3 2" xfId="13104"/>
    <cellStyle name="제목 1 4 4" xfId="13105"/>
    <cellStyle name="제목 1 4 4 2" xfId="13106"/>
    <cellStyle name="제목 1 4 5" xfId="13107"/>
    <cellStyle name="제목 1 4 5 2" xfId="13108"/>
    <cellStyle name="제목 1 4 6" xfId="13109"/>
    <cellStyle name="제목 1 4 6 2" xfId="13110"/>
    <cellStyle name="제목 1 4 7" xfId="13111"/>
    <cellStyle name="제목 1 4 7 2" xfId="13112"/>
    <cellStyle name="제목 1 4 8" xfId="13113"/>
    <cellStyle name="제목 1 4 8 2" xfId="13114"/>
    <cellStyle name="제목 1 4 9" xfId="13115"/>
    <cellStyle name="제목 1 4 9 2" xfId="13116"/>
    <cellStyle name="제목 1 5" xfId="13117"/>
    <cellStyle name="제목 1 5 10" xfId="13118"/>
    <cellStyle name="제목 1 5 2" xfId="13119"/>
    <cellStyle name="제목 1 5 2 2" xfId="13120"/>
    <cellStyle name="제목 1 5 3" xfId="13121"/>
    <cellStyle name="제목 1 5 3 2" xfId="13122"/>
    <cellStyle name="제목 1 5 4" xfId="13123"/>
    <cellStyle name="제목 1 5 4 2" xfId="13124"/>
    <cellStyle name="제목 1 5 5" xfId="13125"/>
    <cellStyle name="제목 1 5 5 2" xfId="13126"/>
    <cellStyle name="제목 1 5 6" xfId="13127"/>
    <cellStyle name="제목 1 5 6 2" xfId="13128"/>
    <cellStyle name="제목 1 5 7" xfId="13129"/>
    <cellStyle name="제목 1 5 7 2" xfId="13130"/>
    <cellStyle name="제목 1 5 8" xfId="13131"/>
    <cellStyle name="제목 1 5 8 2" xfId="13132"/>
    <cellStyle name="제목 1 5 9" xfId="13133"/>
    <cellStyle name="제목 1 5 9 2" xfId="13134"/>
    <cellStyle name="제목 1 6" xfId="13135"/>
    <cellStyle name="제목 1 6 10" xfId="13136"/>
    <cellStyle name="제목 1 6 2" xfId="13137"/>
    <cellStyle name="제목 1 6 2 2" xfId="13138"/>
    <cellStyle name="제목 1 6 3" xfId="13139"/>
    <cellStyle name="제목 1 6 3 2" xfId="13140"/>
    <cellStyle name="제목 1 6 4" xfId="13141"/>
    <cellStyle name="제목 1 6 4 2" xfId="13142"/>
    <cellStyle name="제목 1 6 5" xfId="13143"/>
    <cellStyle name="제목 1 6 5 2" xfId="13144"/>
    <cellStyle name="제목 1 6 6" xfId="13145"/>
    <cellStyle name="제목 1 6 6 2" xfId="13146"/>
    <cellStyle name="제목 1 6 7" xfId="13147"/>
    <cellStyle name="제목 1 6 7 2" xfId="13148"/>
    <cellStyle name="제목 1 6 8" xfId="13149"/>
    <cellStyle name="제목 1 6 8 2" xfId="13150"/>
    <cellStyle name="제목 1 6 9" xfId="13151"/>
    <cellStyle name="제목 1 6 9 2" xfId="13152"/>
    <cellStyle name="제목 1(左)" xfId="13153"/>
    <cellStyle name="제목 1(左) 2" xfId="13154"/>
    <cellStyle name="제목 1(中)" xfId="13155"/>
    <cellStyle name="제목 1(中) 2" xfId="13156"/>
    <cellStyle name="제목 10" xfId="13157"/>
    <cellStyle name="제목 10 2" xfId="13158"/>
    <cellStyle name="제목 11" xfId="13159"/>
    <cellStyle name="제목 11 2" xfId="13160"/>
    <cellStyle name="제목 12" xfId="13161"/>
    <cellStyle name="제목 12 2" xfId="13162"/>
    <cellStyle name="제목 13" xfId="13163"/>
    <cellStyle name="제목 13 2" xfId="13164"/>
    <cellStyle name="제목 14" xfId="13165"/>
    <cellStyle name="제목 14 2" xfId="13166"/>
    <cellStyle name="제목 15" xfId="13167"/>
    <cellStyle name="제목 15 2" xfId="13168"/>
    <cellStyle name="제목 16" xfId="13169"/>
    <cellStyle name="제목 16 2" xfId="13170"/>
    <cellStyle name="제목 2 2" xfId="13171"/>
    <cellStyle name="제목 2 2 10" xfId="13172"/>
    <cellStyle name="제목 2 2 2" xfId="13173"/>
    <cellStyle name="제목 2 2 2 2" xfId="13174"/>
    <cellStyle name="제목 2 2 3" xfId="13175"/>
    <cellStyle name="제목 2 2 3 2" xfId="13176"/>
    <cellStyle name="제목 2 2 4" xfId="13177"/>
    <cellStyle name="제목 2 2 4 2" xfId="13178"/>
    <cellStyle name="제목 2 2 5" xfId="13179"/>
    <cellStyle name="제목 2 2 5 2" xfId="13180"/>
    <cellStyle name="제목 2 2 6" xfId="13181"/>
    <cellStyle name="제목 2 2 6 2" xfId="13182"/>
    <cellStyle name="제목 2 2 7" xfId="13183"/>
    <cellStyle name="제목 2 2 7 2" xfId="13184"/>
    <cellStyle name="제목 2 2 8" xfId="13185"/>
    <cellStyle name="제목 2 2 8 2" xfId="13186"/>
    <cellStyle name="제목 2 2 9" xfId="13187"/>
    <cellStyle name="제목 2 2 9 2" xfId="13188"/>
    <cellStyle name="제목 2 3" xfId="13189"/>
    <cellStyle name="제목 2 3 10" xfId="13190"/>
    <cellStyle name="제목 2 3 2" xfId="13191"/>
    <cellStyle name="제목 2 3 2 2" xfId="13192"/>
    <cellStyle name="제목 2 3 3" xfId="13193"/>
    <cellStyle name="제목 2 3 3 2" xfId="13194"/>
    <cellStyle name="제목 2 3 4" xfId="13195"/>
    <cellStyle name="제목 2 3 4 2" xfId="13196"/>
    <cellStyle name="제목 2 3 5" xfId="13197"/>
    <cellStyle name="제목 2 3 5 2" xfId="13198"/>
    <cellStyle name="제목 2 3 6" xfId="13199"/>
    <cellStyle name="제목 2 3 6 2" xfId="13200"/>
    <cellStyle name="제목 2 3 7" xfId="13201"/>
    <cellStyle name="제목 2 3 7 2" xfId="13202"/>
    <cellStyle name="제목 2 3 8" xfId="13203"/>
    <cellStyle name="제목 2 3 8 2" xfId="13204"/>
    <cellStyle name="제목 2 3 9" xfId="13205"/>
    <cellStyle name="제목 2 3 9 2" xfId="13206"/>
    <cellStyle name="제목 2 4" xfId="13207"/>
    <cellStyle name="제목 2 4 10" xfId="13208"/>
    <cellStyle name="제목 2 4 2" xfId="13209"/>
    <cellStyle name="제목 2 4 2 2" xfId="13210"/>
    <cellStyle name="제목 2 4 3" xfId="13211"/>
    <cellStyle name="제목 2 4 3 2" xfId="13212"/>
    <cellStyle name="제목 2 4 4" xfId="13213"/>
    <cellStyle name="제목 2 4 4 2" xfId="13214"/>
    <cellStyle name="제목 2 4 5" xfId="13215"/>
    <cellStyle name="제목 2 4 5 2" xfId="13216"/>
    <cellStyle name="제목 2 4 6" xfId="13217"/>
    <cellStyle name="제목 2 4 6 2" xfId="13218"/>
    <cellStyle name="제목 2 4 7" xfId="13219"/>
    <cellStyle name="제목 2 4 7 2" xfId="13220"/>
    <cellStyle name="제목 2 4 8" xfId="13221"/>
    <cellStyle name="제목 2 4 8 2" xfId="13222"/>
    <cellStyle name="제목 2 4 9" xfId="13223"/>
    <cellStyle name="제목 2 4 9 2" xfId="13224"/>
    <cellStyle name="제목 2 5" xfId="13225"/>
    <cellStyle name="제목 2 5 10" xfId="13226"/>
    <cellStyle name="제목 2 5 2" xfId="13227"/>
    <cellStyle name="제목 2 5 2 2" xfId="13228"/>
    <cellStyle name="제목 2 5 3" xfId="13229"/>
    <cellStyle name="제목 2 5 3 2" xfId="13230"/>
    <cellStyle name="제목 2 5 4" xfId="13231"/>
    <cellStyle name="제목 2 5 4 2" xfId="13232"/>
    <cellStyle name="제목 2 5 5" xfId="13233"/>
    <cellStyle name="제목 2 5 5 2" xfId="13234"/>
    <cellStyle name="제목 2 5 6" xfId="13235"/>
    <cellStyle name="제목 2 5 6 2" xfId="13236"/>
    <cellStyle name="제목 2 5 7" xfId="13237"/>
    <cellStyle name="제목 2 5 7 2" xfId="13238"/>
    <cellStyle name="제목 2 5 8" xfId="13239"/>
    <cellStyle name="제목 2 5 8 2" xfId="13240"/>
    <cellStyle name="제목 2 5 9" xfId="13241"/>
    <cellStyle name="제목 2 5 9 2" xfId="13242"/>
    <cellStyle name="제목 2 6" xfId="13243"/>
    <cellStyle name="제목 2 6 10" xfId="13244"/>
    <cellStyle name="제목 2 6 2" xfId="13245"/>
    <cellStyle name="제목 2 6 2 2" xfId="13246"/>
    <cellStyle name="제목 2 6 3" xfId="13247"/>
    <cellStyle name="제목 2 6 3 2" xfId="13248"/>
    <cellStyle name="제목 2 6 4" xfId="13249"/>
    <cellStyle name="제목 2 6 4 2" xfId="13250"/>
    <cellStyle name="제목 2 6 5" xfId="13251"/>
    <cellStyle name="제목 2 6 5 2" xfId="13252"/>
    <cellStyle name="제목 2 6 6" xfId="13253"/>
    <cellStyle name="제목 2 6 6 2" xfId="13254"/>
    <cellStyle name="제목 2 6 7" xfId="13255"/>
    <cellStyle name="제목 2 6 7 2" xfId="13256"/>
    <cellStyle name="제목 2 6 8" xfId="13257"/>
    <cellStyle name="제목 2 6 8 2" xfId="13258"/>
    <cellStyle name="제목 2 6 9" xfId="13259"/>
    <cellStyle name="제목 2 6 9 2" xfId="13260"/>
    <cellStyle name="제목 3 2" xfId="13261"/>
    <cellStyle name="제목 3 2 10" xfId="13262"/>
    <cellStyle name="제목 3 2 2" xfId="13263"/>
    <cellStyle name="제목 3 2 2 2" xfId="13264"/>
    <cellStyle name="제목 3 2 3" xfId="13265"/>
    <cellStyle name="제목 3 2 3 2" xfId="13266"/>
    <cellStyle name="제목 3 2 4" xfId="13267"/>
    <cellStyle name="제목 3 2 4 2" xfId="13268"/>
    <cellStyle name="제목 3 2 5" xfId="13269"/>
    <cellStyle name="제목 3 2 5 2" xfId="13270"/>
    <cellStyle name="제목 3 2 6" xfId="13271"/>
    <cellStyle name="제목 3 2 6 2" xfId="13272"/>
    <cellStyle name="제목 3 2 7" xfId="13273"/>
    <cellStyle name="제목 3 2 7 2" xfId="13274"/>
    <cellStyle name="제목 3 2 8" xfId="13275"/>
    <cellStyle name="제목 3 2 8 2" xfId="13276"/>
    <cellStyle name="제목 3 2 9" xfId="13277"/>
    <cellStyle name="제목 3 2 9 2" xfId="13278"/>
    <cellStyle name="제목 3 3" xfId="13279"/>
    <cellStyle name="제목 3 3 10" xfId="13280"/>
    <cellStyle name="제목 3 3 2" xfId="13281"/>
    <cellStyle name="제목 3 3 2 2" xfId="13282"/>
    <cellStyle name="제목 3 3 3" xfId="13283"/>
    <cellStyle name="제목 3 3 3 2" xfId="13284"/>
    <cellStyle name="제목 3 3 4" xfId="13285"/>
    <cellStyle name="제목 3 3 4 2" xfId="13286"/>
    <cellStyle name="제목 3 3 5" xfId="13287"/>
    <cellStyle name="제목 3 3 5 2" xfId="13288"/>
    <cellStyle name="제목 3 3 6" xfId="13289"/>
    <cellStyle name="제목 3 3 6 2" xfId="13290"/>
    <cellStyle name="제목 3 3 7" xfId="13291"/>
    <cellStyle name="제목 3 3 7 2" xfId="13292"/>
    <cellStyle name="제목 3 3 8" xfId="13293"/>
    <cellStyle name="제목 3 3 8 2" xfId="13294"/>
    <cellStyle name="제목 3 3 9" xfId="13295"/>
    <cellStyle name="제목 3 3 9 2" xfId="13296"/>
    <cellStyle name="제목 3 4" xfId="13297"/>
    <cellStyle name="제목 3 4 10" xfId="13298"/>
    <cellStyle name="제목 3 4 2" xfId="13299"/>
    <cellStyle name="제목 3 4 2 2" xfId="13300"/>
    <cellStyle name="제목 3 4 3" xfId="13301"/>
    <cellStyle name="제목 3 4 3 2" xfId="13302"/>
    <cellStyle name="제목 3 4 4" xfId="13303"/>
    <cellStyle name="제목 3 4 4 2" xfId="13304"/>
    <cellStyle name="제목 3 4 5" xfId="13305"/>
    <cellStyle name="제목 3 4 5 2" xfId="13306"/>
    <cellStyle name="제목 3 4 6" xfId="13307"/>
    <cellStyle name="제목 3 4 6 2" xfId="13308"/>
    <cellStyle name="제목 3 4 7" xfId="13309"/>
    <cellStyle name="제목 3 4 7 2" xfId="13310"/>
    <cellStyle name="제목 3 4 8" xfId="13311"/>
    <cellStyle name="제목 3 4 8 2" xfId="13312"/>
    <cellStyle name="제목 3 4 9" xfId="13313"/>
    <cellStyle name="제목 3 4 9 2" xfId="13314"/>
    <cellStyle name="제목 3 5" xfId="13315"/>
    <cellStyle name="제목 3 5 10" xfId="13316"/>
    <cellStyle name="제목 3 5 2" xfId="13317"/>
    <cellStyle name="제목 3 5 2 2" xfId="13318"/>
    <cellStyle name="제목 3 5 3" xfId="13319"/>
    <cellStyle name="제목 3 5 3 2" xfId="13320"/>
    <cellStyle name="제목 3 5 4" xfId="13321"/>
    <cellStyle name="제목 3 5 4 2" xfId="13322"/>
    <cellStyle name="제목 3 5 5" xfId="13323"/>
    <cellStyle name="제목 3 5 5 2" xfId="13324"/>
    <cellStyle name="제목 3 5 6" xfId="13325"/>
    <cellStyle name="제목 3 5 6 2" xfId="13326"/>
    <cellStyle name="제목 3 5 7" xfId="13327"/>
    <cellStyle name="제목 3 5 7 2" xfId="13328"/>
    <cellStyle name="제목 3 5 8" xfId="13329"/>
    <cellStyle name="제목 3 5 8 2" xfId="13330"/>
    <cellStyle name="제목 3 5 9" xfId="13331"/>
    <cellStyle name="제목 3 5 9 2" xfId="13332"/>
    <cellStyle name="제목 3 6" xfId="13333"/>
    <cellStyle name="제목 3 6 10" xfId="13334"/>
    <cellStyle name="제목 3 6 2" xfId="13335"/>
    <cellStyle name="제목 3 6 2 2" xfId="13336"/>
    <cellStyle name="제목 3 6 3" xfId="13337"/>
    <cellStyle name="제목 3 6 3 2" xfId="13338"/>
    <cellStyle name="제목 3 6 4" xfId="13339"/>
    <cellStyle name="제목 3 6 4 2" xfId="13340"/>
    <cellStyle name="제목 3 6 5" xfId="13341"/>
    <cellStyle name="제목 3 6 5 2" xfId="13342"/>
    <cellStyle name="제목 3 6 6" xfId="13343"/>
    <cellStyle name="제목 3 6 6 2" xfId="13344"/>
    <cellStyle name="제목 3 6 7" xfId="13345"/>
    <cellStyle name="제목 3 6 7 2" xfId="13346"/>
    <cellStyle name="제목 3 6 8" xfId="13347"/>
    <cellStyle name="제목 3 6 8 2" xfId="13348"/>
    <cellStyle name="제목 3 6 9" xfId="13349"/>
    <cellStyle name="제목 3 6 9 2" xfId="13350"/>
    <cellStyle name="제목 4 2" xfId="13351"/>
    <cellStyle name="제목 4 2 10" xfId="13352"/>
    <cellStyle name="제목 4 2 2" xfId="13353"/>
    <cellStyle name="제목 4 2 2 2" xfId="13354"/>
    <cellStyle name="제목 4 2 3" xfId="13355"/>
    <cellStyle name="제목 4 2 3 2" xfId="13356"/>
    <cellStyle name="제목 4 2 4" xfId="13357"/>
    <cellStyle name="제목 4 2 4 2" xfId="13358"/>
    <cellStyle name="제목 4 2 5" xfId="13359"/>
    <cellStyle name="제목 4 2 5 2" xfId="13360"/>
    <cellStyle name="제목 4 2 6" xfId="13361"/>
    <cellStyle name="제목 4 2 6 2" xfId="13362"/>
    <cellStyle name="제목 4 2 7" xfId="13363"/>
    <cellStyle name="제목 4 2 7 2" xfId="13364"/>
    <cellStyle name="제목 4 2 8" xfId="13365"/>
    <cellStyle name="제목 4 2 8 2" xfId="13366"/>
    <cellStyle name="제목 4 2 9" xfId="13367"/>
    <cellStyle name="제목 4 2 9 2" xfId="13368"/>
    <cellStyle name="제목 4 3" xfId="13369"/>
    <cellStyle name="제목 4 3 10" xfId="13370"/>
    <cellStyle name="제목 4 3 2" xfId="13371"/>
    <cellStyle name="제목 4 3 2 2" xfId="13372"/>
    <cellStyle name="제목 4 3 3" xfId="13373"/>
    <cellStyle name="제목 4 3 3 2" xfId="13374"/>
    <cellStyle name="제목 4 3 4" xfId="13375"/>
    <cellStyle name="제목 4 3 4 2" xfId="13376"/>
    <cellStyle name="제목 4 3 5" xfId="13377"/>
    <cellStyle name="제목 4 3 5 2" xfId="13378"/>
    <cellStyle name="제목 4 3 6" xfId="13379"/>
    <cellStyle name="제목 4 3 6 2" xfId="13380"/>
    <cellStyle name="제목 4 3 7" xfId="13381"/>
    <cellStyle name="제목 4 3 7 2" xfId="13382"/>
    <cellStyle name="제목 4 3 8" xfId="13383"/>
    <cellStyle name="제목 4 3 8 2" xfId="13384"/>
    <cellStyle name="제목 4 3 9" xfId="13385"/>
    <cellStyle name="제목 4 3 9 2" xfId="13386"/>
    <cellStyle name="제목 4 4" xfId="13387"/>
    <cellStyle name="제목 4 4 10" xfId="13388"/>
    <cellStyle name="제목 4 4 2" xfId="13389"/>
    <cellStyle name="제목 4 4 2 2" xfId="13390"/>
    <cellStyle name="제목 4 4 3" xfId="13391"/>
    <cellStyle name="제목 4 4 3 2" xfId="13392"/>
    <cellStyle name="제목 4 4 4" xfId="13393"/>
    <cellStyle name="제목 4 4 4 2" xfId="13394"/>
    <cellStyle name="제목 4 4 5" xfId="13395"/>
    <cellStyle name="제목 4 4 5 2" xfId="13396"/>
    <cellStyle name="제목 4 4 6" xfId="13397"/>
    <cellStyle name="제목 4 4 6 2" xfId="13398"/>
    <cellStyle name="제목 4 4 7" xfId="13399"/>
    <cellStyle name="제목 4 4 7 2" xfId="13400"/>
    <cellStyle name="제목 4 4 8" xfId="13401"/>
    <cellStyle name="제목 4 4 8 2" xfId="13402"/>
    <cellStyle name="제목 4 4 9" xfId="13403"/>
    <cellStyle name="제목 4 4 9 2" xfId="13404"/>
    <cellStyle name="제목 4 5" xfId="13405"/>
    <cellStyle name="제목 4 5 10" xfId="13406"/>
    <cellStyle name="제목 4 5 2" xfId="13407"/>
    <cellStyle name="제목 4 5 2 2" xfId="13408"/>
    <cellStyle name="제목 4 5 3" xfId="13409"/>
    <cellStyle name="제목 4 5 3 2" xfId="13410"/>
    <cellStyle name="제목 4 5 4" xfId="13411"/>
    <cellStyle name="제목 4 5 4 2" xfId="13412"/>
    <cellStyle name="제목 4 5 5" xfId="13413"/>
    <cellStyle name="제목 4 5 5 2" xfId="13414"/>
    <cellStyle name="제목 4 5 6" xfId="13415"/>
    <cellStyle name="제목 4 5 6 2" xfId="13416"/>
    <cellStyle name="제목 4 5 7" xfId="13417"/>
    <cellStyle name="제목 4 5 7 2" xfId="13418"/>
    <cellStyle name="제목 4 5 8" xfId="13419"/>
    <cellStyle name="제목 4 5 8 2" xfId="13420"/>
    <cellStyle name="제목 4 5 9" xfId="13421"/>
    <cellStyle name="제목 4 5 9 2" xfId="13422"/>
    <cellStyle name="제목 4 6" xfId="13423"/>
    <cellStyle name="제목 4 6 10" xfId="13424"/>
    <cellStyle name="제목 4 6 2" xfId="13425"/>
    <cellStyle name="제목 4 6 2 2" xfId="13426"/>
    <cellStyle name="제목 4 6 3" xfId="13427"/>
    <cellStyle name="제목 4 6 3 2" xfId="13428"/>
    <cellStyle name="제목 4 6 4" xfId="13429"/>
    <cellStyle name="제목 4 6 4 2" xfId="13430"/>
    <cellStyle name="제목 4 6 5" xfId="13431"/>
    <cellStyle name="제목 4 6 5 2" xfId="13432"/>
    <cellStyle name="제목 4 6 6" xfId="13433"/>
    <cellStyle name="제목 4 6 6 2" xfId="13434"/>
    <cellStyle name="제목 4 6 7" xfId="13435"/>
    <cellStyle name="제목 4 6 7 2" xfId="13436"/>
    <cellStyle name="제목 4 6 8" xfId="13437"/>
    <cellStyle name="제목 4 6 8 2" xfId="13438"/>
    <cellStyle name="제목 4 6 9" xfId="13439"/>
    <cellStyle name="제목 4 6 9 2" xfId="13440"/>
    <cellStyle name="제목 5" xfId="13441"/>
    <cellStyle name="제목 5 10" xfId="13442"/>
    <cellStyle name="제목 5 10 2" xfId="13443"/>
    <cellStyle name="제목 5 11" xfId="13444"/>
    <cellStyle name="제목 5 11 2" xfId="13445"/>
    <cellStyle name="제목 5 12" xfId="13446"/>
    <cellStyle name="제목 5 12 2" xfId="13447"/>
    <cellStyle name="제목 5 13" xfId="13448"/>
    <cellStyle name="제목 5 13 2" xfId="13449"/>
    <cellStyle name="제목 5 14" xfId="13450"/>
    <cellStyle name="제목 5 14 2" xfId="13451"/>
    <cellStyle name="제목 5 15" xfId="13452"/>
    <cellStyle name="제목 5 15 2" xfId="13453"/>
    <cellStyle name="제목 5 16" xfId="13454"/>
    <cellStyle name="제목 5 16 2" xfId="13455"/>
    <cellStyle name="제목 5 17" xfId="13456"/>
    <cellStyle name="제목 5 17 2" xfId="13457"/>
    <cellStyle name="제목 5 18" xfId="13458"/>
    <cellStyle name="제목 5 18 2" xfId="13459"/>
    <cellStyle name="제목 5 19" xfId="13460"/>
    <cellStyle name="제목 5 19 2" xfId="13461"/>
    <cellStyle name="제목 5 2" xfId="13462"/>
    <cellStyle name="제목 5 2 2" xfId="13463"/>
    <cellStyle name="제목 5 20" xfId="13464"/>
    <cellStyle name="제목 5 20 2" xfId="13465"/>
    <cellStyle name="제목 5 21" xfId="13466"/>
    <cellStyle name="제목 5 21 2" xfId="13467"/>
    <cellStyle name="제목 5 22" xfId="13468"/>
    <cellStyle name="제목 5 22 2" xfId="13469"/>
    <cellStyle name="제목 5 23" xfId="13470"/>
    <cellStyle name="제목 5 23 2" xfId="13471"/>
    <cellStyle name="제목 5 24" xfId="13472"/>
    <cellStyle name="제목 5 24 2" xfId="13473"/>
    <cellStyle name="제목 5 25" xfId="13474"/>
    <cellStyle name="제목 5 25 2" xfId="13475"/>
    <cellStyle name="제목 5 26" xfId="13476"/>
    <cellStyle name="제목 5 26 2" xfId="13477"/>
    <cellStyle name="제목 5 27" xfId="13478"/>
    <cellStyle name="제목 5 27 2" xfId="13479"/>
    <cellStyle name="제목 5 28" xfId="13480"/>
    <cellStyle name="제목 5 28 2" xfId="13481"/>
    <cellStyle name="제목 5 29" xfId="13482"/>
    <cellStyle name="제목 5 29 2" xfId="13483"/>
    <cellStyle name="제목 5 3" xfId="13484"/>
    <cellStyle name="제목 5 3 2" xfId="13485"/>
    <cellStyle name="제목 5 30" xfId="13486"/>
    <cellStyle name="제목 5 30 2" xfId="13487"/>
    <cellStyle name="제목 5 31" xfId="13488"/>
    <cellStyle name="제목 5 31 2" xfId="13489"/>
    <cellStyle name="제목 5 32" xfId="13490"/>
    <cellStyle name="제목 5 32 2" xfId="13491"/>
    <cellStyle name="제목 5 33" xfId="13492"/>
    <cellStyle name="제목 5 33 2" xfId="13493"/>
    <cellStyle name="제목 5 34" xfId="13494"/>
    <cellStyle name="제목 5 34 2" xfId="13495"/>
    <cellStyle name="제목 5 35" xfId="13496"/>
    <cellStyle name="제목 5 4" xfId="13497"/>
    <cellStyle name="제목 5 4 2" xfId="13498"/>
    <cellStyle name="제목 5 5" xfId="13499"/>
    <cellStyle name="제목 5 5 2" xfId="13500"/>
    <cellStyle name="제목 5 6" xfId="13501"/>
    <cellStyle name="제목 5 6 2" xfId="13502"/>
    <cellStyle name="제목 5 7" xfId="13503"/>
    <cellStyle name="제목 5 7 2" xfId="13504"/>
    <cellStyle name="제목 5 8" xfId="13505"/>
    <cellStyle name="제목 5 8 2" xfId="13506"/>
    <cellStyle name="제목 5 9" xfId="13507"/>
    <cellStyle name="제목 5 9 2" xfId="13508"/>
    <cellStyle name="제목 5_롯데 일산점 무대조명_총괄표_100503_수정" xfId="13509"/>
    <cellStyle name="제목 6" xfId="13510"/>
    <cellStyle name="제목 6 10" xfId="13511"/>
    <cellStyle name="제목 6 10 2" xfId="13512"/>
    <cellStyle name="제목 6 11" xfId="13513"/>
    <cellStyle name="제목 6 11 2" xfId="13514"/>
    <cellStyle name="제목 6 12" xfId="13515"/>
    <cellStyle name="제목 6 12 2" xfId="13516"/>
    <cellStyle name="제목 6 13" xfId="13517"/>
    <cellStyle name="제목 6 13 2" xfId="13518"/>
    <cellStyle name="제목 6 14" xfId="13519"/>
    <cellStyle name="제목 6 14 2" xfId="13520"/>
    <cellStyle name="제목 6 15" xfId="13521"/>
    <cellStyle name="제목 6 15 2" xfId="13522"/>
    <cellStyle name="제목 6 16" xfId="13523"/>
    <cellStyle name="제목 6 16 2" xfId="13524"/>
    <cellStyle name="제목 6 17" xfId="13525"/>
    <cellStyle name="제목 6 17 2" xfId="13526"/>
    <cellStyle name="제목 6 18" xfId="13527"/>
    <cellStyle name="제목 6 18 2" xfId="13528"/>
    <cellStyle name="제목 6 19" xfId="13529"/>
    <cellStyle name="제목 6 19 2" xfId="13530"/>
    <cellStyle name="제목 6 2" xfId="13531"/>
    <cellStyle name="제목 6 2 2" xfId="13532"/>
    <cellStyle name="제목 6 20" xfId="13533"/>
    <cellStyle name="제목 6 20 2" xfId="13534"/>
    <cellStyle name="제목 6 21" xfId="13535"/>
    <cellStyle name="제목 6 21 2" xfId="13536"/>
    <cellStyle name="제목 6 22" xfId="13537"/>
    <cellStyle name="제목 6 22 2" xfId="13538"/>
    <cellStyle name="제목 6 23" xfId="13539"/>
    <cellStyle name="제목 6 23 2" xfId="13540"/>
    <cellStyle name="제목 6 24" xfId="13541"/>
    <cellStyle name="제목 6 24 2" xfId="13542"/>
    <cellStyle name="제목 6 25" xfId="13543"/>
    <cellStyle name="제목 6 25 2" xfId="13544"/>
    <cellStyle name="제목 6 26" xfId="13545"/>
    <cellStyle name="제목 6 26 2" xfId="13546"/>
    <cellStyle name="제목 6 27" xfId="13547"/>
    <cellStyle name="제목 6 27 2" xfId="13548"/>
    <cellStyle name="제목 6 28" xfId="13549"/>
    <cellStyle name="제목 6 28 2" xfId="13550"/>
    <cellStyle name="제목 6 29" xfId="13551"/>
    <cellStyle name="제목 6 29 2" xfId="13552"/>
    <cellStyle name="제목 6 3" xfId="13553"/>
    <cellStyle name="제목 6 3 2" xfId="13554"/>
    <cellStyle name="제목 6 30" xfId="13555"/>
    <cellStyle name="제목 6 30 2" xfId="13556"/>
    <cellStyle name="제목 6 31" xfId="13557"/>
    <cellStyle name="제목 6 31 2" xfId="13558"/>
    <cellStyle name="제목 6 32" xfId="13559"/>
    <cellStyle name="제목 6 32 2" xfId="13560"/>
    <cellStyle name="제목 6 33" xfId="13561"/>
    <cellStyle name="제목 6 33 2" xfId="13562"/>
    <cellStyle name="제목 6 34" xfId="13563"/>
    <cellStyle name="제목 6 34 2" xfId="13564"/>
    <cellStyle name="제목 6 35" xfId="13565"/>
    <cellStyle name="제목 6 4" xfId="13566"/>
    <cellStyle name="제목 6 4 2" xfId="13567"/>
    <cellStyle name="제목 6 5" xfId="13568"/>
    <cellStyle name="제목 6 5 2" xfId="13569"/>
    <cellStyle name="제목 6 6" xfId="13570"/>
    <cellStyle name="제목 6 6 2" xfId="13571"/>
    <cellStyle name="제목 6 7" xfId="13572"/>
    <cellStyle name="제목 6 7 2" xfId="13573"/>
    <cellStyle name="제목 6 8" xfId="13574"/>
    <cellStyle name="제목 6 8 2" xfId="13575"/>
    <cellStyle name="제목 6 9" xfId="13576"/>
    <cellStyle name="제목 6 9 2" xfId="13577"/>
    <cellStyle name="제목 7" xfId="13578"/>
    <cellStyle name="제목 7 10" xfId="13579"/>
    <cellStyle name="제목 7 10 2" xfId="13580"/>
    <cellStyle name="제목 7 11" xfId="13581"/>
    <cellStyle name="제목 7 11 2" xfId="13582"/>
    <cellStyle name="제목 7 12" xfId="13583"/>
    <cellStyle name="제목 7 12 2" xfId="13584"/>
    <cellStyle name="제목 7 13" xfId="13585"/>
    <cellStyle name="제목 7 13 2" xfId="13586"/>
    <cellStyle name="제목 7 14" xfId="13587"/>
    <cellStyle name="제목 7 14 2" xfId="13588"/>
    <cellStyle name="제목 7 15" xfId="13589"/>
    <cellStyle name="제목 7 15 2" xfId="13590"/>
    <cellStyle name="제목 7 16" xfId="13591"/>
    <cellStyle name="제목 7 16 2" xfId="13592"/>
    <cellStyle name="제목 7 17" xfId="13593"/>
    <cellStyle name="제목 7 17 2" xfId="13594"/>
    <cellStyle name="제목 7 18" xfId="13595"/>
    <cellStyle name="제목 7 18 2" xfId="13596"/>
    <cellStyle name="제목 7 19" xfId="13597"/>
    <cellStyle name="제목 7 19 2" xfId="13598"/>
    <cellStyle name="제목 7 2" xfId="13599"/>
    <cellStyle name="제목 7 2 2" xfId="13600"/>
    <cellStyle name="제목 7 20" xfId="13601"/>
    <cellStyle name="제목 7 20 2" xfId="13602"/>
    <cellStyle name="제목 7 21" xfId="13603"/>
    <cellStyle name="제목 7 21 2" xfId="13604"/>
    <cellStyle name="제목 7 22" xfId="13605"/>
    <cellStyle name="제목 7 22 2" xfId="13606"/>
    <cellStyle name="제목 7 23" xfId="13607"/>
    <cellStyle name="제목 7 23 2" xfId="13608"/>
    <cellStyle name="제목 7 24" xfId="13609"/>
    <cellStyle name="제목 7 24 2" xfId="13610"/>
    <cellStyle name="제목 7 25" xfId="13611"/>
    <cellStyle name="제목 7 25 2" xfId="13612"/>
    <cellStyle name="제목 7 26" xfId="13613"/>
    <cellStyle name="제목 7 26 2" xfId="13614"/>
    <cellStyle name="제목 7 27" xfId="13615"/>
    <cellStyle name="제목 7 27 2" xfId="13616"/>
    <cellStyle name="제목 7 28" xfId="13617"/>
    <cellStyle name="제목 7 28 2" xfId="13618"/>
    <cellStyle name="제목 7 29" xfId="13619"/>
    <cellStyle name="제목 7 29 2" xfId="13620"/>
    <cellStyle name="제목 7 3" xfId="13621"/>
    <cellStyle name="제목 7 3 2" xfId="13622"/>
    <cellStyle name="제목 7 30" xfId="13623"/>
    <cellStyle name="제목 7 30 2" xfId="13624"/>
    <cellStyle name="제목 7 31" xfId="13625"/>
    <cellStyle name="제목 7 31 2" xfId="13626"/>
    <cellStyle name="제목 7 32" xfId="13627"/>
    <cellStyle name="제목 7 32 2" xfId="13628"/>
    <cellStyle name="제목 7 33" xfId="13629"/>
    <cellStyle name="제목 7 33 2" xfId="13630"/>
    <cellStyle name="제목 7 34" xfId="13631"/>
    <cellStyle name="제목 7 34 2" xfId="13632"/>
    <cellStyle name="제목 7 35" xfId="13633"/>
    <cellStyle name="제목 7 35 2" xfId="13634"/>
    <cellStyle name="제목 7 36" xfId="13635"/>
    <cellStyle name="제목 7 36 2" xfId="13636"/>
    <cellStyle name="제목 7 37" xfId="13637"/>
    <cellStyle name="제목 7 37 2" xfId="13638"/>
    <cellStyle name="제목 7 38" xfId="13639"/>
    <cellStyle name="제목 7 38 2" xfId="13640"/>
    <cellStyle name="제목 7 39" xfId="13641"/>
    <cellStyle name="제목 7 39 2" xfId="13642"/>
    <cellStyle name="제목 7 4" xfId="13643"/>
    <cellStyle name="제목 7 4 2" xfId="13644"/>
    <cellStyle name="제목 7 40" xfId="13645"/>
    <cellStyle name="제목 7 40 2" xfId="13646"/>
    <cellStyle name="제목 7 41" xfId="13647"/>
    <cellStyle name="제목 7 41 2" xfId="13648"/>
    <cellStyle name="제목 7 42" xfId="13649"/>
    <cellStyle name="제목 7 42 2" xfId="13650"/>
    <cellStyle name="제목 7 43" xfId="13651"/>
    <cellStyle name="제목 7 43 2" xfId="13652"/>
    <cellStyle name="제목 7 44" xfId="13653"/>
    <cellStyle name="제목 7 44 2" xfId="13654"/>
    <cellStyle name="제목 7 45" xfId="13655"/>
    <cellStyle name="제목 7 45 2" xfId="13656"/>
    <cellStyle name="제목 7 46" xfId="13657"/>
    <cellStyle name="제목 7 46 2" xfId="13658"/>
    <cellStyle name="제목 7 47" xfId="13659"/>
    <cellStyle name="제목 7 47 2" xfId="13660"/>
    <cellStyle name="제목 7 48" xfId="13661"/>
    <cellStyle name="제목 7 48 2" xfId="13662"/>
    <cellStyle name="제목 7 49" xfId="13663"/>
    <cellStyle name="제목 7 49 2" xfId="13664"/>
    <cellStyle name="제목 7 5" xfId="13665"/>
    <cellStyle name="제목 7 5 2" xfId="13666"/>
    <cellStyle name="제목 7 50" xfId="13667"/>
    <cellStyle name="제목 7 50 2" xfId="13668"/>
    <cellStyle name="제목 7 51" xfId="13669"/>
    <cellStyle name="제목 7 51 2" xfId="13670"/>
    <cellStyle name="제목 7 52" xfId="13671"/>
    <cellStyle name="제목 7 52 2" xfId="13672"/>
    <cellStyle name="제목 7 53" xfId="13673"/>
    <cellStyle name="제목 7 53 2" xfId="13674"/>
    <cellStyle name="제목 7 54" xfId="13675"/>
    <cellStyle name="제목 7 54 2" xfId="13676"/>
    <cellStyle name="제목 7 55" xfId="13677"/>
    <cellStyle name="제목 7 55 2" xfId="13678"/>
    <cellStyle name="제목 7 56" xfId="13679"/>
    <cellStyle name="제목 7 56 2" xfId="13680"/>
    <cellStyle name="제목 7 57" xfId="13681"/>
    <cellStyle name="제목 7 57 2" xfId="13682"/>
    <cellStyle name="제목 7 58" xfId="13683"/>
    <cellStyle name="제목 7 58 2" xfId="13684"/>
    <cellStyle name="제목 7 59" xfId="13685"/>
    <cellStyle name="제목 7 59 2" xfId="13686"/>
    <cellStyle name="제목 7 6" xfId="13687"/>
    <cellStyle name="제목 7 6 2" xfId="13688"/>
    <cellStyle name="제목 7 60" xfId="13689"/>
    <cellStyle name="제목 7 60 2" xfId="13690"/>
    <cellStyle name="제목 7 61" xfId="13691"/>
    <cellStyle name="제목 7 61 2" xfId="13692"/>
    <cellStyle name="제목 7 62" xfId="13693"/>
    <cellStyle name="제목 7 62 2" xfId="13694"/>
    <cellStyle name="제목 7 63" xfId="13695"/>
    <cellStyle name="제목 7 63 2" xfId="13696"/>
    <cellStyle name="제목 7 64" xfId="13697"/>
    <cellStyle name="제목 7 64 2" xfId="13698"/>
    <cellStyle name="제목 7 65" xfId="13699"/>
    <cellStyle name="제목 7 65 2" xfId="13700"/>
    <cellStyle name="제목 7 66" xfId="13701"/>
    <cellStyle name="제목 7 66 2" xfId="13702"/>
    <cellStyle name="제목 7 67" xfId="13703"/>
    <cellStyle name="제목 7 67 2" xfId="13704"/>
    <cellStyle name="제목 7 68" xfId="13705"/>
    <cellStyle name="제목 7 68 2" xfId="13706"/>
    <cellStyle name="제목 7 69" xfId="13707"/>
    <cellStyle name="제목 7 69 2" xfId="13708"/>
    <cellStyle name="제목 7 7" xfId="13709"/>
    <cellStyle name="제목 7 7 2" xfId="13710"/>
    <cellStyle name="제목 7 70" xfId="13711"/>
    <cellStyle name="제목 7 70 2" xfId="13712"/>
    <cellStyle name="제목 7 71" xfId="13713"/>
    <cellStyle name="제목 7 71 2" xfId="13714"/>
    <cellStyle name="제목 7 72" xfId="13715"/>
    <cellStyle name="제목 7 72 2" xfId="13716"/>
    <cellStyle name="제목 7 73" xfId="13717"/>
    <cellStyle name="제목 7 73 2" xfId="13718"/>
    <cellStyle name="제목 7 74" xfId="13719"/>
    <cellStyle name="제목 7 74 2" xfId="13720"/>
    <cellStyle name="제목 7 75" xfId="13721"/>
    <cellStyle name="제목 7 8" xfId="13722"/>
    <cellStyle name="제목 7 8 2" xfId="13723"/>
    <cellStyle name="제목 7 9" xfId="13724"/>
    <cellStyle name="제목 7 9 2" xfId="13725"/>
    <cellStyle name="제목 7_롯데 일산점 무대조명_총괄표_100503_수정" xfId="13726"/>
    <cellStyle name="제목 8" xfId="13727"/>
    <cellStyle name="제목 8 10" xfId="13728"/>
    <cellStyle name="제목 8 10 2" xfId="13729"/>
    <cellStyle name="제목 8 11" xfId="13730"/>
    <cellStyle name="제목 8 11 2" xfId="13731"/>
    <cellStyle name="제목 8 12" xfId="13732"/>
    <cellStyle name="제목 8 12 2" xfId="13733"/>
    <cellStyle name="제목 8 13" xfId="13734"/>
    <cellStyle name="제목 8 13 2" xfId="13735"/>
    <cellStyle name="제목 8 14" xfId="13736"/>
    <cellStyle name="제목 8 14 2" xfId="13737"/>
    <cellStyle name="제목 8 15" xfId="13738"/>
    <cellStyle name="제목 8 15 2" xfId="13739"/>
    <cellStyle name="제목 8 16" xfId="13740"/>
    <cellStyle name="제목 8 16 2" xfId="13741"/>
    <cellStyle name="제목 8 17" xfId="13742"/>
    <cellStyle name="제목 8 17 2" xfId="13743"/>
    <cellStyle name="제목 8 18" xfId="13744"/>
    <cellStyle name="제목 8 18 2" xfId="13745"/>
    <cellStyle name="제목 8 19" xfId="13746"/>
    <cellStyle name="제목 8 19 2" xfId="13747"/>
    <cellStyle name="제목 8 2" xfId="13748"/>
    <cellStyle name="제목 8 2 2" xfId="13749"/>
    <cellStyle name="제목 8 20" xfId="13750"/>
    <cellStyle name="제목 8 20 2" xfId="13751"/>
    <cellStyle name="제목 8 21" xfId="13752"/>
    <cellStyle name="제목 8 21 2" xfId="13753"/>
    <cellStyle name="제목 8 22" xfId="13754"/>
    <cellStyle name="제목 8 22 2" xfId="13755"/>
    <cellStyle name="제목 8 23" xfId="13756"/>
    <cellStyle name="제목 8 23 2" xfId="13757"/>
    <cellStyle name="제목 8 24" xfId="13758"/>
    <cellStyle name="제목 8 24 2" xfId="13759"/>
    <cellStyle name="제목 8 25" xfId="13760"/>
    <cellStyle name="제목 8 25 2" xfId="13761"/>
    <cellStyle name="제목 8 26" xfId="13762"/>
    <cellStyle name="제목 8 26 2" xfId="13763"/>
    <cellStyle name="제목 8 27" xfId="13764"/>
    <cellStyle name="제목 8 27 2" xfId="13765"/>
    <cellStyle name="제목 8 28" xfId="13766"/>
    <cellStyle name="제목 8 28 2" xfId="13767"/>
    <cellStyle name="제목 8 29" xfId="13768"/>
    <cellStyle name="제목 8 29 2" xfId="13769"/>
    <cellStyle name="제목 8 3" xfId="13770"/>
    <cellStyle name="제목 8 3 2" xfId="13771"/>
    <cellStyle name="제목 8 30" xfId="13772"/>
    <cellStyle name="제목 8 30 2" xfId="13773"/>
    <cellStyle name="제목 8 31" xfId="13774"/>
    <cellStyle name="제목 8 31 2" xfId="13775"/>
    <cellStyle name="제목 8 32" xfId="13776"/>
    <cellStyle name="제목 8 32 2" xfId="13777"/>
    <cellStyle name="제목 8 33" xfId="13778"/>
    <cellStyle name="제목 8 33 2" xfId="13779"/>
    <cellStyle name="제목 8 34" xfId="13780"/>
    <cellStyle name="제목 8 34 2" xfId="13781"/>
    <cellStyle name="제목 8 35" xfId="13782"/>
    <cellStyle name="제목 8 4" xfId="13783"/>
    <cellStyle name="제목 8 4 2" xfId="13784"/>
    <cellStyle name="제목 8 5" xfId="13785"/>
    <cellStyle name="제목 8 5 2" xfId="13786"/>
    <cellStyle name="제목 8 6" xfId="13787"/>
    <cellStyle name="제목 8 6 2" xfId="13788"/>
    <cellStyle name="제목 8 7" xfId="13789"/>
    <cellStyle name="제목 8 7 2" xfId="13790"/>
    <cellStyle name="제목 8 8" xfId="13791"/>
    <cellStyle name="제목 8 8 2" xfId="13792"/>
    <cellStyle name="제목 8 9" xfId="13793"/>
    <cellStyle name="제목 8 9 2" xfId="13794"/>
    <cellStyle name="제목 9" xfId="13795"/>
    <cellStyle name="제목 9 10" xfId="13796"/>
    <cellStyle name="제목 9 10 2" xfId="13797"/>
    <cellStyle name="제목 9 11" xfId="13798"/>
    <cellStyle name="제목 9 11 2" xfId="13799"/>
    <cellStyle name="제목 9 12" xfId="13800"/>
    <cellStyle name="제목 9 12 2" xfId="13801"/>
    <cellStyle name="제목 9 13" xfId="13802"/>
    <cellStyle name="제목 9 13 2" xfId="13803"/>
    <cellStyle name="제목 9 14" xfId="13804"/>
    <cellStyle name="제목 9 14 2" xfId="13805"/>
    <cellStyle name="제목 9 15" xfId="13806"/>
    <cellStyle name="제목 9 15 2" xfId="13807"/>
    <cellStyle name="제목 9 16" xfId="13808"/>
    <cellStyle name="제목 9 16 2" xfId="13809"/>
    <cellStyle name="제목 9 17" xfId="13810"/>
    <cellStyle name="제목 9 17 2" xfId="13811"/>
    <cellStyle name="제목 9 18" xfId="13812"/>
    <cellStyle name="제목 9 18 2" xfId="13813"/>
    <cellStyle name="제목 9 19" xfId="13814"/>
    <cellStyle name="제목 9 19 2" xfId="13815"/>
    <cellStyle name="제목 9 2" xfId="13816"/>
    <cellStyle name="제목 9 2 2" xfId="13817"/>
    <cellStyle name="제목 9 20" xfId="13818"/>
    <cellStyle name="제목 9 20 2" xfId="13819"/>
    <cellStyle name="제목 9 21" xfId="13820"/>
    <cellStyle name="제목 9 21 2" xfId="13821"/>
    <cellStyle name="제목 9 22" xfId="13822"/>
    <cellStyle name="제목 9 22 2" xfId="13823"/>
    <cellStyle name="제목 9 23" xfId="13824"/>
    <cellStyle name="제목 9 23 2" xfId="13825"/>
    <cellStyle name="제목 9 24" xfId="13826"/>
    <cellStyle name="제목 9 24 2" xfId="13827"/>
    <cellStyle name="제목 9 25" xfId="13828"/>
    <cellStyle name="제목 9 25 2" xfId="13829"/>
    <cellStyle name="제목 9 26" xfId="13830"/>
    <cellStyle name="제목 9 3" xfId="13831"/>
    <cellStyle name="제목 9 3 2" xfId="13832"/>
    <cellStyle name="제목 9 4" xfId="13833"/>
    <cellStyle name="제목 9 4 2" xfId="13834"/>
    <cellStyle name="제목 9 5" xfId="13835"/>
    <cellStyle name="제목 9 5 2" xfId="13836"/>
    <cellStyle name="제목 9 6" xfId="13837"/>
    <cellStyle name="제목 9 6 2" xfId="13838"/>
    <cellStyle name="제목 9 7" xfId="13839"/>
    <cellStyle name="제목 9 7 2" xfId="13840"/>
    <cellStyle name="제목 9 8" xfId="13841"/>
    <cellStyle name="제목 9 8 2" xfId="13842"/>
    <cellStyle name="제목 9 9" xfId="13843"/>
    <cellStyle name="제목 9 9 2" xfId="13844"/>
    <cellStyle name="제목[1 줄]" xfId="13845"/>
    <cellStyle name="제목[1 줄] 2" xfId="13846"/>
    <cellStyle name="제목[1 줄] 2 2" xfId="13847"/>
    <cellStyle name="제목[1 줄] 2 2 2" xfId="13848"/>
    <cellStyle name="제목[1 줄] 2 2 3" xfId="13849"/>
    <cellStyle name="제목[1 줄] 2 2 4" xfId="13850"/>
    <cellStyle name="제목[1 줄] 2 2 5" xfId="13851"/>
    <cellStyle name="제목[1 줄] 3" xfId="13852"/>
    <cellStyle name="제목[1 줄] 3 2" xfId="13853"/>
    <cellStyle name="제목[1 줄] 3 3" xfId="13854"/>
    <cellStyle name="제목[1 줄] 3 4" xfId="13855"/>
    <cellStyle name="제목[1 줄] 3 5" xfId="13856"/>
    <cellStyle name="제목[2줄 아래]" xfId="13857"/>
    <cellStyle name="제목[2줄 아래] 2" xfId="13858"/>
    <cellStyle name="제목[2줄 위]" xfId="13859"/>
    <cellStyle name="제목[2줄 위] 2" xfId="13860"/>
    <cellStyle name="제목[2줄 위] 2 2" xfId="13861"/>
    <cellStyle name="제목[2줄 위] 2 2 2" xfId="13862"/>
    <cellStyle name="제목[2줄 위] 2 2 3" xfId="13863"/>
    <cellStyle name="제목[2줄 위] 2 2 4" xfId="13864"/>
    <cellStyle name="제목[2줄 위] 2 2 5" xfId="13865"/>
    <cellStyle name="제목[2줄 위] 3" xfId="13866"/>
    <cellStyle name="제목[2줄 위] 3 2" xfId="13867"/>
    <cellStyle name="제목[2줄 위] 3 3" xfId="13868"/>
    <cellStyle name="제목[2줄 위] 3 4" xfId="13869"/>
    <cellStyle name="제목[2줄 위] 3 5" xfId="13870"/>
    <cellStyle name="제목1" xfId="13871"/>
    <cellStyle name="제목1 2" xfId="13872"/>
    <cellStyle name="좋음 2" xfId="13873"/>
    <cellStyle name="좋음 2 10" xfId="13874"/>
    <cellStyle name="좋음 2 2" xfId="13875"/>
    <cellStyle name="좋음 2 2 2" xfId="13876"/>
    <cellStyle name="좋음 2 3" xfId="13877"/>
    <cellStyle name="좋음 2 3 2" xfId="13878"/>
    <cellStyle name="좋음 2 4" xfId="13879"/>
    <cellStyle name="좋음 2 4 2" xfId="13880"/>
    <cellStyle name="좋음 2 5" xfId="13881"/>
    <cellStyle name="좋음 2 5 2" xfId="13882"/>
    <cellStyle name="좋음 2 6" xfId="13883"/>
    <cellStyle name="좋음 2 6 2" xfId="13884"/>
    <cellStyle name="좋음 2 7" xfId="13885"/>
    <cellStyle name="좋음 2 7 2" xfId="13886"/>
    <cellStyle name="좋음 2 8" xfId="13887"/>
    <cellStyle name="좋음 2 8 2" xfId="13888"/>
    <cellStyle name="좋음 2 9" xfId="13889"/>
    <cellStyle name="좋음 2 9 2" xfId="13890"/>
    <cellStyle name="좋음 3" xfId="13891"/>
    <cellStyle name="좋음 3 10" xfId="13892"/>
    <cellStyle name="좋음 3 2" xfId="13893"/>
    <cellStyle name="좋음 3 2 2" xfId="13894"/>
    <cellStyle name="좋음 3 3" xfId="13895"/>
    <cellStyle name="좋음 3 3 2" xfId="13896"/>
    <cellStyle name="좋음 3 4" xfId="13897"/>
    <cellStyle name="좋음 3 4 2" xfId="13898"/>
    <cellStyle name="좋음 3 5" xfId="13899"/>
    <cellStyle name="좋음 3 5 2" xfId="13900"/>
    <cellStyle name="좋음 3 6" xfId="13901"/>
    <cellStyle name="좋음 3 6 2" xfId="13902"/>
    <cellStyle name="좋음 3 7" xfId="13903"/>
    <cellStyle name="좋음 3 7 2" xfId="13904"/>
    <cellStyle name="좋음 3 8" xfId="13905"/>
    <cellStyle name="좋음 3 8 2" xfId="13906"/>
    <cellStyle name="좋음 3 9" xfId="13907"/>
    <cellStyle name="좋음 3 9 2" xfId="13908"/>
    <cellStyle name="좋음 4" xfId="13909"/>
    <cellStyle name="좋음 4 10" xfId="13910"/>
    <cellStyle name="좋음 4 2" xfId="13911"/>
    <cellStyle name="좋음 4 2 2" xfId="13912"/>
    <cellStyle name="좋음 4 3" xfId="13913"/>
    <cellStyle name="좋음 4 3 2" xfId="13914"/>
    <cellStyle name="좋음 4 4" xfId="13915"/>
    <cellStyle name="좋음 4 4 2" xfId="13916"/>
    <cellStyle name="좋음 4 5" xfId="13917"/>
    <cellStyle name="좋음 4 5 2" xfId="13918"/>
    <cellStyle name="좋음 4 6" xfId="13919"/>
    <cellStyle name="좋음 4 6 2" xfId="13920"/>
    <cellStyle name="좋음 4 7" xfId="13921"/>
    <cellStyle name="좋음 4 7 2" xfId="13922"/>
    <cellStyle name="좋음 4 8" xfId="13923"/>
    <cellStyle name="좋음 4 8 2" xfId="13924"/>
    <cellStyle name="좋음 4 9" xfId="13925"/>
    <cellStyle name="좋음 4 9 2" xfId="13926"/>
    <cellStyle name="좋음 5" xfId="13927"/>
    <cellStyle name="좋음 5 10" xfId="13928"/>
    <cellStyle name="좋음 5 2" xfId="13929"/>
    <cellStyle name="좋음 5 2 2" xfId="13930"/>
    <cellStyle name="좋음 5 3" xfId="13931"/>
    <cellStyle name="좋음 5 3 2" xfId="13932"/>
    <cellStyle name="좋음 5 4" xfId="13933"/>
    <cellStyle name="좋음 5 4 2" xfId="13934"/>
    <cellStyle name="좋음 5 5" xfId="13935"/>
    <cellStyle name="좋음 5 5 2" xfId="13936"/>
    <cellStyle name="좋음 5 6" xfId="13937"/>
    <cellStyle name="좋음 5 6 2" xfId="13938"/>
    <cellStyle name="좋음 5 7" xfId="13939"/>
    <cellStyle name="좋음 5 7 2" xfId="13940"/>
    <cellStyle name="좋음 5 8" xfId="13941"/>
    <cellStyle name="좋음 5 8 2" xfId="13942"/>
    <cellStyle name="좋음 5 9" xfId="13943"/>
    <cellStyle name="좋음 5 9 2" xfId="13944"/>
    <cellStyle name="좋음 6" xfId="13945"/>
    <cellStyle name="좋음 6 10" xfId="13946"/>
    <cellStyle name="좋음 6 2" xfId="13947"/>
    <cellStyle name="좋음 6 2 2" xfId="13948"/>
    <cellStyle name="좋음 6 3" xfId="13949"/>
    <cellStyle name="좋음 6 3 2" xfId="13950"/>
    <cellStyle name="좋음 6 4" xfId="13951"/>
    <cellStyle name="좋음 6 4 2" xfId="13952"/>
    <cellStyle name="좋음 6 5" xfId="13953"/>
    <cellStyle name="좋음 6 5 2" xfId="13954"/>
    <cellStyle name="좋음 6 6" xfId="13955"/>
    <cellStyle name="좋음 6 6 2" xfId="13956"/>
    <cellStyle name="좋음 6 7" xfId="13957"/>
    <cellStyle name="좋음 6 7 2" xfId="13958"/>
    <cellStyle name="좋음 6 8" xfId="13959"/>
    <cellStyle name="좋음 6 8 2" xfId="13960"/>
    <cellStyle name="좋음 6 9" xfId="13961"/>
    <cellStyle name="좋음 6 9 2" xfId="13962"/>
    <cellStyle name="좌가는선" xfId="13963"/>
    <cellStyle name="좌하가는선" xfId="13964"/>
    <cellStyle name="지정되지 않음" xfId="13965"/>
    <cellStyle name="지정되지 않음 2" xfId="13966"/>
    <cellStyle name="지정되지 않음 2 2" xfId="13967"/>
    <cellStyle name="지정되지 않음 2 2 2" xfId="13968"/>
    <cellStyle name="지정되지 않음 2 3" xfId="13969"/>
    <cellStyle name="지정되지 않음 2 3 2" xfId="13970"/>
    <cellStyle name="지정되지 않음 2 4" xfId="13971"/>
    <cellStyle name="지정되지 않음 2 4 2" xfId="13972"/>
    <cellStyle name="지정되지 않음 2 5" xfId="13973"/>
    <cellStyle name="지정되지 않음 3" xfId="13974"/>
    <cellStyle name="지정되지 않음 3 2" xfId="13975"/>
    <cellStyle name="지정되지 않음 3 2 2" xfId="13976"/>
    <cellStyle name="지정되지 않음 3 3" xfId="13977"/>
    <cellStyle name="지정되지 않음 3 3 2" xfId="13978"/>
    <cellStyle name="지정되지 않음 3 4" xfId="13979"/>
    <cellStyle name="지정되지 않음 3 4 2" xfId="13980"/>
    <cellStyle name="지정되지 않음 3 5" xfId="13981"/>
    <cellStyle name="지정되지 않음 4" xfId="13982"/>
    <cellStyle name="지정되지 않음 4 2" xfId="13983"/>
    <cellStyle name="지정되지 않음 4 2 2" xfId="13984"/>
    <cellStyle name="지정되지 않음 4 3" xfId="13985"/>
    <cellStyle name="지정되지 않음 4 3 2" xfId="13986"/>
    <cellStyle name="지정되지 않음 4 4" xfId="13987"/>
    <cellStyle name="지정되지 않음 4 4 2" xfId="13988"/>
    <cellStyle name="지정되지 않음 4 5" xfId="13989"/>
    <cellStyle name="지정되지 않음 5" xfId="13990"/>
    <cellStyle name="지정되지 않음 5 2" xfId="13991"/>
    <cellStyle name="지정되지 않음 6" xfId="13992"/>
    <cellStyle name="지정되지 않음 6 2" xfId="13993"/>
    <cellStyle name="지정되지 않음 7" xfId="13994"/>
    <cellStyle name="지정되지 않음 7 2" xfId="13995"/>
    <cellStyle name="지정되지 않음 8" xfId="13996"/>
    <cellStyle name="지정되지 않음 9" xfId="13997"/>
    <cellStyle name="지정되지 않음_091118 방송통신대학 영상강의실 견적서e-mail" xfId="13998"/>
    <cellStyle name="지하철정렬" xfId="13999"/>
    <cellStyle name="千位分隔 2" xfId="14000"/>
    <cellStyle name="출력 2" xfId="14001"/>
    <cellStyle name="출력 2 10" xfId="14002"/>
    <cellStyle name="출력 2 10 2" xfId="14003"/>
    <cellStyle name="출력 2 10 2 2" xfId="14004"/>
    <cellStyle name="출력 2 10 2 3" xfId="14005"/>
    <cellStyle name="출력 2 10 2 4" xfId="14006"/>
    <cellStyle name="출력 2 10 2 5" xfId="14007"/>
    <cellStyle name="출력 2 11" xfId="14008"/>
    <cellStyle name="출력 2 11 2" xfId="14009"/>
    <cellStyle name="출력 2 11 3" xfId="14010"/>
    <cellStyle name="출력 2 11 4" xfId="14011"/>
    <cellStyle name="출력 2 11 5" xfId="14012"/>
    <cellStyle name="출력 2 2" xfId="14013"/>
    <cellStyle name="출력 2 2 2" xfId="14014"/>
    <cellStyle name="출력 2 2 2 2" xfId="14015"/>
    <cellStyle name="출력 2 2 2 2 2" xfId="14016"/>
    <cellStyle name="출력 2 2 2 2 3" xfId="14017"/>
    <cellStyle name="출력 2 2 2 2 4" xfId="14018"/>
    <cellStyle name="출력 2 2 2 2 5" xfId="14019"/>
    <cellStyle name="출력 2 2 3" xfId="14020"/>
    <cellStyle name="출력 2 2 3 2" xfId="14021"/>
    <cellStyle name="출력 2 2 3 3" xfId="14022"/>
    <cellStyle name="출력 2 2 3 4" xfId="14023"/>
    <cellStyle name="출력 2 2 3 5" xfId="14024"/>
    <cellStyle name="출력 2 3" xfId="14025"/>
    <cellStyle name="출력 2 3 2" xfId="14026"/>
    <cellStyle name="출력 2 3 2 2" xfId="14027"/>
    <cellStyle name="출력 2 3 2 2 2" xfId="14028"/>
    <cellStyle name="출력 2 3 2 2 3" xfId="14029"/>
    <cellStyle name="출력 2 3 2 2 4" xfId="14030"/>
    <cellStyle name="출력 2 3 2 2 5" xfId="14031"/>
    <cellStyle name="출력 2 3 3" xfId="14032"/>
    <cellStyle name="출력 2 3 3 2" xfId="14033"/>
    <cellStyle name="출력 2 3 3 3" xfId="14034"/>
    <cellStyle name="출력 2 3 3 4" xfId="14035"/>
    <cellStyle name="출력 2 3 3 5" xfId="14036"/>
    <cellStyle name="출력 2 4" xfId="14037"/>
    <cellStyle name="출력 2 4 2" xfId="14038"/>
    <cellStyle name="출력 2 4 2 2" xfId="14039"/>
    <cellStyle name="출력 2 4 2 2 2" xfId="14040"/>
    <cellStyle name="출력 2 4 2 2 3" xfId="14041"/>
    <cellStyle name="출력 2 4 2 2 4" xfId="14042"/>
    <cellStyle name="출력 2 4 2 2 5" xfId="14043"/>
    <cellStyle name="출력 2 4 3" xfId="14044"/>
    <cellStyle name="출력 2 4 3 2" xfId="14045"/>
    <cellStyle name="출력 2 4 3 3" xfId="14046"/>
    <cellStyle name="출력 2 4 3 4" xfId="14047"/>
    <cellStyle name="출력 2 4 3 5" xfId="14048"/>
    <cellStyle name="출력 2 5" xfId="14049"/>
    <cellStyle name="출력 2 5 2" xfId="14050"/>
    <cellStyle name="출력 2 5 2 2" xfId="14051"/>
    <cellStyle name="출력 2 5 2 2 2" xfId="14052"/>
    <cellStyle name="출력 2 5 2 2 3" xfId="14053"/>
    <cellStyle name="출력 2 5 2 2 4" xfId="14054"/>
    <cellStyle name="출력 2 5 2 2 5" xfId="14055"/>
    <cellStyle name="출력 2 5 3" xfId="14056"/>
    <cellStyle name="출력 2 5 3 2" xfId="14057"/>
    <cellStyle name="출력 2 5 3 3" xfId="14058"/>
    <cellStyle name="출력 2 5 3 4" xfId="14059"/>
    <cellStyle name="출력 2 5 3 5" xfId="14060"/>
    <cellStyle name="출력 2 6" xfId="14061"/>
    <cellStyle name="출력 2 6 2" xfId="14062"/>
    <cellStyle name="출력 2 6 2 2" xfId="14063"/>
    <cellStyle name="출력 2 6 2 2 2" xfId="14064"/>
    <cellStyle name="출력 2 6 2 2 3" xfId="14065"/>
    <cellStyle name="출력 2 6 2 2 4" xfId="14066"/>
    <cellStyle name="출력 2 6 2 2 5" xfId="14067"/>
    <cellStyle name="출력 2 6 3" xfId="14068"/>
    <cellStyle name="출력 2 6 3 2" xfId="14069"/>
    <cellStyle name="출력 2 6 3 3" xfId="14070"/>
    <cellStyle name="출력 2 6 3 4" xfId="14071"/>
    <cellStyle name="출력 2 6 3 5" xfId="14072"/>
    <cellStyle name="출력 2 7" xfId="14073"/>
    <cellStyle name="출력 2 7 2" xfId="14074"/>
    <cellStyle name="출력 2 7 2 2" xfId="14075"/>
    <cellStyle name="출력 2 7 2 2 2" xfId="14076"/>
    <cellStyle name="출력 2 7 2 2 3" xfId="14077"/>
    <cellStyle name="출력 2 7 2 2 4" xfId="14078"/>
    <cellStyle name="출력 2 7 2 2 5" xfId="14079"/>
    <cellStyle name="출력 2 7 3" xfId="14080"/>
    <cellStyle name="출력 2 7 3 2" xfId="14081"/>
    <cellStyle name="출력 2 7 3 3" xfId="14082"/>
    <cellStyle name="출력 2 7 3 4" xfId="14083"/>
    <cellStyle name="출력 2 7 3 5" xfId="14084"/>
    <cellStyle name="출력 2 8" xfId="14085"/>
    <cellStyle name="출력 2 8 2" xfId="14086"/>
    <cellStyle name="출력 2 8 2 2" xfId="14087"/>
    <cellStyle name="출력 2 8 2 2 2" xfId="14088"/>
    <cellStyle name="출력 2 8 2 2 3" xfId="14089"/>
    <cellStyle name="출력 2 8 2 2 4" xfId="14090"/>
    <cellStyle name="출력 2 8 2 2 5" xfId="14091"/>
    <cellStyle name="출력 2 8 3" xfId="14092"/>
    <cellStyle name="출력 2 8 3 2" xfId="14093"/>
    <cellStyle name="출력 2 8 3 3" xfId="14094"/>
    <cellStyle name="출력 2 8 3 4" xfId="14095"/>
    <cellStyle name="출력 2 8 3 5" xfId="14096"/>
    <cellStyle name="출력 2 9" xfId="14097"/>
    <cellStyle name="출력 2 9 2" xfId="14098"/>
    <cellStyle name="출력 2 9 2 2" xfId="14099"/>
    <cellStyle name="출력 2 9 2 2 2" xfId="14100"/>
    <cellStyle name="출력 2 9 2 2 3" xfId="14101"/>
    <cellStyle name="출력 2 9 2 2 4" xfId="14102"/>
    <cellStyle name="출력 2 9 2 2 5" xfId="14103"/>
    <cellStyle name="출력 2 9 3" xfId="14104"/>
    <cellStyle name="출력 2 9 3 2" xfId="14105"/>
    <cellStyle name="출력 2 9 3 3" xfId="14106"/>
    <cellStyle name="출력 2 9 3 4" xfId="14107"/>
    <cellStyle name="출력 2 9 3 5" xfId="14108"/>
    <cellStyle name="출력 3" xfId="14109"/>
    <cellStyle name="출력 3 10" xfId="14110"/>
    <cellStyle name="출력 3 10 2" xfId="14111"/>
    <cellStyle name="출력 3 10 2 2" xfId="14112"/>
    <cellStyle name="출력 3 10 2 3" xfId="14113"/>
    <cellStyle name="출력 3 10 2 4" xfId="14114"/>
    <cellStyle name="출력 3 10 2 5" xfId="14115"/>
    <cellStyle name="출력 3 11" xfId="14116"/>
    <cellStyle name="출력 3 11 2" xfId="14117"/>
    <cellStyle name="출력 3 11 3" xfId="14118"/>
    <cellStyle name="출력 3 11 4" xfId="14119"/>
    <cellStyle name="출력 3 11 5" xfId="14120"/>
    <cellStyle name="출력 3 2" xfId="14121"/>
    <cellStyle name="출력 3 2 2" xfId="14122"/>
    <cellStyle name="출력 3 2 2 2" xfId="14123"/>
    <cellStyle name="출력 3 2 2 2 2" xfId="14124"/>
    <cellStyle name="출력 3 2 2 2 3" xfId="14125"/>
    <cellStyle name="출력 3 2 2 2 4" xfId="14126"/>
    <cellStyle name="출력 3 2 2 2 5" xfId="14127"/>
    <cellStyle name="출력 3 2 3" xfId="14128"/>
    <cellStyle name="출력 3 2 3 2" xfId="14129"/>
    <cellStyle name="출력 3 2 3 3" xfId="14130"/>
    <cellStyle name="출력 3 2 3 4" xfId="14131"/>
    <cellStyle name="출력 3 2 3 5" xfId="14132"/>
    <cellStyle name="출력 3 3" xfId="14133"/>
    <cellStyle name="출력 3 3 2" xfId="14134"/>
    <cellStyle name="출력 3 3 2 2" xfId="14135"/>
    <cellStyle name="출력 3 3 2 2 2" xfId="14136"/>
    <cellStyle name="출력 3 3 2 2 3" xfId="14137"/>
    <cellStyle name="출력 3 3 2 2 4" xfId="14138"/>
    <cellStyle name="출력 3 3 2 2 5" xfId="14139"/>
    <cellStyle name="출력 3 3 3" xfId="14140"/>
    <cellStyle name="출력 3 3 3 2" xfId="14141"/>
    <cellStyle name="출력 3 3 3 3" xfId="14142"/>
    <cellStyle name="출력 3 3 3 4" xfId="14143"/>
    <cellStyle name="출력 3 3 3 5" xfId="14144"/>
    <cellStyle name="출력 3 4" xfId="14145"/>
    <cellStyle name="출력 3 4 2" xfId="14146"/>
    <cellStyle name="출력 3 4 2 2" xfId="14147"/>
    <cellStyle name="출력 3 4 2 2 2" xfId="14148"/>
    <cellStyle name="출력 3 4 2 2 3" xfId="14149"/>
    <cellStyle name="출력 3 4 2 2 4" xfId="14150"/>
    <cellStyle name="출력 3 4 2 2 5" xfId="14151"/>
    <cellStyle name="출력 3 4 3" xfId="14152"/>
    <cellStyle name="출력 3 4 3 2" xfId="14153"/>
    <cellStyle name="출력 3 4 3 3" xfId="14154"/>
    <cellStyle name="출력 3 4 3 4" xfId="14155"/>
    <cellStyle name="출력 3 4 3 5" xfId="14156"/>
    <cellStyle name="출력 3 5" xfId="14157"/>
    <cellStyle name="출력 3 5 2" xfId="14158"/>
    <cellStyle name="출력 3 5 2 2" xfId="14159"/>
    <cellStyle name="출력 3 5 2 2 2" xfId="14160"/>
    <cellStyle name="출력 3 5 2 2 3" xfId="14161"/>
    <cellStyle name="출력 3 5 2 2 4" xfId="14162"/>
    <cellStyle name="출력 3 5 2 2 5" xfId="14163"/>
    <cellStyle name="출력 3 5 3" xfId="14164"/>
    <cellStyle name="출력 3 5 3 2" xfId="14165"/>
    <cellStyle name="출력 3 5 3 3" xfId="14166"/>
    <cellStyle name="출력 3 5 3 4" xfId="14167"/>
    <cellStyle name="출력 3 5 3 5" xfId="14168"/>
    <cellStyle name="출력 3 6" xfId="14169"/>
    <cellStyle name="출력 3 6 2" xfId="14170"/>
    <cellStyle name="출력 3 6 2 2" xfId="14171"/>
    <cellStyle name="출력 3 6 2 2 2" xfId="14172"/>
    <cellStyle name="출력 3 6 2 2 3" xfId="14173"/>
    <cellStyle name="출력 3 6 2 2 4" xfId="14174"/>
    <cellStyle name="출력 3 6 2 2 5" xfId="14175"/>
    <cellStyle name="출력 3 6 3" xfId="14176"/>
    <cellStyle name="출력 3 6 3 2" xfId="14177"/>
    <cellStyle name="출력 3 6 3 3" xfId="14178"/>
    <cellStyle name="출력 3 6 3 4" xfId="14179"/>
    <cellStyle name="출력 3 6 3 5" xfId="14180"/>
    <cellStyle name="출력 3 7" xfId="14181"/>
    <cellStyle name="출력 3 7 2" xfId="14182"/>
    <cellStyle name="출력 3 7 2 2" xfId="14183"/>
    <cellStyle name="출력 3 7 2 2 2" xfId="14184"/>
    <cellStyle name="출력 3 7 2 2 3" xfId="14185"/>
    <cellStyle name="출력 3 7 2 2 4" xfId="14186"/>
    <cellStyle name="출력 3 7 2 2 5" xfId="14187"/>
    <cellStyle name="출력 3 7 3" xfId="14188"/>
    <cellStyle name="출력 3 7 3 2" xfId="14189"/>
    <cellStyle name="출력 3 7 3 3" xfId="14190"/>
    <cellStyle name="출력 3 7 3 4" xfId="14191"/>
    <cellStyle name="출력 3 7 3 5" xfId="14192"/>
    <cellStyle name="출력 3 8" xfId="14193"/>
    <cellStyle name="출력 3 8 2" xfId="14194"/>
    <cellStyle name="출력 3 8 2 2" xfId="14195"/>
    <cellStyle name="출력 3 8 2 2 2" xfId="14196"/>
    <cellStyle name="출력 3 8 2 2 3" xfId="14197"/>
    <cellStyle name="출력 3 8 2 2 4" xfId="14198"/>
    <cellStyle name="출력 3 8 2 2 5" xfId="14199"/>
    <cellStyle name="출력 3 8 3" xfId="14200"/>
    <cellStyle name="출력 3 8 3 2" xfId="14201"/>
    <cellStyle name="출력 3 8 3 3" xfId="14202"/>
    <cellStyle name="출력 3 8 3 4" xfId="14203"/>
    <cellStyle name="출력 3 8 3 5" xfId="14204"/>
    <cellStyle name="출력 3 9" xfId="14205"/>
    <cellStyle name="출력 3 9 2" xfId="14206"/>
    <cellStyle name="출력 3 9 2 2" xfId="14207"/>
    <cellStyle name="출력 3 9 2 2 2" xfId="14208"/>
    <cellStyle name="출력 3 9 2 2 3" xfId="14209"/>
    <cellStyle name="출력 3 9 2 2 4" xfId="14210"/>
    <cellStyle name="출력 3 9 2 2 5" xfId="14211"/>
    <cellStyle name="출력 3 9 3" xfId="14212"/>
    <cellStyle name="출력 3 9 3 2" xfId="14213"/>
    <cellStyle name="출력 3 9 3 3" xfId="14214"/>
    <cellStyle name="출력 3 9 3 4" xfId="14215"/>
    <cellStyle name="출력 3 9 3 5" xfId="14216"/>
    <cellStyle name="출력 4" xfId="14217"/>
    <cellStyle name="출력 4 10" xfId="14218"/>
    <cellStyle name="출력 4 10 2" xfId="14219"/>
    <cellStyle name="출력 4 10 2 2" xfId="14220"/>
    <cellStyle name="출력 4 10 2 3" xfId="14221"/>
    <cellStyle name="출력 4 10 2 4" xfId="14222"/>
    <cellStyle name="출력 4 10 2 5" xfId="14223"/>
    <cellStyle name="출력 4 11" xfId="14224"/>
    <cellStyle name="출력 4 11 2" xfId="14225"/>
    <cellStyle name="출력 4 11 3" xfId="14226"/>
    <cellStyle name="출력 4 11 4" xfId="14227"/>
    <cellStyle name="출력 4 11 5" xfId="14228"/>
    <cellStyle name="출력 4 2" xfId="14229"/>
    <cellStyle name="출력 4 2 2" xfId="14230"/>
    <cellStyle name="출력 4 2 2 2" xfId="14231"/>
    <cellStyle name="출력 4 2 2 2 2" xfId="14232"/>
    <cellStyle name="출력 4 2 2 2 3" xfId="14233"/>
    <cellStyle name="출력 4 2 2 2 4" xfId="14234"/>
    <cellStyle name="출력 4 2 2 2 5" xfId="14235"/>
    <cellStyle name="출력 4 2 3" xfId="14236"/>
    <cellStyle name="출력 4 2 3 2" xfId="14237"/>
    <cellStyle name="출력 4 2 3 3" xfId="14238"/>
    <cellStyle name="출력 4 2 3 4" xfId="14239"/>
    <cellStyle name="출력 4 2 3 5" xfId="14240"/>
    <cellStyle name="출력 4 3" xfId="14241"/>
    <cellStyle name="출력 4 3 2" xfId="14242"/>
    <cellStyle name="출력 4 3 2 2" xfId="14243"/>
    <cellStyle name="출력 4 3 2 2 2" xfId="14244"/>
    <cellStyle name="출력 4 3 2 2 3" xfId="14245"/>
    <cellStyle name="출력 4 3 2 2 4" xfId="14246"/>
    <cellStyle name="출력 4 3 2 2 5" xfId="14247"/>
    <cellStyle name="출력 4 3 3" xfId="14248"/>
    <cellStyle name="출력 4 3 3 2" xfId="14249"/>
    <cellStyle name="출력 4 3 3 3" xfId="14250"/>
    <cellStyle name="출력 4 3 3 4" xfId="14251"/>
    <cellStyle name="출력 4 3 3 5" xfId="14252"/>
    <cellStyle name="출력 4 4" xfId="14253"/>
    <cellStyle name="출력 4 4 2" xfId="14254"/>
    <cellStyle name="출력 4 4 2 2" xfId="14255"/>
    <cellStyle name="출력 4 4 2 2 2" xfId="14256"/>
    <cellStyle name="출력 4 4 2 2 3" xfId="14257"/>
    <cellStyle name="출력 4 4 2 2 4" xfId="14258"/>
    <cellStyle name="출력 4 4 2 2 5" xfId="14259"/>
    <cellStyle name="출력 4 4 3" xfId="14260"/>
    <cellStyle name="출력 4 4 3 2" xfId="14261"/>
    <cellStyle name="출력 4 4 3 3" xfId="14262"/>
    <cellStyle name="출력 4 4 3 4" xfId="14263"/>
    <cellStyle name="출력 4 4 3 5" xfId="14264"/>
    <cellStyle name="출력 4 5" xfId="14265"/>
    <cellStyle name="출력 4 5 2" xfId="14266"/>
    <cellStyle name="출력 4 5 2 2" xfId="14267"/>
    <cellStyle name="출력 4 5 2 2 2" xfId="14268"/>
    <cellStyle name="출력 4 5 2 2 3" xfId="14269"/>
    <cellStyle name="출력 4 5 2 2 4" xfId="14270"/>
    <cellStyle name="출력 4 5 2 2 5" xfId="14271"/>
    <cellStyle name="출력 4 5 3" xfId="14272"/>
    <cellStyle name="출력 4 5 3 2" xfId="14273"/>
    <cellStyle name="출력 4 5 3 3" xfId="14274"/>
    <cellStyle name="출력 4 5 3 4" xfId="14275"/>
    <cellStyle name="출력 4 5 3 5" xfId="14276"/>
    <cellStyle name="출력 4 6" xfId="14277"/>
    <cellStyle name="출력 4 6 2" xfId="14278"/>
    <cellStyle name="출력 4 6 2 2" xfId="14279"/>
    <cellStyle name="출력 4 6 2 2 2" xfId="14280"/>
    <cellStyle name="출력 4 6 2 2 3" xfId="14281"/>
    <cellStyle name="출력 4 6 2 2 4" xfId="14282"/>
    <cellStyle name="출력 4 6 2 2 5" xfId="14283"/>
    <cellStyle name="출력 4 6 3" xfId="14284"/>
    <cellStyle name="출력 4 6 3 2" xfId="14285"/>
    <cellStyle name="출력 4 6 3 3" xfId="14286"/>
    <cellStyle name="출력 4 6 3 4" xfId="14287"/>
    <cellStyle name="출력 4 6 3 5" xfId="14288"/>
    <cellStyle name="출력 4 7" xfId="14289"/>
    <cellStyle name="출력 4 7 2" xfId="14290"/>
    <cellStyle name="출력 4 7 2 2" xfId="14291"/>
    <cellStyle name="출력 4 7 2 2 2" xfId="14292"/>
    <cellStyle name="출력 4 7 2 2 3" xfId="14293"/>
    <cellStyle name="출력 4 7 2 2 4" xfId="14294"/>
    <cellStyle name="출력 4 7 2 2 5" xfId="14295"/>
    <cellStyle name="출력 4 7 3" xfId="14296"/>
    <cellStyle name="출력 4 7 3 2" xfId="14297"/>
    <cellStyle name="출력 4 7 3 3" xfId="14298"/>
    <cellStyle name="출력 4 7 3 4" xfId="14299"/>
    <cellStyle name="출력 4 7 3 5" xfId="14300"/>
    <cellStyle name="출력 4 8" xfId="14301"/>
    <cellStyle name="출력 4 8 2" xfId="14302"/>
    <cellStyle name="출력 4 8 2 2" xfId="14303"/>
    <cellStyle name="출력 4 8 2 2 2" xfId="14304"/>
    <cellStyle name="출력 4 8 2 2 3" xfId="14305"/>
    <cellStyle name="출력 4 8 2 2 4" xfId="14306"/>
    <cellStyle name="출력 4 8 2 2 5" xfId="14307"/>
    <cellStyle name="출력 4 8 3" xfId="14308"/>
    <cellStyle name="출력 4 8 3 2" xfId="14309"/>
    <cellStyle name="출력 4 8 3 3" xfId="14310"/>
    <cellStyle name="출력 4 8 3 4" xfId="14311"/>
    <cellStyle name="출력 4 8 3 5" xfId="14312"/>
    <cellStyle name="출력 4 9" xfId="14313"/>
    <cellStyle name="출력 4 9 2" xfId="14314"/>
    <cellStyle name="출력 4 9 2 2" xfId="14315"/>
    <cellStyle name="출력 4 9 2 2 2" xfId="14316"/>
    <cellStyle name="출력 4 9 2 2 3" xfId="14317"/>
    <cellStyle name="출력 4 9 2 2 4" xfId="14318"/>
    <cellStyle name="출력 4 9 2 2 5" xfId="14319"/>
    <cellStyle name="출력 4 9 3" xfId="14320"/>
    <cellStyle name="출력 4 9 3 2" xfId="14321"/>
    <cellStyle name="출력 4 9 3 3" xfId="14322"/>
    <cellStyle name="출력 4 9 3 4" xfId="14323"/>
    <cellStyle name="출력 4 9 3 5" xfId="14324"/>
    <cellStyle name="출력 5" xfId="14325"/>
    <cellStyle name="출력 5 10" xfId="14326"/>
    <cellStyle name="출력 5 10 2" xfId="14327"/>
    <cellStyle name="출력 5 10 2 2" xfId="14328"/>
    <cellStyle name="출력 5 10 2 3" xfId="14329"/>
    <cellStyle name="출력 5 10 2 4" xfId="14330"/>
    <cellStyle name="출력 5 10 2 5" xfId="14331"/>
    <cellStyle name="출력 5 11" xfId="14332"/>
    <cellStyle name="출력 5 11 2" xfId="14333"/>
    <cellStyle name="출력 5 11 3" xfId="14334"/>
    <cellStyle name="출력 5 11 4" xfId="14335"/>
    <cellStyle name="출력 5 11 5" xfId="14336"/>
    <cellStyle name="출력 5 2" xfId="14337"/>
    <cellStyle name="출력 5 2 2" xfId="14338"/>
    <cellStyle name="출력 5 2 2 2" xfId="14339"/>
    <cellStyle name="출력 5 2 2 2 2" xfId="14340"/>
    <cellStyle name="출력 5 2 2 2 3" xfId="14341"/>
    <cellStyle name="출력 5 2 2 2 4" xfId="14342"/>
    <cellStyle name="출력 5 2 2 2 5" xfId="14343"/>
    <cellStyle name="출력 5 2 3" xfId="14344"/>
    <cellStyle name="출력 5 2 3 2" xfId="14345"/>
    <cellStyle name="출력 5 2 3 3" xfId="14346"/>
    <cellStyle name="출력 5 2 3 4" xfId="14347"/>
    <cellStyle name="출력 5 2 3 5" xfId="14348"/>
    <cellStyle name="출력 5 3" xfId="14349"/>
    <cellStyle name="출력 5 3 2" xfId="14350"/>
    <cellStyle name="출력 5 3 2 2" xfId="14351"/>
    <cellStyle name="출력 5 3 2 2 2" xfId="14352"/>
    <cellStyle name="출력 5 3 2 2 3" xfId="14353"/>
    <cellStyle name="출력 5 3 2 2 4" xfId="14354"/>
    <cellStyle name="출력 5 3 2 2 5" xfId="14355"/>
    <cellStyle name="출력 5 3 3" xfId="14356"/>
    <cellStyle name="출력 5 3 3 2" xfId="14357"/>
    <cellStyle name="출력 5 3 3 3" xfId="14358"/>
    <cellStyle name="출력 5 3 3 4" xfId="14359"/>
    <cellStyle name="출력 5 3 3 5" xfId="14360"/>
    <cellStyle name="출력 5 4" xfId="14361"/>
    <cellStyle name="출력 5 4 2" xfId="14362"/>
    <cellStyle name="출력 5 4 2 2" xfId="14363"/>
    <cellStyle name="출력 5 4 2 2 2" xfId="14364"/>
    <cellStyle name="출력 5 4 2 2 3" xfId="14365"/>
    <cellStyle name="출력 5 4 2 2 4" xfId="14366"/>
    <cellStyle name="출력 5 4 2 2 5" xfId="14367"/>
    <cellStyle name="출력 5 4 3" xfId="14368"/>
    <cellStyle name="출력 5 4 3 2" xfId="14369"/>
    <cellStyle name="출력 5 4 3 3" xfId="14370"/>
    <cellStyle name="출력 5 4 3 4" xfId="14371"/>
    <cellStyle name="출력 5 4 3 5" xfId="14372"/>
    <cellStyle name="출력 5 5" xfId="14373"/>
    <cellStyle name="출력 5 5 2" xfId="14374"/>
    <cellStyle name="출력 5 5 2 2" xfId="14375"/>
    <cellStyle name="출력 5 5 2 2 2" xfId="14376"/>
    <cellStyle name="출력 5 5 2 2 3" xfId="14377"/>
    <cellStyle name="출력 5 5 2 2 4" xfId="14378"/>
    <cellStyle name="출력 5 5 2 2 5" xfId="14379"/>
    <cellStyle name="출력 5 5 3" xfId="14380"/>
    <cellStyle name="출력 5 5 3 2" xfId="14381"/>
    <cellStyle name="출력 5 5 3 3" xfId="14382"/>
    <cellStyle name="출력 5 5 3 4" xfId="14383"/>
    <cellStyle name="출력 5 5 3 5" xfId="14384"/>
    <cellStyle name="출력 5 6" xfId="14385"/>
    <cellStyle name="출력 5 6 2" xfId="14386"/>
    <cellStyle name="출력 5 6 2 2" xfId="14387"/>
    <cellStyle name="출력 5 6 2 2 2" xfId="14388"/>
    <cellStyle name="출력 5 6 2 2 3" xfId="14389"/>
    <cellStyle name="출력 5 6 2 2 4" xfId="14390"/>
    <cellStyle name="출력 5 6 2 2 5" xfId="14391"/>
    <cellStyle name="출력 5 6 3" xfId="14392"/>
    <cellStyle name="출력 5 6 3 2" xfId="14393"/>
    <cellStyle name="출력 5 6 3 3" xfId="14394"/>
    <cellStyle name="출력 5 6 3 4" xfId="14395"/>
    <cellStyle name="출력 5 6 3 5" xfId="14396"/>
    <cellStyle name="출력 5 7" xfId="14397"/>
    <cellStyle name="출력 5 7 2" xfId="14398"/>
    <cellStyle name="출력 5 7 2 2" xfId="14399"/>
    <cellStyle name="출력 5 7 2 2 2" xfId="14400"/>
    <cellStyle name="출력 5 7 2 2 3" xfId="14401"/>
    <cellStyle name="출력 5 7 2 2 4" xfId="14402"/>
    <cellStyle name="출력 5 7 2 2 5" xfId="14403"/>
    <cellStyle name="출력 5 7 3" xfId="14404"/>
    <cellStyle name="출력 5 7 3 2" xfId="14405"/>
    <cellStyle name="출력 5 7 3 3" xfId="14406"/>
    <cellStyle name="출력 5 7 3 4" xfId="14407"/>
    <cellStyle name="출력 5 7 3 5" xfId="14408"/>
    <cellStyle name="출력 5 8" xfId="14409"/>
    <cellStyle name="출력 5 8 2" xfId="14410"/>
    <cellStyle name="출력 5 8 2 2" xfId="14411"/>
    <cellStyle name="출력 5 8 2 2 2" xfId="14412"/>
    <cellStyle name="출력 5 8 2 2 3" xfId="14413"/>
    <cellStyle name="출력 5 8 2 2 4" xfId="14414"/>
    <cellStyle name="출력 5 8 2 2 5" xfId="14415"/>
    <cellStyle name="출력 5 8 3" xfId="14416"/>
    <cellStyle name="출력 5 8 3 2" xfId="14417"/>
    <cellStyle name="출력 5 8 3 3" xfId="14418"/>
    <cellStyle name="출력 5 8 3 4" xfId="14419"/>
    <cellStyle name="출력 5 8 3 5" xfId="14420"/>
    <cellStyle name="출력 5 9" xfId="14421"/>
    <cellStyle name="출력 5 9 2" xfId="14422"/>
    <cellStyle name="출력 5 9 2 2" xfId="14423"/>
    <cellStyle name="출력 5 9 2 2 2" xfId="14424"/>
    <cellStyle name="출력 5 9 2 2 3" xfId="14425"/>
    <cellStyle name="출력 5 9 2 2 4" xfId="14426"/>
    <cellStyle name="출력 5 9 2 2 5" xfId="14427"/>
    <cellStyle name="출력 5 9 3" xfId="14428"/>
    <cellStyle name="출력 5 9 3 2" xfId="14429"/>
    <cellStyle name="출력 5 9 3 3" xfId="14430"/>
    <cellStyle name="출력 5 9 3 4" xfId="14431"/>
    <cellStyle name="출력 5 9 3 5" xfId="14432"/>
    <cellStyle name="출력 6" xfId="14433"/>
    <cellStyle name="출력 6 10" xfId="14434"/>
    <cellStyle name="출력 6 10 2" xfId="14435"/>
    <cellStyle name="출력 6 10 2 2" xfId="14436"/>
    <cellStyle name="출력 6 10 2 3" xfId="14437"/>
    <cellStyle name="출력 6 10 2 4" xfId="14438"/>
    <cellStyle name="출력 6 10 2 5" xfId="14439"/>
    <cellStyle name="출력 6 11" xfId="14440"/>
    <cellStyle name="출력 6 11 2" xfId="14441"/>
    <cellStyle name="출력 6 11 3" xfId="14442"/>
    <cellStyle name="출력 6 11 4" xfId="14443"/>
    <cellStyle name="출력 6 11 5" xfId="14444"/>
    <cellStyle name="출력 6 2" xfId="14445"/>
    <cellStyle name="출력 6 2 2" xfId="14446"/>
    <cellStyle name="출력 6 2 2 2" xfId="14447"/>
    <cellStyle name="출력 6 2 2 2 2" xfId="14448"/>
    <cellStyle name="출력 6 2 2 2 3" xfId="14449"/>
    <cellStyle name="출력 6 2 2 2 4" xfId="14450"/>
    <cellStyle name="출력 6 2 2 2 5" xfId="14451"/>
    <cellStyle name="출력 6 2 3" xfId="14452"/>
    <cellStyle name="출력 6 2 3 2" xfId="14453"/>
    <cellStyle name="출력 6 2 3 3" xfId="14454"/>
    <cellStyle name="출력 6 2 3 4" xfId="14455"/>
    <cellStyle name="출력 6 2 3 5" xfId="14456"/>
    <cellStyle name="출력 6 3" xfId="14457"/>
    <cellStyle name="출력 6 3 2" xfId="14458"/>
    <cellStyle name="출력 6 3 2 2" xfId="14459"/>
    <cellStyle name="출력 6 3 2 2 2" xfId="14460"/>
    <cellStyle name="출력 6 3 2 2 3" xfId="14461"/>
    <cellStyle name="출력 6 3 2 2 4" xfId="14462"/>
    <cellStyle name="출력 6 3 2 2 5" xfId="14463"/>
    <cellStyle name="출력 6 3 3" xfId="14464"/>
    <cellStyle name="출력 6 3 3 2" xfId="14465"/>
    <cellStyle name="출력 6 3 3 3" xfId="14466"/>
    <cellStyle name="출력 6 3 3 4" xfId="14467"/>
    <cellStyle name="출력 6 3 3 5" xfId="14468"/>
    <cellStyle name="출력 6 4" xfId="14469"/>
    <cellStyle name="출력 6 4 2" xfId="14470"/>
    <cellStyle name="출력 6 4 2 2" xfId="14471"/>
    <cellStyle name="출력 6 4 2 2 2" xfId="14472"/>
    <cellStyle name="출력 6 4 2 2 3" xfId="14473"/>
    <cellStyle name="출력 6 4 2 2 4" xfId="14474"/>
    <cellStyle name="출력 6 4 2 2 5" xfId="14475"/>
    <cellStyle name="출력 6 4 3" xfId="14476"/>
    <cellStyle name="출력 6 4 3 2" xfId="14477"/>
    <cellStyle name="출력 6 4 3 3" xfId="14478"/>
    <cellStyle name="출력 6 4 3 4" xfId="14479"/>
    <cellStyle name="출력 6 4 3 5" xfId="14480"/>
    <cellStyle name="출력 6 5" xfId="14481"/>
    <cellStyle name="출력 6 5 2" xfId="14482"/>
    <cellStyle name="출력 6 5 2 2" xfId="14483"/>
    <cellStyle name="출력 6 5 2 2 2" xfId="14484"/>
    <cellStyle name="출력 6 5 2 2 3" xfId="14485"/>
    <cellStyle name="출력 6 5 2 2 4" xfId="14486"/>
    <cellStyle name="출력 6 5 2 2 5" xfId="14487"/>
    <cellStyle name="출력 6 5 3" xfId="14488"/>
    <cellStyle name="출력 6 5 3 2" xfId="14489"/>
    <cellStyle name="출력 6 5 3 3" xfId="14490"/>
    <cellStyle name="출력 6 5 3 4" xfId="14491"/>
    <cellStyle name="출력 6 5 3 5" xfId="14492"/>
    <cellStyle name="출력 6 6" xfId="14493"/>
    <cellStyle name="출력 6 6 2" xfId="14494"/>
    <cellStyle name="출력 6 6 2 2" xfId="14495"/>
    <cellStyle name="출력 6 6 2 2 2" xfId="14496"/>
    <cellStyle name="출력 6 6 2 2 3" xfId="14497"/>
    <cellStyle name="출력 6 6 2 2 4" xfId="14498"/>
    <cellStyle name="출력 6 6 2 2 5" xfId="14499"/>
    <cellStyle name="출력 6 6 3" xfId="14500"/>
    <cellStyle name="출력 6 6 3 2" xfId="14501"/>
    <cellStyle name="출력 6 6 3 3" xfId="14502"/>
    <cellStyle name="출력 6 6 3 4" xfId="14503"/>
    <cellStyle name="출력 6 6 3 5" xfId="14504"/>
    <cellStyle name="출력 6 7" xfId="14505"/>
    <cellStyle name="출력 6 7 2" xfId="14506"/>
    <cellStyle name="출력 6 7 2 2" xfId="14507"/>
    <cellStyle name="출력 6 7 2 2 2" xfId="14508"/>
    <cellStyle name="출력 6 7 2 2 3" xfId="14509"/>
    <cellStyle name="출력 6 7 2 2 4" xfId="14510"/>
    <cellStyle name="출력 6 7 2 2 5" xfId="14511"/>
    <cellStyle name="출력 6 7 3" xfId="14512"/>
    <cellStyle name="출력 6 7 3 2" xfId="14513"/>
    <cellStyle name="출력 6 7 3 3" xfId="14514"/>
    <cellStyle name="출력 6 7 3 4" xfId="14515"/>
    <cellStyle name="출력 6 7 3 5" xfId="14516"/>
    <cellStyle name="출력 6 8" xfId="14517"/>
    <cellStyle name="출력 6 8 2" xfId="14518"/>
    <cellStyle name="출력 6 8 2 2" xfId="14519"/>
    <cellStyle name="출력 6 8 2 2 2" xfId="14520"/>
    <cellStyle name="출력 6 8 2 2 3" xfId="14521"/>
    <cellStyle name="출력 6 8 2 2 4" xfId="14522"/>
    <cellStyle name="출력 6 8 2 2 5" xfId="14523"/>
    <cellStyle name="출력 6 8 3" xfId="14524"/>
    <cellStyle name="출력 6 8 3 2" xfId="14525"/>
    <cellStyle name="출력 6 8 3 3" xfId="14526"/>
    <cellStyle name="출력 6 8 3 4" xfId="14527"/>
    <cellStyle name="출력 6 8 3 5" xfId="14528"/>
    <cellStyle name="출력 6 9" xfId="14529"/>
    <cellStyle name="출력 6 9 2" xfId="14530"/>
    <cellStyle name="출력 6 9 2 2" xfId="14531"/>
    <cellStyle name="출력 6 9 2 2 2" xfId="14532"/>
    <cellStyle name="출력 6 9 2 2 3" xfId="14533"/>
    <cellStyle name="출력 6 9 2 2 4" xfId="14534"/>
    <cellStyle name="출력 6 9 2 2 5" xfId="14535"/>
    <cellStyle name="출력 6 9 3" xfId="14536"/>
    <cellStyle name="출력 6 9 3 2" xfId="14537"/>
    <cellStyle name="출력 6 9 3 3" xfId="14538"/>
    <cellStyle name="출력 6 9 3 4" xfId="14539"/>
    <cellStyle name="출력 6 9 3 5" xfId="14540"/>
    <cellStyle name="코드" xfId="14541"/>
    <cellStyle name="코드 2" xfId="14542"/>
    <cellStyle name="콤? [0]" xfId="14543"/>
    <cellStyle name="콤? [0] 2" xfId="14544"/>
    <cellStyle name="콤? [0] 2 2" xfId="14545"/>
    <cellStyle name="콤? [0] 3" xfId="14546"/>
    <cellStyle name="콤? [0] 3 2" xfId="14547"/>
    <cellStyle name="콤? [0] 4" xfId="14548"/>
    <cellStyle name="콤냡?&lt;_x000f_$??: `1_1 " xfId="14549"/>
    <cellStyle name="콤냡?&lt;_x000f_$??:_x0009_`1_1 " xfId="14550"/>
    <cellStyle name="콤마 [#]" xfId="14551"/>
    <cellStyle name="콤마 []" xfId="14552"/>
    <cellStyle name="콤마 [0]" xfId="14553"/>
    <cellStyle name="콤마 [0] 10" xfId="14554"/>
    <cellStyle name="콤마 [0] 10 2" xfId="14555"/>
    <cellStyle name="콤마 [0] 11" xfId="14556"/>
    <cellStyle name="콤마 [0] 11 2" xfId="14557"/>
    <cellStyle name="콤마 [0] 12" xfId="14558"/>
    <cellStyle name="콤마 [0] 12 2" xfId="14559"/>
    <cellStyle name="콤마 [0] 13" xfId="14560"/>
    <cellStyle name="콤마 [0] 13 2" xfId="14561"/>
    <cellStyle name="콤마 [0] 14" xfId="14562"/>
    <cellStyle name="콤마 [0] 15" xfId="14563"/>
    <cellStyle name="콤마 [0] 2" xfId="14564"/>
    <cellStyle name="콤마 [0] 2 2" xfId="14565"/>
    <cellStyle name="콤마 [0] 2 2 2" xfId="14566"/>
    <cellStyle name="콤마 [0] 2 3" xfId="14567"/>
    <cellStyle name="콤마 [0] 3" xfId="14568"/>
    <cellStyle name="콤마 [0] 3 2" xfId="14569"/>
    <cellStyle name="콤마 [0] 4" xfId="14570"/>
    <cellStyle name="콤마 [0] 4 2" xfId="14571"/>
    <cellStyle name="콤마 [0] 5" xfId="14572"/>
    <cellStyle name="콤마 [0] 5 2" xfId="14573"/>
    <cellStyle name="콤마 [0] 6" xfId="14574"/>
    <cellStyle name="콤마 [0] 6 2" xfId="14575"/>
    <cellStyle name="콤마 [0] 7" xfId="14576"/>
    <cellStyle name="콤마 [0] 7 2" xfId="14577"/>
    <cellStyle name="콤마 [0] 8" xfId="14578"/>
    <cellStyle name="콤마 [0] 8 2" xfId="14579"/>
    <cellStyle name="콤마 [0] 9" xfId="14580"/>
    <cellStyle name="콤마 [0] 9 2" xfId="14581"/>
    <cellStyle name="콤마 [0]_  종  합  " xfId="14582"/>
    <cellStyle name="콤마 [0]kich" xfId="14583"/>
    <cellStyle name="콤마 [0]kich1" xfId="14584"/>
    <cellStyle name="콤마 [0-1]" xfId="14585"/>
    <cellStyle name="콤마 [0기성]" xfId="14586"/>
    <cellStyle name="콤마 [2]" xfId="14587"/>
    <cellStyle name="콤마 [2] 10" xfId="14588"/>
    <cellStyle name="콤마 [2] 10 2" xfId="14589"/>
    <cellStyle name="콤마 [2] 11" xfId="14590"/>
    <cellStyle name="콤마 [2] 11 2" xfId="14591"/>
    <cellStyle name="콤마 [2] 12" xfId="14592"/>
    <cellStyle name="콤마 [2] 12 2" xfId="14593"/>
    <cellStyle name="콤마 [2] 13" xfId="14594"/>
    <cellStyle name="콤마 [2] 13 2" xfId="14595"/>
    <cellStyle name="콤마 [2] 14" xfId="14596"/>
    <cellStyle name="콤마 [2] 14 2" xfId="14597"/>
    <cellStyle name="콤마 [2] 15" xfId="14598"/>
    <cellStyle name="콤마 [2] 15 2" xfId="14599"/>
    <cellStyle name="콤마 [2] 16" xfId="14600"/>
    <cellStyle name="콤마 [2] 16 2" xfId="14601"/>
    <cellStyle name="콤마 [2] 17" xfId="14602"/>
    <cellStyle name="콤마 [2] 17 2" xfId="14603"/>
    <cellStyle name="콤마 [2] 18" xfId="14604"/>
    <cellStyle name="콤마 [2] 18 2" xfId="14605"/>
    <cellStyle name="콤마 [2] 19" xfId="14606"/>
    <cellStyle name="콤마 [2] 19 2" xfId="14607"/>
    <cellStyle name="콤마 [2] 2" xfId="14608"/>
    <cellStyle name="콤마 [2] 2 2" xfId="14609"/>
    <cellStyle name="콤마 [2] 2 2 2" xfId="14610"/>
    <cellStyle name="콤마 [2] 2 3" xfId="14611"/>
    <cellStyle name="콤마 [2] 20" xfId="14612"/>
    <cellStyle name="콤마 [2] 20 2" xfId="14613"/>
    <cellStyle name="콤마 [2] 21" xfId="14614"/>
    <cellStyle name="콤마 [2] 21 2" xfId="14615"/>
    <cellStyle name="콤마 [2] 22" xfId="14616"/>
    <cellStyle name="콤마 [2] 22 2" xfId="14617"/>
    <cellStyle name="콤마 [2] 23" xfId="14618"/>
    <cellStyle name="콤마 [2] 23 2" xfId="14619"/>
    <cellStyle name="콤마 [2] 24" xfId="14620"/>
    <cellStyle name="콤마 [2] 24 2" xfId="14621"/>
    <cellStyle name="콤마 [2] 25" xfId="14622"/>
    <cellStyle name="콤마 [2] 25 2" xfId="14623"/>
    <cellStyle name="콤마 [2] 26" xfId="14624"/>
    <cellStyle name="콤마 [2] 26 2" xfId="14625"/>
    <cellStyle name="콤마 [2] 27" xfId="14626"/>
    <cellStyle name="콤마 [2] 27 2" xfId="14627"/>
    <cellStyle name="콤마 [2] 28" xfId="14628"/>
    <cellStyle name="콤마 [2] 28 2" xfId="14629"/>
    <cellStyle name="콤마 [2] 29" xfId="14630"/>
    <cellStyle name="콤마 [2] 29 2" xfId="14631"/>
    <cellStyle name="콤마 [2] 3" xfId="14632"/>
    <cellStyle name="콤마 [2] 3 2" xfId="14633"/>
    <cellStyle name="콤마 [2] 30" xfId="14634"/>
    <cellStyle name="콤마 [2] 30 2" xfId="14635"/>
    <cellStyle name="콤마 [2] 31" xfId="14636"/>
    <cellStyle name="콤마 [2] 31 2" xfId="14637"/>
    <cellStyle name="콤마 [2] 32" xfId="14638"/>
    <cellStyle name="콤마 [2] 32 2" xfId="14639"/>
    <cellStyle name="콤마 [2] 33" xfId="14640"/>
    <cellStyle name="콤마 [2] 33 2" xfId="14641"/>
    <cellStyle name="콤마 [2] 34" xfId="14642"/>
    <cellStyle name="콤마 [2] 34 2" xfId="14643"/>
    <cellStyle name="콤마 [2] 35" xfId="14644"/>
    <cellStyle name="콤마 [2] 35 2" xfId="14645"/>
    <cellStyle name="콤마 [2] 36" xfId="14646"/>
    <cellStyle name="콤마 [2] 36 2" xfId="14647"/>
    <cellStyle name="콤마 [2] 37" xfId="14648"/>
    <cellStyle name="콤마 [2] 37 2" xfId="14649"/>
    <cellStyle name="콤마 [2] 38" xfId="14650"/>
    <cellStyle name="콤마 [2] 38 2" xfId="14651"/>
    <cellStyle name="콤마 [2] 39" xfId="14652"/>
    <cellStyle name="콤마 [2] 39 2" xfId="14653"/>
    <cellStyle name="콤마 [2] 4" xfId="14654"/>
    <cellStyle name="콤마 [2] 4 2" xfId="14655"/>
    <cellStyle name="콤마 [2] 40" xfId="14656"/>
    <cellStyle name="콤마 [2] 40 2" xfId="14657"/>
    <cellStyle name="콤마 [2] 41" xfId="14658"/>
    <cellStyle name="콤마 [2] 41 2" xfId="14659"/>
    <cellStyle name="콤마 [2] 42" xfId="14660"/>
    <cellStyle name="콤마 [2] 42 2" xfId="14661"/>
    <cellStyle name="콤마 [2] 43" xfId="14662"/>
    <cellStyle name="콤마 [2] 43 2" xfId="14663"/>
    <cellStyle name="콤마 [2] 44" xfId="14664"/>
    <cellStyle name="콤마 [2] 45" xfId="14665"/>
    <cellStyle name="콤마 [2] 5" xfId="14666"/>
    <cellStyle name="콤마 [2] 5 2" xfId="14667"/>
    <cellStyle name="콤마 [2] 6" xfId="14668"/>
    <cellStyle name="콤마 [2] 6 2" xfId="14669"/>
    <cellStyle name="콤마 [2] 7" xfId="14670"/>
    <cellStyle name="콤마 [2] 7 2" xfId="14671"/>
    <cellStyle name="콤마 [2] 8" xfId="14672"/>
    <cellStyle name="콤마 [2] 8 2" xfId="14673"/>
    <cellStyle name="콤마 [2] 9" xfId="14674"/>
    <cellStyle name="콤마 [2] 9 2" xfId="14675"/>
    <cellStyle name="콤마 [2]_1부여부지 콘도미니엄 신축공사 AV설비 견적서_20100121" xfId="14676"/>
    <cellStyle name="콤마 [금액]" xfId="14677"/>
    <cellStyle name="콤마 [소수]" xfId="14678"/>
    <cellStyle name="콤마 [수량]" xfId="14679"/>
    <cellStyle name="콤마(BLANK1)" xfId="14680"/>
    <cellStyle name="콤마(BLANK1) 2" xfId="14681"/>
    <cellStyle name="콤마(BLANK1) 2 2" xfId="14682"/>
    <cellStyle name="콤마(BLANK1) 2 3" xfId="14683"/>
    <cellStyle name="콤마(BLANK1) 2 4" xfId="14684"/>
    <cellStyle name="콤마(BLANK1) 2 5" xfId="14685"/>
    <cellStyle name="콤마(BLANK1-0)" xfId="14686"/>
    <cellStyle name="콤마(BLANK1-1)" xfId="14687"/>
    <cellStyle name="콤마(BLANK1-2)" xfId="14688"/>
    <cellStyle name="콤마(zero)" xfId="14689"/>
    <cellStyle name="콤마[ ]" xfId="14690"/>
    <cellStyle name="콤마[ ] 2" xfId="14691"/>
    <cellStyle name="콤마[*]" xfId="14692"/>
    <cellStyle name="콤마[*] 2" xfId="14693"/>
    <cellStyle name="콤마[.]" xfId="14694"/>
    <cellStyle name="콤마[.] 2" xfId="14695"/>
    <cellStyle name="콤마[0]" xfId="14696"/>
    <cellStyle name="콤마[0] 10" xfId="14697"/>
    <cellStyle name="콤마[0] 10 2" xfId="14698"/>
    <cellStyle name="콤마[0] 11" xfId="14699"/>
    <cellStyle name="콤마[0] 11 2" xfId="14700"/>
    <cellStyle name="콤마[0] 12" xfId="14701"/>
    <cellStyle name="콤마[0] 12 2" xfId="14702"/>
    <cellStyle name="콤마[0] 13" xfId="14703"/>
    <cellStyle name="콤마[0] 13 2" xfId="14704"/>
    <cellStyle name="콤마[0] 14" xfId="14705"/>
    <cellStyle name="콤마[0] 15" xfId="14706"/>
    <cellStyle name="콤마[0] 2" xfId="14707"/>
    <cellStyle name="콤마[0] 2 2" xfId="14708"/>
    <cellStyle name="콤마[0] 2 2 2" xfId="14709"/>
    <cellStyle name="콤마[0] 2 3" xfId="14710"/>
    <cellStyle name="콤마[0] 3" xfId="14711"/>
    <cellStyle name="콤마[0] 3 2" xfId="14712"/>
    <cellStyle name="콤마[0] 4" xfId="14713"/>
    <cellStyle name="콤마[0] 4 2" xfId="14714"/>
    <cellStyle name="콤마[0] 5" xfId="14715"/>
    <cellStyle name="콤마[0] 5 2" xfId="14716"/>
    <cellStyle name="콤마[0] 6" xfId="14717"/>
    <cellStyle name="콤마[0] 6 2" xfId="14718"/>
    <cellStyle name="콤마[0] 7" xfId="14719"/>
    <cellStyle name="콤마[0] 7 2" xfId="14720"/>
    <cellStyle name="콤마[0] 8" xfId="14721"/>
    <cellStyle name="콤마[0] 8 2" xfId="14722"/>
    <cellStyle name="콤마[0] 9" xfId="14723"/>
    <cellStyle name="콤마[0] 9 2" xfId="14724"/>
    <cellStyle name="콤마_  종  합  " xfId="14725"/>
    <cellStyle name="통화 [" xfId="14726"/>
    <cellStyle name="通貨 [0.00]_laroux" xfId="14727"/>
    <cellStyle name="통화 [0] 2" xfId="14728"/>
    <cellStyle name="통화 [0] 2 2" xfId="14729"/>
    <cellStyle name="통화 [0] 2 2 2" xfId="14730"/>
    <cellStyle name="통화 [0] 2 2 3" xfId="14731"/>
    <cellStyle name="통화 [0] 2 3" xfId="14732"/>
    <cellStyle name="통화 [0] 2 3 2" xfId="14733"/>
    <cellStyle name="통화 [0] 2 4" xfId="14734"/>
    <cellStyle name="통화 [0] 3" xfId="14735"/>
    <cellStyle name="통화 [0] 3 2" xfId="14736"/>
    <cellStyle name="통화 [0] 3 3" xfId="14737"/>
    <cellStyle name="통화 [0] 7" xfId="14738"/>
    <cellStyle name="통화 [0㉝〸" xfId="14739"/>
    <cellStyle name="通貨_laroux" xfId="14740"/>
    <cellStyle name="퍼센트" xfId="14741"/>
    <cellStyle name="퍼센트 2" xfId="14742"/>
    <cellStyle name="퍼센트 2 2" xfId="14743"/>
    <cellStyle name="퍼센트 2 2 2" xfId="14744"/>
    <cellStyle name="퍼센트 2 3" xfId="14745"/>
    <cellStyle name="퍼센트 3" xfId="14746"/>
    <cellStyle name="퍼센트 3 2" xfId="14747"/>
    <cellStyle name="퍼센트 4" xfId="14748"/>
    <cellStyle name="퍼센트 4 2" xfId="14749"/>
    <cellStyle name="퍼센트 5" xfId="14750"/>
    <cellStyle name="퍼센트 6" xfId="14751"/>
    <cellStyle name="퍼센트 7" xfId="14752"/>
    <cellStyle name="표(가는선,가운데,중앙)" xfId="14753"/>
    <cellStyle name="표(가는선,가운데,중앙) 2" xfId="14754"/>
    <cellStyle name="표(가는선,왼쪽,중앙)" xfId="14755"/>
    <cellStyle name="표(가는선,왼쪽,중앙) 2" xfId="14756"/>
    <cellStyle name="표(세로쓰기)" xfId="14757"/>
    <cellStyle name="표(세로쓰기) 2" xfId="14758"/>
    <cellStyle name="표머릿글(上)" xfId="14759"/>
    <cellStyle name="표머릿글(上) 2" xfId="14760"/>
    <cellStyle name="표머릿글(上) 2 2" xfId="14761"/>
    <cellStyle name="표머릿글(上) 2 2 2" xfId="14762"/>
    <cellStyle name="표머릿글(上) 2 2 3" xfId="14763"/>
    <cellStyle name="표머릿글(上) 2 2 4" xfId="14764"/>
    <cellStyle name="표머릿글(上) 2 2 5" xfId="14765"/>
    <cellStyle name="표머릿글(上) 3" xfId="14766"/>
    <cellStyle name="표머릿글(上) 3 2" xfId="14767"/>
    <cellStyle name="표머릿글(上) 3 3" xfId="14768"/>
    <cellStyle name="표머릿글(上) 3 4" xfId="14769"/>
    <cellStyle name="표머릿글(上) 3 5" xfId="14770"/>
    <cellStyle name="표머릿글(中)" xfId="14771"/>
    <cellStyle name="표머릿글(中) 2" xfId="14772"/>
    <cellStyle name="표머릿글(下)" xfId="14773"/>
    <cellStyle name="표머릿글(下) 2" xfId="14774"/>
    <cellStyle name="표준 - Styl1" xfId="14775"/>
    <cellStyle name="표준 - Styl1 2" xfId="14776"/>
    <cellStyle name="표준 - Styl2" xfId="14777"/>
    <cellStyle name="표준 - Styl2 2" xfId="14778"/>
    <cellStyle name="표준 - Styl3" xfId="14779"/>
    <cellStyle name="표준 - Styl3 2" xfId="14780"/>
    <cellStyle name="표준 - Styl4" xfId="14781"/>
    <cellStyle name="표준 - Styl4 2" xfId="14782"/>
    <cellStyle name="표준 - Styl5" xfId="14783"/>
    <cellStyle name="표준 - Styl5 2" xfId="14784"/>
    <cellStyle name="표준 - Styl6" xfId="14785"/>
    <cellStyle name="표준 - Styl6 2" xfId="14786"/>
    <cellStyle name="표준 - Styl7" xfId="14787"/>
    <cellStyle name="표준 - Styl7 2" xfId="14788"/>
    <cellStyle name="표준 - Styl8" xfId="14789"/>
    <cellStyle name="표준 - Styl8 2" xfId="14790"/>
    <cellStyle name="표준 10" xfId="14791"/>
    <cellStyle name="표준 10 2" xfId="14792"/>
    <cellStyle name="표준 10 3" xfId="14793"/>
    <cellStyle name="표준 10 4" xfId="14794"/>
    <cellStyle name="표준 11" xfId="14795"/>
    <cellStyle name="표준 11 2" xfId="14796"/>
    <cellStyle name="표준 11 3" xfId="14797"/>
    <cellStyle name="표준 11 4" xfId="14798"/>
    <cellStyle name="표준 12" xfId="14799"/>
    <cellStyle name="표준 12 2" xfId="14800"/>
    <cellStyle name="표준 12 3" xfId="14801"/>
    <cellStyle name="표준 12 4" xfId="14802"/>
    <cellStyle name="표준 13" xfId="14803"/>
    <cellStyle name="표준 13 2" xfId="14804"/>
    <cellStyle name="표준 13 3" xfId="14805"/>
    <cellStyle name="표준 13 4" xfId="14806"/>
    <cellStyle name="표준 14" xfId="14807"/>
    <cellStyle name="표준 14 2" xfId="14808"/>
    <cellStyle name="표준 14 3" xfId="14809"/>
    <cellStyle name="표준 14 4" xfId="14810"/>
    <cellStyle name="표준 15" xfId="14811"/>
    <cellStyle name="표준 15 2" xfId="14812"/>
    <cellStyle name="표준 15 3" xfId="14813"/>
    <cellStyle name="표준 15 4" xfId="14814"/>
    <cellStyle name="표준 16" xfId="14815"/>
    <cellStyle name="표준 16 2" xfId="14816"/>
    <cellStyle name="표준 16 3" xfId="14817"/>
    <cellStyle name="표준 16 4" xfId="14818"/>
    <cellStyle name="표준 17" xfId="14819"/>
    <cellStyle name="표준 17 2" xfId="14820"/>
    <cellStyle name="표준 17 3" xfId="14821"/>
    <cellStyle name="표준 17 4" xfId="14822"/>
    <cellStyle name="표준 173 2" xfId="14823"/>
    <cellStyle name="표준 18" xfId="14824"/>
    <cellStyle name="표준 18 2" xfId="14825"/>
    <cellStyle name="표준 18 3" xfId="14826"/>
    <cellStyle name="표준 18 4" xfId="14827"/>
    <cellStyle name="표준 186" xfId="14828"/>
    <cellStyle name="표준 19" xfId="14829"/>
    <cellStyle name="표준 19 2" xfId="14830"/>
    <cellStyle name="표준 19 3" xfId="14831"/>
    <cellStyle name="표준 2" xfId="14832"/>
    <cellStyle name="표준 2 10" xfId="14833"/>
    <cellStyle name="표준 2 10 2" xfId="14834"/>
    <cellStyle name="표준 2 11" xfId="14835"/>
    <cellStyle name="표준 2 11 2" xfId="14836"/>
    <cellStyle name="표준 2 12" xfId="14837"/>
    <cellStyle name="표준 2 12 2" xfId="14838"/>
    <cellStyle name="표준 2 13" xfId="14839"/>
    <cellStyle name="표준 2 13 2" xfId="14840"/>
    <cellStyle name="표준 2 14" xfId="14841"/>
    <cellStyle name="표준 2 14 2" xfId="14842"/>
    <cellStyle name="표준 2 15" xfId="14843"/>
    <cellStyle name="표준 2 15 2" xfId="14844"/>
    <cellStyle name="표준 2 16" xfId="14845"/>
    <cellStyle name="표준 2 16 2" xfId="14846"/>
    <cellStyle name="표준 2 17" xfId="14847"/>
    <cellStyle name="표준 2 17 2" xfId="14848"/>
    <cellStyle name="표준 2 18" xfId="14849"/>
    <cellStyle name="표준 2 18 2" xfId="14850"/>
    <cellStyle name="표준 2 19" xfId="14851"/>
    <cellStyle name="표준 2 19 2" xfId="14852"/>
    <cellStyle name="표준 2 2" xfId="14853"/>
    <cellStyle name="표준 2 2 10" xfId="14854"/>
    <cellStyle name="표준 2 2 10 2" xfId="14855"/>
    <cellStyle name="표준 2 2 11" xfId="14856"/>
    <cellStyle name="표준 2 2 11 2" xfId="14857"/>
    <cellStyle name="표준 2 2 12" xfId="14858"/>
    <cellStyle name="표준 2 2 13" xfId="14859"/>
    <cellStyle name="표준 2 2 14" xfId="14860"/>
    <cellStyle name="표준 2 2 15" xfId="14861"/>
    <cellStyle name="표준 2 2 2" xfId="14862"/>
    <cellStyle name="표준 2 2 2 2" xfId="14863"/>
    <cellStyle name="표준 2 2 2 3" xfId="14864"/>
    <cellStyle name="표준 2 2 2 4" xfId="14865"/>
    <cellStyle name="표준 2 2 2 5" xfId="14866"/>
    <cellStyle name="표준 2 2 3" xfId="14867"/>
    <cellStyle name="표준 2 2 3 2" xfId="14868"/>
    <cellStyle name="표준 2 2 4" xfId="14869"/>
    <cellStyle name="표준 2 2 4 2" xfId="14870"/>
    <cellStyle name="표준 2 2 5" xfId="14871"/>
    <cellStyle name="표준 2 2 5 2" xfId="14872"/>
    <cellStyle name="표준 2 2 6" xfId="14873"/>
    <cellStyle name="표준 2 2 6 2" xfId="14874"/>
    <cellStyle name="표준 2 2 7" xfId="14875"/>
    <cellStyle name="표준 2 2 7 2" xfId="14876"/>
    <cellStyle name="표준 2 2 8" xfId="14877"/>
    <cellStyle name="표준 2 2 8 2" xfId="14878"/>
    <cellStyle name="표준 2 2 9" xfId="14879"/>
    <cellStyle name="표준 2 2 9 2" xfId="14880"/>
    <cellStyle name="표준 2 2_전파진흥원_AV설비_설치공사_(원가포함)_SMT110903" xfId="14881"/>
    <cellStyle name="표준 2 20" xfId="14882"/>
    <cellStyle name="표준 2 20 2" xfId="14883"/>
    <cellStyle name="표준 2 21" xfId="14884"/>
    <cellStyle name="표준 2 21 2" xfId="14885"/>
    <cellStyle name="표준 2 22" xfId="14886"/>
    <cellStyle name="표준 2 22 2" xfId="14887"/>
    <cellStyle name="표준 2 23" xfId="14888"/>
    <cellStyle name="표준 2 23 2" xfId="14889"/>
    <cellStyle name="표준 2 24" xfId="14890"/>
    <cellStyle name="표준 2 24 2" xfId="14891"/>
    <cellStyle name="표준 2 25" xfId="14892"/>
    <cellStyle name="표준 2 25 2" xfId="14893"/>
    <cellStyle name="표준 2 26" xfId="14894"/>
    <cellStyle name="표준 2 26 2" xfId="14895"/>
    <cellStyle name="표준 2 27" xfId="14896"/>
    <cellStyle name="표준 2 27 2" xfId="14897"/>
    <cellStyle name="표준 2 28" xfId="14898"/>
    <cellStyle name="표준 2 28 2" xfId="14899"/>
    <cellStyle name="표준 2 29" xfId="14900"/>
    <cellStyle name="표준 2 29 2" xfId="14901"/>
    <cellStyle name="표준 2 3" xfId="14902"/>
    <cellStyle name="표준 2 3 2" xfId="14903"/>
    <cellStyle name="표준 2 3 2 2" xfId="14904"/>
    <cellStyle name="표준 2 3 2 3" xfId="14905"/>
    <cellStyle name="표준 2 3 3" xfId="14906"/>
    <cellStyle name="표준 2 3 4" xfId="14907"/>
    <cellStyle name="표준 2 3_전파진흥원_AV설비_설치공사_(원가포함)_SMT110903" xfId="14908"/>
    <cellStyle name="표준 2 30" xfId="14909"/>
    <cellStyle name="표준 2 30 2" xfId="14910"/>
    <cellStyle name="표준 2 31" xfId="14911"/>
    <cellStyle name="표준 2 31 2" xfId="14912"/>
    <cellStyle name="표준 2 32" xfId="14913"/>
    <cellStyle name="표준 2 33" xfId="14914"/>
    <cellStyle name="표준 2 34" xfId="14915"/>
    <cellStyle name="표준 2 35" xfId="14916"/>
    <cellStyle name="표준 2 36" xfId="14917"/>
    <cellStyle name="표준 2 4" xfId="14918"/>
    <cellStyle name="표준 2 4 2" xfId="14919"/>
    <cellStyle name="표준 2 4 2 2" xfId="14920"/>
    <cellStyle name="표준 2 4 3" xfId="14921"/>
    <cellStyle name="표준 2 4 4" xfId="14922"/>
    <cellStyle name="표준 2 4_전파진흥원_AV설비_설치공사_(원가포함)_SMT110903" xfId="14923"/>
    <cellStyle name="표준 2 5" xfId="14924"/>
    <cellStyle name="표준 2 5 2" xfId="14925"/>
    <cellStyle name="표준 2 6" xfId="14926"/>
    <cellStyle name="표준 2 6 2" xfId="14927"/>
    <cellStyle name="표준 2 7" xfId="14928"/>
    <cellStyle name="표준 2 7 2" xfId="14929"/>
    <cellStyle name="표준 2 8" xfId="14930"/>
    <cellStyle name="표준 2 8 2" xfId="14931"/>
    <cellStyle name="표준 2 9" xfId="14932"/>
    <cellStyle name="표준 2 9 2" xfId="14933"/>
    <cellStyle name="표준 2_롯데 일산점 무대조명_총괄표_100503_수정" xfId="14934"/>
    <cellStyle name="표준 20" xfId="14935"/>
    <cellStyle name="표준 20 2" xfId="14936"/>
    <cellStyle name="표준 20 3" xfId="14937"/>
    <cellStyle name="표준 21" xfId="14938"/>
    <cellStyle name="표준 21 2" xfId="14939"/>
    <cellStyle name="표준 22" xfId="14940"/>
    <cellStyle name="표준 22 2" xfId="14941"/>
    <cellStyle name="표준 23" xfId="14942"/>
    <cellStyle name="표준 23 2" xfId="14943"/>
    <cellStyle name="표준 24" xfId="14944"/>
    <cellStyle name="표준 24 10" xfId="14945"/>
    <cellStyle name="표준 24 10 2" xfId="14946"/>
    <cellStyle name="표준 24 11" xfId="14947"/>
    <cellStyle name="표준 24 11 2" xfId="14948"/>
    <cellStyle name="표준 24 12" xfId="14949"/>
    <cellStyle name="표준 24 12 2" xfId="14950"/>
    <cellStyle name="표준 24 13" xfId="14951"/>
    <cellStyle name="표준 24 13 2" xfId="14952"/>
    <cellStyle name="표준 24 14" xfId="14953"/>
    <cellStyle name="표준 24 14 2" xfId="14954"/>
    <cellStyle name="표준 24 15" xfId="14955"/>
    <cellStyle name="표준 24 15 2" xfId="14956"/>
    <cellStyle name="표준 24 16" xfId="14957"/>
    <cellStyle name="표준 24 16 2" xfId="14958"/>
    <cellStyle name="표준 24 17" xfId="14959"/>
    <cellStyle name="표준 24 17 2" xfId="14960"/>
    <cellStyle name="표준 24 18" xfId="14961"/>
    <cellStyle name="표준 24 18 2" xfId="14962"/>
    <cellStyle name="표준 24 19" xfId="14963"/>
    <cellStyle name="표준 24 19 2" xfId="14964"/>
    <cellStyle name="표준 24 2" xfId="14965"/>
    <cellStyle name="표준 24 2 2" xfId="14966"/>
    <cellStyle name="표준 24 20" xfId="14967"/>
    <cellStyle name="표준 24 20 2" xfId="14968"/>
    <cellStyle name="표준 24 21" xfId="14969"/>
    <cellStyle name="표준 24 21 2" xfId="14970"/>
    <cellStyle name="표준 24 22" xfId="14971"/>
    <cellStyle name="표준 24 22 2" xfId="14972"/>
    <cellStyle name="표준 24 23" xfId="14973"/>
    <cellStyle name="표준 24 23 2" xfId="14974"/>
    <cellStyle name="표준 24 24" xfId="14975"/>
    <cellStyle name="표준 24 24 2" xfId="14976"/>
    <cellStyle name="표준 24 25" xfId="14977"/>
    <cellStyle name="표준 24 25 2" xfId="14978"/>
    <cellStyle name="표준 24 26" xfId="14979"/>
    <cellStyle name="표준 24 26 2" xfId="14980"/>
    <cellStyle name="표준 24 27" xfId="14981"/>
    <cellStyle name="표준 24 27 2" xfId="14982"/>
    <cellStyle name="표준 24 28" xfId="14983"/>
    <cellStyle name="표준 24 28 2" xfId="14984"/>
    <cellStyle name="표준 24 29" xfId="14985"/>
    <cellStyle name="표준 24 29 2" xfId="14986"/>
    <cellStyle name="표준 24 3" xfId="14987"/>
    <cellStyle name="표준 24 3 2" xfId="14988"/>
    <cellStyle name="표준 24 30" xfId="14989"/>
    <cellStyle name="표준 24 30 2" xfId="14990"/>
    <cellStyle name="표준 24 31" xfId="14991"/>
    <cellStyle name="표준 24 31 2" xfId="14992"/>
    <cellStyle name="표준 24 32" xfId="14993"/>
    <cellStyle name="표준 24 32 2" xfId="14994"/>
    <cellStyle name="표준 24 33" xfId="14995"/>
    <cellStyle name="표준 24 33 2" xfId="14996"/>
    <cellStyle name="표준 24 34" xfId="14997"/>
    <cellStyle name="표준 24 34 2" xfId="14998"/>
    <cellStyle name="표준 24 35" xfId="14999"/>
    <cellStyle name="표준 24 35 2" xfId="15000"/>
    <cellStyle name="표준 24 36" xfId="15001"/>
    <cellStyle name="표준 24 4" xfId="15002"/>
    <cellStyle name="표준 24 4 2" xfId="15003"/>
    <cellStyle name="표준 24 5" xfId="15004"/>
    <cellStyle name="표준 24 5 2" xfId="15005"/>
    <cellStyle name="표준 24 6" xfId="15006"/>
    <cellStyle name="표준 24 6 2" xfId="15007"/>
    <cellStyle name="표준 24 7" xfId="15008"/>
    <cellStyle name="표준 24 7 2" xfId="15009"/>
    <cellStyle name="표준 24 8" xfId="15010"/>
    <cellStyle name="표준 24 8 2" xfId="15011"/>
    <cellStyle name="표준 24 9" xfId="15012"/>
    <cellStyle name="표준 24 9 2" xfId="15013"/>
    <cellStyle name="표준 25" xfId="15014"/>
    <cellStyle name="표준 25 2" xfId="15015"/>
    <cellStyle name="표준 26" xfId="15016"/>
    <cellStyle name="표준 26 2" xfId="15017"/>
    <cellStyle name="표준 27" xfId="15018"/>
    <cellStyle name="표준 27 2" xfId="15019"/>
    <cellStyle name="표준 28" xfId="15020"/>
    <cellStyle name="표준 28 2" xfId="15021"/>
    <cellStyle name="표준 29" xfId="15022"/>
    <cellStyle name="표준 29 2" xfId="15023"/>
    <cellStyle name="표준 3" xfId="15024"/>
    <cellStyle name="표준 3 10" xfId="15025"/>
    <cellStyle name="표준 3 10 2" xfId="15026"/>
    <cellStyle name="표준 3 11" xfId="15027"/>
    <cellStyle name="표준 3 11 2" xfId="15028"/>
    <cellStyle name="표준 3 12" xfId="15029"/>
    <cellStyle name="표준 3 12 2" xfId="15030"/>
    <cellStyle name="표준 3 13" xfId="15031"/>
    <cellStyle name="표준 3 14" xfId="15032"/>
    <cellStyle name="표준 3 15" xfId="15033"/>
    <cellStyle name="표준 3 16" xfId="15034"/>
    <cellStyle name="표준 3 2" xfId="15035"/>
    <cellStyle name="표준 3 2 2" xfId="15036"/>
    <cellStyle name="표준 3 2 2 2" xfId="15037"/>
    <cellStyle name="표준 3 2 3" xfId="15038"/>
    <cellStyle name="표준 3 2 4" xfId="15039"/>
    <cellStyle name="표준 3 2 5" xfId="15040"/>
    <cellStyle name="표준 3 3" xfId="15041"/>
    <cellStyle name="표준 3 3 2" xfId="15042"/>
    <cellStyle name="표준 3 3 2 2" xfId="15043"/>
    <cellStyle name="표준 3 3 3" xfId="15044"/>
    <cellStyle name="표준 3 3 4" xfId="15045"/>
    <cellStyle name="표준 3 4" xfId="15046"/>
    <cellStyle name="표준 3 4 2" xfId="15047"/>
    <cellStyle name="표준 3 4 3" xfId="15048"/>
    <cellStyle name="표준 3 5" xfId="15049"/>
    <cellStyle name="표준 3 5 2" xfId="15050"/>
    <cellStyle name="표준 3 6" xfId="15051"/>
    <cellStyle name="표준 3 6 2" xfId="15052"/>
    <cellStyle name="표준 3 7" xfId="15053"/>
    <cellStyle name="표준 3 7 2" xfId="15054"/>
    <cellStyle name="표준 3 8" xfId="15055"/>
    <cellStyle name="표준 3 8 2" xfId="15056"/>
    <cellStyle name="표준 3 9" xfId="15057"/>
    <cellStyle name="표준 3 9 2" xfId="15058"/>
    <cellStyle name="표준 3_롯데 일산점 무대조명_총괄표_100503_수정" xfId="15059"/>
    <cellStyle name="표준 30" xfId="15060"/>
    <cellStyle name="표준 30 2" xfId="15061"/>
    <cellStyle name="표준 31" xfId="15062"/>
    <cellStyle name="표준 31 2" xfId="15063"/>
    <cellStyle name="표준 32" xfId="15064"/>
    <cellStyle name="표준 32 2" xfId="15065"/>
    <cellStyle name="표준 33" xfId="15066"/>
    <cellStyle name="표준 33 2" xfId="15067"/>
    <cellStyle name="표준 34" xfId="15068"/>
    <cellStyle name="표준 34 2" xfId="15069"/>
    <cellStyle name="표준 35" xfId="15070"/>
    <cellStyle name="표준 35 10" xfId="15071"/>
    <cellStyle name="표준 35 10 2" xfId="15072"/>
    <cellStyle name="표준 35 11" xfId="15073"/>
    <cellStyle name="표준 35 11 2" xfId="15074"/>
    <cellStyle name="표준 35 12" xfId="15075"/>
    <cellStyle name="표준 35 12 2" xfId="15076"/>
    <cellStyle name="표준 35 13" xfId="15077"/>
    <cellStyle name="표준 35 13 2" xfId="15078"/>
    <cellStyle name="표준 35 14" xfId="15079"/>
    <cellStyle name="표준 35 14 2" xfId="15080"/>
    <cellStyle name="표준 35 15" xfId="15081"/>
    <cellStyle name="표준 35 15 2" xfId="15082"/>
    <cellStyle name="표준 35 16" xfId="15083"/>
    <cellStyle name="표준 35 16 2" xfId="15084"/>
    <cellStyle name="표준 35 17" xfId="15085"/>
    <cellStyle name="표준 35 17 2" xfId="15086"/>
    <cellStyle name="표준 35 18" xfId="15087"/>
    <cellStyle name="표준 35 18 2" xfId="15088"/>
    <cellStyle name="표준 35 19" xfId="15089"/>
    <cellStyle name="표준 35 2" xfId="15090"/>
    <cellStyle name="표준 35 2 2" xfId="15091"/>
    <cellStyle name="표준 35 3" xfId="15092"/>
    <cellStyle name="표준 35 3 2" xfId="15093"/>
    <cellStyle name="표준 35 4" xfId="15094"/>
    <cellStyle name="표준 35 4 2" xfId="15095"/>
    <cellStyle name="표준 35 5" xfId="15096"/>
    <cellStyle name="표준 35 5 2" xfId="15097"/>
    <cellStyle name="표준 35 6" xfId="15098"/>
    <cellStyle name="표준 35 6 2" xfId="15099"/>
    <cellStyle name="표준 35 7" xfId="15100"/>
    <cellStyle name="표준 35 7 2" xfId="15101"/>
    <cellStyle name="표준 35 8" xfId="15102"/>
    <cellStyle name="표준 35 8 2" xfId="15103"/>
    <cellStyle name="표준 35 9" xfId="15104"/>
    <cellStyle name="표준 35 9 2" xfId="15105"/>
    <cellStyle name="표준 36" xfId="15106"/>
    <cellStyle name="표준 37" xfId="15107"/>
    <cellStyle name="표준 37 2" xfId="15108"/>
    <cellStyle name="표준 38" xfId="15109"/>
    <cellStyle name="표준 38 2" xfId="15110"/>
    <cellStyle name="표준 39" xfId="15111"/>
    <cellStyle name="표준 4" xfId="15112"/>
    <cellStyle name="표준 4 10" xfId="15113"/>
    <cellStyle name="표준 4 10 2" xfId="15114"/>
    <cellStyle name="표준 4 11" xfId="15115"/>
    <cellStyle name="표준 4 11 2" xfId="15116"/>
    <cellStyle name="표준 4 12" xfId="15117"/>
    <cellStyle name="표준 4 12 2" xfId="15118"/>
    <cellStyle name="표준 4 13" xfId="15119"/>
    <cellStyle name="표준 4 13 2" xfId="15120"/>
    <cellStyle name="표준 4 14" xfId="15121"/>
    <cellStyle name="표준 4 14 2" xfId="15122"/>
    <cellStyle name="표준 4 15" xfId="15123"/>
    <cellStyle name="표준 4 15 2" xfId="15124"/>
    <cellStyle name="표준 4 16" xfId="15125"/>
    <cellStyle name="표준 4 16 2" xfId="15126"/>
    <cellStyle name="표준 4 17" xfId="15127"/>
    <cellStyle name="표준 4 17 2" xfId="15128"/>
    <cellStyle name="표준 4 18" xfId="15129"/>
    <cellStyle name="표준 4 18 2" xfId="15130"/>
    <cellStyle name="표준 4 19" xfId="15131"/>
    <cellStyle name="표준 4 19 2" xfId="15132"/>
    <cellStyle name="표준 4 2" xfId="15133"/>
    <cellStyle name="표준 4 2 2" xfId="15134"/>
    <cellStyle name="표준 4 2 2 2" xfId="15135"/>
    <cellStyle name="표준 4 2 3" xfId="15136"/>
    <cellStyle name="표준 4 2 4" xfId="15137"/>
    <cellStyle name="표준 4 2 5" xfId="15138"/>
    <cellStyle name="표준 4 20" xfId="15139"/>
    <cellStyle name="표준 4 20 2" xfId="15140"/>
    <cellStyle name="표준 4 21" xfId="15141"/>
    <cellStyle name="표준 4 21 2" xfId="15142"/>
    <cellStyle name="표준 4 22" xfId="15143"/>
    <cellStyle name="표준 4 22 2" xfId="15144"/>
    <cellStyle name="표준 4 23" xfId="15145"/>
    <cellStyle name="표준 4 23 2" xfId="15146"/>
    <cellStyle name="표준 4 24" xfId="15147"/>
    <cellStyle name="표준 4 24 2" xfId="15148"/>
    <cellStyle name="표준 4 25" xfId="15149"/>
    <cellStyle name="표준 4 25 2" xfId="15150"/>
    <cellStyle name="표준 4 26" xfId="15151"/>
    <cellStyle name="표준 4 26 2" xfId="15152"/>
    <cellStyle name="표준 4 27" xfId="15153"/>
    <cellStyle name="표준 4 27 2" xfId="15154"/>
    <cellStyle name="표준 4 28" xfId="15155"/>
    <cellStyle name="표준 4 28 2" xfId="15156"/>
    <cellStyle name="표준 4 29" xfId="15157"/>
    <cellStyle name="표준 4 29 2" xfId="15158"/>
    <cellStyle name="표준 4 3" xfId="15159"/>
    <cellStyle name="표준 4 3 2" xfId="15160"/>
    <cellStyle name="표준 4 30" xfId="15161"/>
    <cellStyle name="표준 4 30 2" xfId="15162"/>
    <cellStyle name="표준 4 31" xfId="15163"/>
    <cellStyle name="표준 4 31 2" xfId="15164"/>
    <cellStyle name="표준 4 32" xfId="15165"/>
    <cellStyle name="표준 4 32 2" xfId="15166"/>
    <cellStyle name="표준 4 33" xfId="15167"/>
    <cellStyle name="표준 4 33 2" xfId="15168"/>
    <cellStyle name="표준 4 34" xfId="15169"/>
    <cellStyle name="표준 4 34 2" xfId="15170"/>
    <cellStyle name="표준 4 35" xfId="15171"/>
    <cellStyle name="표준 4 35 2" xfId="15172"/>
    <cellStyle name="표준 4 36" xfId="15173"/>
    <cellStyle name="표준 4 36 2" xfId="15174"/>
    <cellStyle name="표준 4 37" xfId="15175"/>
    <cellStyle name="표준 4 37 2" xfId="15176"/>
    <cellStyle name="표준 4 38" xfId="15177"/>
    <cellStyle name="표준 4 38 2" xfId="15178"/>
    <cellStyle name="표준 4 39" xfId="15179"/>
    <cellStyle name="표준 4 39 2" xfId="15180"/>
    <cellStyle name="표준 4 4" xfId="15181"/>
    <cellStyle name="표준 4 4 2" xfId="15182"/>
    <cellStyle name="표준 4 40" xfId="15183"/>
    <cellStyle name="표준 4 40 2" xfId="15184"/>
    <cellStyle name="표준 4 41" xfId="15185"/>
    <cellStyle name="표준 4 41 2" xfId="15186"/>
    <cellStyle name="표준 4 42" xfId="15187"/>
    <cellStyle name="표준 4 42 2" xfId="15188"/>
    <cellStyle name="표준 4 43" xfId="15189"/>
    <cellStyle name="표준 4 43 2" xfId="15190"/>
    <cellStyle name="표준 4 44" xfId="15191"/>
    <cellStyle name="표준 4 44 2" xfId="15192"/>
    <cellStyle name="표준 4 45" xfId="15193"/>
    <cellStyle name="표준 4 45 2" xfId="15194"/>
    <cellStyle name="표준 4 46" xfId="15195"/>
    <cellStyle name="표준 4 46 2" xfId="15196"/>
    <cellStyle name="표준 4 47" xfId="15197"/>
    <cellStyle name="표준 4 47 2" xfId="15198"/>
    <cellStyle name="표준 4 48" xfId="15199"/>
    <cellStyle name="표준 4 48 2" xfId="15200"/>
    <cellStyle name="표준 4 49" xfId="15201"/>
    <cellStyle name="표준 4 49 2" xfId="15202"/>
    <cellStyle name="표준 4 5" xfId="15203"/>
    <cellStyle name="표준 4 5 2" xfId="15204"/>
    <cellStyle name="표준 4 50" xfId="15205"/>
    <cellStyle name="표준 4 50 2" xfId="15206"/>
    <cellStyle name="표준 4 51" xfId="15207"/>
    <cellStyle name="표준 4 51 2" xfId="15208"/>
    <cellStyle name="표준 4 52" xfId="15209"/>
    <cellStyle name="표준 4 52 2" xfId="15210"/>
    <cellStyle name="표준 4 52 2 2" xfId="15211"/>
    <cellStyle name="표준 4 52 3" xfId="15212"/>
    <cellStyle name="표준 4 53" xfId="15213"/>
    <cellStyle name="표준 4 53 2" xfId="15214"/>
    <cellStyle name="표준 4 53 2 2" xfId="15215"/>
    <cellStyle name="표준 4 53 3" xfId="15216"/>
    <cellStyle name="표준 4 54" xfId="15217"/>
    <cellStyle name="표준 4 54 2" xfId="15218"/>
    <cellStyle name="표준 4 55" xfId="15219"/>
    <cellStyle name="표준 4 55 2" xfId="15220"/>
    <cellStyle name="표준 4 56" xfId="15221"/>
    <cellStyle name="표준 4 56 2" xfId="15222"/>
    <cellStyle name="표준 4 57" xfId="15223"/>
    <cellStyle name="표준 4 57 2" xfId="15224"/>
    <cellStyle name="표준 4 58" xfId="15225"/>
    <cellStyle name="표준 4 58 2" xfId="15226"/>
    <cellStyle name="표준 4 59" xfId="15227"/>
    <cellStyle name="표준 4 59 2" xfId="15228"/>
    <cellStyle name="표준 4 6" xfId="15229"/>
    <cellStyle name="표준 4 6 2" xfId="15230"/>
    <cellStyle name="표준 4 60" xfId="15231"/>
    <cellStyle name="표준 4 60 2" xfId="15232"/>
    <cellStyle name="표준 4 61" xfId="15233"/>
    <cellStyle name="표준 4 61 2" xfId="15234"/>
    <cellStyle name="표준 4 62" xfId="15235"/>
    <cellStyle name="표준 4 62 2" xfId="15236"/>
    <cellStyle name="표준 4 63" xfId="15237"/>
    <cellStyle name="표준 4 63 2" xfId="15238"/>
    <cellStyle name="표준 4 64" xfId="15239"/>
    <cellStyle name="표준 4 64 2" xfId="15240"/>
    <cellStyle name="표준 4 65" xfId="15241"/>
    <cellStyle name="표준 4 65 2" xfId="15242"/>
    <cellStyle name="표준 4 66" xfId="15243"/>
    <cellStyle name="표준 4 66 2" xfId="15244"/>
    <cellStyle name="표준 4 67" xfId="15245"/>
    <cellStyle name="표준 4 67 2" xfId="15246"/>
    <cellStyle name="표준 4 68" xfId="15247"/>
    <cellStyle name="표준 4 68 2" xfId="15248"/>
    <cellStyle name="표준 4 69" xfId="15249"/>
    <cellStyle name="표준 4 69 2" xfId="15250"/>
    <cellStyle name="표준 4 7" xfId="15251"/>
    <cellStyle name="표준 4 7 2" xfId="15252"/>
    <cellStyle name="표준 4 70" xfId="15253"/>
    <cellStyle name="표준 4 70 2" xfId="15254"/>
    <cellStyle name="표준 4 71" xfId="15255"/>
    <cellStyle name="표준 4 71 2" xfId="15256"/>
    <cellStyle name="표준 4 72" xfId="15257"/>
    <cellStyle name="표준 4 72 2" xfId="15258"/>
    <cellStyle name="표준 4 73" xfId="15259"/>
    <cellStyle name="표준 4 73 2" xfId="15260"/>
    <cellStyle name="표준 4 74" xfId="15261"/>
    <cellStyle name="표준 4 74 2" xfId="15262"/>
    <cellStyle name="표준 4 75" xfId="15263"/>
    <cellStyle name="표준 4 75 2" xfId="15264"/>
    <cellStyle name="표준 4 76" xfId="15265"/>
    <cellStyle name="표준 4 76 2" xfId="15266"/>
    <cellStyle name="표준 4 77" xfId="15267"/>
    <cellStyle name="표준 4 77 2" xfId="15268"/>
    <cellStyle name="표준 4 78" xfId="15269"/>
    <cellStyle name="표준 4 78 2" xfId="15270"/>
    <cellStyle name="표준 4 79" xfId="15271"/>
    <cellStyle name="표준 4 79 2" xfId="15272"/>
    <cellStyle name="표준 4 8" xfId="15273"/>
    <cellStyle name="표준 4 8 2" xfId="15274"/>
    <cellStyle name="표준 4 80" xfId="15275"/>
    <cellStyle name="표준 4 80 2" xfId="15276"/>
    <cellStyle name="표준 4 81" xfId="15277"/>
    <cellStyle name="표준 4 81 2" xfId="15278"/>
    <cellStyle name="표준 4 82" xfId="15279"/>
    <cellStyle name="표준 4 82 2" xfId="15280"/>
    <cellStyle name="표준 4 83" xfId="15281"/>
    <cellStyle name="표준 4 83 2" xfId="15282"/>
    <cellStyle name="표준 4 84" xfId="15283"/>
    <cellStyle name="표준 4 84 2" xfId="15284"/>
    <cellStyle name="표준 4 85" xfId="15285"/>
    <cellStyle name="표준 4 85 2" xfId="15286"/>
    <cellStyle name="표준 4 86" xfId="15287"/>
    <cellStyle name="표준 4 86 2" xfId="15288"/>
    <cellStyle name="표준 4 87" xfId="15289"/>
    <cellStyle name="표준 4 87 2" xfId="15290"/>
    <cellStyle name="표준 4 88" xfId="15291"/>
    <cellStyle name="표준 4 88 2" xfId="15292"/>
    <cellStyle name="표준 4 89" xfId="15293"/>
    <cellStyle name="표준 4 89 2" xfId="15294"/>
    <cellStyle name="표준 4 9" xfId="15295"/>
    <cellStyle name="표준 4 9 2" xfId="15296"/>
    <cellStyle name="표준 4 90" xfId="15297"/>
    <cellStyle name="표준 4 90 2" xfId="15298"/>
    <cellStyle name="표준 4 91" xfId="15299"/>
    <cellStyle name="표준 4 92" xfId="15300"/>
    <cellStyle name="표준 4 93" xfId="15301"/>
    <cellStyle name="표준 4 94" xfId="15302"/>
    <cellStyle name="표준 40" xfId="15303"/>
    <cellStyle name="표준 41" xfId="15304"/>
    <cellStyle name="표준 42" xfId="15305"/>
    <cellStyle name="표준 42 2" xfId="15306"/>
    <cellStyle name="표준 43" xfId="15307"/>
    <cellStyle name="표준 5" xfId="15308"/>
    <cellStyle name="표준 5 10" xfId="15309"/>
    <cellStyle name="표준 5 10 2" xfId="15310"/>
    <cellStyle name="표준 5 11" xfId="15311"/>
    <cellStyle name="표준 5 11 2" xfId="15312"/>
    <cellStyle name="표준 5 12" xfId="15313"/>
    <cellStyle name="표준 5 12 2" xfId="15314"/>
    <cellStyle name="표준 5 13" xfId="15315"/>
    <cellStyle name="표준 5 13 2" xfId="15316"/>
    <cellStyle name="표준 5 14" xfId="15317"/>
    <cellStyle name="표준 5 14 2" xfId="15318"/>
    <cellStyle name="표준 5 15" xfId="15319"/>
    <cellStyle name="표준 5 15 2" xfId="15320"/>
    <cellStyle name="표준 5 16" xfId="15321"/>
    <cellStyle name="표준 5 16 2" xfId="15322"/>
    <cellStyle name="표준 5 17" xfId="15323"/>
    <cellStyle name="표준 5 17 2" xfId="15324"/>
    <cellStyle name="표준 5 18" xfId="15325"/>
    <cellStyle name="표준 5 18 2" xfId="15326"/>
    <cellStyle name="표준 5 19" xfId="15327"/>
    <cellStyle name="표준 5 19 2" xfId="15328"/>
    <cellStyle name="표준 5 2" xfId="15329"/>
    <cellStyle name="표준 5 2 2" xfId="15330"/>
    <cellStyle name="표준 5 2 3" xfId="15331"/>
    <cellStyle name="표준 5 20" xfId="15332"/>
    <cellStyle name="표준 5 20 2" xfId="15333"/>
    <cellStyle name="표준 5 21" xfId="15334"/>
    <cellStyle name="표준 5 21 2" xfId="15335"/>
    <cellStyle name="표준 5 22" xfId="15336"/>
    <cellStyle name="표준 5 22 2" xfId="15337"/>
    <cellStyle name="표준 5 23" xfId="15338"/>
    <cellStyle name="표준 5 23 2" xfId="15339"/>
    <cellStyle name="표준 5 24" xfId="15340"/>
    <cellStyle name="표준 5 24 2" xfId="15341"/>
    <cellStyle name="표준 5 25" xfId="15342"/>
    <cellStyle name="표준 5 25 2" xfId="15343"/>
    <cellStyle name="표준 5 26" xfId="15344"/>
    <cellStyle name="표준 5 26 2" xfId="15345"/>
    <cellStyle name="표준 5 27" xfId="15346"/>
    <cellStyle name="표준 5 27 2" xfId="15347"/>
    <cellStyle name="표준 5 28" xfId="15348"/>
    <cellStyle name="표준 5 28 2" xfId="15349"/>
    <cellStyle name="표준 5 29" xfId="15350"/>
    <cellStyle name="표준 5 29 2" xfId="15351"/>
    <cellStyle name="표준 5 3" xfId="15352"/>
    <cellStyle name="표준 5 3 2" xfId="15353"/>
    <cellStyle name="표준 5 30" xfId="15354"/>
    <cellStyle name="표준 5 30 2" xfId="15355"/>
    <cellStyle name="표준 5 31" xfId="15356"/>
    <cellStyle name="표준 5 31 2" xfId="15357"/>
    <cellStyle name="표준 5 32" xfId="15358"/>
    <cellStyle name="표준 5 32 2" xfId="15359"/>
    <cellStyle name="표준 5 33" xfId="15360"/>
    <cellStyle name="표준 5 33 2" xfId="15361"/>
    <cellStyle name="표준 5 34" xfId="15362"/>
    <cellStyle name="표준 5 34 2" xfId="15363"/>
    <cellStyle name="표준 5 35" xfId="15364"/>
    <cellStyle name="표준 5 35 2" xfId="15365"/>
    <cellStyle name="표준 5 36" xfId="15366"/>
    <cellStyle name="표준 5 36 2" xfId="15367"/>
    <cellStyle name="표준 5 37" xfId="15368"/>
    <cellStyle name="표준 5 37 2" xfId="15369"/>
    <cellStyle name="표준 5 38" xfId="15370"/>
    <cellStyle name="표준 5 38 2" xfId="15371"/>
    <cellStyle name="표준 5 39" xfId="15372"/>
    <cellStyle name="표준 5 39 2" xfId="15373"/>
    <cellStyle name="표준 5 4" xfId="15374"/>
    <cellStyle name="표준 5 4 2" xfId="15375"/>
    <cellStyle name="표준 5 40" xfId="15376"/>
    <cellStyle name="표준 5 40 2" xfId="15377"/>
    <cellStyle name="표준 5 41" xfId="15378"/>
    <cellStyle name="표준 5 41 2" xfId="15379"/>
    <cellStyle name="표준 5 42" xfId="15380"/>
    <cellStyle name="표준 5 42 2" xfId="15381"/>
    <cellStyle name="표준 5 43" xfId="15382"/>
    <cellStyle name="표준 5 43 2" xfId="15383"/>
    <cellStyle name="표준 5 44" xfId="15384"/>
    <cellStyle name="표준 5 44 2" xfId="15385"/>
    <cellStyle name="표준 5 45" xfId="15386"/>
    <cellStyle name="표준 5 45 2" xfId="15387"/>
    <cellStyle name="표준 5 46" xfId="15388"/>
    <cellStyle name="표준 5 46 2" xfId="15389"/>
    <cellStyle name="표준 5 47" xfId="15390"/>
    <cellStyle name="표준 5 47 2" xfId="15391"/>
    <cellStyle name="표준 5 48" xfId="15392"/>
    <cellStyle name="표준 5 48 2" xfId="15393"/>
    <cellStyle name="표준 5 49" xfId="15394"/>
    <cellStyle name="표준 5 49 2" xfId="15395"/>
    <cellStyle name="표준 5 5" xfId="15396"/>
    <cellStyle name="표준 5 5 2" xfId="15397"/>
    <cellStyle name="표준 5 50" xfId="15398"/>
    <cellStyle name="표준 5 50 2" xfId="15399"/>
    <cellStyle name="표준 5 51" xfId="15400"/>
    <cellStyle name="표준 5 51 2" xfId="15401"/>
    <cellStyle name="표준 5 52" xfId="15402"/>
    <cellStyle name="표준 5 52 2" xfId="15403"/>
    <cellStyle name="표준 5 53" xfId="15404"/>
    <cellStyle name="표준 5 53 2" xfId="15405"/>
    <cellStyle name="표준 5 54" xfId="15406"/>
    <cellStyle name="표준 5 54 2" xfId="15407"/>
    <cellStyle name="표준 5 55" xfId="15408"/>
    <cellStyle name="표준 5 55 2" xfId="15409"/>
    <cellStyle name="표준 5 56" xfId="15410"/>
    <cellStyle name="표준 5 56 2" xfId="15411"/>
    <cellStyle name="표준 5 57" xfId="15412"/>
    <cellStyle name="표준 5 57 2" xfId="15413"/>
    <cellStyle name="표준 5 58" xfId="15414"/>
    <cellStyle name="표준 5 58 2" xfId="15415"/>
    <cellStyle name="표준 5 59" xfId="15416"/>
    <cellStyle name="표준 5 59 2" xfId="15417"/>
    <cellStyle name="표준 5 6" xfId="15418"/>
    <cellStyle name="표준 5 6 2" xfId="15419"/>
    <cellStyle name="표준 5 60" xfId="15420"/>
    <cellStyle name="표준 5 60 2" xfId="15421"/>
    <cellStyle name="표준 5 61" xfId="15422"/>
    <cellStyle name="표준 5 61 2" xfId="15423"/>
    <cellStyle name="표준 5 62" xfId="15424"/>
    <cellStyle name="표준 5 62 2" xfId="15425"/>
    <cellStyle name="표준 5 63" xfId="15426"/>
    <cellStyle name="표준 5 63 2" xfId="15427"/>
    <cellStyle name="표준 5 64" xfId="15428"/>
    <cellStyle name="표준 5 64 2" xfId="15429"/>
    <cellStyle name="표준 5 65" xfId="15430"/>
    <cellStyle name="표준 5 65 2" xfId="15431"/>
    <cellStyle name="표준 5 66" xfId="15432"/>
    <cellStyle name="표준 5 66 2" xfId="15433"/>
    <cellStyle name="표준 5 67" xfId="15434"/>
    <cellStyle name="표준 5 67 2" xfId="15435"/>
    <cellStyle name="표준 5 68" xfId="15436"/>
    <cellStyle name="표준 5 68 2" xfId="15437"/>
    <cellStyle name="표준 5 69" xfId="15438"/>
    <cellStyle name="표준 5 69 2" xfId="15439"/>
    <cellStyle name="표준 5 7" xfId="15440"/>
    <cellStyle name="표준 5 7 2" xfId="15441"/>
    <cellStyle name="표준 5 70" xfId="15442"/>
    <cellStyle name="표준 5 70 2" xfId="15443"/>
    <cellStyle name="표준 5 71" xfId="15444"/>
    <cellStyle name="표준 5 71 2" xfId="15445"/>
    <cellStyle name="표준 5 72" xfId="15446"/>
    <cellStyle name="표준 5 72 2" xfId="15447"/>
    <cellStyle name="표준 5 73" xfId="15448"/>
    <cellStyle name="표준 5 73 2" xfId="15449"/>
    <cellStyle name="표준 5 74" xfId="15450"/>
    <cellStyle name="표준 5 74 2" xfId="15451"/>
    <cellStyle name="표준 5 75" xfId="15452"/>
    <cellStyle name="표준 5 75 2" xfId="15453"/>
    <cellStyle name="표준 5 76" xfId="15454"/>
    <cellStyle name="표준 5 76 2" xfId="15455"/>
    <cellStyle name="표준 5 77" xfId="15456"/>
    <cellStyle name="표준 5 77 2" xfId="15457"/>
    <cellStyle name="표준 5 78" xfId="15458"/>
    <cellStyle name="표준 5 78 2" xfId="15459"/>
    <cellStyle name="표준 5 79" xfId="15460"/>
    <cellStyle name="표준 5 79 2" xfId="15461"/>
    <cellStyle name="표준 5 8" xfId="15462"/>
    <cellStyle name="표준 5 8 2" xfId="15463"/>
    <cellStyle name="표준 5 80" xfId="15464"/>
    <cellStyle name="표준 5 80 2" xfId="15465"/>
    <cellStyle name="표준 5 81" xfId="15466"/>
    <cellStyle name="표준 5 81 2" xfId="15467"/>
    <cellStyle name="표준 5 82" xfId="15468"/>
    <cellStyle name="표준 5 82 2" xfId="15469"/>
    <cellStyle name="표준 5 83" xfId="15470"/>
    <cellStyle name="표준 5 83 2" xfId="15471"/>
    <cellStyle name="표준 5 84" xfId="15472"/>
    <cellStyle name="표준 5 84 2" xfId="15473"/>
    <cellStyle name="표준 5 85" xfId="15474"/>
    <cellStyle name="표준 5 85 2" xfId="15475"/>
    <cellStyle name="표준 5 86" xfId="15476"/>
    <cellStyle name="표준 5 86 2" xfId="15477"/>
    <cellStyle name="표준 5 87" xfId="15478"/>
    <cellStyle name="표준 5 87 2" xfId="15479"/>
    <cellStyle name="표준 5 88" xfId="15480"/>
    <cellStyle name="표준 5 89" xfId="15481"/>
    <cellStyle name="표준 5 9" xfId="15482"/>
    <cellStyle name="표준 5 9 2" xfId="15483"/>
    <cellStyle name="표준 5_롯데 일산점 무대조명_총괄표_100503_수정" xfId="15484"/>
    <cellStyle name="표준 6" xfId="15485"/>
    <cellStyle name="표준 6 10" xfId="15486"/>
    <cellStyle name="표준 6 10 2" xfId="15487"/>
    <cellStyle name="표준 6 11" xfId="15488"/>
    <cellStyle name="표준 6 11 2" xfId="15489"/>
    <cellStyle name="표준 6 12" xfId="15490"/>
    <cellStyle name="표준 6 12 2" xfId="15491"/>
    <cellStyle name="표준 6 13" xfId="15492"/>
    <cellStyle name="표준 6 13 2" xfId="15493"/>
    <cellStyle name="표준 6 14" xfId="15494"/>
    <cellStyle name="표준 6 14 2" xfId="15495"/>
    <cellStyle name="표준 6 15" xfId="15496"/>
    <cellStyle name="표준 6 15 2" xfId="15497"/>
    <cellStyle name="표준 6 16" xfId="15498"/>
    <cellStyle name="표준 6 16 2" xfId="15499"/>
    <cellStyle name="표준 6 17" xfId="15500"/>
    <cellStyle name="표준 6 17 2" xfId="15501"/>
    <cellStyle name="표준 6 18" xfId="15502"/>
    <cellStyle name="표준 6 18 2" xfId="15503"/>
    <cellStyle name="표준 6 19" xfId="15504"/>
    <cellStyle name="표준 6 19 2" xfId="15505"/>
    <cellStyle name="표준 6 2" xfId="15506"/>
    <cellStyle name="표준 6 2 2" xfId="15507"/>
    <cellStyle name="표준 6 20" xfId="15508"/>
    <cellStyle name="표준 6 20 2" xfId="15509"/>
    <cellStyle name="표준 6 21" xfId="15510"/>
    <cellStyle name="표준 6 21 2" xfId="15511"/>
    <cellStyle name="표준 6 22" xfId="15512"/>
    <cellStyle name="표준 6 22 2" xfId="15513"/>
    <cellStyle name="표준 6 23" xfId="15514"/>
    <cellStyle name="표준 6 23 2" xfId="15515"/>
    <cellStyle name="표준 6 24" xfId="15516"/>
    <cellStyle name="표준 6 24 2" xfId="15517"/>
    <cellStyle name="표준 6 25" xfId="15518"/>
    <cellStyle name="표준 6 25 2" xfId="15519"/>
    <cellStyle name="표준 6 26" xfId="15520"/>
    <cellStyle name="표준 6 26 2" xfId="15521"/>
    <cellStyle name="표준 6 27" xfId="15522"/>
    <cellStyle name="표준 6 27 2" xfId="15523"/>
    <cellStyle name="표준 6 28" xfId="15524"/>
    <cellStyle name="표준 6 28 2" xfId="15525"/>
    <cellStyle name="표준 6 29" xfId="15526"/>
    <cellStyle name="표준 6 29 2" xfId="15527"/>
    <cellStyle name="표준 6 3" xfId="15528"/>
    <cellStyle name="표준 6 3 2" xfId="15529"/>
    <cellStyle name="표준 6 30" xfId="15530"/>
    <cellStyle name="표준 6 30 2" xfId="15531"/>
    <cellStyle name="표준 6 31" xfId="15532"/>
    <cellStyle name="표준 6 31 2" xfId="15533"/>
    <cellStyle name="표준 6 32" xfId="15534"/>
    <cellStyle name="표준 6 32 2" xfId="15535"/>
    <cellStyle name="표준 6 33" xfId="15536"/>
    <cellStyle name="표준 6 33 2" xfId="15537"/>
    <cellStyle name="표준 6 34" xfId="15538"/>
    <cellStyle name="표준 6 34 2" xfId="15539"/>
    <cellStyle name="표준 6 35" xfId="15540"/>
    <cellStyle name="표준 6 35 2" xfId="15541"/>
    <cellStyle name="표준 6 36" xfId="15542"/>
    <cellStyle name="표준 6 36 2" xfId="15543"/>
    <cellStyle name="표준 6 37" xfId="15544"/>
    <cellStyle name="표준 6 37 2" xfId="15545"/>
    <cellStyle name="표준 6 38" xfId="15546"/>
    <cellStyle name="표준 6 38 2" xfId="15547"/>
    <cellStyle name="표준 6 39" xfId="15548"/>
    <cellStyle name="표준 6 39 2" xfId="15549"/>
    <cellStyle name="표준 6 4" xfId="15550"/>
    <cellStyle name="표준 6 4 2" xfId="15551"/>
    <cellStyle name="표준 6 40" xfId="15552"/>
    <cellStyle name="표준 6 40 2" xfId="15553"/>
    <cellStyle name="표준 6 41" xfId="15554"/>
    <cellStyle name="표준 6 41 2" xfId="15555"/>
    <cellStyle name="표준 6 42" xfId="15556"/>
    <cellStyle name="표준 6 42 2" xfId="15557"/>
    <cellStyle name="표준 6 43" xfId="15558"/>
    <cellStyle name="표준 6 43 2" xfId="15559"/>
    <cellStyle name="표준 6 44" xfId="15560"/>
    <cellStyle name="표준 6 44 2" xfId="15561"/>
    <cellStyle name="표준 6 45" xfId="15562"/>
    <cellStyle name="표준 6 45 2" xfId="15563"/>
    <cellStyle name="표준 6 46" xfId="15564"/>
    <cellStyle name="표준 6 46 2" xfId="15565"/>
    <cellStyle name="표준 6 47" xfId="15566"/>
    <cellStyle name="표준 6 47 2" xfId="15567"/>
    <cellStyle name="표준 6 48" xfId="15568"/>
    <cellStyle name="표준 6 48 2" xfId="15569"/>
    <cellStyle name="표준 6 49" xfId="15570"/>
    <cellStyle name="표준 6 49 2" xfId="15571"/>
    <cellStyle name="표준 6 5" xfId="15572"/>
    <cellStyle name="표준 6 5 2" xfId="15573"/>
    <cellStyle name="표준 6 50" xfId="15574"/>
    <cellStyle name="표준 6 50 2" xfId="15575"/>
    <cellStyle name="표준 6 51" xfId="15576"/>
    <cellStyle name="표준 6 51 2" xfId="15577"/>
    <cellStyle name="표준 6 52" xfId="15578"/>
    <cellStyle name="표준 6 52 2" xfId="15579"/>
    <cellStyle name="표준 6 53" xfId="15580"/>
    <cellStyle name="표준 6 53 2" xfId="15581"/>
    <cellStyle name="표준 6 54" xfId="15582"/>
    <cellStyle name="표준 6 54 2" xfId="15583"/>
    <cellStyle name="표준 6 55" xfId="15584"/>
    <cellStyle name="표준 6 55 2" xfId="15585"/>
    <cellStyle name="표준 6 56" xfId="15586"/>
    <cellStyle name="표준 6 56 2" xfId="15587"/>
    <cellStyle name="표준 6 57" xfId="15588"/>
    <cellStyle name="표준 6 57 2" xfId="15589"/>
    <cellStyle name="표준 6 58" xfId="15590"/>
    <cellStyle name="표준 6 58 2" xfId="15591"/>
    <cellStyle name="표준 6 59" xfId="15592"/>
    <cellStyle name="표준 6 59 2" xfId="15593"/>
    <cellStyle name="표준 6 6" xfId="15594"/>
    <cellStyle name="표준 6 6 2" xfId="15595"/>
    <cellStyle name="표준 6 60" xfId="15596"/>
    <cellStyle name="표준 6 60 2" xfId="15597"/>
    <cellStyle name="표준 6 61" xfId="15598"/>
    <cellStyle name="표준 6 61 2" xfId="15599"/>
    <cellStyle name="표준 6 62" xfId="15600"/>
    <cellStyle name="표준 6 62 2" xfId="15601"/>
    <cellStyle name="표준 6 63" xfId="15602"/>
    <cellStyle name="표준 6 63 2" xfId="15603"/>
    <cellStyle name="표준 6 64" xfId="15604"/>
    <cellStyle name="표준 6 64 2" xfId="15605"/>
    <cellStyle name="표준 6 65" xfId="15606"/>
    <cellStyle name="표준 6 65 2" xfId="15607"/>
    <cellStyle name="표준 6 66" xfId="15608"/>
    <cellStyle name="표준 6 66 2" xfId="15609"/>
    <cellStyle name="표준 6 67" xfId="15610"/>
    <cellStyle name="표준 6 67 2" xfId="15611"/>
    <cellStyle name="표준 6 68" xfId="15612"/>
    <cellStyle name="표준 6 68 2" xfId="15613"/>
    <cellStyle name="표준 6 69" xfId="15614"/>
    <cellStyle name="표준 6 69 2" xfId="15615"/>
    <cellStyle name="표준 6 7" xfId="15616"/>
    <cellStyle name="표준 6 7 2" xfId="15617"/>
    <cellStyle name="표준 6 70" xfId="15618"/>
    <cellStyle name="표준 6 70 2" xfId="15619"/>
    <cellStyle name="표준 6 71" xfId="15620"/>
    <cellStyle name="표준 6 71 2" xfId="15621"/>
    <cellStyle name="표준 6 72" xfId="15622"/>
    <cellStyle name="표준 6 72 2" xfId="15623"/>
    <cellStyle name="표준 6 73" xfId="15624"/>
    <cellStyle name="표준 6 73 2" xfId="15625"/>
    <cellStyle name="표준 6 74" xfId="15626"/>
    <cellStyle name="표준 6 74 2" xfId="15627"/>
    <cellStyle name="표준 6 75" xfId="15628"/>
    <cellStyle name="표준 6 75 2" xfId="15629"/>
    <cellStyle name="표준 6 76" xfId="15630"/>
    <cellStyle name="표준 6 76 2" xfId="15631"/>
    <cellStyle name="표준 6 77" xfId="15632"/>
    <cellStyle name="표준 6 77 2" xfId="15633"/>
    <cellStyle name="표준 6 78" xfId="15634"/>
    <cellStyle name="표준 6 78 2" xfId="15635"/>
    <cellStyle name="표준 6 79" xfId="15636"/>
    <cellStyle name="표준 6 79 2" xfId="15637"/>
    <cellStyle name="표준 6 8" xfId="15638"/>
    <cellStyle name="표준 6 8 2" xfId="15639"/>
    <cellStyle name="표준 6 80" xfId="15640"/>
    <cellStyle name="표준 6 80 2" xfId="15641"/>
    <cellStyle name="표준 6 81" xfId="15642"/>
    <cellStyle name="표준 6 82" xfId="15643"/>
    <cellStyle name="표준 6 83" xfId="15644"/>
    <cellStyle name="표준 6 9" xfId="15645"/>
    <cellStyle name="표준 6 9 2" xfId="15646"/>
    <cellStyle name="표준 7" xfId="15647"/>
    <cellStyle name="표준 7 2" xfId="15648"/>
    <cellStyle name="표준 7 2 2" xfId="15649"/>
    <cellStyle name="표준 7 3" xfId="15650"/>
    <cellStyle name="표준 7 4" xfId="15651"/>
    <cellStyle name="표준 7 5" xfId="15652"/>
    <cellStyle name="표준 7_롯데 일산점 무대조명_총괄표_100503_수정" xfId="15653"/>
    <cellStyle name="표준 8" xfId="15654"/>
    <cellStyle name="표준 8 2" xfId="15655"/>
    <cellStyle name="표준 8 2 2" xfId="15656"/>
    <cellStyle name="표준 8 3" xfId="15657"/>
    <cellStyle name="표준 9" xfId="15658"/>
    <cellStyle name="표준 9 10" xfId="15659"/>
    <cellStyle name="표준 9 10 2" xfId="15660"/>
    <cellStyle name="표준 9 11" xfId="15661"/>
    <cellStyle name="표준 9 11 2" xfId="15662"/>
    <cellStyle name="표준 9 12" xfId="15663"/>
    <cellStyle name="표준 9 12 2" xfId="15664"/>
    <cellStyle name="표준 9 13" xfId="15665"/>
    <cellStyle name="표준 9 13 2" xfId="15666"/>
    <cellStyle name="표준 9 14" xfId="15667"/>
    <cellStyle name="표준 9 14 2" xfId="15668"/>
    <cellStyle name="표준 9 15" xfId="15669"/>
    <cellStyle name="표준 9 15 2" xfId="15670"/>
    <cellStyle name="표준 9 16" xfId="15671"/>
    <cellStyle name="표준 9 16 2" xfId="15672"/>
    <cellStyle name="표준 9 17" xfId="15673"/>
    <cellStyle name="표준 9 17 2" xfId="15674"/>
    <cellStyle name="표준 9 18" xfId="15675"/>
    <cellStyle name="표준 9 18 2" xfId="15676"/>
    <cellStyle name="표준 9 19" xfId="15677"/>
    <cellStyle name="표준 9 19 2" xfId="15678"/>
    <cellStyle name="표준 9 2" xfId="15679"/>
    <cellStyle name="표준 9 2 2" xfId="15680"/>
    <cellStyle name="표준 9 20" xfId="15681"/>
    <cellStyle name="표준 9 20 2" xfId="15682"/>
    <cellStyle name="표준 9 21" xfId="15683"/>
    <cellStyle name="표준 9 21 2" xfId="15684"/>
    <cellStyle name="표준 9 22" xfId="15685"/>
    <cellStyle name="표준 9 22 2" xfId="15686"/>
    <cellStyle name="표준 9 23" xfId="15687"/>
    <cellStyle name="표준 9 23 2" xfId="15688"/>
    <cellStyle name="표준 9 24" xfId="15689"/>
    <cellStyle name="표준 9 24 2" xfId="15690"/>
    <cellStyle name="표준 9 25" xfId="15691"/>
    <cellStyle name="표준 9 25 2" xfId="15692"/>
    <cellStyle name="표준 9 26" xfId="15693"/>
    <cellStyle name="표준 9 26 2" xfId="15694"/>
    <cellStyle name="표준 9 27" xfId="15695"/>
    <cellStyle name="표준 9 27 2" xfId="15696"/>
    <cellStyle name="표준 9 28" xfId="15697"/>
    <cellStyle name="표준 9 28 2" xfId="15698"/>
    <cellStyle name="표준 9 29" xfId="15699"/>
    <cellStyle name="표준 9 29 2" xfId="15700"/>
    <cellStyle name="표준 9 3" xfId="15701"/>
    <cellStyle name="표준 9 3 2" xfId="15702"/>
    <cellStyle name="표준 9 30" xfId="15703"/>
    <cellStyle name="표준 9 30 2" xfId="15704"/>
    <cellStyle name="표준 9 31" xfId="15705"/>
    <cellStyle name="표준 9 31 2" xfId="15706"/>
    <cellStyle name="표준 9 32" xfId="15707"/>
    <cellStyle name="표준 9 32 2" xfId="15708"/>
    <cellStyle name="표준 9 33" xfId="15709"/>
    <cellStyle name="표준 9 33 2" xfId="15710"/>
    <cellStyle name="표준 9 34" xfId="15711"/>
    <cellStyle name="표준 9 34 2" xfId="15712"/>
    <cellStyle name="표준 9 35" xfId="15713"/>
    <cellStyle name="표준 9 35 2" xfId="15714"/>
    <cellStyle name="표준 9 36" xfId="15715"/>
    <cellStyle name="표준 9 36 2" xfId="15716"/>
    <cellStyle name="표준 9 37" xfId="15717"/>
    <cellStyle name="표준 9 37 2" xfId="15718"/>
    <cellStyle name="표준 9 38" xfId="15719"/>
    <cellStyle name="표준 9 38 2" xfId="15720"/>
    <cellStyle name="표준 9 39" xfId="15721"/>
    <cellStyle name="표준 9 39 2" xfId="15722"/>
    <cellStyle name="표준 9 4" xfId="15723"/>
    <cellStyle name="표준 9 4 2" xfId="15724"/>
    <cellStyle name="표준 9 40" xfId="15725"/>
    <cellStyle name="표준 9 40 2" xfId="15726"/>
    <cellStyle name="표준 9 41" xfId="15727"/>
    <cellStyle name="표준 9 41 2" xfId="15728"/>
    <cellStyle name="표준 9 42" xfId="15729"/>
    <cellStyle name="표준 9 42 2" xfId="15730"/>
    <cellStyle name="표준 9 43" xfId="15731"/>
    <cellStyle name="표준 9 43 2" xfId="15732"/>
    <cellStyle name="표준 9 44" xfId="15733"/>
    <cellStyle name="표준 9 44 2" xfId="15734"/>
    <cellStyle name="표준 9 45" xfId="15735"/>
    <cellStyle name="표준 9 45 2" xfId="15736"/>
    <cellStyle name="표준 9 46" xfId="15737"/>
    <cellStyle name="표준 9 46 2" xfId="15738"/>
    <cellStyle name="표준 9 47" xfId="15739"/>
    <cellStyle name="표준 9 47 2" xfId="15740"/>
    <cellStyle name="표준 9 48" xfId="15741"/>
    <cellStyle name="표준 9 48 2" xfId="15742"/>
    <cellStyle name="표준 9 49" xfId="15743"/>
    <cellStyle name="표준 9 49 2" xfId="15744"/>
    <cellStyle name="표준 9 5" xfId="15745"/>
    <cellStyle name="표준 9 5 2" xfId="15746"/>
    <cellStyle name="표준 9 50" xfId="15747"/>
    <cellStyle name="표준 9 50 2" xfId="15748"/>
    <cellStyle name="표준 9 51" xfId="15749"/>
    <cellStyle name="표준 9 51 2" xfId="15750"/>
    <cellStyle name="표준 9 52" xfId="15751"/>
    <cellStyle name="표준 9 52 2" xfId="15752"/>
    <cellStyle name="표준 9 53" xfId="15753"/>
    <cellStyle name="표준 9 53 2" xfId="15754"/>
    <cellStyle name="표준 9 54" xfId="15755"/>
    <cellStyle name="표준 9 54 2" xfId="15756"/>
    <cellStyle name="표준 9 55" xfId="15757"/>
    <cellStyle name="표준 9 55 2" xfId="15758"/>
    <cellStyle name="표준 9 56" xfId="15759"/>
    <cellStyle name="표준 9 56 2" xfId="15760"/>
    <cellStyle name="표준 9 57" xfId="15761"/>
    <cellStyle name="표준 9 57 2" xfId="15762"/>
    <cellStyle name="표준 9 58" xfId="15763"/>
    <cellStyle name="표준 9 58 2" xfId="15764"/>
    <cellStyle name="표준 9 59" xfId="15765"/>
    <cellStyle name="표준 9 59 2" xfId="15766"/>
    <cellStyle name="표준 9 6" xfId="15767"/>
    <cellStyle name="표준 9 6 2" xfId="15768"/>
    <cellStyle name="표준 9 60" xfId="15769"/>
    <cellStyle name="표준 9 60 2" xfId="15770"/>
    <cellStyle name="표준 9 61" xfId="15771"/>
    <cellStyle name="표준 9 61 2" xfId="15772"/>
    <cellStyle name="표준 9 62" xfId="15773"/>
    <cellStyle name="표준 9 62 2" xfId="15774"/>
    <cellStyle name="표준 9 63" xfId="15775"/>
    <cellStyle name="표준 9 63 2" xfId="15776"/>
    <cellStyle name="표준 9 64" xfId="15777"/>
    <cellStyle name="표준 9 64 2" xfId="15778"/>
    <cellStyle name="표준 9 65" xfId="15779"/>
    <cellStyle name="표준 9 65 2" xfId="15780"/>
    <cellStyle name="표준 9 66" xfId="15781"/>
    <cellStyle name="표준 9 66 2" xfId="15782"/>
    <cellStyle name="표준 9 67" xfId="15783"/>
    <cellStyle name="표준 9 67 2" xfId="15784"/>
    <cellStyle name="표준 9 68" xfId="15785"/>
    <cellStyle name="표준 9 68 2" xfId="15786"/>
    <cellStyle name="표준 9 69" xfId="15787"/>
    <cellStyle name="표준 9 69 2" xfId="15788"/>
    <cellStyle name="표준 9 7" xfId="15789"/>
    <cellStyle name="표준 9 7 2" xfId="15790"/>
    <cellStyle name="표준 9 70" xfId="15791"/>
    <cellStyle name="표준 9 70 2" xfId="15792"/>
    <cellStyle name="표준 9 71" xfId="15793"/>
    <cellStyle name="표준 9 71 2" xfId="15794"/>
    <cellStyle name="표준 9 72" xfId="15795"/>
    <cellStyle name="표준 9 72 2" xfId="15796"/>
    <cellStyle name="표준 9 73" xfId="15797"/>
    <cellStyle name="표준 9 73 2" xfId="15798"/>
    <cellStyle name="표준 9 74" xfId="15799"/>
    <cellStyle name="표준 9 74 2" xfId="15800"/>
    <cellStyle name="표준 9 75" xfId="15801"/>
    <cellStyle name="표준 9 75 2" xfId="15802"/>
    <cellStyle name="표준 9 76" xfId="15803"/>
    <cellStyle name="표준 9 76 2" xfId="15804"/>
    <cellStyle name="표준 9 77" xfId="15805"/>
    <cellStyle name="표준 9 77 2" xfId="15806"/>
    <cellStyle name="표준 9 78" xfId="15807"/>
    <cellStyle name="표준 9 78 2" xfId="15808"/>
    <cellStyle name="표준 9 79" xfId="15809"/>
    <cellStyle name="표준 9 79 2" xfId="15810"/>
    <cellStyle name="표준 9 8" xfId="15811"/>
    <cellStyle name="표준 9 8 2" xfId="15812"/>
    <cellStyle name="표준 9 80" xfId="15813"/>
    <cellStyle name="표준 9 80 2" xfId="15814"/>
    <cellStyle name="표준 9 81" xfId="15815"/>
    <cellStyle name="표준 9 81 2" xfId="15816"/>
    <cellStyle name="표준 9 82" xfId="15817"/>
    <cellStyle name="표준 9 83" xfId="15818"/>
    <cellStyle name="표준 9 9" xfId="15819"/>
    <cellStyle name="표준 9 9 2" xfId="15820"/>
    <cellStyle name="標準_ ｹ-ﾌﾞﾙ物量(B)" xfId="15821"/>
    <cellStyle name="표준1" xfId="15822"/>
    <cellStyle name="표준1 2" xfId="15823"/>
    <cellStyle name="표준10" xfId="15824"/>
    <cellStyle name="표준2" xfId="15825"/>
    <cellStyle name="표준2 2" xfId="15826"/>
    <cellStyle name="표쥰" xfId="15827"/>
    <cellStyle name="표쥰 2" xfId="15828"/>
    <cellStyle name="하가는선" xfId="15829"/>
    <cellStyle name="하이퍼링크 2" xfId="15830"/>
    <cellStyle name="하이퍼링크 2 2" xfId="15831"/>
    <cellStyle name="하이퍼링크 3" xfId="15832"/>
    <cellStyle name="합계" xfId="15833"/>
    <cellStyle name="합계 2" xfId="15834"/>
    <cellStyle name="합산" xfId="15835"/>
    <cellStyle name="합산 2" xfId="15836"/>
    <cellStyle name="합산 2 2" xfId="15837"/>
    <cellStyle name="합산 2 2 2" xfId="15838"/>
    <cellStyle name="합산 2 3" xfId="15839"/>
    <cellStyle name="합산 3" xfId="15840"/>
    <cellStyle name="합산 3 2" xfId="15841"/>
    <cellStyle name="합산 4" xfId="15842"/>
    <cellStyle name="합산 4 2" xfId="15843"/>
    <cellStyle name="합산 5" xfId="15844"/>
    <cellStyle name="합산 6" xfId="15845"/>
    <cellStyle name="桁区切り [0.00]_laroux" xfId="15846"/>
    <cellStyle name="桁区切り_laroux" xfId="15847"/>
    <cellStyle name="垓" xfId="15848"/>
    <cellStyle name="垓 2" xfId="15849"/>
    <cellStyle name="화폐기호" xfId="15850"/>
    <cellStyle name="화폐기호 2" xfId="15851"/>
    <cellStyle name="화폐기호 2 2" xfId="15852"/>
    <cellStyle name="화폐기호 2 2 2" xfId="15853"/>
    <cellStyle name="화폐기호 2 3" xfId="15854"/>
    <cellStyle name="화폐기호 3" xfId="15855"/>
    <cellStyle name="화폐기호 3 2" xfId="15856"/>
    <cellStyle name="화폐기호 4" xfId="15857"/>
    <cellStyle name="화폐기호 4 2" xfId="15858"/>
    <cellStyle name="화폐기호 5" xfId="15859"/>
    <cellStyle name="화폐기호 6" xfId="15860"/>
    <cellStyle name="화폐기호 7" xfId="15861"/>
    <cellStyle name="화폐기호0" xfId="15862"/>
    <cellStyle name="화폐기호0 10" xfId="15863"/>
    <cellStyle name="화폐기호0 10 2" xfId="15864"/>
    <cellStyle name="화폐기호0 11" xfId="15865"/>
    <cellStyle name="화폐기호0 11 2" xfId="15866"/>
    <cellStyle name="화폐기호0 12" xfId="15867"/>
    <cellStyle name="화폐기호0 12 2" xfId="15868"/>
    <cellStyle name="화폐기호0 13" xfId="15869"/>
    <cellStyle name="화폐기호0 13 2" xfId="15870"/>
    <cellStyle name="화폐기호0 14" xfId="15871"/>
    <cellStyle name="화폐기호0 15" xfId="15872"/>
    <cellStyle name="화폐기호0 16" xfId="15873"/>
    <cellStyle name="화폐기호0 2" xfId="15874"/>
    <cellStyle name="화폐기호0 2 2" xfId="15875"/>
    <cellStyle name="화폐기호0 2 2 2" xfId="15876"/>
    <cellStyle name="화폐기호0 2 3" xfId="15877"/>
    <cellStyle name="화폐기호0 3" xfId="15878"/>
    <cellStyle name="화폐기호0 3 2" xfId="15879"/>
    <cellStyle name="화폐기호0 4" xfId="15880"/>
    <cellStyle name="화폐기호0 4 2" xfId="15881"/>
    <cellStyle name="화폐기호0 5" xfId="15882"/>
    <cellStyle name="화폐기호0 5 2" xfId="15883"/>
    <cellStyle name="화폐기호0 6" xfId="15884"/>
    <cellStyle name="화폐기호0 6 2" xfId="15885"/>
    <cellStyle name="화폐기호0 7" xfId="15886"/>
    <cellStyle name="화폐기호0 7 2" xfId="15887"/>
    <cellStyle name="화폐기호0 8" xfId="15888"/>
    <cellStyle name="화폐기호0 8 2" xfId="15889"/>
    <cellStyle name="화폐기호0 9" xfId="15890"/>
    <cellStyle name="화폐기호0 9 2" xfId="15891"/>
    <cellStyle name="화폐기호0_1부여부지 콘도미니엄 신축공사 AV설비 견적서_20100121" xfId="15892"/>
    <cellStyle name="ㅏㅏㅏ" xfId="15893"/>
    <cellStyle name="ㅣㅣ" xfId="15894"/>
    <cellStyle name="표준 45" xfId="15895"/>
    <cellStyle name="백분율 7" xfId="15896"/>
    <cellStyle name="쉼표 [0] 67" xfId="15897"/>
    <cellStyle name="쉼표 [0] 2 15" xfId="15898"/>
    <cellStyle name="표준 2 37" xfId="15899"/>
    <cellStyle name="표준 46" xfId="15900"/>
    <cellStyle name="쉼표 [0] 68" xfId="15901"/>
    <cellStyle name="표준 2 38" xfId="15902"/>
    <cellStyle name="표준 47" xfId="15903"/>
    <cellStyle name="쉼표 [0] 69" xfId="15904"/>
    <cellStyle name="표준 2 39" xfId="15905"/>
    <cellStyle name="표준 48" xfId="15906"/>
    <cellStyle name="쉼표 [0] 70" xfId="15907"/>
    <cellStyle name="표준 2 40" xfId="15908"/>
    <cellStyle name="표준 49" xfId="15909"/>
    <cellStyle name="쉼표 [0] 71" xfId="15910"/>
    <cellStyle name="표준 2 41" xfId="15911"/>
    <cellStyle name="표준 50" xfId="15912"/>
    <cellStyle name="쉼표 [0] 72" xfId="15913"/>
    <cellStyle name="표준 2 42" xfId="15914"/>
    <cellStyle name="표준 51" xfId="15915"/>
    <cellStyle name="쉼표 [0] 73" xfId="15916"/>
    <cellStyle name="표준 2 43" xfId="15917"/>
    <cellStyle name="표준 52" xfId="15918"/>
    <cellStyle name="쉼표 [0] 74" xfId="15919"/>
    <cellStyle name="표준 2 44" xfId="15920"/>
    <cellStyle name="표준 53" xfId="15921"/>
    <cellStyle name="쉼표 [0] 75" xfId="15922"/>
    <cellStyle name="표준 2 45" xfId="15923"/>
    <cellStyle name="표준 54" xfId="15924"/>
    <cellStyle name="표준 55" xfId="15925"/>
    <cellStyle name="표준 56" xfId="15926"/>
    <cellStyle name="표준 57" xfId="15927"/>
    <cellStyle name="백분율 8" xfId="15928"/>
    <cellStyle name="쉼표 [0] 76" xfId="15929"/>
    <cellStyle name="표준 2 46" xfId="15930"/>
    <cellStyle name="표준 58" xfId="15931"/>
    <cellStyle name="백분율 9" xfId="15932"/>
    <cellStyle name="쉼표 [0] 77" xfId="15933"/>
    <cellStyle name="표준 2 47" xfId="15934"/>
    <cellStyle name="표준 59" xfId="15935"/>
    <cellStyle name="백분율 10" xfId="15936"/>
    <cellStyle name="쉼표 [0] 79" xfId="15937"/>
    <cellStyle name="표준 2 48" xfId="15938"/>
    <cellStyle name="표준 60" xfId="15939"/>
    <cellStyle name="백분율 11" xfId="15940"/>
    <cellStyle name="쉼표 [0] 80" xfId="15941"/>
    <cellStyle name="표준 2 49" xfId="15942"/>
    <cellStyle name="표준 61" xfId="15943"/>
    <cellStyle name="백분율 12" xfId="15944"/>
    <cellStyle name="쉼표 [0] 81" xfId="15945"/>
    <cellStyle name="표준 2 50" xfId="15946"/>
    <cellStyle name="쉼표 [0] 102" xfId="15947"/>
    <cellStyle name="쉼표 [0] 2 16" xfId="15948"/>
    <cellStyle name="표준 2 3 2 4" xfId="15949"/>
    <cellStyle name="표준 2 2 16" xfId="15950"/>
    <cellStyle name="표준 10 5" xfId="15951"/>
    <cellStyle name="표준 2 3 5" xfId="15952"/>
    <cellStyle name="쉼표 [0] 2 2 6" xfId="15953"/>
    <cellStyle name="_스케쥴 프로세스" xfId="15954"/>
    <cellStyle name="_자라다(견적서)" xfId="15955"/>
    <cellStyle name="0,0_x000d__x000a_NA_x000d__x000a_" xfId="15956"/>
    <cellStyle name="20% - Accent1" xfId="15957"/>
    <cellStyle name="20% - Accent2" xfId="15958"/>
    <cellStyle name="20% - Accent3" xfId="15959"/>
    <cellStyle name="20% - Accent4" xfId="15960"/>
    <cellStyle name="20% - Accent5" xfId="15961"/>
    <cellStyle name="20% - Accent6" xfId="15962"/>
    <cellStyle name="40% - Accent1" xfId="15963"/>
    <cellStyle name="40% - Accent2" xfId="15964"/>
    <cellStyle name="40% - Accent3" xfId="15965"/>
    <cellStyle name="40% - Accent4" xfId="15966"/>
    <cellStyle name="40% - Accent5" xfId="15967"/>
    <cellStyle name="40% - Accent6" xfId="15968"/>
    <cellStyle name="60% - Accent1" xfId="15969"/>
    <cellStyle name="60% - Accent2" xfId="15970"/>
    <cellStyle name="60% - Accent3" xfId="15971"/>
    <cellStyle name="60% - Accent4" xfId="15972"/>
    <cellStyle name="60% - Accent5" xfId="15973"/>
    <cellStyle name="60% - Accent6" xfId="15974"/>
    <cellStyle name="Accent1" xfId="15975"/>
    <cellStyle name="Accent2" xfId="15976"/>
    <cellStyle name="Accent3" xfId="15977"/>
    <cellStyle name="Accent4" xfId="15978"/>
    <cellStyle name="Accent5" xfId="15979"/>
    <cellStyle name="Accent6" xfId="15980"/>
    <cellStyle name="Bad" xfId="15981"/>
    <cellStyle name="Calculation" xfId="15982"/>
    <cellStyle name="Check Cell" xfId="15983"/>
    <cellStyle name="Explanatory Text" xfId="15984"/>
    <cellStyle name="Good" xfId="15985"/>
    <cellStyle name="Heading 3" xfId="15986"/>
    <cellStyle name="Heading 4" xfId="15987"/>
    <cellStyle name="Linked Cell" xfId="15988"/>
    <cellStyle name="Neutral" xfId="15989"/>
    <cellStyle name="Note" xfId="15990"/>
    <cellStyle name="Output" xfId="15991"/>
    <cellStyle name="Title_총괄집계1006_전시수정" xfId="15992"/>
    <cellStyle name="Warning Text" xfId="15993"/>
    <cellStyle name="표준 62" xfId="15994"/>
    <cellStyle name="표준 63" xfId="15995"/>
    <cellStyle name="쉼표 [0] 82" xfId="15996"/>
    <cellStyle name="표준 2 2 2 6" xfId="15997"/>
    <cellStyle name="쉼표 [0] 2 2 3 4" xfId="15998"/>
    <cellStyle name="표준 2 51" xfId="15999"/>
    <cellStyle name="표준 15 6" xfId="16000"/>
    <cellStyle name="표준 14 7" xfId="16001"/>
    <cellStyle name="쉼표 [0] 9 6" xfId="16002"/>
    <cellStyle name="&quot;큰제목&quot;" xfId="16003"/>
    <cellStyle name="(##.00) 2" xfId="16004"/>
    <cellStyle name="Input 10" xfId="16005"/>
    <cellStyle name="_(01-14)광양항인건비" xfId="16006"/>
    <cellStyle name="_00 단가산출서 9호선,공항,공용" xfId="16007"/>
    <cellStyle name="_01" xfId="16008"/>
    <cellStyle name="_01~02 1-1A,1B 구간 공사용 임시전력공사 내역서" xfId="16009"/>
    <cellStyle name="_0106-06-007 금속 및 수장공사 단가견적- 대림" xfId="16010"/>
    <cellStyle name="_01년하반기계획" xfId="16011"/>
    <cellStyle name="_050728 IBM Lounge Renovation Work" xfId="16012"/>
    <cellStyle name="_050805 스파피스-입찰내역서" xfId="16013"/>
    <cellStyle name="_06.내역서(경관설비공사)-설계비 변경(9월14일)" xfId="16014"/>
    <cellStyle name="_06월소장단회의" xfId="16015"/>
    <cellStyle name="_1. 총괄(제조+설치)" xfId="16016"/>
    <cellStyle name="_1+2.무인발매기(제조+구매)-2" xfId="16017"/>
    <cellStyle name="_11.통합보안관리서버" xfId="16018"/>
    <cellStyle name="_1차_착수서류-내역서" xfId="16019"/>
    <cellStyle name="_1차변경내역(전기)최종계약" xfId="16020"/>
    <cellStyle name="_2. 모형제조" xfId="16021"/>
    <cellStyle name="_2000-10회의" xfId="16022"/>
    <cellStyle name="_2001년분 실행" xfId="16023"/>
    <cellStyle name="_2001년스케쥴" xfId="16024"/>
    <cellStyle name="_2001년업무(재조정)" xfId="16025"/>
    <cellStyle name="_2차변경내역(전기)작업" xfId="16026"/>
    <cellStyle name="_3. 영상SW(용역)" xfId="16027"/>
    <cellStyle name="_7월예정공정표" xfId="16028"/>
    <cellStyle name="_8월공무정산(서동조정)" xfId="16029"/>
    <cellStyle name="_9월소장단회의" xfId="16030"/>
    <cellStyle name="_A,C부지 예산서" xfId="16031"/>
    <cellStyle name="_AIG 본사 8층 07(1).04.05 3시" xfId="16032"/>
    <cellStyle name="_AIG 생명보험 대전지점 인테리어공사 (1028)" xfId="16033"/>
    <cellStyle name="_AIG 생명보험 분당지점 인테리어공사 (0822)-제출" xfId="16034"/>
    <cellStyle name="_AIG 생명보험 순천지점 인테리어공사 (1019)" xfId="16035"/>
    <cellStyle name="_AIG생명보험 강남#3 OFFICE 인테리어공사(1025)- 제출" xfId="16036"/>
    <cellStyle name="_AIG생명보험 강남지점 인테리어공사 - 제출(0822)" xfId="16037"/>
    <cellStyle name="_AIG생명보험 김해지점 인테리어공사(1028)" xfId="16038"/>
    <cellStyle name="_AIG생명보험 일산지점 인테리어공사(0526)" xfId="16039"/>
    <cellStyle name="_B(1).OQ 70402 AIG 서비스 임시사무실 파티션 전열공사." xfId="16040"/>
    <cellStyle name="_Bid Form for GE1(Dawon) 050912" xfId="16041"/>
    <cellStyle name="_Book3" xfId="16042"/>
    <cellStyle name="_BOQ-AIG 생명보험 순천지점 인테리어공사 (1009)" xfId="16043"/>
    <cellStyle name="_cover" xfId="16044"/>
    <cellStyle name="_FCST (2)" xfId="16045"/>
    <cellStyle name="_X" xfId="16046"/>
    <cellStyle name="_가로등+점검등산출" xfId="16047"/>
    <cellStyle name="_갑지(1221)" xfId="16048"/>
    <cellStyle name="_갑지(총)" xfId="16049"/>
    <cellStyle name="_강과장(Fronnix,설계가1126)" xfId="16050"/>
    <cellStyle name="_개소별(본설계신설 익산~초강)-01준공" xfId="16051"/>
    <cellStyle name="_개요" xfId="16052"/>
    <cellStyle name="_개요(봉림)-참고용" xfId="16053"/>
    <cellStyle name="_개요(봉림)-최종" xfId="16054"/>
    <cellStyle name="_개요(주안-인천)" xfId="16055"/>
    <cellStyle name="_견적 - T-PROJECT 홍보관_071019-최종-1" xfId="16056"/>
    <cellStyle name="_견적서(1014)" xfId="16057"/>
    <cellStyle name="_견적서(한국경제정책연구소)-20050128" xfId="16058"/>
    <cellStyle name="_견적서-0213-CACC" xfId="16059"/>
    <cellStyle name="Heading2 18" xfId="16060"/>
    <cellStyle name="_견적서-제출용0325-서울시" xfId="16061"/>
    <cellStyle name="_경북031002" xfId="16062"/>
    <cellStyle name="_공무월간보고" xfId="16063"/>
    <cellStyle name="_공무월간보고_공무정산양식(10월초)" xfId="16064"/>
    <cellStyle name="_공무월간보고_공무정산양식(10월초)_기성내역서" xfId="16065"/>
    <cellStyle name="_공무월간보고_공무정산양식(10월초)_기성내역서_전체계약변경(03)" xfId="16066"/>
    <cellStyle name="_공무월간보고_공무정산양식(10월초)_전체계약변경(03)" xfId="16067"/>
    <cellStyle name="_공무월간보고_공무정산양식(10월초)_포장외건(최종)" xfId="16068"/>
    <cellStyle name="_공무월간보고_기성내역서" xfId="16069"/>
    <cellStyle name="_공무월간보고_기성내역서_전체계약변경(03)" xfId="16070"/>
    <cellStyle name="_공무월간보고_전체계약변경(03)" xfId="16071"/>
    <cellStyle name="_공무월간보고_포장외건(최종)" xfId="16072"/>
    <cellStyle name="_공무정산0104" xfId="16073"/>
    <cellStyle name="_공무정산0104_공무정산양식(10월초)" xfId="16074"/>
    <cellStyle name="_공무정산0104_공무정산양식(10월초)_기성내역서" xfId="16075"/>
    <cellStyle name="_공무정산0104_공무정산양식(10월초)_기성내역서_전체계약변경(03)" xfId="16076"/>
    <cellStyle name="_공무정산0104_공무정산양식(10월초)_전체계약변경(03)" xfId="16077"/>
    <cellStyle name="_공무정산0104_공무정산양식(10월초)_포장외건(최종)" xfId="16078"/>
    <cellStyle name="_공무정산0104_기성내역서" xfId="16079"/>
    <cellStyle name="_공무정산0104_기성내역서_전체계약변경(03)" xfId="16080"/>
    <cellStyle name="_공무정산0104_전체계약변경(03)" xfId="16081"/>
    <cellStyle name="_공무정산0104_포장외건(최종)" xfId="16082"/>
    <cellStyle name="_공문" xfId="16083"/>
    <cellStyle name="_관리비&amp; 공통부대공(원덕)" xfId="16084"/>
    <cellStyle name="_광주증설교체" xfId="16085"/>
    <cellStyle name="_구조물적산(안양지청)-20080501" xfId="16086"/>
    <cellStyle name="_궁안교시행구분" xfId="16087"/>
    <cellStyle name="_궁안교用" xfId="16088"/>
    <cellStyle name="_기타경비" xfId="16089"/>
    <cellStyle name="_김포ER(세종)" xfId="16090"/>
    <cellStyle name="_남양-팔탄(+0%)" xfId="16091"/>
    <cellStyle name="_남양-팔탄(+0%)_(가)실행" xfId="16092"/>
    <cellStyle name="_남양-팔탄(+0%)_(가)실행_(가)실행" xfId="16093"/>
    <cellStyle name="_남양-팔탄(+0%)_(가)실행_(가)실행2" xfId="16094"/>
    <cellStyle name="_남양-팔탄(+0%)_(가)실행_중동성황(가)실행" xfId="16095"/>
    <cellStyle name="_남양-팔탄(+0%)_가실행(공설운동장)" xfId="16096"/>
    <cellStyle name="_남양-팔탄(+0%)_가실행(공설운동장)_(가)실행" xfId="16097"/>
    <cellStyle name="_남양-팔탄(+0%)_가실행(공설운동장)_(가)실행2" xfId="16098"/>
    <cellStyle name="_남양-팔탄(+0%)_가실행(공설운동장)_중동성황(가)실행" xfId="16099"/>
    <cellStyle name="_남양-팔탄(+0%)_가실행(송탄IC)" xfId="16100"/>
    <cellStyle name="_남양-팔탄(+0%)_가실행(송탄IC)_(가)실행" xfId="16101"/>
    <cellStyle name="_남양-팔탄(+0%)_가실행(송탄IC)_(가)실행2" xfId="16102"/>
    <cellStyle name="_남양-팔탄(+0%)_가실행(송탄IC)_중동성황(가)실행" xfId="16103"/>
    <cellStyle name="_남양-팔탄(+0%)_중동성황(가)실행" xfId="16104"/>
    <cellStyle name="_남양-팔탄(+0%)_중동성황(가)실행_(가)실행" xfId="16105"/>
    <cellStyle name="_남양-팔탄(+0%)_중동성황(가)실행_(가)실행2" xfId="16106"/>
    <cellStyle name="_남양-팔탄(+0%)_중동성황(가)실행_중동성황(가)실행" xfId="16107"/>
    <cellStyle name="_남양-팔탄(+0%)_중동-성황투찰(new)(발주자변경)" xfId="16108"/>
    <cellStyle name="_남양-팔탄(+0%)_중동-성황투찰(new)(발주자변경)_(가)실행" xfId="16109"/>
    <cellStyle name="_남양-팔탄(+0%)_중동-성황투찰(new)(발주자변경)_(가)실행2" xfId="16110"/>
    <cellStyle name="_남양-팔탄(+0%)_중동-성황투찰(new)(발주자변경)_중동성황(가)실행" xfId="16111"/>
    <cellStyle name="_남양-팔탄(+0%)_토공및구조물" xfId="16112"/>
    <cellStyle name="_남양-팔탄(+0%)_토공및구조물_(가)실행" xfId="16113"/>
    <cellStyle name="_남양-팔탄(+0%)_토공및구조물_(가)실행2" xfId="16114"/>
    <cellStyle name="_남양-팔탄(+0%)_토공및구조물_중동성황(가)실행" xfId="16115"/>
    <cellStyle name="_남양-팔탄(공무)" xfId="16116"/>
    <cellStyle name="_남양-팔탄(공무)_(가)실행" xfId="16117"/>
    <cellStyle name="_남양-팔탄(공무)_(가)실행2" xfId="16118"/>
    <cellStyle name="_남양-팔탄(공무)_중동성황(가)실행" xfId="16119"/>
    <cellStyle name="_내역(991895-7)" xfId="16120"/>
    <cellStyle name="_내역(991895-7)-01" xfId="16121"/>
    <cellStyle name="_내역(991895-7)-12-3일작업" xfId="16122"/>
    <cellStyle name="_내역서(계약기준)" xfId="16123"/>
    <cellStyle name="_내역서(밀양시)" xfId="16124"/>
    <cellStyle name="_내역서+개요(월배통신)" xfId="16125"/>
    <cellStyle name="_내역서+개요(전기)-6.7(최종)" xfId="16126"/>
    <cellStyle name="_내역서+개요(통신)" xfId="16127"/>
    <cellStyle name="_내역서및산출근거(변경전안양지청)" xfId="16128"/>
    <cellStyle name="_내역서및설계서" xfId="16129"/>
    <cellStyle name="_단가산출서(합)" xfId="16130"/>
    <cellStyle name="_단가조사표 3" xfId="16131"/>
    <cellStyle name="_달산대학用" xfId="16132"/>
    <cellStyle name="_대구박물관_내역서" xfId="16133"/>
    <cellStyle name="_대전망운용국 대수선 전기공사+개요" xfId="16134"/>
    <cellStyle name="_동목포전화국제4회기성청구서" xfId="16135"/>
    <cellStyle name="_둔전~삼계리내역서(가로등)-수정" xfId="16136"/>
    <cellStyle name="_라이나 대구 (8차)" xfId="16137"/>
    <cellStyle name="_말띠고개(수정)" xfId="16138"/>
    <cellStyle name="_모형-내역서(12)" xfId="16139"/>
    <cellStyle name="_발산지구내역서" xfId="16140"/>
    <cellStyle name="_변경계약분실행및2001년실행(견적비교포함)" xfId="16141"/>
    <cellStyle name="_변경계약분실행및2001년실행(견적비교포함)_공무정산양식(10월초)" xfId="16142"/>
    <cellStyle name="_변경계약분실행및2001년실행(견적비교포함)_공무정산양식(10월초)_기성내역서" xfId="16143"/>
    <cellStyle name="_변경계약분실행및2001년실행(견적비교포함)_공무정산양식(10월초)_기성내역서_전체계약변경(03)" xfId="16144"/>
    <cellStyle name="_변경계약분실행및2001년실행(견적비교포함)_공무정산양식(10월초)_전체계약변경(03)" xfId="16145"/>
    <cellStyle name="_변경계약분실행및2001년실행(견적비교포함)_공무정산양식(10월초)_포장외건(최종)" xfId="16146"/>
    <cellStyle name="_변경계약분실행및2001년실행(견적비교포함)_기성내역서" xfId="16147"/>
    <cellStyle name="_변경계약분실행및2001년실행(견적비교포함)_기성내역서_전체계약변경(03)" xfId="16148"/>
    <cellStyle name="_변경계약분실행및2001년실행(견적비교포함)_전체계약변경(03)" xfId="16149"/>
    <cellStyle name="_변경계약분실행및2001년실행(견적비교포함)_포장외건(최종)" xfId="16150"/>
    <cellStyle name="_변경내역서 -3" xfId="16151"/>
    <cellStyle name="_변경물량산출(최종)-" xfId="16152"/>
    <cellStyle name="_보고서 cover" xfId="16153"/>
    <cellStyle name="_복사본 The Gale Company Renovation Work (0202)" xfId="16154"/>
    <cellStyle name="_봉림고교 교사신축(최종)" xfId="16155"/>
    <cellStyle name="_봉림고교 교사신축(최종)-참고용" xfId="16156"/>
    <cellStyle name="_부안지구투찰2" xfId="16157"/>
    <cellStyle name="_산출(신현터널 일운)" xfId="16158"/>
    <cellStyle name="_서울 지하철 7호선 연장 내역서" xfId="16159"/>
    <cellStyle name="_서울여대(20020516)" xfId="16160"/>
    <cellStyle name="_설계변경내역(최종)-" xfId="16161"/>
    <cellStyle name="_설계서갑지" xfId="16162"/>
    <cellStyle name="_설계원가 및 손익계산서(극장)" xfId="16163"/>
    <cellStyle name="_설계원가 및 손익계산서(백화점)" xfId="16164"/>
    <cellStyle name="_설계원가 및 손익계산서(이광환)" xfId="16165"/>
    <cellStyle name="_설비(1218)" xfId="16166"/>
    <cellStyle name="_수락설계변경내역(감리검토)" xfId="16167"/>
    <cellStyle name="_수량표(아주포함)" xfId="16168"/>
    <cellStyle name="_시설 언더패스 견적-40202" xfId="16169"/>
    <cellStyle name="_시설 언더패스 견적-40204" xfId="16170"/>
    <cellStyle name="_시설 언더패스 견적-40225" xfId="16171"/>
    <cellStyle name="_실정보고설명서(전차선 접지단자함 배관 및 배선)-송촌" xfId="16172"/>
    <cellStyle name="_안양지청구조물내역서-20080524" xfId="16173"/>
    <cellStyle name="_양식모음" xfId="16174"/>
    <cellStyle name="_양식모음1" xfId="16175"/>
    <cellStyle name="_여수우회" xfId="16176"/>
    <cellStyle name="_영산강-금호(부대내역)" xfId="16177"/>
    <cellStyle name="_영산강-금호(부대내역)_공무정산양식(10월초)" xfId="16178"/>
    <cellStyle name="_영산강-금호(부대내역)_공무정산양식(10월초)_기성내역서" xfId="16179"/>
    <cellStyle name="_영산강-금호(부대내역)_공무정산양식(10월초)_기성내역서_전체계약변경(03)" xfId="16180"/>
    <cellStyle name="_영산강-금호(부대내역)_공무정산양식(10월초)_전체계약변경(03)" xfId="16181"/>
    <cellStyle name="_영산강-금호(부대내역)_공무정산양식(10월초)_포장외건(최종)" xfId="16182"/>
    <cellStyle name="_영산강-금호(부대내역)_기성내역서" xfId="16183"/>
    <cellStyle name="_영산강-금호(부대내역)_기성내역서_전체계약변경(03)" xfId="16184"/>
    <cellStyle name="_영산강-금호(부대내역)_전체계약변경(03)" xfId="16185"/>
    <cellStyle name="_영산강-금호(부대내역)_포장외건(최종)" xfId="16186"/>
    <cellStyle name="_영상S" xfId="16187"/>
    <cellStyle name="_예산서(이화철교)" xfId="16188"/>
    <cellStyle name="_예정공정표" xfId="16189"/>
    <cellStyle name="_예정공정표2" xfId="16190"/>
    <cellStyle name="_울산강동교차로계산서(최종)06.07(wp)" xfId="16191"/>
    <cellStyle name="_울산강동터널계산서(수정본2)" xfId="16192"/>
    <cellStyle name="_울산강동터널계산서(최종)REV2" xfId="16193"/>
    <cellStyle name="_울산역구내외1단가산출서" xfId="16194"/>
    <cellStyle name="_울산역구내외1단가산출서_1" xfId="16195"/>
    <cellStyle name="_원가분석(1217)" xfId="16196"/>
    <cellStyle name="_원가분석(아이0208)" xfId="16197"/>
    <cellStyle name="Heading1 18" xfId="16198"/>
    <cellStyle name="_월예정공정표" xfId="16199"/>
    <cellStyle name="_음암관리비" xfId="16200"/>
    <cellStyle name="_인원계획표 _(가)실행" xfId="16201"/>
    <cellStyle name="_인원계획표 _(가)실행_(가)실행" xfId="16202"/>
    <cellStyle name="_인원계획표 _(가)실행_(가)실행2" xfId="16203"/>
    <cellStyle name="_인원계획표 _(가)실행_중동성황(가)실행" xfId="16204"/>
    <cellStyle name="_인원계획표 _가실행(공설운동장)" xfId="16205"/>
    <cellStyle name="_인원계획표 _가실행(공설운동장)_(가)실행" xfId="16206"/>
    <cellStyle name="_인원계획표 _가실행(공설운동장)_(가)실행2" xfId="16207"/>
    <cellStyle name="_인원계획표 _가실행(공설운동장)_중동성황(가)실행" xfId="16208"/>
    <cellStyle name="_인원계획표 _가실행(송탄IC)" xfId="16209"/>
    <cellStyle name="_인원계획표 _가실행(송탄IC)_(가)실행" xfId="16210"/>
    <cellStyle name="_인원계획표 _가실행(송탄IC)_(가)실행2" xfId="16211"/>
    <cellStyle name="_인원계획표 _가실행(송탄IC)_중동성황(가)실행" xfId="16212"/>
    <cellStyle name="_인원계획표 _중동성황(가)실행" xfId="16213"/>
    <cellStyle name="_인원계획표 _중동성황(가)실행_(가)실행" xfId="16214"/>
    <cellStyle name="_인원계획표 _중동성황(가)실행_(가)실행2" xfId="16215"/>
    <cellStyle name="_인원계획표 _중동성황(가)실행_중동성황(가)실행" xfId="16216"/>
    <cellStyle name="_인원계획표 _중동-성황투찰(new)(발주자변경)" xfId="16217"/>
    <cellStyle name="_인원계획표 _중동-성황투찰(new)(발주자변경)_(가)실행" xfId="16218"/>
    <cellStyle name="_인원계획표 _중동-성황투찰(new)(발주자변경)_(가)실행2" xfId="16219"/>
    <cellStyle name="_인원계획표 _중동-성황투찰(new)(발주자변경)_중동성황(가)실행" xfId="16220"/>
    <cellStyle name="_인원계획표 _토공및구조물" xfId="16221"/>
    <cellStyle name="_인원계획표 _토공및구조물_(가)실행" xfId="16222"/>
    <cellStyle name="_인원계획표 _토공및구조물_(가)실행2" xfId="16223"/>
    <cellStyle name="_인원계획표 _토공및구조물_중동성황(가)실행" xfId="16224"/>
    <cellStyle name="_인원계획표 _토공및터널발주" xfId="16225"/>
    <cellStyle name="_인원계획표 _토공및터널발주분내역서1" xfId="16226"/>
    <cellStyle name="_입찰표지 _(가)실행" xfId="16227"/>
    <cellStyle name="_입찰표지 _(가)실행_(가)실행" xfId="16228"/>
    <cellStyle name="_입찰표지 _(가)실행_(가)실행2" xfId="16229"/>
    <cellStyle name="_입찰표지 _(가)실행_중동성황(가)실행" xfId="16230"/>
    <cellStyle name="_입찰표지 _가실행(공설운동장)" xfId="16231"/>
    <cellStyle name="_입찰표지 _가실행(공설운동장)_(가)실행" xfId="16232"/>
    <cellStyle name="_입찰표지 _가실행(공설운동장)_(가)실행2" xfId="16233"/>
    <cellStyle name="_입찰표지 _가실행(공설운동장)_중동성황(가)실행" xfId="16234"/>
    <cellStyle name="_입찰표지 _가실행(송탄IC)" xfId="16235"/>
    <cellStyle name="_입찰표지 _가실행(송탄IC)_(가)실행" xfId="16236"/>
    <cellStyle name="_입찰표지 _가실행(송탄IC)_(가)실행2" xfId="16237"/>
    <cellStyle name="_입찰표지 _가실행(송탄IC)_중동성황(가)실행" xfId="16238"/>
    <cellStyle name="_입찰표지 _중동성황(가)실행" xfId="16239"/>
    <cellStyle name="_입찰표지 _중동성황(가)실행_(가)실행" xfId="16240"/>
    <cellStyle name="_입찰표지 _중동성황(가)실행_(가)실행2" xfId="16241"/>
    <cellStyle name="_입찰표지 _중동성황(가)실행_중동성황(가)실행" xfId="16242"/>
    <cellStyle name="_입찰표지 _중동-성황투찰(new)(발주자변경)" xfId="16243"/>
    <cellStyle name="_입찰표지 _중동-성황투찰(new)(발주자변경)_(가)실행" xfId="16244"/>
    <cellStyle name="_입찰표지 _중동-성황투찰(new)(발주자변경)_(가)실행2" xfId="16245"/>
    <cellStyle name="_입찰표지 _중동-성황투찰(new)(발주자변경)_중동성황(가)실행" xfId="16246"/>
    <cellStyle name="_입찰표지 _토공및구조물" xfId="16247"/>
    <cellStyle name="_입찰표지 _토공및구조물_(가)실행" xfId="16248"/>
    <cellStyle name="_입찰표지 _토공및구조물_(가)실행2" xfId="16249"/>
    <cellStyle name="_입찰표지 _토공및구조물_중동성황(가)실행" xfId="16250"/>
    <cellStyle name="_입찰표지 _토공및터널발주" xfId="16251"/>
    <cellStyle name="_입찰표지 _토공및터널발주분내역서1" xfId="16252"/>
    <cellStyle name="_장현중(내역서+개요)" xfId="16253"/>
    <cellStyle name="_적격(화산) _(가)실행" xfId="16254"/>
    <cellStyle name="_적격(화산) _(가)실행_(가)실행" xfId="16255"/>
    <cellStyle name="_적격(화산) _(가)실행_(가)실행2" xfId="16256"/>
    <cellStyle name="_적격(화산) _(가)실행_중동성황(가)실행" xfId="16257"/>
    <cellStyle name="_적격(화산) _가실행(공설운동장)" xfId="16258"/>
    <cellStyle name="_적격(화산) _가실행(공설운동장)_(가)실행" xfId="16259"/>
    <cellStyle name="_적격(화산) _가실행(공설운동장)_(가)실행2" xfId="16260"/>
    <cellStyle name="_적격(화산) _가실행(공설운동장)_중동성황(가)실행" xfId="16261"/>
    <cellStyle name="_적격(화산) _가실행(송탄IC)" xfId="16262"/>
    <cellStyle name="_적격(화산) _가실행(송탄IC)_(가)실행" xfId="16263"/>
    <cellStyle name="_적격(화산) _가실행(송탄IC)_(가)실행2" xfId="16264"/>
    <cellStyle name="_적격(화산) _가실행(송탄IC)_중동성황(가)실행" xfId="16265"/>
    <cellStyle name="_적격(화산) _중동성황(가)실행" xfId="16266"/>
    <cellStyle name="_적격(화산) _중동성황(가)실행_(가)실행" xfId="16267"/>
    <cellStyle name="_적격(화산) _중동성황(가)실행_(가)실행2" xfId="16268"/>
    <cellStyle name="_적격(화산) _중동성황(가)실행_중동성황(가)실행" xfId="16269"/>
    <cellStyle name="_적격(화산) _중동-성황투찰(new)(발주자변경)" xfId="16270"/>
    <cellStyle name="_적격(화산) _중동-성황투찰(new)(발주자변경)_(가)실행" xfId="16271"/>
    <cellStyle name="_적격(화산) _중동-성황투찰(new)(발주자변경)_(가)실행2" xfId="16272"/>
    <cellStyle name="_적격(화산) _중동-성황투찰(new)(발주자변경)_중동성황(가)실행" xfId="16273"/>
    <cellStyle name="_적격(화산) _토공및구조물" xfId="16274"/>
    <cellStyle name="_적격(화산) _토공및구조물_(가)실행" xfId="16275"/>
    <cellStyle name="_적격(화산) _토공및구조물_(가)실행2" xfId="16276"/>
    <cellStyle name="_적격(화산) _토공및구조물_중동성황(가)실행" xfId="16277"/>
    <cellStyle name="_적격(화산) _토공및터널발주" xfId="16278"/>
    <cellStyle name="_적격(화산) _토공및터널발주분내역서1" xfId="16279"/>
    <cellStyle name="_전기공사실정보고내역" xfId="16280"/>
    <cellStyle name="_전기내역서CC-NEW" xfId="16281"/>
    <cellStyle name="_전기실정보고건" xfId="16282"/>
    <cellStyle name="_전체실행(현장)(자재비포함)" xfId="16283"/>
    <cellStyle name="_제출 B.O.Q - 0700327 AIG생명보험 본사 8층" xfId="16284"/>
    <cellStyle name="_제출-SOMERSET HOTEL07.03.02" xfId="16285"/>
    <cellStyle name="_주덕투찰내역서" xfId="16286"/>
    <cellStyle name="_청문당 내역보완" xfId="16287"/>
    <cellStyle name="_최종내역서(52)" xfId="16288"/>
    <cellStyle name="_춘천전화국증축통신+개요" xfId="16289"/>
    <cellStyle name="_춘천합동내역+개요(수정한최종)" xfId="16290"/>
    <cellStyle name="_칠서도로2000-1225" xfId="16291"/>
    <cellStyle name="_칠서영산" xfId="16292"/>
    <cellStyle name="_칠서영산_공무정산양식(10월초)" xfId="16293"/>
    <cellStyle name="_칠서영산_공무정산양식(10월초)_기성내역서" xfId="16294"/>
    <cellStyle name="_칠서영산_공무정산양식(10월초)_기성내역서_전체계약변경(03)" xfId="16295"/>
    <cellStyle name="_칠서영산_공무정산양식(10월초)_전체계약변경(03)" xfId="16296"/>
    <cellStyle name="_칠서영산_공무정산양식(10월초)_포장외건(최종)" xfId="16297"/>
    <cellStyle name="_칠서영산_기성내역서" xfId="16298"/>
    <cellStyle name="_칠서영산_기성내역서_전체계약변경(03)" xfId="16299"/>
    <cellStyle name="_칠서영산_전체계약변경(03)" xfId="16300"/>
    <cellStyle name="_칠서영산_포장외건(최종)" xfId="16301"/>
    <cellStyle name="_침입감시 견적서" xfId="16302"/>
    <cellStyle name="_코레노2차-공내역-인테리어공사" xfId="16303"/>
    <cellStyle name="_터널부하계산서(최종본)" xfId="16304"/>
    <cellStyle name="_팔각정자" xfId="16305"/>
    <cellStyle name="_평택이동" xfId="16306"/>
    <cellStyle name="_평화의댐내역서최종(OLD)" xfId="16307"/>
    <cellStyle name="_표준 견적서 2003년" xfId="16308"/>
    <cellStyle name="_하반기성과급인별LIST" xfId="16309"/>
    <cellStyle name="_흙막이공사(일위)" xfId="16310"/>
    <cellStyle name="¡E￠￥@?e_TEST-1 " xfId="16311"/>
    <cellStyle name="Header2 7" xfId="16312"/>
    <cellStyle name="¤@¯ë_CocaCola-R4" xfId="16313"/>
    <cellStyle name="¤d¤À¦ì_CocaCola-R4" xfId="16314"/>
    <cellStyle name="+,-,0 2" xfId="16315"/>
    <cellStyle name="△ [] 2" xfId="16316"/>
    <cellStyle name="△ [0] 2" xfId="16317"/>
    <cellStyle name="1 000 Kč_RESULTS" xfId="16318"/>
    <cellStyle name="1_단가조사표_1011소각" xfId="16319"/>
    <cellStyle name="1_단가조사표_121내역" xfId="16320"/>
    <cellStyle name="1_단가조사표_객토량" xfId="16321"/>
    <cellStyle name="1_단가조사표_교통센~1" xfId="16322"/>
    <cellStyle name="1_단가조사표_구조물대가 (2)" xfId="16323"/>
    <cellStyle name="1_단가조사표_내역서 (2)" xfId="16324"/>
    <cellStyle name="1_단가조사표_부대시설" xfId="16325"/>
    <cellStyle name="1_단가조사표_소각수~1" xfId="16326"/>
    <cellStyle name="1_단가조사표_소각수내역서" xfId="16327"/>
    <cellStyle name="1_단가조사표_소각수목2" xfId="16328"/>
    <cellStyle name="1_단가조사표_수량산출서 (2)" xfId="16329"/>
    <cellStyle name="1_단가조사표_엑스포~1" xfId="16330"/>
    <cellStyle name="1_단가조사표_엑스포한빛1" xfId="16331"/>
    <cellStyle name="1_단가조사표_원가계~1" xfId="16332"/>
    <cellStyle name="1_단가조사표_유기질" xfId="16333"/>
    <cellStyle name="1_단가조사표_자재조서 (2)" xfId="16334"/>
    <cellStyle name="1_단가조사표_총괄내역" xfId="16335"/>
    <cellStyle name="1_단가조사표_총괄내역 (2)" xfId="16336"/>
    <cellStyle name="1_단가조사표_포장일위" xfId="16337"/>
    <cellStyle name="1_시민계략공사_2003년 각종계산서(읽기전용)" xfId="16338"/>
    <cellStyle name="1_시민계략공사_2003년 각종계산서(읽기전용)_내역서(전기)" xfId="16339"/>
    <cellStyle name="1_시민계략공사_각종계산서" xfId="16340"/>
    <cellStyle name="1_시민계략공사_복지관 부하계산서" xfId="16341"/>
    <cellStyle name="1_시민계략공사_복지관 부하계산서_내역서(전기)" xfId="16342"/>
    <cellStyle name="1_시민계략공사_비상부하,발전기용량 계산서" xfId="16343"/>
    <cellStyle name="1_시민계략공사_비상부하,발전기용량 계산서_내역서(전기)" xfId="16344"/>
    <cellStyle name="1_시민계략공사_조도계산서" xfId="16345"/>
    <cellStyle name="1_시민계략공사_조도계산서_내역서(전기)" xfId="16346"/>
    <cellStyle name="1_실정보고설명서-개요서-내역서등-20080524" xfId="16347"/>
    <cellStyle name="¹e" xfId="16348"/>
    <cellStyle name="2_단가조사표_1011소각" xfId="16349"/>
    <cellStyle name="2_단가조사표_121내역" xfId="16350"/>
    <cellStyle name="2_단가조사표_객토량" xfId="16351"/>
    <cellStyle name="2_단가조사표_교통센~1" xfId="16352"/>
    <cellStyle name="2_단가조사표_구조물대가 (2)" xfId="16353"/>
    <cellStyle name="2_단가조사표_내역서 (2)" xfId="16354"/>
    <cellStyle name="2_단가조사표_부대시설" xfId="16355"/>
    <cellStyle name="2_단가조사표_소각수~1" xfId="16356"/>
    <cellStyle name="2_단가조사표_소각수내역서" xfId="16357"/>
    <cellStyle name="2_단가조사표_소각수목2" xfId="16358"/>
    <cellStyle name="2_단가조사표_수량산출서 (2)" xfId="16359"/>
    <cellStyle name="2_단가조사표_엑스포~1" xfId="16360"/>
    <cellStyle name="2_단가조사표_엑스포한빛1" xfId="16361"/>
    <cellStyle name="2_단가조사표_원가계~1" xfId="16362"/>
    <cellStyle name="2_단가조사표_유기질" xfId="16363"/>
    <cellStyle name="2_단가조사표_자재조서 (2)" xfId="16364"/>
    <cellStyle name="2_단가조사표_총괄내역" xfId="16365"/>
    <cellStyle name="2_단가조사표_총괄내역 (2)" xfId="16366"/>
    <cellStyle name="2_단가조사표_포장일위" xfId="16367"/>
    <cellStyle name="40% - 강조색5 2 11" xfId="16368"/>
    <cellStyle name="40% - 강조색6 2 11" xfId="16369"/>
    <cellStyle name="60 3" xfId="16370"/>
    <cellStyle name="Currency 39" xfId="16371"/>
    <cellStyle name="60% - 강조색1 2 11" xfId="16372"/>
    <cellStyle name="60% - 강조색2 2 11" xfId="16373"/>
    <cellStyle name="60% - 강조색3 2 11" xfId="16374"/>
    <cellStyle name="60% - 강조색4 2 11" xfId="16375"/>
    <cellStyle name="60% - 강조색5 2 11" xfId="16376"/>
    <cellStyle name="60% - 강조색6 2 11" xfId="16377"/>
    <cellStyle name="82" xfId="16378"/>
    <cellStyle name="90 3" xfId="16379"/>
    <cellStyle name="A" xfId="16380"/>
    <cellStyle name="A¡§¡ⓒ¡E¡þ¡EO [0]_¡§uc¡§oA " xfId="16381"/>
    <cellStyle name="A¡§¡ⓒ¡E¡þ¡EO_¡§uc¡§oA " xfId="16382"/>
    <cellStyle name="A¨­￠￢￠O [0]_ ¨￢n￠￢n¨￢¡Æ ￠?u¨￢¡Æ¡¾a¨uu " xfId="16383"/>
    <cellStyle name="A¨­¢¬¢Ò [0]_¨úc¨öA " xfId="16384"/>
    <cellStyle name="A¨­￠￢￠O [0]_3￠?u¨uoAⓒ÷ " xfId="16385"/>
    <cellStyle name="A¨­¢¬¢Ò [0]_4PART " xfId="16386"/>
    <cellStyle name="A¨­￠￢￠O [0]_A|A￠O1¨￢I1¡Æu CoEⓒ÷ " xfId="16387"/>
    <cellStyle name="A¨­¢¬¢Ò [0]_C¡Æ¢¬n¨¬¡Æ " xfId="16388"/>
    <cellStyle name="A¨­￠￢￠O [0]_ⓒoⓒ¡A¨o¨￢R " xfId="16389"/>
    <cellStyle name="A¨­￠￢￠O_ ¨￢n￠￢n¨￢¡Æ ￠?u¨￢¡Æ¡¾a¨uu " xfId="16390"/>
    <cellStyle name="A¨­¢¬¢Ò_¨úc¨öA " xfId="16391"/>
    <cellStyle name="A¨­￠￢￠O_3￠?u¨uoAⓒ÷ " xfId="16392"/>
    <cellStyle name="A¨­¢¬¢Ò_95©øaAN¡Æy¨ùo¡¤R " xfId="16393"/>
    <cellStyle name="A¨­￠￢￠O_A|A￠O1¨￢I1¡Æu CoEⓒ÷ " xfId="16394"/>
    <cellStyle name="A¨­¢¬¢Ò_C¡Æ¢¬n¨¬¡Æ " xfId="16395"/>
    <cellStyle name="A¨­￠￢￠O_ⓒoⓒ¡A¨o¨￢R " xfId="16396"/>
    <cellStyle name="A￠R¡×￠R¨I￠RE￠Rⓒ­￠REO [0]_INQUIRY ￠RE?￠RIi￠R¡×u¡ERAA¡§I￠Rⓒ­A¡§I¡§¡I " xfId="16397"/>
    <cellStyle name="A￠R¡×￠R¨I￠RE￠Rⓒ­￠REO_INQUIRY ￠RE?￠RIi￠R¡×u¡ERAA¡§I￠Rⓒ­A¡§I¡§¡I " xfId="16398"/>
    <cellStyle name="a-4" xfId="16399"/>
    <cellStyle name="ac" xfId="16400"/>
    <cellStyle name="Comma 9" xfId="16401"/>
    <cellStyle name="Ae" xfId="16402"/>
    <cellStyle name="Aee­  3" xfId="16403"/>
    <cellStyle name="Aee­  2 2" xfId="16404"/>
    <cellStyle name="AeE­ [0]_´e¿UCN¹R°ø¹R " xfId="16405"/>
    <cellStyle name="Aee¡" xfId="16406"/>
    <cellStyle name="AeE¡© [0]_¨úc¨öA " xfId="16407"/>
    <cellStyle name="AeE¡©_¨úc¨öA " xfId="16408"/>
    <cellStyle name="AeE¡ⓒ [0]_ ¨￢n￠￢n¨￢¡Æ ￠?u¨￢¡Æ¡¾a¨uu " xfId="16409"/>
    <cellStyle name="AeE¡ⓒ_ ¨￢n￠￢n¨￢¡Æ ￠?u¨￢¡Æ¡¾a¨uu " xfId="16410"/>
    <cellStyle name="AeE¡ER¡§I [0]_INQUIRY ￠RE?￠RIi￠R¡×u¡ERAA¡§I￠Rⓒ­A¡§I¡§¡I " xfId="16411"/>
    <cellStyle name="AeE¡ER¡§I_INQUIRY ￠RE?￠RIi￠R¡×u¡ERAA¡§I￠Rⓒ­A¡§I¡§¡I " xfId="16412"/>
    <cellStyle name="AeE￠R¨I [0]_¡§uc¡§oA " xfId="16413"/>
    <cellStyle name="AeE￠R¨I_¡§uc¡§oA " xfId="16414"/>
    <cellStyle name="ALIGNMENT 4" xfId="16415"/>
    <cellStyle name="args.style 3" xfId="16416"/>
    <cellStyle name="Aþ¸" xfId="16417"/>
    <cellStyle name="_x0001_b 3" xfId="16418"/>
    <cellStyle name="C" xfId="16419"/>
    <cellStyle name="C¡ERIA￠R¡×¡§¡I_¡ERic￠R¡×u¡ERA￠R¡×￠Rⓒ­I￠R¡×￠Rⓒ­¡ER¡§￠R AN¡ER¡§￠Re " xfId="16420"/>
    <cellStyle name="C¡ÍA¨ª_  FAB AIA¢´  " xfId="16421"/>
    <cellStyle name="C¡IA¨ª_ 1-3 " xfId="16422"/>
    <cellStyle name="C¡ÍA¨ª_¡Æ©øAI OXIDE " xfId="16423"/>
    <cellStyle name="C¡IA¨ª_¡Æu￠￢RBS('98) " xfId="16424"/>
    <cellStyle name="C¡IA¨ª_¡ioEⓒ÷¡¾a¡¤IAo " xfId="16425"/>
    <cellStyle name="C¡ÍA¨ª_03 " xfId="16426"/>
    <cellStyle name="C¡IA¨ª_12￠?u " xfId="16427"/>
    <cellStyle name="C¡ÍA¨ª_12AO " xfId="16428"/>
    <cellStyle name="C¡IA¨ª_Ac¡Æi¡Æu￠￢R " xfId="16429"/>
    <cellStyle name="C¡ÍA¨ª_C¡ÍAo " xfId="16430"/>
    <cellStyle name="C¡IA¨ª_CD-ROM " xfId="16431"/>
    <cellStyle name="C¡ÍA¨ª_Sheet1_4PART " xfId="16432"/>
    <cellStyle name="C￠RIA¡§¨￡_  FAB AIA¡E￠￥  " xfId="16433"/>
    <cellStyle name="C￥AØ_°³AI OXIDE " xfId="16434"/>
    <cellStyle name="C￥AØ_95,96 ºn±³ " xfId="16435"/>
    <cellStyle name="Ç¥ÁØ_95,96 ºñ±³ " xfId="16436"/>
    <cellStyle name="Ç¥ÁØ_Àü·Â¼ÕÀÍºÐ¼®" xfId="16437"/>
    <cellStyle name="C￥AØ_C￥Ao " xfId="16438"/>
    <cellStyle name="Ç¥ÁØ_CD-ROM " xfId="16439"/>
    <cellStyle name="Calc Currency (0) 46" xfId="16440"/>
    <cellStyle name="Calc Currency (0) 2 13" xfId="16441"/>
    <cellStyle name="Calc Currency (0) 3 3" xfId="16442"/>
    <cellStyle name="category 4" xfId="16443"/>
    <cellStyle name="CIAIÆU¸μAⓒ 3" xfId="16444"/>
    <cellStyle name="Cmma_을지 (2)_갑지 (2)_집계표 (2)_집계표 (3)_견적서 (2)" xfId="16445"/>
    <cellStyle name="ⓒo" xfId="16446"/>
    <cellStyle name="Comma 4" xfId="16447"/>
    <cellStyle name="Comma [0] 33" xfId="16448"/>
    <cellStyle name="comma zerodec 19" xfId="16449"/>
    <cellStyle name="comma zerodec 2 6" xfId="16450"/>
    <cellStyle name="Comma0 3" xfId="16451"/>
    <cellStyle name="Copied 6" xfId="16452"/>
    <cellStyle name="COST1 3" xfId="16453"/>
    <cellStyle name="Curren?_x0012_퐀_x0017_? 3" xfId="16454"/>
    <cellStyle name="Currency 34" xfId="16455"/>
    <cellStyle name="Currency [0] 33" xfId="16456"/>
    <cellStyle name="Currency 2 13" xfId="16457"/>
    <cellStyle name="Currency 3 3" xfId="16458"/>
    <cellStyle name="Currency 4 3" xfId="16459"/>
    <cellStyle name="Currency 5 3" xfId="16460"/>
    <cellStyle name="Currency 6 3" xfId="16461"/>
    <cellStyle name="currency-$ 59" xfId="16462"/>
    <cellStyle name="Currency0 10" xfId="16463"/>
    <cellStyle name="Currency1 19" xfId="16464"/>
    <cellStyle name="Currency1 2 6" xfId="16465"/>
    <cellStyle name="Currency1 3 3" xfId="16466"/>
    <cellStyle name="Currency1 4 3" xfId="16467"/>
    <cellStyle name="Currency1 5 3" xfId="16468"/>
    <cellStyle name="Date 15" xfId="16469"/>
    <cellStyle name="Date 2 4" xfId="16470"/>
    <cellStyle name="description" xfId="16471"/>
    <cellStyle name="Dollar (zero dec) 19" xfId="16472"/>
    <cellStyle name="Dollar (zero dec) 2 6" xfId="16473"/>
    <cellStyle name="Entered 6" xfId="16474"/>
    <cellStyle name="Euro" xfId="16475"/>
    <cellStyle name="Euro 2" xfId="16476"/>
    <cellStyle name="F2 3" xfId="16477"/>
    <cellStyle name="F2 2 2" xfId="16478"/>
    <cellStyle name="F3 3" xfId="16479"/>
    <cellStyle name="F4 3" xfId="16480"/>
    <cellStyle name="F5 3" xfId="16481"/>
    <cellStyle name="F6 3" xfId="16482"/>
    <cellStyle name="F7 3" xfId="16483"/>
    <cellStyle name="F8 3" xfId="16484"/>
    <cellStyle name="F8 2 2" xfId="16485"/>
    <cellStyle name="Fixed 15" xfId="16486"/>
    <cellStyle name="Fixed 2 4" xfId="16487"/>
    <cellStyle name="Followed Hyperlink 2" xfId="16488"/>
    <cellStyle name="Grey 19" xfId="16489"/>
    <cellStyle name="Grey 2 7" xfId="16490"/>
    <cellStyle name="Grey 3 4" xfId="16491"/>
    <cellStyle name="Grey 4 3" xfId="16492"/>
    <cellStyle name="H1 2" xfId="16493"/>
    <cellStyle name="H2 2" xfId="16494"/>
    <cellStyle name="HEADER 7" xfId="16495"/>
    <cellStyle name="Header1 4" xfId="16496"/>
    <cellStyle name="Header2 5" xfId="16497"/>
    <cellStyle name="Heading 1 3" xfId="16498"/>
    <cellStyle name="Heading 1 2 2" xfId="16499"/>
    <cellStyle name="Heading 2 3" xfId="16500"/>
    <cellStyle name="Heading 2 2 2" xfId="16501"/>
    <cellStyle name="Heading1 15" xfId="16502"/>
    <cellStyle name="Heading1 2 13" xfId="16503"/>
    <cellStyle name="Heading2 15" xfId="16504"/>
    <cellStyle name="Heading2 2 13" xfId="16505"/>
    <cellStyle name="Hyperlink 3" xfId="16506"/>
    <cellStyle name="Hyperlink 2 2" xfId="16507"/>
    <cellStyle name="Input 5" xfId="16508"/>
    <cellStyle name="Input [yellow] 20" xfId="16509"/>
    <cellStyle name="Input [yellow] 2 8" xfId="16510"/>
    <cellStyle name="Input [yellow] 3 5" xfId="16511"/>
    <cellStyle name="Input [yellow] 4 4" xfId="16512"/>
    <cellStyle name="Input Cells 3" xfId="16513"/>
    <cellStyle name="L` 3" xfId="16514"/>
    <cellStyle name="Linked Cells 3" xfId="16515"/>
    <cellStyle name="LL 2" xfId="16516"/>
    <cellStyle name="m 2" xfId="16517"/>
    <cellStyle name="měny_Copy of zdroj" xfId="16518"/>
    <cellStyle name="Midtitle 2" xfId="16519"/>
    <cellStyle name="mma_CASH &amp; DSO" xfId="16520"/>
    <cellStyle name="Model 4" xfId="16521"/>
    <cellStyle name="Mon?taire [0]_CTC" xfId="16522"/>
    <cellStyle name="Mon?taire_CTC" xfId="16523"/>
    <cellStyle name="NEW정렬" xfId="16524"/>
    <cellStyle name="NO" xfId="16525"/>
    <cellStyle name="no dec 3" xfId="16526"/>
    <cellStyle name="Normal - Style1 49" xfId="16527"/>
    <cellStyle name="Normal - Style1 2 10" xfId="16528"/>
    <cellStyle name="Normal - Style1 2 2 6" xfId="16529"/>
    <cellStyle name="Normal - Style1 3 4" xfId="16530"/>
    <cellStyle name="Normal - Style1 4 3" xfId="16531"/>
    <cellStyle name="Normal - Style1 5 3" xfId="16532"/>
    <cellStyle name="Normal - 유형1 3" xfId="16533"/>
    <cellStyle name="normální_Copy of zdroj" xfId="16534"/>
    <cellStyle name="Œ…?æ맖?e [0.00]_guyan" xfId="16535"/>
    <cellStyle name="Œ…?æ맖?e_guyan" xfId="16536"/>
    <cellStyle name="per.style 3" xfId="16537"/>
    <cellStyle name="Percent 34" xfId="16538"/>
    <cellStyle name="Percent [2] 4" xfId="16539"/>
    <cellStyle name="Percent 2 6" xfId="16540"/>
    <cellStyle name="Percent 3 13" xfId="16541"/>
    <cellStyle name="Percent 4 3" xfId="16542"/>
    <cellStyle name="Percent 5 3" xfId="16543"/>
    <cellStyle name="Percent 6 3" xfId="16544"/>
    <cellStyle name="PRICE2 3" xfId="16545"/>
    <cellStyle name="pricing 3" xfId="16546"/>
    <cellStyle name="PSChar 3" xfId="16547"/>
    <cellStyle name="RevList 6" xfId="16548"/>
    <cellStyle name="setup" xfId="16549"/>
    <cellStyle name="STANDARD 3" xfId="16550"/>
    <cellStyle name="STD 3" xfId="16551"/>
    <cellStyle name="Sub" xfId="16552"/>
    <cellStyle name="subhead 4" xfId="16553"/>
    <cellStyle name="Subtotal 6" xfId="16554"/>
    <cellStyle name="testtitle 2" xfId="16555"/>
    <cellStyle name="Title 7" xfId="16556"/>
    <cellStyle name="title [1] 3" xfId="16557"/>
    <cellStyle name="title [2] 3" xfId="16558"/>
    <cellStyle name="Title 2 2" xfId="16559"/>
    <cellStyle name="Title 3 2" xfId="16560"/>
    <cellStyle name="Title 4" xfId="16561"/>
    <cellStyle name="Title 5" xfId="16562"/>
    <cellStyle name="Title 6" xfId="16563"/>
    <cellStyle name="Title2" xfId="16564"/>
    <cellStyle name="Total 15" xfId="16565"/>
    <cellStyle name="Total 2 4" xfId="16566"/>
    <cellStyle name="Total 3 3" xfId="16567"/>
    <cellStyle name="UM 3" xfId="16568"/>
    <cellStyle name="unit" xfId="16569"/>
    <cellStyle name="μU¿¡ ¿A´A CIAIÆU¸μAⓒ 3" xfId="16570"/>
    <cellStyle name="ハイパーリンク" xfId="16571"/>
    <cellStyle name="|?ドE 3" xfId="16572"/>
    <cellStyle name="강조색1 2 12" xfId="16573"/>
    <cellStyle name="강조색2 2 11" xfId="16574"/>
    <cellStyle name="강조색3 2 11" xfId="16575"/>
    <cellStyle name="강조색4 2 11" xfId="16576"/>
    <cellStyle name="강조색5 2 11" xfId="16577"/>
    <cellStyle name="강조색6 2 11" xfId="16578"/>
    <cellStyle name="견적 3" xfId="16579"/>
    <cellStyle name="경고문 2 11" xfId="16580"/>
    <cellStyle name="계산 2 12" xfId="16581"/>
    <cellStyle name="고정소숫점 17" xfId="16582"/>
    <cellStyle name="고정소숫점 2 4" xfId="16583"/>
    <cellStyle name="고정소숫점 2 2 3" xfId="16584"/>
    <cellStyle name="고정소숫점 3 3" xfId="16585"/>
    <cellStyle name="고정소숫점 4 3" xfId="16586"/>
    <cellStyle name="고정출력1 7" xfId="16587"/>
    <cellStyle name="고정출력1 2 4" xfId="16588"/>
    <cellStyle name="고정출력1 3 3" xfId="16589"/>
    <cellStyle name="고정출력1 4 3" xfId="16590"/>
    <cellStyle name="고정출력1_태양광견적서(부안고)" xfId="16591"/>
    <cellStyle name="고정출력2 7" xfId="16592"/>
    <cellStyle name="고정출력2 2 4" xfId="16593"/>
    <cellStyle name="고정출력2 3 3" xfId="16594"/>
    <cellStyle name="고정출력2 4 3" xfId="16595"/>
    <cellStyle name="고정출력2_태양광견적서(부안고)" xfId="16596"/>
    <cellStyle name="공사원가계산서(조경) 3" xfId="16597"/>
    <cellStyle name="공정제목" xfId="16598"/>
    <cellStyle name="국종합건설" xfId="16599"/>
    <cellStyle name="기계 3" xfId="16600"/>
    <cellStyle name="끼_x0001_? 3" xfId="16601"/>
    <cellStyle name="나쁨 2 11" xfId="16602"/>
    <cellStyle name="날짜 7" xfId="16603"/>
    <cellStyle name="날짜 2 4" xfId="16604"/>
    <cellStyle name="날짜 3 3" xfId="16605"/>
    <cellStyle name="날짜 4 3" xfId="16606"/>
    <cellStyle name="날짜_태양광견적서(부안고)" xfId="16607"/>
    <cellStyle name="내역서 3" xfId="16608"/>
    <cellStyle name="내역서 2 3" xfId="16609"/>
    <cellStyle name="내역서 2 2" xfId="16610"/>
    <cellStyle name="단위 3" xfId="16611"/>
    <cellStyle name="달러 7" xfId="16612"/>
    <cellStyle name="달러 2 4" xfId="16613"/>
    <cellStyle name="달러 3 3" xfId="16614"/>
    <cellStyle name="달러 4 3" xfId="16615"/>
    <cellStyle name="달러_태양광견적서(부안고)" xfId="16616"/>
    <cellStyle name="대기" xfId="16617"/>
    <cellStyle name="뒤에 오는 하이퍼링크 15" xfId="16618"/>
    <cellStyle name="뒤에 오는 하이퍼링크 2 4" xfId="16619"/>
    <cellStyle name="메모 2 12" xfId="16620"/>
    <cellStyle name="배분 2" xfId="16621"/>
    <cellStyle name="백" xfId="16622"/>
    <cellStyle name="백분율 [△1] 2" xfId="16623"/>
    <cellStyle name="백분율 [△2] 2" xfId="16624"/>
    <cellStyle name="백분율 [0] 3" xfId="16625"/>
    <cellStyle name="백분율 [2] 3" xfId="16626"/>
    <cellStyle name="백분율 2 5" xfId="16627"/>
    <cellStyle name="백분율 2 2 3" xfId="16628"/>
    <cellStyle name="백분율 3 4" xfId="16629"/>
    <cellStyle name="백분율［△1］ 2" xfId="16630"/>
    <cellStyle name="백분율［△2］ 2" xfId="16631"/>
    <cellStyle name="병합 후 가운데 맞춤 2" xfId="16632"/>
    <cellStyle name="병합 후 가운데 정열 2" xfId="16633"/>
    <cellStyle name="보통 2 11" xfId="16634"/>
    <cellStyle name="분수" xfId="16635"/>
    <cellStyle name="뷭? 3" xfId="16636"/>
    <cellStyle name="빨강 2" xfId="16637"/>
    <cellStyle name="常规_cs802" xfId="16638"/>
    <cellStyle name="선택영역의 가운데로 2" xfId="16639"/>
    <cellStyle name="설계서 3" xfId="16640"/>
    <cellStyle name="설계서-내용 4" xfId="16641"/>
    <cellStyle name="설계서-내용-소수점 4" xfId="16642"/>
    <cellStyle name="설계서-내용-우 3" xfId="16643"/>
    <cellStyle name="설계서-내용-좌 3" xfId="16644"/>
    <cellStyle name="설계서-소제목 4" xfId="16645"/>
    <cellStyle name="설계서-타이틀 3" xfId="16646"/>
    <cellStyle name="설계서-항목 3" xfId="16647"/>
    <cellStyle name="설명 텍스트 2 11" xfId="16648"/>
    <cellStyle name="셀 확인 2 11" xfId="16649"/>
    <cellStyle name="수량 16" xfId="16650"/>
    <cellStyle name="숫자(R) 17" xfId="16651"/>
    <cellStyle name="숫자(R) 2 4" xfId="16652"/>
    <cellStyle name="숫자(R) 3 3" xfId="16653"/>
    <cellStyle name="숫자(R) 4 3" xfId="16654"/>
    <cellStyle name="숫자(R) 5 3" xfId="16655"/>
    <cellStyle name="쉼표 [0] 10 27" xfId="16656"/>
    <cellStyle name="쉼표 [0] 2 2 7" xfId="16657"/>
    <cellStyle name="쉼표 [0] 2 2 2 4" xfId="16658"/>
    <cellStyle name="쉼표 [0] 2 2 2 2 2" xfId="16659"/>
    <cellStyle name="쉼표 [0] 2 2 3 3" xfId="16660"/>
    <cellStyle name="쉼표 [0] 2 3 7" xfId="16661"/>
    <cellStyle name="쉼표 [0] 2 4 5" xfId="16662"/>
    <cellStyle name="쉼표 [0] 2 8 3" xfId="16663"/>
    <cellStyle name="쉼표 [0] 3 14" xfId="16664"/>
    <cellStyle name="쉼표 [0] 3 2 3 3" xfId="16665"/>
    <cellStyle name="쉼표 [0] 4 10" xfId="16666"/>
    <cellStyle name="쉼표 [0] 5 13" xfId="16667"/>
    <cellStyle name="쉼표 [0] 6 8" xfId="16668"/>
    <cellStyle name="쉼표 [0] 7 5" xfId="16669"/>
    <cellStyle name="쉼표 [0] 8 6" xfId="16670"/>
    <cellStyle name="스타일 1 46" xfId="16671"/>
    <cellStyle name="스타일 1 2 8" xfId="16672"/>
    <cellStyle name="스타일 1 3 3" xfId="16673"/>
    <cellStyle name="스타일 2 45" xfId="16674"/>
    <cellStyle name="스타일 2 2 4" xfId="16675"/>
    <cellStyle name="스타일 3 45" xfId="16676"/>
    <cellStyle name="안건회계법인 3" xfId="16677"/>
    <cellStyle name="연결된 셀 2 11" xfId="16678"/>
    <cellStyle name="요약 2 12" xfId="16679"/>
    <cellStyle name="원 45" xfId="16680"/>
    <cellStyle name="유1 3" xfId="16681"/>
    <cellStyle name="유영 2" xfId="16682"/>
    <cellStyle name="일위대가" xfId="16683"/>
    <cellStyle name="입력 2 12" xfId="16684"/>
    <cellStyle name="자리수 7" xfId="16685"/>
    <cellStyle name="자리수 2 4" xfId="16686"/>
    <cellStyle name="자리수 3 3" xfId="16687"/>
    <cellStyle name="자리수 4 3" xfId="16688"/>
    <cellStyle name="자리수_태양광견적서(부안고)" xfId="16689"/>
    <cellStyle name="자리수0 17" xfId="16690"/>
    <cellStyle name="자리수0 2 4" xfId="16691"/>
    <cellStyle name="자리수0 2 2 3" xfId="16692"/>
    <cellStyle name="자리수0 3 3" xfId="16693"/>
    <cellStyle name="자리수0 4 3" xfId="16694"/>
    <cellStyle name="정렬 2" xfId="16695"/>
    <cellStyle name="정렬범위" xfId="16696"/>
    <cellStyle name="제목 1 2 11" xfId="16697"/>
    <cellStyle name="제목 2 2 11" xfId="16698"/>
    <cellStyle name="제목 3 2 11" xfId="16699"/>
    <cellStyle name="제목 4 2 11" xfId="16700"/>
    <cellStyle name="제목 5 36" xfId="16701"/>
    <cellStyle name="제목[1 줄] 4" xfId="16702"/>
    <cellStyle name="제목[2줄 아래] 3" xfId="16703"/>
    <cellStyle name="제목[2줄 위] 4" xfId="16704"/>
    <cellStyle name="제목1 3" xfId="16705"/>
    <cellStyle name="좋음 2 11" xfId="16706"/>
    <cellStyle name="좌가는선 2" xfId="16707"/>
    <cellStyle name="좌하가는선 2" xfId="16708"/>
    <cellStyle name="지정되지 않음 10" xfId="16709"/>
    <cellStyle name="지하철정렬 2" xfId="16710"/>
    <cellStyle name="출력 2 12" xfId="16711"/>
    <cellStyle name="콤" xfId="16712"/>
    <cellStyle name="콤마 [" xfId="16713"/>
    <cellStyle name="콤마 [#] 2" xfId="16714"/>
    <cellStyle name="콤마 [] 3" xfId="16715"/>
    <cellStyle name="콤마 [] 2" xfId="16716"/>
    <cellStyle name="콤마 [0] 16" xfId="16717"/>
    <cellStyle name="콤마 [0] 2 4" xfId="16718"/>
    <cellStyle name="콤마 [2] 46" xfId="16719"/>
    <cellStyle name="콤마 [2] 2 4" xfId="16720"/>
    <cellStyle name="콤마 [금액] 2" xfId="16721"/>
    <cellStyle name="콤마 [소수] 2" xfId="16722"/>
    <cellStyle name="콤마 [수량] 2" xfId="16723"/>
    <cellStyle name="콤마[ ] 3" xfId="16724"/>
    <cellStyle name="콤마[.] 3" xfId="16725"/>
    <cellStyle name="콤마[0] 16" xfId="16726"/>
    <cellStyle name="콤마[0] 2 4" xfId="16727"/>
    <cellStyle name="콤마[0] 3 3" xfId="16728"/>
    <cellStyle name="콤마[0] 4 3" xfId="16729"/>
    <cellStyle name="콤마宛 " xfId="16730"/>
    <cellStyle name="콤마桓?琉?업종별 " xfId="16731"/>
    <cellStyle name="콤마쇔[0]_대총괄표 " xfId="16732"/>
    <cellStyle name="콤막 [0]_수출실적 _양식98" xfId="16733"/>
    <cellStyle name="통" xfId="16734"/>
    <cellStyle name="통화 [ 2" xfId="16735"/>
    <cellStyle name="통화 [0] 2 6" xfId="16736"/>
    <cellStyle name="통화 [0] 2 2 4" xfId="16737"/>
    <cellStyle name="통화 [0] 2 3 3" xfId="16738"/>
    <cellStyle name="통화 [0] 2 3 2 2" xfId="16739"/>
    <cellStyle name="통화 [0] 2 4 2" xfId="16740"/>
    <cellStyle name="통화 [0] 3 4" xfId="16741"/>
    <cellStyle name="퍼센트 8" xfId="16742"/>
    <cellStyle name="퍼센트 2 4" xfId="16743"/>
    <cellStyle name="퍼센트 2 2 3" xfId="16744"/>
    <cellStyle name="퍼센트 3 3" xfId="16745"/>
    <cellStyle name="퍼센트 4 3" xfId="16746"/>
    <cellStyle name="퍼센트_태양광견적서(부안고)" xfId="16747"/>
    <cellStyle name="표" xfId="16748"/>
    <cellStyle name="표(가는선,가운데,중앙) 3" xfId="16749"/>
    <cellStyle name="표(가는선,왼쪽,중앙) 3" xfId="16750"/>
    <cellStyle name="표(세로쓰기) 3" xfId="16751"/>
    <cellStyle name="表示済みのハイパーリンク" xfId="16752"/>
    <cellStyle name="표준 12 5" xfId="16753"/>
    <cellStyle name="표준 13 6" xfId="16754"/>
    <cellStyle name="표준 2 5 3" xfId="16755"/>
    <cellStyle name="표준 2 10 3" xfId="16756"/>
    <cellStyle name="표준 2 2 17" xfId="16757"/>
    <cellStyle name="표준 2 2 2 2 2" xfId="16758"/>
    <cellStyle name="표준 2 2 3 3" xfId="16759"/>
    <cellStyle name="표준 2 2 4 3" xfId="16760"/>
    <cellStyle name="표준 64" xfId="16761"/>
    <cellStyle name="표준 2 4 5" xfId="16762"/>
    <cellStyle name="표준 3 17" xfId="16763"/>
    <cellStyle name="표준 3 2 6" xfId="16764"/>
    <cellStyle name="표준 3 3 5" xfId="16765"/>
    <cellStyle name="표준 3 4 4" xfId="16766"/>
    <cellStyle name="표준 4 2 6" xfId="16767"/>
    <cellStyle name="표준 5 90" xfId="16768"/>
    <cellStyle name="표준 5 2 4" xfId="16769"/>
    <cellStyle name="표준 7 4 2" xfId="16770"/>
    <cellStyle name="표준 8 4" xfId="16771"/>
    <cellStyle name="표준 9 84" xfId="16772"/>
    <cellStyle name="표준1 3" xfId="16773"/>
    <cellStyle name="표준2 3" xfId="16774"/>
    <cellStyle name="표쥰 3" xfId="16775"/>
    <cellStyle name="하가는선 2" xfId="16776"/>
    <cellStyle name="합산 7" xfId="16777"/>
    <cellStyle name="합산 2 4" xfId="16778"/>
    <cellStyle name="합산 3 3" xfId="16779"/>
    <cellStyle name="합산 4 3" xfId="16780"/>
    <cellStyle name="합산_태양광견적서(부안고)" xfId="16781"/>
    <cellStyle name="화폐기호 8" xfId="16782"/>
    <cellStyle name="화폐기호 2 4" xfId="16783"/>
    <cellStyle name="화폐기호 2 2 3" xfId="16784"/>
    <cellStyle name="화폐기호 3 3" xfId="16785"/>
    <cellStyle name="화폐기호 4 3" xfId="16786"/>
    <cellStyle name="화폐기호_태양광견적서(부안고)" xfId="16787"/>
    <cellStyle name="화폐기호0 17" xfId="16788"/>
    <cellStyle name="화폐기호0 2 4" xfId="16789"/>
    <cellStyle name="화폐기호0 2 2 3" xfId="16790"/>
    <cellStyle name="화폐기호0 3 3" xfId="16791"/>
    <cellStyle name="화폐기호0 4 3" xfId="16792"/>
    <cellStyle name="ㅣㅣ 2" xfId="16793"/>
    <cellStyle name="쉼표 [0] 2 2 3 2 2" xfId="16794"/>
    <cellStyle name="Comma 6" xfId="16795"/>
    <cellStyle name="표준 3 2 2 2 2" xfId="16796"/>
    <cellStyle name="쉼표 [0] 2 5 4" xfId="16797"/>
    <cellStyle name="쉼표 [0] 11 3" xfId="16798"/>
    <cellStyle name="쉼표 [0] 3 2 7" xfId="16799"/>
    <cellStyle name="표준 2 2 3 2 2" xfId="16800"/>
    <cellStyle name="표준 3 5 6" xfId="16801"/>
    <cellStyle name="표준 11 2 2" xfId="16802"/>
    <cellStyle name="표준 10 2 2" xfId="16803"/>
    <cellStyle name="표준 14 2 2" xfId="16804"/>
    <cellStyle name="백분율 2 3 2" xfId="16805"/>
    <cellStyle name="백분율 3 3 2" xfId="16806"/>
    <cellStyle name="백분율 4 4" xfId="16807"/>
    <cellStyle name="보통 2 2 3" xfId="16808"/>
    <cellStyle name="보통 3 11" xfId="16809"/>
    <cellStyle name="쉼표 [0] 2 6 3" xfId="16810"/>
    <cellStyle name="쉼표 [0] 2 3 3 3" xfId="16811"/>
    <cellStyle name="쉼표 [0] 3 4 4" xfId="16812"/>
    <cellStyle name="쉼표 [0] 4 2 5" xfId="16813"/>
    <cellStyle name="좋음 2 2 3" xfId="16814"/>
    <cellStyle name="통화 [0] 2 5" xfId="16815"/>
    <cellStyle name="통화 [0] 3 3 2" xfId="16816"/>
    <cellStyle name="통화 [0] 4" xfId="16817"/>
    <cellStyle name="통화 [0] 5" xfId="16818"/>
    <cellStyle name="표준 179" xfId="16819"/>
    <cellStyle name="표준 2 6 3" xfId="16820"/>
    <cellStyle name="표준 5 3 3" xfId="16821"/>
    <cellStyle name="표준 6 2 3" xfId="16822"/>
    <cellStyle name="표준 7 2 3" xfId="16823"/>
    <cellStyle name="표준 8 3 2" xfId="16824"/>
    <cellStyle name="표준 9 2 3" xfId="16825"/>
    <cellStyle name="백분율 2 2 2 2" xfId="16826"/>
    <cellStyle name="백분율 3 2 2" xfId="16827"/>
    <cellStyle name="쉼표 [0] 2 3 2 4" xfId="16828"/>
    <cellStyle name="쉼표 [0] 3 3 3" xfId="16829"/>
    <cellStyle name="쉼표 [0] 5 2 4" xfId="16830"/>
    <cellStyle name="통화 [0] 2 2 2 2" xfId="16831"/>
    <cellStyle name="통화 [0] 4 2" xfId="16832"/>
    <cellStyle name="통화 [0] 5 3" xfId="16833"/>
    <cellStyle name="통화 [0] 5 2" xfId="16834"/>
    <cellStyle name="백분율 4 2 2" xfId="16835"/>
    <cellStyle name="통화 [0] 3 2 2" xfId="16836"/>
    <cellStyle name="표준 15 2 4" xfId="16837"/>
    <cellStyle name="표준 14 3 4" xfId="16838"/>
    <cellStyle name="쉼표 [0] 9 2 4" xfId="16839"/>
    <cellStyle name="쉼표 [0] 8 2 4" xfId="16840"/>
    <cellStyle name="표준 13 2 4" xfId="16841"/>
    <cellStyle name="표준 3 5 2 4" xfId="16842"/>
    <cellStyle name="표준 15 3 4" xfId="16843"/>
    <cellStyle name="표준 14 4 4" xfId="16844"/>
    <cellStyle name="쉼표 [0] 9 3" xfId="16845"/>
    <cellStyle name="쉼표 [0] 8 3 4" xfId="16846"/>
    <cellStyle name="표준 13 3 4" xfId="16847"/>
    <cellStyle name="표준 3 5 3" xfId="16848"/>
    <cellStyle name="표준 15 4 3" xfId="16849"/>
    <cellStyle name="표준 14 5" xfId="16850"/>
    <cellStyle name="쉼표 [0] 9 4" xfId="16851"/>
    <cellStyle name="쉼표 [0] 8 4 3" xfId="16852"/>
    <cellStyle name="표준 13 4 3" xfId="16853"/>
    <cellStyle name="표준 3 5 4" xfId="16854"/>
    <cellStyle name="표준 15 2 2" xfId="16855"/>
    <cellStyle name="표준 14 3 2" xfId="16856"/>
    <cellStyle name="쉼표 [0] 9 2 2" xfId="16857"/>
    <cellStyle name="쉼표 [0] 8 2 2" xfId="16858"/>
    <cellStyle name="표준 13 2 2" xfId="16859"/>
    <cellStyle name="표준 3 5 2 2" xfId="16860"/>
    <cellStyle name="표준 15 3 2" xfId="16861"/>
    <cellStyle name="표준 14 4 2" xfId="16862"/>
    <cellStyle name="쉼표 [0] 9 3 2" xfId="16863"/>
    <cellStyle name="쉼표 [0] 8 3 2" xfId="16864"/>
    <cellStyle name="표준 13 3 2" xfId="16865"/>
    <cellStyle name="표준 3 5 3 2" xfId="16866"/>
    <cellStyle name="표준 15 5" xfId="16867"/>
    <cellStyle name="표준 14 6" xfId="16868"/>
    <cellStyle name="쉼표 [0] 9 5" xfId="16869"/>
    <cellStyle name="쉼표 [0] 8 5" xfId="16870"/>
    <cellStyle name="표준 13 5" xfId="16871"/>
    <cellStyle name="표준 3 5 5" xfId="16872"/>
    <cellStyle name="표준 15 2 3" xfId="16873"/>
    <cellStyle name="표준 14 3 3" xfId="16874"/>
    <cellStyle name="쉼표 [0] 9 2 3" xfId="16875"/>
    <cellStyle name="쉼표 [0] 8 2 3" xfId="16876"/>
    <cellStyle name="표준 13 2 3" xfId="16877"/>
    <cellStyle name="표준 3 5 2 3" xfId="16878"/>
    <cellStyle name="표준 15 3 3" xfId="16879"/>
    <cellStyle name="표준 14 4 3" xfId="16880"/>
    <cellStyle name="쉼표 [0] 9 3 3" xfId="16881"/>
    <cellStyle name="쉼표 [0] 8 3 3" xfId="16882"/>
    <cellStyle name="표준 13 3 3" xfId="16883"/>
    <cellStyle name="표준 3 5 3 3" xfId="16884"/>
    <cellStyle name="표준 15 4 2" xfId="16885"/>
    <cellStyle name="표준 14 5 2" xfId="16886"/>
    <cellStyle name="쉼표 [0] 9 4 2" xfId="16887"/>
    <cellStyle name="쉼표 [0] 8 4 2" xfId="16888"/>
    <cellStyle name="표준 13 4 2" xfId="16889"/>
    <cellStyle name="표준 3 5 4 2" xfId="16890"/>
    <cellStyle name="표준 15 2 2 2" xfId="16891"/>
    <cellStyle name="표준 14 3 2 2" xfId="16892"/>
    <cellStyle name="쉼표 [0] 9 2 2 2" xfId="16893"/>
    <cellStyle name="쉼표 [0] 8 2 2 2" xfId="16894"/>
    <cellStyle name="표준 13 2 2 2" xfId="16895"/>
    <cellStyle name="표준 3 5 2 2 2" xfId="16896"/>
    <cellStyle name="표준 15 3 2 2" xfId="16897"/>
    <cellStyle name="표준 14 4 2 2" xfId="16898"/>
    <cellStyle name="쉼표 [0] 9 3 2 2" xfId="16899"/>
    <cellStyle name="쉼표 [0] 8 3 2 2" xfId="16900"/>
    <cellStyle name="표준 13 3 2 2" xfId="16901"/>
    <cellStyle name="표준 3 5 3 2 2" xfId="16902"/>
    <cellStyle name="Percent 39" xfId="16903"/>
    <cellStyle name="Title 12" xfId="16904"/>
    <cellStyle name="1 5" xfId="16905"/>
    <cellStyle name="제목[2줄 위] 6" xfId="16906"/>
    <cellStyle name="1 4" xfId="16907"/>
    <cellStyle name="표준 67" xfId="16908"/>
    <cellStyle name="Calculation 2" xfId="16909"/>
    <cellStyle name="Comma 5" xfId="16910"/>
    <cellStyle name="Currency 35" xfId="16911"/>
    <cellStyle name="Header2 6" xfId="16912"/>
    <cellStyle name="Heading1 16" xfId="16913"/>
    <cellStyle name="Heading2 16" xfId="16914"/>
    <cellStyle name="Input 6" xfId="16915"/>
    <cellStyle name="Note 2" xfId="16916"/>
    <cellStyle name="Output 2" xfId="16917"/>
    <cellStyle name="Percent 35" xfId="16918"/>
    <cellStyle name="Title 8" xfId="16919"/>
    <cellStyle name="Total 16" xfId="16920"/>
    <cellStyle name="계산 2 13" xfId="16921"/>
    <cellStyle name="메모 2 13" xfId="16922"/>
    <cellStyle name="표준 66" xfId="16923"/>
    <cellStyle name="표준 6 2 4" xfId="16924"/>
    <cellStyle name="요약 2 13" xfId="16925"/>
    <cellStyle name="표준 6 84" xfId="16926"/>
    <cellStyle name="표준 4 2 7" xfId="16927"/>
    <cellStyle name="입력 2 13" xfId="16928"/>
    <cellStyle name="표준 2 4 6" xfId="16929"/>
    <cellStyle name="표준 15 7" xfId="16930"/>
    <cellStyle name="표준 14 8" xfId="16931"/>
    <cellStyle name="표준 13 7" xfId="16932"/>
    <cellStyle name="표준 12 6" xfId="16933"/>
    <cellStyle name="통화 [0] 2 2 5" xfId="16934"/>
    <cellStyle name="제목[2줄 위] 5" xfId="16935"/>
    <cellStyle name="출력 2 14" xfId="16936"/>
    <cellStyle name="제목 5 37" xfId="16937"/>
    <cellStyle name="제목 4 2 12" xfId="16938"/>
    <cellStyle name="제목 3 2 12" xfId="16939"/>
    <cellStyle name="제목 2 2 12" xfId="16940"/>
    <cellStyle name="출력 2 13" xfId="16941"/>
    <cellStyle name="제목 1 2 12" xfId="16942"/>
    <cellStyle name="입력 3 12" xfId="16943"/>
    <cellStyle name="요약 2 14" xfId="16944"/>
    <cellStyle name="스타일 1 3 4" xfId="16945"/>
    <cellStyle name="쉼표 [0] 6 9" xfId="16946"/>
    <cellStyle name="쉼표 [0] 4 11" xfId="16947"/>
    <cellStyle name="쉼표 [0] 3 15" xfId="16948"/>
    <cellStyle name="백분율 2 2 4" xfId="16949"/>
    <cellStyle name="메모 2 14" xfId="16950"/>
    <cellStyle name="계산 2 14" xfId="16951"/>
    <cellStyle name="강조색4 2 12" xfId="16952"/>
    <cellStyle name="강조색1 2 13" xfId="16953"/>
    <cellStyle name="60% - 강조색6 3 11" xfId="16954"/>
    <cellStyle name="60% - 강조색6 2 12" xfId="16955"/>
    <cellStyle name="40% - 강조색6 2 12" xfId="16956"/>
    <cellStyle name="20% - 강조색4 3 11" xfId="16957"/>
    <cellStyle name="20% - 강조색3 2 2 3" xfId="16958"/>
    <cellStyle name="20% - 강조색2 3 11" xfId="16959"/>
    <cellStyle name="20% - 강조색1 3 11" xfId="16960"/>
    <cellStyle name="백분율 14" xfId="16961"/>
    <cellStyle name="표준 65" xfId="16962"/>
    <cellStyle name="Calc Currency (0) 47" xfId="16963"/>
    <cellStyle name="Currency 37" xfId="16964"/>
    <cellStyle name="백분율 2 2 2 3" xfId="16965"/>
    <cellStyle name="Currency 36" xfId="16966"/>
    <cellStyle name="Percent 37" xfId="16967"/>
    <cellStyle name="20% - 강조색6 3 11" xfId="16968"/>
    <cellStyle name="백분율 5 2" xfId="16969"/>
    <cellStyle name="백분율 13" xfId="16970"/>
    <cellStyle name="메모 2 2 4" xfId="16971"/>
    <cellStyle name="60% - 강조색4 2 12" xfId="16972"/>
    <cellStyle name="Title 9" xfId="16973"/>
    <cellStyle name="Normal - Style1 50" xfId="16974"/>
    <cellStyle name="60% - 강조색3 2 12" xfId="16975"/>
    <cellStyle name="Percent 36" xfId="16976"/>
    <cellStyle name="40% - 강조색6 3 11" xfId="16977"/>
    <cellStyle name="60% - 강조색1 2 12" xfId="16978"/>
    <cellStyle name="Input 8" xfId="16979"/>
    <cellStyle name="Title 10" xfId="16980"/>
    <cellStyle name="Input 7" xfId="16981"/>
    <cellStyle name="Comma 7" xfId="16982"/>
    <cellStyle name="Calculation 3" xfId="16983"/>
    <cellStyle name="Comma 8" xfId="16984"/>
    <cellStyle name="Currency 38" xfId="16985"/>
    <cellStyle name="Heading1 17" xfId="16986"/>
    <cellStyle name="Heading2 17" xfId="16987"/>
    <cellStyle name="Input 9" xfId="16988"/>
    <cellStyle name="Note 3" xfId="16989"/>
    <cellStyle name="Output 3" xfId="16990"/>
    <cellStyle name="Percent 38" xfId="16991"/>
    <cellStyle name="Title 11" xfId="16992"/>
    <cellStyle name="Total 17" xfId="16993"/>
    <cellStyle name="1 6" xfId="16994"/>
    <cellStyle name="계산 2 15" xfId="16995"/>
    <cellStyle name="메모 2 15" xfId="16996"/>
    <cellStyle name="요약 2 15" xfId="16997"/>
    <cellStyle name="입력 2 14" xfId="16998"/>
    <cellStyle name="출력 2 15" xfId="16999"/>
    <cellStyle name="표준 68" xfId="17000"/>
    <cellStyle name="표준 69" xfId="17001"/>
    <cellStyle name="통화 [0]" xfId="17002" builtinId="7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M371"/>
  <sheetViews>
    <sheetView showGridLines="0" tabSelected="1" zoomScale="40" zoomScaleNormal="40" zoomScaleSheetLayoutView="55" workbookViewId="0">
      <selection activeCell="F2" sqref="F2:H7"/>
    </sheetView>
  </sheetViews>
  <sheetFormatPr baseColWidth="8" defaultColWidth="9" defaultRowHeight="20.25"/>
  <cols>
    <col width="3.375" customWidth="1" style="2" min="1" max="1"/>
    <col width="25.125" customWidth="1" style="12" min="2" max="2"/>
    <col width="24.625" customWidth="1" style="12" min="3" max="3"/>
    <col width="18.625" customWidth="1" style="12" min="4" max="4"/>
    <col width="31.625" customWidth="1" style="12" min="5" max="5"/>
    <col width="101.75" bestFit="1" customWidth="1" style="12" min="6" max="6"/>
    <col width="9.625" customWidth="1" style="12" min="7" max="7"/>
    <col width="11.125" customWidth="1" style="12" min="8" max="8"/>
    <col width="40.875" customWidth="1" style="934" min="9" max="9"/>
    <col width="21.125" customWidth="1" style="935" min="10" max="10"/>
    <col width="10.875" customWidth="1" style="936" min="11" max="11"/>
    <col width="11.375" customWidth="1" style="937" min="12" max="12"/>
    <col width="17" customWidth="1" style="934" min="13" max="13"/>
    <col width="28" customWidth="1" style="938" min="14" max="14"/>
    <col width="23.125" customWidth="1" style="939" min="15" max="15"/>
    <col width="10.875" customWidth="1" style="936" min="16" max="16"/>
    <col width="11.375" customWidth="1" style="937" min="17" max="17"/>
    <col width="17" customWidth="1" style="934" min="18" max="18"/>
    <col width="28" customWidth="1" style="938" min="19" max="19"/>
    <col width="23.125" customWidth="1" style="939" min="20" max="20"/>
    <col width="10.875" customWidth="1" style="936" min="21" max="21"/>
    <col width="11.375" customWidth="1" style="937" min="22" max="22"/>
    <col width="17" customWidth="1" style="934" min="23" max="23"/>
    <col width="28" customWidth="1" style="938" min="24" max="24"/>
    <col width="23.125" customWidth="1" style="939" min="25" max="25"/>
    <col width="10.875" customWidth="1" style="936" min="26" max="26"/>
    <col width="11.375" customWidth="1" style="937" min="27" max="27"/>
    <col width="17" customWidth="1" style="934" min="28" max="28"/>
    <col width="28" customWidth="1" style="938" min="29" max="29"/>
    <col width="23.125" customWidth="1" style="939" min="30" max="30"/>
    <col width="10.875" customWidth="1" style="936" min="31" max="31"/>
    <col width="11.375" customWidth="1" style="937" min="32" max="32"/>
    <col width="17" customWidth="1" style="934" min="33" max="33"/>
    <col width="28" customWidth="1" style="938" min="34" max="34"/>
    <col width="23.125" customWidth="1" style="939" min="35" max="35"/>
    <col width="21.125" customWidth="1" style="14" min="36" max="36"/>
    <col width="115.625" customWidth="1" style="14" min="37" max="37"/>
    <col width="9" customWidth="1" style="2" min="38" max="16384"/>
  </cols>
  <sheetData>
    <row r="1" ht="52.5" customFormat="1" customHeight="1" s="3" thickBot="1">
      <c r="B1" s="831" t="inlineStr">
        <is>
          <t>견 적 서</t>
        </is>
      </c>
      <c r="C1" s="940" t="n"/>
      <c r="D1" s="940" t="n"/>
      <c r="E1" s="940" t="n"/>
      <c r="F1" s="940" t="n"/>
      <c r="G1" s="940" t="n"/>
      <c r="H1" s="940" t="n"/>
      <c r="I1" s="940" t="n"/>
      <c r="J1" s="940" t="n"/>
      <c r="K1" s="940" t="n"/>
      <c r="L1" s="940" t="n"/>
      <c r="M1" s="940" t="n"/>
      <c r="N1" s="940" t="n"/>
      <c r="O1" s="940" t="n"/>
      <c r="P1" s="940" t="n"/>
      <c r="Q1" s="940" t="n"/>
      <c r="R1" s="940" t="n"/>
      <c r="S1" s="940" t="n"/>
      <c r="T1" s="940" t="n"/>
      <c r="U1" s="940" t="n"/>
      <c r="V1" s="940" t="n"/>
      <c r="W1" s="940" t="n"/>
      <c r="X1" s="940" t="n"/>
      <c r="Y1" s="940" t="n"/>
      <c r="Z1" s="940" t="n"/>
      <c r="AA1" s="940" t="n"/>
      <c r="AB1" s="940" t="n"/>
      <c r="AC1" s="940" t="n"/>
      <c r="AD1" s="940" t="n"/>
      <c r="AE1" s="940" t="n"/>
      <c r="AF1" s="940" t="n"/>
      <c r="AG1" s="940" t="n"/>
      <c r="AH1" s="940" t="n"/>
      <c r="AI1" s="940" t="n"/>
      <c r="AJ1" s="940" t="n"/>
      <c r="AK1" s="940" t="n"/>
    </row>
    <row r="2" ht="26.25" customFormat="1" customHeight="1" s="3">
      <c r="B2" s="941" t="inlineStr">
        <is>
          <t>공급받는자</t>
        </is>
      </c>
      <c r="C2" s="942" t="n"/>
      <c r="D2" s="942" t="n"/>
      <c r="E2" s="943" t="n"/>
      <c r="F2" s="944" t="inlineStr">
        <is>
          <t xml:space="preserve">아래와 같이 견적합니다. </t>
        </is>
      </c>
      <c r="G2" s="945" t="n"/>
      <c r="H2" s="946" t="n"/>
      <c r="I2" s="947" t="inlineStr">
        <is>
          <t>공급자</t>
        </is>
      </c>
      <c r="J2" s="942" t="n"/>
      <c r="K2" s="942" t="n"/>
      <c r="L2" s="942" t="n"/>
      <c r="M2" s="942" t="n"/>
      <c r="N2" s="942" t="n"/>
      <c r="O2" s="942" t="n"/>
      <c r="P2" s="942" t="n"/>
      <c r="Q2" s="942" t="n"/>
      <c r="R2" s="942" t="n"/>
      <c r="S2" s="942" t="n"/>
      <c r="T2" s="942" t="n"/>
      <c r="U2" s="942" t="n"/>
      <c r="V2" s="942" t="n"/>
      <c r="W2" s="942" t="n"/>
      <c r="X2" s="942" t="n"/>
      <c r="Y2" s="942" t="n"/>
      <c r="Z2" s="942" t="n"/>
      <c r="AA2" s="942" t="n"/>
      <c r="AB2" s="942" t="n"/>
      <c r="AC2" s="942" t="n"/>
      <c r="AD2" s="942" t="n"/>
      <c r="AE2" s="942" t="n"/>
      <c r="AF2" s="942" t="n"/>
      <c r="AG2" s="942" t="n"/>
      <c r="AH2" s="942" t="n"/>
      <c r="AI2" s="942" t="n"/>
      <c r="AJ2" s="942" t="n"/>
      <c r="AK2" s="943" t="n"/>
    </row>
    <row r="3" ht="17.25" customFormat="1" customHeight="1" s="3">
      <c r="B3" s="948" t="inlineStr">
        <is>
          <t xml:space="preserve">CLIENT </t>
        </is>
      </c>
      <c r="C3" s="949" t="n"/>
      <c r="D3" s="950" t="n"/>
      <c r="E3" s="951" t="n"/>
      <c r="F3" s="952" t="n"/>
      <c r="H3" s="953" t="n"/>
      <c r="I3" s="954" t="inlineStr">
        <is>
          <t>회사명</t>
        </is>
      </c>
      <c r="J3" s="955" t="n"/>
      <c r="K3" s="955" t="n"/>
      <c r="L3" s="955" t="n"/>
      <c r="M3" s="949" t="n"/>
      <c r="N3" s="956" t="inlineStr">
        <is>
          <t>㈜광고대행사</t>
        </is>
      </c>
      <c r="O3" s="955" t="n"/>
      <c r="P3" s="955" t="n"/>
      <c r="Q3" s="955" t="n"/>
      <c r="R3" s="955" t="n"/>
      <c r="S3" s="955" t="n"/>
      <c r="T3" s="955" t="n"/>
      <c r="U3" s="955" t="n"/>
      <c r="V3" s="955" t="n"/>
      <c r="W3" s="955" t="n"/>
      <c r="X3" s="955" t="n"/>
      <c r="Y3" s="955" t="n"/>
      <c r="Z3" s="955" t="n"/>
      <c r="AA3" s="955" t="n"/>
      <c r="AB3" s="955" t="n"/>
      <c r="AC3" s="955" t="n"/>
      <c r="AD3" s="955" t="n"/>
      <c r="AE3" s="955" t="n"/>
      <c r="AF3" s="955" t="n"/>
      <c r="AG3" s="955" t="n"/>
      <c r="AH3" s="955" t="n"/>
      <c r="AI3" s="955" t="n"/>
      <c r="AJ3" s="955" t="n"/>
      <c r="AK3" s="951" t="n"/>
    </row>
    <row r="4" ht="17.25" customFormat="1" customHeight="1" s="3">
      <c r="B4" s="948" t="inlineStr">
        <is>
          <t>PROJECT 명</t>
        </is>
      </c>
      <c r="C4" s="949" t="n"/>
      <c r="D4" s="950" t="n"/>
      <c r="E4" s="951" t="n"/>
      <c r="F4" s="952" t="n"/>
      <c r="H4" s="953" t="n"/>
      <c r="I4" s="954" t="inlineStr">
        <is>
          <t>대표자</t>
        </is>
      </c>
      <c r="J4" s="955" t="n"/>
      <c r="K4" s="955" t="n"/>
      <c r="L4" s="955" t="n"/>
      <c r="M4" s="949" t="n"/>
      <c r="N4" s="956" t="inlineStr">
        <is>
          <t>유정근</t>
        </is>
      </c>
      <c r="O4" s="955" t="n"/>
      <c r="P4" s="955" t="n"/>
      <c r="Q4" s="955" t="n"/>
      <c r="R4" s="955" t="n"/>
      <c r="S4" s="955" t="n"/>
      <c r="T4" s="955" t="n"/>
      <c r="U4" s="955" t="n"/>
      <c r="V4" s="955" t="n"/>
      <c r="W4" s="955" t="n"/>
      <c r="X4" s="955" t="n"/>
      <c r="Y4" s="955" t="n"/>
      <c r="Z4" s="955" t="n"/>
      <c r="AA4" s="955" t="n"/>
      <c r="AB4" s="955" t="n"/>
      <c r="AC4" s="955" t="n"/>
      <c r="AD4" s="955" t="n"/>
      <c r="AE4" s="955" t="n"/>
      <c r="AF4" s="955" t="n"/>
      <c r="AG4" s="955" t="n"/>
      <c r="AH4" s="955" t="n"/>
      <c r="AI4" s="955" t="n"/>
      <c r="AJ4" s="955" t="n"/>
      <c r="AK4" s="951" t="n"/>
    </row>
    <row r="5" ht="17.25" customFormat="1" customHeight="1" s="3">
      <c r="B5" s="948" t="inlineStr">
        <is>
          <t>JOB No.</t>
        </is>
      </c>
      <c r="C5" s="949" t="n"/>
      <c r="D5" s="950" t="n"/>
      <c r="E5" s="951" t="n"/>
      <c r="F5" s="952" t="n"/>
      <c r="H5" s="953" t="n"/>
      <c r="I5" s="954" t="inlineStr">
        <is>
          <t>사업자등록번호</t>
        </is>
      </c>
      <c r="J5" s="955" t="n"/>
      <c r="K5" s="955" t="n"/>
      <c r="L5" s="955" t="n"/>
      <c r="M5" s="949" t="n"/>
      <c r="N5" s="956" t="inlineStr">
        <is>
          <t>202-81-45960</t>
        </is>
      </c>
      <c r="O5" s="955" t="n"/>
      <c r="P5" s="955" t="n"/>
      <c r="Q5" s="955" t="n"/>
      <c r="R5" s="955" t="n"/>
      <c r="S5" s="955" t="n"/>
      <c r="T5" s="955" t="n"/>
      <c r="U5" s="955" t="n"/>
      <c r="V5" s="955" t="n"/>
      <c r="W5" s="955" t="n"/>
      <c r="X5" s="955" t="n"/>
      <c r="Y5" s="955" t="n"/>
      <c r="Z5" s="955" t="n"/>
      <c r="AA5" s="955" t="n"/>
      <c r="AB5" s="955" t="n"/>
      <c r="AC5" s="955" t="n"/>
      <c r="AD5" s="955" t="n"/>
      <c r="AE5" s="955" t="n"/>
      <c r="AF5" s="955" t="n"/>
      <c r="AG5" s="955" t="n"/>
      <c r="AH5" s="955" t="n"/>
      <c r="AI5" s="955" t="n"/>
      <c r="AJ5" s="955" t="n"/>
      <c r="AK5" s="951" t="n"/>
    </row>
    <row r="6" ht="17.25" customFormat="1" customHeight="1" s="3">
      <c r="B6" s="948" t="inlineStr">
        <is>
          <t>견적금액</t>
        </is>
      </c>
      <c r="C6" s="949" t="n"/>
      <c r="D6" s="957">
        <f>ROUNDDOWN(#REF!, -5)</f>
        <v/>
      </c>
      <c r="E6" s="7" t="inlineStr">
        <is>
          <t>(VAT별도)</t>
        </is>
      </c>
      <c r="F6" s="952" t="n"/>
      <c r="H6" s="953" t="n"/>
      <c r="I6" s="954" t="inlineStr">
        <is>
          <t>사업장 주소, 대표전화번호</t>
        </is>
      </c>
      <c r="J6" s="955" t="n"/>
      <c r="K6" s="955" t="n"/>
      <c r="L6" s="955" t="n"/>
      <c r="M6" s="949" t="n"/>
      <c r="N6" s="956" t="inlineStr">
        <is>
          <t>서울시 용산구 이태원로 222</t>
        </is>
      </c>
      <c r="O6" s="955" t="n"/>
      <c r="P6" s="955" t="n"/>
      <c r="Q6" s="955" t="n"/>
      <c r="R6" s="955" t="n"/>
      <c r="S6" s="955" t="n"/>
      <c r="T6" s="955" t="n"/>
      <c r="U6" s="955" t="n"/>
      <c r="V6" s="955" t="n"/>
      <c r="W6" s="955" t="n"/>
      <c r="X6" s="955" t="n"/>
      <c r="Y6" s="955" t="n"/>
      <c r="Z6" s="955" t="n"/>
      <c r="AA6" s="955" t="n"/>
      <c r="AB6" s="955" t="n"/>
      <c r="AC6" s="955" t="n"/>
      <c r="AD6" s="955" t="n"/>
      <c r="AE6" s="955" t="n"/>
      <c r="AF6" s="955" t="n"/>
      <c r="AG6" s="955" t="n"/>
      <c r="AH6" s="955" t="n"/>
      <c r="AI6" s="955" t="n"/>
      <c r="AJ6" s="955" t="n"/>
      <c r="AK6" s="951" t="n"/>
    </row>
    <row r="7" ht="17.25" customFormat="1" customHeight="1" s="3" thickBot="1">
      <c r="B7" s="958" t="inlineStr">
        <is>
          <t>담당자/연락처</t>
        </is>
      </c>
      <c r="C7" s="959" t="n"/>
      <c r="D7" s="960" t="n"/>
      <c r="E7" s="961" t="n"/>
      <c r="F7" s="962" t="n"/>
      <c r="G7" s="940" t="n"/>
      <c r="H7" s="963" t="n"/>
      <c r="I7" s="964" t="inlineStr">
        <is>
          <t>담당자 명</t>
        </is>
      </c>
      <c r="J7" s="965" t="n"/>
      <c r="K7" s="965" t="n"/>
      <c r="L7" s="965" t="n"/>
      <c r="M7" s="959" t="n"/>
      <c r="N7" s="966" t="n"/>
      <c r="O7" s="965" t="n"/>
      <c r="P7" s="965" t="n"/>
      <c r="Q7" s="965" t="n"/>
      <c r="R7" s="965" t="n"/>
      <c r="S7" s="965" t="n"/>
      <c r="T7" s="965" t="n"/>
      <c r="U7" s="965" t="n"/>
      <c r="V7" s="965" t="n"/>
      <c r="W7" s="965" t="n"/>
      <c r="X7" s="965" t="n"/>
      <c r="Y7" s="965" t="n"/>
      <c r="Z7" s="965" t="n"/>
      <c r="AA7" s="965" t="n"/>
      <c r="AB7" s="965" t="n"/>
      <c r="AC7" s="965" t="n"/>
      <c r="AD7" s="965" t="n"/>
      <c r="AE7" s="965" t="n"/>
      <c r="AF7" s="965" t="n"/>
      <c r="AG7" s="965" t="n"/>
      <c r="AH7" s="965" t="n"/>
      <c r="AI7" s="965" t="n"/>
      <c r="AJ7" s="965" t="n"/>
      <c r="AK7" s="961" t="n"/>
    </row>
    <row r="8" ht="18" customFormat="1" customHeight="1" s="3">
      <c r="B8" s="8" t="n"/>
      <c r="C8" s="8" t="n"/>
      <c r="D8" s="8" t="n"/>
      <c r="E8" s="9" t="n"/>
      <c r="F8" s="9" t="n"/>
      <c r="G8" s="9" t="n"/>
      <c r="H8" s="8" t="n"/>
      <c r="I8" s="967" t="n"/>
      <c r="J8" s="968" t="n"/>
      <c r="K8" s="969" t="n"/>
      <c r="L8" s="970" t="n"/>
      <c r="M8" s="967" t="n"/>
      <c r="N8" s="938" t="n"/>
      <c r="O8" s="971" t="n"/>
      <c r="P8" s="969" t="n"/>
      <c r="Q8" s="970" t="n"/>
      <c r="R8" s="967" t="n"/>
      <c r="S8" s="938" t="n"/>
      <c r="T8" s="971" t="n"/>
      <c r="U8" s="969" t="n"/>
      <c r="V8" s="970" t="n"/>
      <c r="W8" s="967" t="n"/>
      <c r="X8" s="938" t="n"/>
      <c r="Y8" s="971" t="n"/>
      <c r="Z8" s="969" t="n"/>
      <c r="AA8" s="970" t="n"/>
      <c r="AB8" s="967" t="n"/>
      <c r="AC8" s="938" t="n"/>
      <c r="AD8" s="971" t="n"/>
      <c r="AE8" s="969" t="n"/>
      <c r="AF8" s="970" t="n"/>
      <c r="AG8" s="967" t="n"/>
      <c r="AH8" s="938" t="n"/>
      <c r="AI8" s="971" t="n"/>
      <c r="AJ8" s="9" t="n"/>
      <c r="AK8" s="9" t="n"/>
    </row>
    <row r="9" ht="21" customHeight="1" s="972" thickBot="1">
      <c r="B9" s="935" t="n"/>
      <c r="AK9" s="973" t="inlineStr">
        <is>
          <t>*견적서 단위는 원화 또는 원화+외화 병기 (외화 only 불가)</t>
        </is>
      </c>
      <c r="AM9" s="6" t="n"/>
    </row>
    <row r="10" ht="46.5" customHeight="1" s="972" thickBot="1">
      <c r="B10" s="805" t="inlineStr">
        <is>
          <t>구분</t>
        </is>
      </c>
      <c r="C10" s="805" t="inlineStr">
        <is>
          <t>대항목</t>
        </is>
      </c>
      <c r="D10" s="805" t="inlineStr">
        <is>
          <t>중항목</t>
        </is>
      </c>
      <c r="E10" s="805" t="inlineStr">
        <is>
          <t>소항목</t>
        </is>
      </c>
      <c r="F10" s="805" t="inlineStr">
        <is>
          <t>세부내역</t>
        </is>
      </c>
      <c r="G10" s="816" t="inlineStr">
        <is>
          <t>비딩견적</t>
        </is>
      </c>
      <c r="H10" s="955" t="n"/>
      <c r="I10" s="955" t="n"/>
      <c r="J10" s="949" t="n"/>
      <c r="K10" s="974" t="inlineStr">
        <is>
          <t>1차 견적</t>
        </is>
      </c>
      <c r="L10" s="975" t="n"/>
      <c r="M10" s="975" t="n"/>
      <c r="N10" s="975" t="n"/>
      <c r="O10" s="976" t="n"/>
      <c r="P10" s="974" t="inlineStr">
        <is>
          <t>2차 견적</t>
        </is>
      </c>
      <c r="Q10" s="975" t="n"/>
      <c r="R10" s="975" t="n"/>
      <c r="S10" s="975" t="n"/>
      <c r="T10" s="976" t="n"/>
      <c r="U10" s="974" t="inlineStr">
        <is>
          <t>3차 견적</t>
        </is>
      </c>
      <c r="V10" s="975" t="n"/>
      <c r="W10" s="975" t="n"/>
      <c r="X10" s="975" t="n"/>
      <c r="Y10" s="976" t="n"/>
      <c r="Z10" s="977" t="inlineStr">
        <is>
          <t>4차 견적</t>
        </is>
      </c>
      <c r="AA10" s="978" t="n"/>
      <c r="AB10" s="978" t="n"/>
      <c r="AC10" s="978" t="n"/>
      <c r="AD10" s="979" t="n"/>
      <c r="AE10" s="980" t="inlineStr">
        <is>
          <t>최종</t>
        </is>
      </c>
      <c r="AF10" s="978" t="n"/>
      <c r="AG10" s="978" t="n"/>
      <c r="AH10" s="978" t="n"/>
      <c r="AI10" s="979" t="n"/>
      <c r="AJ10" s="804" t="inlineStr">
        <is>
          <t>구매처
(2차협력사)</t>
        </is>
      </c>
      <c r="AK10" s="805" t="inlineStr">
        <is>
          <t>비 고</t>
        </is>
      </c>
      <c r="AM10" s="6" t="n"/>
    </row>
    <row r="11" ht="45" customFormat="1" customHeight="1" s="5">
      <c r="A11" s="4" t="n"/>
      <c r="B11" s="981" t="n"/>
      <c r="C11" s="981" t="n"/>
      <c r="D11" s="981" t="n"/>
      <c r="E11" s="981" t="n"/>
      <c r="F11" s="981" t="n"/>
      <c r="G11" s="805" t="inlineStr">
        <is>
          <t>수량</t>
        </is>
      </c>
      <c r="H11" s="805" t="inlineStr">
        <is>
          <t>단위</t>
        </is>
      </c>
      <c r="I11" s="982" t="inlineStr">
        <is>
          <t>단가</t>
        </is>
      </c>
      <c r="J11" s="983" t="inlineStr">
        <is>
          <t>비딩금액 
(원화)</t>
        </is>
      </c>
      <c r="K11" s="984" t="inlineStr">
        <is>
          <t>수량</t>
        </is>
      </c>
      <c r="L11" s="985" t="inlineStr">
        <is>
          <t>단위</t>
        </is>
      </c>
      <c r="M11" s="982" t="inlineStr">
        <is>
          <t>변경 단가</t>
        </is>
      </c>
      <c r="N11" s="986" t="inlineStr">
        <is>
          <t>현재금액
(원화)</t>
        </is>
      </c>
      <c r="O11" s="987" t="inlineStr">
        <is>
          <t>변동금액
(현재금액-비딩금액)</t>
        </is>
      </c>
      <c r="P11" s="984" t="inlineStr">
        <is>
          <t>수량</t>
        </is>
      </c>
      <c r="Q11" s="985" t="inlineStr">
        <is>
          <t>단위</t>
        </is>
      </c>
      <c r="R11" s="982" t="inlineStr">
        <is>
          <t>변경 단가</t>
        </is>
      </c>
      <c r="S11" s="986" t="inlineStr">
        <is>
          <t>현재금액
(원화)</t>
        </is>
      </c>
      <c r="T11" s="987" t="inlineStr">
        <is>
          <t>변동금액
(8/9-8/6)</t>
        </is>
      </c>
      <c r="U11" s="984" t="inlineStr">
        <is>
          <t>수량</t>
        </is>
      </c>
      <c r="V11" s="985" t="inlineStr">
        <is>
          <t>단위</t>
        </is>
      </c>
      <c r="W11" s="982" t="inlineStr">
        <is>
          <t>변경 단가</t>
        </is>
      </c>
      <c r="X11" s="986" t="inlineStr">
        <is>
          <t>현재금액
(원화)</t>
        </is>
      </c>
      <c r="Y11" s="987" t="inlineStr">
        <is>
          <t>변동금액
(8/9-8/9)</t>
        </is>
      </c>
      <c r="Z11" s="988" t="inlineStr">
        <is>
          <t>수량</t>
        </is>
      </c>
      <c r="AA11" s="989" t="inlineStr">
        <is>
          <t>단위</t>
        </is>
      </c>
      <c r="AB11" s="990" t="inlineStr">
        <is>
          <t>변경 단가</t>
        </is>
      </c>
      <c r="AC11" s="989" t="inlineStr">
        <is>
          <t>현재금액
(원화)</t>
        </is>
      </c>
      <c r="AD11" s="991" t="inlineStr">
        <is>
          <t>변동금액
(8/15-8/9)</t>
        </is>
      </c>
      <c r="AE11" s="992" t="inlineStr">
        <is>
          <t>수량</t>
        </is>
      </c>
      <c r="AF11" s="993" t="inlineStr">
        <is>
          <t>단위</t>
        </is>
      </c>
      <c r="AG11" s="994" t="inlineStr">
        <is>
          <t>변경 단가</t>
        </is>
      </c>
      <c r="AH11" s="993" t="inlineStr">
        <is>
          <t>현재금액
(원화)</t>
        </is>
      </c>
      <c r="AI11" s="995" t="inlineStr">
        <is>
          <t>변동금액
(8/24-8/15)</t>
        </is>
      </c>
      <c r="AJ11" s="996" t="n"/>
      <c r="AK11" s="981" t="n"/>
    </row>
    <row r="12" ht="30.2" customHeight="1" s="972">
      <c r="B12" s="34" t="inlineStr">
        <is>
          <t>1. 용역 서비스</t>
        </is>
      </c>
      <c r="C12" s="34" t="inlineStr">
        <is>
          <t>행사 기획 및 디자인</t>
        </is>
      </c>
      <c r="D12" s="997" t="n"/>
      <c r="E12" s="15" t="inlineStr">
        <is>
          <t>김효은 팀장</t>
        </is>
      </c>
      <c r="F12" s="15" t="inlineStr">
        <is>
          <t>연구원 기준</t>
        </is>
      </c>
      <c r="G12" s="113" t="n">
        <v>28</v>
      </c>
      <c r="H12" s="114" t="inlineStr">
        <is>
          <t>일</t>
        </is>
      </c>
      <c r="I12" s="998" t="n">
        <v>220927</v>
      </c>
      <c r="J12" s="999">
        <f>G12*I12</f>
        <v/>
      </c>
      <c r="K12" s="1000" t="n">
        <v>28</v>
      </c>
      <c r="L12" s="16" t="inlineStr">
        <is>
          <t>일</t>
        </is>
      </c>
      <c r="M12" s="1001" t="n">
        <v>220927</v>
      </c>
      <c r="N12" s="1002">
        <f>K12*M12</f>
        <v/>
      </c>
      <c r="O12" s="1003">
        <f>N12-J12</f>
        <v/>
      </c>
      <c r="P12" s="1000" t="n">
        <v>28</v>
      </c>
      <c r="Q12" s="16" t="inlineStr">
        <is>
          <t>일</t>
        </is>
      </c>
      <c r="R12" s="1001" t="n">
        <v>220927</v>
      </c>
      <c r="S12" s="1002">
        <f>P12*R12</f>
        <v/>
      </c>
      <c r="T12" s="1003">
        <f>S12-N12</f>
        <v/>
      </c>
      <c r="U12" s="1000" t="n">
        <v>28</v>
      </c>
      <c r="V12" s="16" t="inlineStr">
        <is>
          <t>일</t>
        </is>
      </c>
      <c r="W12" s="1001" t="n">
        <v>220927</v>
      </c>
      <c r="X12" s="1002">
        <f>U12*W12</f>
        <v/>
      </c>
      <c r="Y12" s="1003">
        <f>X12-S12</f>
        <v/>
      </c>
      <c r="Z12" s="1000" t="n">
        <v>28</v>
      </c>
      <c r="AA12" s="16" t="inlineStr">
        <is>
          <t>일</t>
        </is>
      </c>
      <c r="AB12" s="1001" t="n">
        <v>220927</v>
      </c>
      <c r="AC12" s="1002">
        <f>Z12*AB12</f>
        <v/>
      </c>
      <c r="AD12" s="1003">
        <f>AC12-X12</f>
        <v/>
      </c>
      <c r="AE12" s="1000" t="n">
        <v>28</v>
      </c>
      <c r="AF12" s="16" t="inlineStr">
        <is>
          <t>일</t>
        </is>
      </c>
      <c r="AG12" s="1001" t="n">
        <v>220927</v>
      </c>
      <c r="AH12" s="1002">
        <f>AE12*AG12</f>
        <v/>
      </c>
      <c r="AI12" s="1003">
        <f>AH12-AC12</f>
        <v/>
      </c>
      <c r="AJ12" s="1004" t="n"/>
      <c r="AK12" s="823" t="inlineStr">
        <is>
          <t>표준노임단가</t>
        </is>
      </c>
    </row>
    <row r="13" ht="30.2" customHeight="1" s="972">
      <c r="B13" s="1005" t="n"/>
      <c r="C13" s="1006" t="n"/>
      <c r="D13" s="1007" t="n"/>
      <c r="E13" s="15" t="inlineStr">
        <is>
          <t>남소라 과장</t>
        </is>
      </c>
      <c r="F13" s="15" t="inlineStr">
        <is>
          <t>연구원 기준</t>
        </is>
      </c>
      <c r="G13" s="113" t="n">
        <v>20</v>
      </c>
      <c r="H13" s="114" t="inlineStr">
        <is>
          <t>일</t>
        </is>
      </c>
      <c r="I13" s="998" t="n">
        <v>220927</v>
      </c>
      <c r="J13" s="999">
        <f>G13*I13</f>
        <v/>
      </c>
      <c r="K13" s="1000" t="n">
        <v>20</v>
      </c>
      <c r="L13" s="16" t="inlineStr">
        <is>
          <t>일</t>
        </is>
      </c>
      <c r="M13" s="1001" t="n">
        <v>220927</v>
      </c>
      <c r="N13" s="1002">
        <f>K13*M13</f>
        <v/>
      </c>
      <c r="O13" s="1003">
        <f>N13-J13</f>
        <v/>
      </c>
      <c r="P13" s="1000" t="n">
        <v>20</v>
      </c>
      <c r="Q13" s="16" t="inlineStr">
        <is>
          <t>일</t>
        </is>
      </c>
      <c r="R13" s="1001" t="n">
        <v>220927</v>
      </c>
      <c r="S13" s="1002">
        <f>P13*R13</f>
        <v/>
      </c>
      <c r="T13" s="1003">
        <f>S13-N13</f>
        <v/>
      </c>
      <c r="U13" s="1000" t="n">
        <v>20</v>
      </c>
      <c r="V13" s="16" t="inlineStr">
        <is>
          <t>일</t>
        </is>
      </c>
      <c r="W13" s="1001" t="n">
        <v>220927</v>
      </c>
      <c r="X13" s="1002">
        <f>U13*W13</f>
        <v/>
      </c>
      <c r="Y13" s="1003">
        <f>X13-S13</f>
        <v/>
      </c>
      <c r="Z13" s="1000" t="n">
        <v>20</v>
      </c>
      <c r="AA13" s="16" t="inlineStr">
        <is>
          <t>일</t>
        </is>
      </c>
      <c r="AB13" s="1001" t="n">
        <v>220927</v>
      </c>
      <c r="AC13" s="1002">
        <f>Z13*AB13</f>
        <v/>
      </c>
      <c r="AD13" s="1003">
        <f>AC13-X13</f>
        <v/>
      </c>
      <c r="AE13" s="1000" t="n">
        <v>20</v>
      </c>
      <c r="AF13" s="16" t="inlineStr">
        <is>
          <t>일</t>
        </is>
      </c>
      <c r="AG13" s="1001" t="n">
        <v>220927</v>
      </c>
      <c r="AH13" s="1002">
        <f>AE13*AG13</f>
        <v/>
      </c>
      <c r="AI13" s="1003">
        <f>AH13-AC13</f>
        <v/>
      </c>
      <c r="AJ13" s="1004" t="n"/>
      <c r="AK13" s="823" t="inlineStr">
        <is>
          <t>표준노임단가</t>
        </is>
      </c>
    </row>
    <row r="14" ht="30.2" customHeight="1" s="972">
      <c r="B14" s="1005" t="n"/>
      <c r="C14" s="1006" t="n"/>
      <c r="D14" s="1007" t="n"/>
      <c r="E14" s="15" t="inlineStr">
        <is>
          <t>유준열 사원</t>
        </is>
      </c>
      <c r="F14" s="15" t="inlineStr">
        <is>
          <t>보조원 기준</t>
        </is>
      </c>
      <c r="G14" s="113" t="n">
        <v>10</v>
      </c>
      <c r="H14" s="114" t="inlineStr">
        <is>
          <t>일</t>
        </is>
      </c>
      <c r="I14" s="998" t="n">
        <v>110765</v>
      </c>
      <c r="J14" s="999">
        <f>G14*I14</f>
        <v/>
      </c>
      <c r="K14" s="1000" t="n">
        <v>10</v>
      </c>
      <c r="L14" s="16" t="inlineStr">
        <is>
          <t>일</t>
        </is>
      </c>
      <c r="M14" s="1001" t="n">
        <v>110765</v>
      </c>
      <c r="N14" s="1002">
        <f>K14*M14</f>
        <v/>
      </c>
      <c r="O14" s="1003">
        <f>N14-J14</f>
        <v/>
      </c>
      <c r="P14" s="1000" t="n">
        <v>10</v>
      </c>
      <c r="Q14" s="16" t="inlineStr">
        <is>
          <t>일</t>
        </is>
      </c>
      <c r="R14" s="1001" t="n">
        <v>110765</v>
      </c>
      <c r="S14" s="1002">
        <f>P14*R14</f>
        <v/>
      </c>
      <c r="T14" s="1003">
        <f>S14-N14</f>
        <v/>
      </c>
      <c r="U14" s="1000" t="n">
        <v>10</v>
      </c>
      <c r="V14" s="16" t="inlineStr">
        <is>
          <t>일</t>
        </is>
      </c>
      <c r="W14" s="1001" t="n">
        <v>110765</v>
      </c>
      <c r="X14" s="1002">
        <f>U14*W14</f>
        <v/>
      </c>
      <c r="Y14" s="1003">
        <f>X14-S14</f>
        <v/>
      </c>
      <c r="Z14" s="1000" t="n">
        <v>10</v>
      </c>
      <c r="AA14" s="16" t="inlineStr">
        <is>
          <t>일</t>
        </is>
      </c>
      <c r="AB14" s="1001" t="n">
        <v>110765</v>
      </c>
      <c r="AC14" s="1002">
        <f>Z14*AB14</f>
        <v/>
      </c>
      <c r="AD14" s="1003">
        <f>AC14-X14</f>
        <v/>
      </c>
      <c r="AE14" s="1000" t="n">
        <v>10</v>
      </c>
      <c r="AF14" s="16" t="inlineStr">
        <is>
          <t>일</t>
        </is>
      </c>
      <c r="AG14" s="1001" t="n">
        <v>110765</v>
      </c>
      <c r="AH14" s="1002">
        <f>AE14*AG14</f>
        <v/>
      </c>
      <c r="AI14" s="1003">
        <f>AH14-AC14</f>
        <v/>
      </c>
      <c r="AJ14" s="1004" t="n"/>
      <c r="AK14" s="823" t="inlineStr">
        <is>
          <t>표준노임단가</t>
        </is>
      </c>
    </row>
    <row r="15" ht="30.2" customHeight="1" s="972">
      <c r="B15" s="1005" t="n"/>
      <c r="C15" s="1006" t="n"/>
      <c r="D15" s="1007" t="n"/>
      <c r="E15" s="15" t="inlineStr">
        <is>
          <t>김지은 팀장</t>
        </is>
      </c>
      <c r="F15" s="15" t="inlineStr">
        <is>
          <t>연구원 기준</t>
        </is>
      </c>
      <c r="G15" s="113" t="n">
        <v>15</v>
      </c>
      <c r="H15" s="114" t="inlineStr">
        <is>
          <t>일</t>
        </is>
      </c>
      <c r="I15" s="998" t="n">
        <v>220927</v>
      </c>
      <c r="J15" s="999">
        <f>G15*I15</f>
        <v/>
      </c>
      <c r="K15" s="1000" t="n">
        <v>15</v>
      </c>
      <c r="L15" s="16" t="inlineStr">
        <is>
          <t>일</t>
        </is>
      </c>
      <c r="M15" s="1001" t="n">
        <v>220927</v>
      </c>
      <c r="N15" s="1002">
        <f>K15*M15</f>
        <v/>
      </c>
      <c r="O15" s="1003">
        <f>N15-J15</f>
        <v/>
      </c>
      <c r="P15" s="1000" t="n">
        <v>15</v>
      </c>
      <c r="Q15" s="16" t="inlineStr">
        <is>
          <t>일</t>
        </is>
      </c>
      <c r="R15" s="1001" t="n">
        <v>220927</v>
      </c>
      <c r="S15" s="1002">
        <f>P15*R15</f>
        <v/>
      </c>
      <c r="T15" s="1003">
        <f>S15-N15</f>
        <v/>
      </c>
      <c r="U15" s="1000" t="n">
        <v>15</v>
      </c>
      <c r="V15" s="16" t="inlineStr">
        <is>
          <t>일</t>
        </is>
      </c>
      <c r="W15" s="1001" t="n">
        <v>220927</v>
      </c>
      <c r="X15" s="1002">
        <f>U15*W15</f>
        <v/>
      </c>
      <c r="Y15" s="1003">
        <f>X15-S15</f>
        <v/>
      </c>
      <c r="Z15" s="1000" t="n">
        <v>15</v>
      </c>
      <c r="AA15" s="16" t="inlineStr">
        <is>
          <t>일</t>
        </is>
      </c>
      <c r="AB15" s="1001" t="n">
        <v>220927</v>
      </c>
      <c r="AC15" s="1002">
        <f>Z15*AB15</f>
        <v/>
      </c>
      <c r="AD15" s="1003">
        <f>AC15-X15</f>
        <v/>
      </c>
      <c r="AE15" s="1000" t="n">
        <v>15</v>
      </c>
      <c r="AF15" s="16" t="inlineStr">
        <is>
          <t>일</t>
        </is>
      </c>
      <c r="AG15" s="1001" t="n">
        <v>220927</v>
      </c>
      <c r="AH15" s="1002">
        <f>AE15*AG15</f>
        <v/>
      </c>
      <c r="AI15" s="1003">
        <f>AH15-AC15</f>
        <v/>
      </c>
      <c r="AJ15" s="1004" t="n"/>
      <c r="AK15" s="823" t="inlineStr">
        <is>
          <t>표준노임단가</t>
        </is>
      </c>
    </row>
    <row r="16" ht="30.2" customHeight="1" s="972">
      <c r="B16" s="1005" t="n"/>
      <c r="C16" s="1006" t="n"/>
      <c r="D16" s="1007" t="n"/>
      <c r="E16" s="15" t="inlineStr">
        <is>
          <t>임혜선 과장</t>
        </is>
      </c>
      <c r="F16" s="15" t="inlineStr">
        <is>
          <t>연구원 기준</t>
        </is>
      </c>
      <c r="G16" s="113" t="n">
        <v>10</v>
      </c>
      <c r="H16" s="114" t="inlineStr">
        <is>
          <t>일</t>
        </is>
      </c>
      <c r="I16" s="998" t="n">
        <v>220927</v>
      </c>
      <c r="J16" s="999">
        <f>G16*I16</f>
        <v/>
      </c>
      <c r="K16" s="1000" t="n">
        <v>10</v>
      </c>
      <c r="L16" s="16" t="inlineStr">
        <is>
          <t>일</t>
        </is>
      </c>
      <c r="M16" s="1001" t="n">
        <v>220927</v>
      </c>
      <c r="N16" s="1002">
        <f>K16*M16</f>
        <v/>
      </c>
      <c r="O16" s="1003">
        <f>N16-J16</f>
        <v/>
      </c>
      <c r="P16" s="1000" t="n">
        <v>10</v>
      </c>
      <c r="Q16" s="16" t="inlineStr">
        <is>
          <t>일</t>
        </is>
      </c>
      <c r="R16" s="1001" t="n">
        <v>220927</v>
      </c>
      <c r="S16" s="1002">
        <f>P16*R16</f>
        <v/>
      </c>
      <c r="T16" s="1003">
        <f>S16-N16</f>
        <v/>
      </c>
      <c r="U16" s="1000" t="n">
        <v>10</v>
      </c>
      <c r="V16" s="16" t="inlineStr">
        <is>
          <t>일</t>
        </is>
      </c>
      <c r="W16" s="1001" t="n">
        <v>220927</v>
      </c>
      <c r="X16" s="1002">
        <f>U16*W16</f>
        <v/>
      </c>
      <c r="Y16" s="1003">
        <f>X16-S16</f>
        <v/>
      </c>
      <c r="Z16" s="1000" t="n">
        <v>10</v>
      </c>
      <c r="AA16" s="16" t="inlineStr">
        <is>
          <t>일</t>
        </is>
      </c>
      <c r="AB16" s="1001" t="n">
        <v>220927</v>
      </c>
      <c r="AC16" s="1002">
        <f>Z16*AB16</f>
        <v/>
      </c>
      <c r="AD16" s="1003">
        <f>AC16-X16</f>
        <v/>
      </c>
      <c r="AE16" s="1000" t="n">
        <v>10</v>
      </c>
      <c r="AF16" s="16" t="inlineStr">
        <is>
          <t>일</t>
        </is>
      </c>
      <c r="AG16" s="1001" t="n">
        <v>220927</v>
      </c>
      <c r="AH16" s="1002">
        <f>AE16*AG16</f>
        <v/>
      </c>
      <c r="AI16" s="1003">
        <f>AH16-AC16</f>
        <v/>
      </c>
      <c r="AJ16" s="1004" t="n"/>
      <c r="AK16" s="823" t="inlineStr">
        <is>
          <t>표준노임단가</t>
        </is>
      </c>
    </row>
    <row r="17" ht="30.2" customHeight="1" s="972">
      <c r="B17" s="1005" t="n"/>
      <c r="C17" s="1006" t="n"/>
      <c r="D17" s="1007" t="n"/>
      <c r="E17" s="15" t="inlineStr">
        <is>
          <t>오세희 대리</t>
        </is>
      </c>
      <c r="F17" s="15" t="inlineStr">
        <is>
          <t>연구보조원 기준</t>
        </is>
      </c>
      <c r="G17" s="113" t="n">
        <v>10</v>
      </c>
      <c r="H17" s="114" t="inlineStr">
        <is>
          <t>일</t>
        </is>
      </c>
      <c r="I17" s="998" t="n">
        <v>147682</v>
      </c>
      <c r="J17" s="999">
        <f>G17*I17</f>
        <v/>
      </c>
      <c r="K17" s="1000" t="n">
        <v>10</v>
      </c>
      <c r="L17" s="16" t="inlineStr">
        <is>
          <t>일</t>
        </is>
      </c>
      <c r="M17" s="1001" t="n">
        <v>147682</v>
      </c>
      <c r="N17" s="1002">
        <f>K17*M17</f>
        <v/>
      </c>
      <c r="O17" s="1003">
        <f>N17-J17</f>
        <v/>
      </c>
      <c r="P17" s="1000" t="n">
        <v>10</v>
      </c>
      <c r="Q17" s="16" t="inlineStr">
        <is>
          <t>일</t>
        </is>
      </c>
      <c r="R17" s="1001" t="n">
        <v>147682</v>
      </c>
      <c r="S17" s="1002">
        <f>P17*R17</f>
        <v/>
      </c>
      <c r="T17" s="1003">
        <f>S17-N17</f>
        <v/>
      </c>
      <c r="U17" s="1000" t="n">
        <v>10</v>
      </c>
      <c r="V17" s="16" t="inlineStr">
        <is>
          <t>일</t>
        </is>
      </c>
      <c r="W17" s="1001" t="n">
        <v>147682</v>
      </c>
      <c r="X17" s="1002">
        <f>U17*W17</f>
        <v/>
      </c>
      <c r="Y17" s="1003">
        <f>X17-S17</f>
        <v/>
      </c>
      <c r="Z17" s="1000" t="n">
        <v>10</v>
      </c>
      <c r="AA17" s="16" t="inlineStr">
        <is>
          <t>일</t>
        </is>
      </c>
      <c r="AB17" s="1001" t="n">
        <v>147682</v>
      </c>
      <c r="AC17" s="1002">
        <f>Z17*AB17</f>
        <v/>
      </c>
      <c r="AD17" s="1003">
        <f>AC17-X17</f>
        <v/>
      </c>
      <c r="AE17" s="1000" t="n">
        <v>10</v>
      </c>
      <c r="AF17" s="16" t="inlineStr">
        <is>
          <t>일</t>
        </is>
      </c>
      <c r="AG17" s="1001" t="n">
        <v>147682</v>
      </c>
      <c r="AH17" s="1002">
        <f>AE17*AG17</f>
        <v/>
      </c>
      <c r="AI17" s="1003">
        <f>AH17-AC17</f>
        <v/>
      </c>
      <c r="AJ17" s="1004" t="n"/>
      <c r="AK17" s="823" t="inlineStr">
        <is>
          <t>표준노임단가</t>
        </is>
      </c>
    </row>
    <row r="18" ht="30.2" customHeight="1" s="972">
      <c r="B18" s="1005" t="n"/>
      <c r="C18" s="1006" t="n"/>
      <c r="D18" s="1007" t="n"/>
      <c r="E18" s="15" t="inlineStr">
        <is>
          <t>유윤상 실장</t>
        </is>
      </c>
      <c r="F18" s="15" t="inlineStr">
        <is>
          <t>책임연구원 기준</t>
        </is>
      </c>
      <c r="G18" s="113" t="n">
        <v>15</v>
      </c>
      <c r="H18" s="114" t="inlineStr">
        <is>
          <t>일</t>
        </is>
      </c>
      <c r="I18" s="998" t="n">
        <v>288120</v>
      </c>
      <c r="J18" s="999">
        <f>G18*I18</f>
        <v/>
      </c>
      <c r="K18" s="1000" t="n">
        <v>15</v>
      </c>
      <c r="L18" s="16" t="inlineStr">
        <is>
          <t>일</t>
        </is>
      </c>
      <c r="M18" s="1001" t="n">
        <v>288120</v>
      </c>
      <c r="N18" s="1002">
        <f>K18*M18</f>
        <v/>
      </c>
      <c r="O18" s="1003">
        <f>N18-J18</f>
        <v/>
      </c>
      <c r="P18" s="1000" t="n">
        <v>15</v>
      </c>
      <c r="Q18" s="16" t="inlineStr">
        <is>
          <t>일</t>
        </is>
      </c>
      <c r="R18" s="1001" t="n">
        <v>288120</v>
      </c>
      <c r="S18" s="1002">
        <f>P18*R18</f>
        <v/>
      </c>
      <c r="T18" s="1003">
        <f>S18-N18</f>
        <v/>
      </c>
      <c r="U18" s="1000" t="n">
        <v>15</v>
      </c>
      <c r="V18" s="16" t="inlineStr">
        <is>
          <t>일</t>
        </is>
      </c>
      <c r="W18" s="1001" t="n">
        <v>288120</v>
      </c>
      <c r="X18" s="1002">
        <f>U18*W18</f>
        <v/>
      </c>
      <c r="Y18" s="1003">
        <f>X18-S18</f>
        <v/>
      </c>
      <c r="Z18" s="1000" t="n">
        <v>15</v>
      </c>
      <c r="AA18" s="16" t="inlineStr">
        <is>
          <t>일</t>
        </is>
      </c>
      <c r="AB18" s="1001" t="n">
        <v>288120</v>
      </c>
      <c r="AC18" s="1002">
        <f>Z18*AB18</f>
        <v/>
      </c>
      <c r="AD18" s="1003">
        <f>AC18-X18</f>
        <v/>
      </c>
      <c r="AE18" s="1000" t="n">
        <v>15</v>
      </c>
      <c r="AF18" s="16" t="inlineStr">
        <is>
          <t>일</t>
        </is>
      </c>
      <c r="AG18" s="1001" t="n">
        <v>288120</v>
      </c>
      <c r="AH18" s="1002">
        <f>AE18*AG18</f>
        <v/>
      </c>
      <c r="AI18" s="1003">
        <f>AH18-AC18</f>
        <v/>
      </c>
      <c r="AJ18" s="1004" t="n"/>
      <c r="AK18" s="823" t="inlineStr">
        <is>
          <t>표준노임단가</t>
        </is>
      </c>
    </row>
    <row r="19" ht="30.2" customHeight="1" s="972">
      <c r="B19" s="981" t="n"/>
      <c r="C19" s="1008" t="n"/>
      <c r="D19" s="996" t="n"/>
      <c r="E19" s="15" t="inlineStr">
        <is>
          <t>민경언 실장</t>
        </is>
      </c>
      <c r="F19" s="15" t="inlineStr">
        <is>
          <t>연구원 기준</t>
        </is>
      </c>
      <c r="G19" s="113" t="n">
        <v>5</v>
      </c>
      <c r="H19" s="114" t="inlineStr">
        <is>
          <t>일</t>
        </is>
      </c>
      <c r="I19" s="998" t="n">
        <v>220927</v>
      </c>
      <c r="J19" s="999">
        <f>G19*I19</f>
        <v/>
      </c>
      <c r="K19" s="1000" t="n">
        <v>5</v>
      </c>
      <c r="L19" s="16" t="inlineStr">
        <is>
          <t>일</t>
        </is>
      </c>
      <c r="M19" s="1001" t="n">
        <v>220927</v>
      </c>
      <c r="N19" s="1002">
        <f>K19*M19</f>
        <v/>
      </c>
      <c r="O19" s="1003">
        <f>N19-J19</f>
        <v/>
      </c>
      <c r="P19" s="1000" t="n">
        <v>5</v>
      </c>
      <c r="Q19" s="16" t="inlineStr">
        <is>
          <t>일</t>
        </is>
      </c>
      <c r="R19" s="1001" t="n">
        <v>220927</v>
      </c>
      <c r="S19" s="1002">
        <f>P19*R19</f>
        <v/>
      </c>
      <c r="T19" s="1003">
        <f>S19-N19</f>
        <v/>
      </c>
      <c r="U19" s="1000" t="n">
        <v>5</v>
      </c>
      <c r="V19" s="16" t="inlineStr">
        <is>
          <t>일</t>
        </is>
      </c>
      <c r="W19" s="1001" t="n">
        <v>220927</v>
      </c>
      <c r="X19" s="1002">
        <f>U19*W19</f>
        <v/>
      </c>
      <c r="Y19" s="1003">
        <f>X19-S19</f>
        <v/>
      </c>
      <c r="Z19" s="1000" t="n">
        <v>5</v>
      </c>
      <c r="AA19" s="16" t="inlineStr">
        <is>
          <t>일</t>
        </is>
      </c>
      <c r="AB19" s="1001" t="n">
        <v>220927</v>
      </c>
      <c r="AC19" s="1002">
        <f>Z19*AB19</f>
        <v/>
      </c>
      <c r="AD19" s="1003">
        <f>AC19-X19</f>
        <v/>
      </c>
      <c r="AE19" s="1000" t="n">
        <v>5</v>
      </c>
      <c r="AF19" s="16" t="inlineStr">
        <is>
          <t>일</t>
        </is>
      </c>
      <c r="AG19" s="1001" t="n">
        <v>220927</v>
      </c>
      <c r="AH19" s="1002">
        <f>AE19*AG19</f>
        <v/>
      </c>
      <c r="AI19" s="1003">
        <f>AH19-AC19</f>
        <v/>
      </c>
      <c r="AJ19" s="1004" t="n"/>
      <c r="AK19" s="823" t="inlineStr">
        <is>
          <t>표준노임단가</t>
        </is>
      </c>
    </row>
    <row r="20" ht="30.2" customHeight="1" s="972">
      <c r="B20" s="875" t="inlineStr">
        <is>
          <t>1 용역서비스 소계</t>
        </is>
      </c>
      <c r="C20" s="955" t="n"/>
      <c r="D20" s="955" t="n"/>
      <c r="E20" s="955" t="n"/>
      <c r="F20" s="955" t="n"/>
      <c r="G20" s="955" t="n"/>
      <c r="H20" s="955" t="n"/>
      <c r="I20" s="949" t="n"/>
      <c r="J20" s="1009">
        <f>SUM(J12:J19)</f>
        <v/>
      </c>
      <c r="K20" s="1010" t="n"/>
      <c r="L20" s="955" t="n"/>
      <c r="M20" s="949" t="n"/>
      <c r="N20" s="1011">
        <f>SUM(N12:N19)</f>
        <v/>
      </c>
      <c r="O20" s="1012">
        <f>SUM(O12:O19)</f>
        <v/>
      </c>
      <c r="P20" s="1010" t="n"/>
      <c r="Q20" s="955" t="n"/>
      <c r="R20" s="949" t="n"/>
      <c r="S20" s="1011">
        <f>SUM(S12:S19)</f>
        <v/>
      </c>
      <c r="T20" s="1012">
        <f>SUM(T12:T19)</f>
        <v/>
      </c>
      <c r="U20" s="1010" t="n"/>
      <c r="V20" s="955" t="n"/>
      <c r="W20" s="949" t="n"/>
      <c r="X20" s="1011">
        <f>SUM(X12:X19)</f>
        <v/>
      </c>
      <c r="Y20" s="1012">
        <f>SUM(Y12:Y19)</f>
        <v/>
      </c>
      <c r="Z20" s="1010" t="n"/>
      <c r="AA20" s="955" t="n"/>
      <c r="AB20" s="949" t="n"/>
      <c r="AC20" s="1011">
        <f>SUM(AC12:AC19)</f>
        <v/>
      </c>
      <c r="AD20" s="1012">
        <f>SUM(AD12:AD19)</f>
        <v/>
      </c>
      <c r="AE20" s="1010" t="n"/>
      <c r="AF20" s="955" t="n"/>
      <c r="AG20" s="949" t="n"/>
      <c r="AH20" s="1011">
        <f>SUM(AH12:AH19)</f>
        <v/>
      </c>
      <c r="AI20" s="1012">
        <f>SUM(AI12:AI19)</f>
        <v/>
      </c>
      <c r="AJ20" s="751" t="n"/>
      <c r="AK20" s="56" t="n"/>
    </row>
    <row r="21" ht="34.5" customHeight="1" s="972">
      <c r="B21" s="34" t="inlineStr">
        <is>
          <t>2. 프로덕션</t>
        </is>
      </c>
      <c r="C21" s="34" t="inlineStr">
        <is>
          <t>메인 스테이지</t>
        </is>
      </c>
      <c r="D21" s="997" t="n"/>
      <c r="E21" s="64" t="inlineStr">
        <is>
          <t>시스템 구조물 및 트러스</t>
        </is>
      </c>
      <c r="F21" s="64" t="inlineStr">
        <is>
          <t>시스템 구조물 62.5m x 19m x  7.2m(W x H x D)</t>
        </is>
      </c>
      <c r="G21" s="1013" t="n">
        <v>1</v>
      </c>
      <c r="H21" s="117" t="inlineStr">
        <is>
          <t>식</t>
        </is>
      </c>
      <c r="I21" s="1014" t="n">
        <v>30000000</v>
      </c>
      <c r="J21" s="1015">
        <f>G21*I21</f>
        <v/>
      </c>
      <c r="K21" s="1016" t="n">
        <v>1</v>
      </c>
      <c r="L21" s="65" t="inlineStr">
        <is>
          <t>식</t>
        </is>
      </c>
      <c r="M21" s="1017" t="n">
        <v>30000000</v>
      </c>
      <c r="N21" s="1018">
        <f>K21*M21</f>
        <v/>
      </c>
      <c r="O21" s="1019">
        <f>N21-J21</f>
        <v/>
      </c>
      <c r="P21" s="1016" t="n">
        <v>1</v>
      </c>
      <c r="Q21" s="65" t="inlineStr">
        <is>
          <t>식</t>
        </is>
      </c>
      <c r="R21" s="1017" t="n">
        <v>30000000</v>
      </c>
      <c r="S21" s="1018">
        <f>P21*R21</f>
        <v/>
      </c>
      <c r="T21" s="1003">
        <f>S21-N21</f>
        <v/>
      </c>
      <c r="U21" s="1016" t="n">
        <v>1</v>
      </c>
      <c r="V21" s="65" t="inlineStr">
        <is>
          <t>식</t>
        </is>
      </c>
      <c r="W21" s="1017" t="n">
        <v>30000000</v>
      </c>
      <c r="X21" s="1018">
        <f>U21*W21</f>
        <v/>
      </c>
      <c r="Y21" s="1003">
        <f>X21-S21</f>
        <v/>
      </c>
      <c r="Z21" s="1016" t="n">
        <v>1</v>
      </c>
      <c r="AA21" s="65" t="inlineStr">
        <is>
          <t>식</t>
        </is>
      </c>
      <c r="AB21" s="1017" t="n">
        <v>30000000</v>
      </c>
      <c r="AC21" s="1018">
        <f>Z21*AB21</f>
        <v/>
      </c>
      <c r="AD21" s="1003">
        <f>AC21-X21</f>
        <v/>
      </c>
      <c r="AE21" s="1016" t="n">
        <v>1</v>
      </c>
      <c r="AF21" s="65" t="inlineStr">
        <is>
          <t>식</t>
        </is>
      </c>
      <c r="AG21" s="1017" t="n">
        <v>30000000</v>
      </c>
      <c r="AH21" s="1018">
        <f>AE21*AG21</f>
        <v/>
      </c>
      <c r="AI21" s="1003">
        <f>AH21-AC21</f>
        <v/>
      </c>
      <c r="AJ21" s="93" t="inlineStr">
        <is>
          <t>-</t>
        </is>
      </c>
      <c r="AK21" s="31" t="n"/>
    </row>
    <row r="22" ht="31.5" customHeight="1" s="972">
      <c r="B22" s="1005" t="n"/>
      <c r="C22" s="1006" t="n"/>
      <c r="D22" s="1007" t="n"/>
      <c r="E22" s="1005" t="n"/>
      <c r="F22" s="64" t="inlineStr">
        <is>
          <t>시스템 구조물 29m x 15.5m x  5.4m(W x H x D)</t>
        </is>
      </c>
      <c r="G22" s="1013" t="n">
        <v>2</v>
      </c>
      <c r="H22" s="117" t="inlineStr">
        <is>
          <t>식</t>
        </is>
      </c>
      <c r="I22" s="1014" t="n">
        <v>13000000</v>
      </c>
      <c r="J22" s="1015">
        <f>G22*I22</f>
        <v/>
      </c>
      <c r="K22" s="1016" t="n">
        <v>2</v>
      </c>
      <c r="L22" s="65" t="inlineStr">
        <is>
          <t>식</t>
        </is>
      </c>
      <c r="M22" s="1017" t="n">
        <v>13000000</v>
      </c>
      <c r="N22" s="1018">
        <f>K22*M22</f>
        <v/>
      </c>
      <c r="O22" s="1019">
        <f>N22-J22</f>
        <v/>
      </c>
      <c r="P22" s="1016" t="n">
        <v>2</v>
      </c>
      <c r="Q22" s="65" t="inlineStr">
        <is>
          <t>식</t>
        </is>
      </c>
      <c r="R22" s="1017" t="n">
        <v>13000000</v>
      </c>
      <c r="S22" s="1018">
        <f>P22*R22</f>
        <v/>
      </c>
      <c r="T22" s="1003">
        <f>S22-N22</f>
        <v/>
      </c>
      <c r="U22" s="1016" t="n">
        <v>2</v>
      </c>
      <c r="V22" s="65" t="inlineStr">
        <is>
          <t>식</t>
        </is>
      </c>
      <c r="W22" s="1017" t="n">
        <v>13000000</v>
      </c>
      <c r="X22" s="1018">
        <f>U22*W22</f>
        <v/>
      </c>
      <c r="Y22" s="1003">
        <f>X22-S22</f>
        <v/>
      </c>
      <c r="Z22" s="1016" t="n">
        <v>2</v>
      </c>
      <c r="AA22" s="65" t="inlineStr">
        <is>
          <t>식</t>
        </is>
      </c>
      <c r="AB22" s="1017" t="n">
        <v>13000000</v>
      </c>
      <c r="AC22" s="1018">
        <f>Z22*AB22</f>
        <v/>
      </c>
      <c r="AD22" s="1003">
        <f>AC22-X22</f>
        <v/>
      </c>
      <c r="AE22" s="1016" t="n">
        <v>2</v>
      </c>
      <c r="AF22" s="65" t="inlineStr">
        <is>
          <t>식</t>
        </is>
      </c>
      <c r="AG22" s="1017" t="n">
        <v>13000000</v>
      </c>
      <c r="AH22" s="1018">
        <f>AE22*AG22</f>
        <v/>
      </c>
      <c r="AI22" s="1003">
        <f>AH22-AC22</f>
        <v/>
      </c>
      <c r="AJ22" s="93" t="n"/>
      <c r="AK22" s="85" t="n"/>
    </row>
    <row r="23" ht="46.5" customHeight="1" s="972">
      <c r="B23" s="1005" t="n"/>
      <c r="C23" s="1006" t="n"/>
      <c r="D23" s="1007" t="n"/>
      <c r="E23" s="1005" t="n"/>
      <c r="F23" s="64" t="inlineStr">
        <is>
          <t>헤비트러스  44m  / 악세사리 트러스 230m /  
체인모터 8ea</t>
        </is>
      </c>
      <c r="G23" s="1013" t="n">
        <v>1</v>
      </c>
      <c r="H23" s="117" t="inlineStr">
        <is>
          <t>식</t>
        </is>
      </c>
      <c r="I23" s="1014" t="n">
        <v>12000000</v>
      </c>
      <c r="J23" s="1015">
        <f>G23*I23</f>
        <v/>
      </c>
      <c r="K23" s="1016" t="n">
        <v>1</v>
      </c>
      <c r="L23" s="65" t="inlineStr">
        <is>
          <t>식</t>
        </is>
      </c>
      <c r="M23" s="1017" t="n">
        <v>12000000</v>
      </c>
      <c r="N23" s="1018">
        <f>K23*M23</f>
        <v/>
      </c>
      <c r="O23" s="1019">
        <f>N23-J23</f>
        <v/>
      </c>
      <c r="P23" s="1016" t="n">
        <v>1</v>
      </c>
      <c r="Q23" s="65" t="inlineStr">
        <is>
          <t>식</t>
        </is>
      </c>
      <c r="R23" s="1017" t="n">
        <v>12000000</v>
      </c>
      <c r="S23" s="1018">
        <f>P23*R23</f>
        <v/>
      </c>
      <c r="T23" s="1003">
        <f>S23-N23</f>
        <v/>
      </c>
      <c r="U23" s="1016" t="n">
        <v>1</v>
      </c>
      <c r="V23" s="65" t="inlineStr">
        <is>
          <t>식</t>
        </is>
      </c>
      <c r="W23" s="1017" t="n">
        <v>12000000</v>
      </c>
      <c r="X23" s="1018">
        <f>U23*W23</f>
        <v/>
      </c>
      <c r="Y23" s="1003">
        <f>X23-S23</f>
        <v/>
      </c>
      <c r="Z23" s="1016" t="n">
        <v>1</v>
      </c>
      <c r="AA23" s="65" t="inlineStr">
        <is>
          <t>식</t>
        </is>
      </c>
      <c r="AB23" s="1017" t="n">
        <v>12000000</v>
      </c>
      <c r="AC23" s="1018">
        <f>Z23*AB23</f>
        <v/>
      </c>
      <c r="AD23" s="1003">
        <f>AC23-X23</f>
        <v/>
      </c>
      <c r="AE23" s="1016" t="n">
        <v>1</v>
      </c>
      <c r="AF23" s="65" t="inlineStr">
        <is>
          <t>식</t>
        </is>
      </c>
      <c r="AG23" s="1017" t="n">
        <v>12000000</v>
      </c>
      <c r="AH23" s="1018">
        <f>AE23*AG23</f>
        <v/>
      </c>
      <c r="AI23" s="1003">
        <f>AH23-AC23</f>
        <v/>
      </c>
      <c r="AJ23" s="242" t="n"/>
      <c r="AK23" s="823" t="n"/>
    </row>
    <row r="24" ht="30.2" customHeight="1" s="972">
      <c r="B24" s="1005" t="n"/>
      <c r="C24" s="1006" t="n"/>
      <c r="D24" s="1007" t="n"/>
      <c r="E24" s="1005" t="n"/>
      <c r="F24" s="64" t="inlineStr">
        <is>
          <t>투명 루프</t>
        </is>
      </c>
      <c r="G24" s="1013" t="n">
        <v>1</v>
      </c>
      <c r="H24" s="117" t="inlineStr">
        <is>
          <t>ea</t>
        </is>
      </c>
      <c r="I24" s="1014" t="n">
        <v>1000000</v>
      </c>
      <c r="J24" s="1015">
        <f>G24*I24</f>
        <v/>
      </c>
      <c r="K24" s="1016" t="n">
        <v>1</v>
      </c>
      <c r="L24" s="65" t="inlineStr">
        <is>
          <t>ea</t>
        </is>
      </c>
      <c r="M24" s="1017" t="n">
        <v>1000000</v>
      </c>
      <c r="N24" s="1018">
        <f>K24*M24</f>
        <v/>
      </c>
      <c r="O24" s="1019">
        <f>N24-J24</f>
        <v/>
      </c>
      <c r="P24" s="1016" t="n">
        <v>1</v>
      </c>
      <c r="Q24" s="65" t="inlineStr">
        <is>
          <t>ea</t>
        </is>
      </c>
      <c r="R24" s="1017" t="n">
        <v>1000000</v>
      </c>
      <c r="S24" s="1018">
        <f>P24*R24</f>
        <v/>
      </c>
      <c r="T24" s="1003">
        <f>S24-N24</f>
        <v/>
      </c>
      <c r="U24" s="1016" t="n">
        <v>1</v>
      </c>
      <c r="V24" s="65" t="inlineStr">
        <is>
          <t>ea</t>
        </is>
      </c>
      <c r="W24" s="1017" t="n">
        <v>1000000</v>
      </c>
      <c r="X24" s="1018">
        <f>U24*W24</f>
        <v/>
      </c>
      <c r="Y24" s="1003">
        <f>X24-S24</f>
        <v/>
      </c>
      <c r="Z24" s="1016" t="n">
        <v>1</v>
      </c>
      <c r="AA24" s="65" t="inlineStr">
        <is>
          <t>ea</t>
        </is>
      </c>
      <c r="AB24" s="1017" t="n">
        <v>1000000</v>
      </c>
      <c r="AC24" s="1018">
        <f>Z24*AB24</f>
        <v/>
      </c>
      <c r="AD24" s="1003">
        <f>AC24-X24</f>
        <v/>
      </c>
      <c r="AE24" s="1016" t="n">
        <v>1</v>
      </c>
      <c r="AF24" s="65" t="inlineStr">
        <is>
          <t>ea</t>
        </is>
      </c>
      <c r="AG24" s="1017" t="n">
        <v>1000000</v>
      </c>
      <c r="AH24" s="1018">
        <f>AE24*AG24</f>
        <v/>
      </c>
      <c r="AI24" s="1003">
        <f>AH24-AC24</f>
        <v/>
      </c>
      <c r="AJ24" s="93" t="n"/>
      <c r="AK24" s="243" t="n"/>
    </row>
    <row r="25" ht="30.2" customHeight="1" s="972">
      <c r="B25" s="1005" t="n"/>
      <c r="C25" s="1006" t="n"/>
      <c r="D25" s="1007" t="n"/>
      <c r="E25" s="1005" t="n"/>
      <c r="F25" s="64" t="inlineStr">
        <is>
          <t>1ton  콘크리트 웨이트</t>
        </is>
      </c>
      <c r="G25" s="1020" t="n">
        <v>14</v>
      </c>
      <c r="H25" s="117" t="inlineStr">
        <is>
          <t>ea</t>
        </is>
      </c>
      <c r="I25" s="1014" t="n">
        <v>200000</v>
      </c>
      <c r="J25" s="1015">
        <f>G25*I25</f>
        <v/>
      </c>
      <c r="K25" s="1021" t="n">
        <v>14</v>
      </c>
      <c r="L25" s="65" t="inlineStr">
        <is>
          <t>ea</t>
        </is>
      </c>
      <c r="M25" s="1017" t="n">
        <v>200000</v>
      </c>
      <c r="N25" s="1018">
        <f>K25*M25</f>
        <v/>
      </c>
      <c r="O25" s="1019">
        <f>N25-J25</f>
        <v/>
      </c>
      <c r="P25" s="1021" t="n">
        <v>14</v>
      </c>
      <c r="Q25" s="65" t="inlineStr">
        <is>
          <t>ea</t>
        </is>
      </c>
      <c r="R25" s="1017" t="n">
        <v>200000</v>
      </c>
      <c r="S25" s="1018">
        <f>P25*R25</f>
        <v/>
      </c>
      <c r="T25" s="1003">
        <f>S25-N25</f>
        <v/>
      </c>
      <c r="U25" s="1021" t="n">
        <v>14</v>
      </c>
      <c r="V25" s="65" t="inlineStr">
        <is>
          <t>ea</t>
        </is>
      </c>
      <c r="W25" s="1017" t="n">
        <v>200000</v>
      </c>
      <c r="X25" s="1018">
        <f>U25*W25</f>
        <v/>
      </c>
      <c r="Y25" s="1003">
        <f>X25-S25</f>
        <v/>
      </c>
      <c r="Z25" s="1021" t="n">
        <v>14</v>
      </c>
      <c r="AA25" s="65" t="inlineStr">
        <is>
          <t>ea</t>
        </is>
      </c>
      <c r="AB25" s="1017" t="n">
        <v>200000</v>
      </c>
      <c r="AC25" s="1018">
        <f>Z25*AB25</f>
        <v/>
      </c>
      <c r="AD25" s="1003">
        <f>AC25-X25</f>
        <v/>
      </c>
      <c r="AE25" s="1021" t="n">
        <v>14</v>
      </c>
      <c r="AF25" s="65" t="inlineStr">
        <is>
          <t>ea</t>
        </is>
      </c>
      <c r="AG25" s="1017" t="n">
        <v>200000</v>
      </c>
      <c r="AH25" s="1018">
        <f>AE25*AG25</f>
        <v/>
      </c>
      <c r="AI25" s="1003">
        <f>AH25-AC25</f>
        <v/>
      </c>
      <c r="AJ25" s="93" t="inlineStr">
        <is>
          <t>-</t>
        </is>
      </c>
      <c r="AK25" s="31" t="n"/>
    </row>
    <row r="26" ht="30.2" customHeight="1" s="972">
      <c r="B26" s="1005" t="n"/>
      <c r="C26" s="1006" t="n"/>
      <c r="D26" s="1007" t="n"/>
      <c r="E26" s="981" t="n"/>
      <c r="F26" s="64" t="inlineStr">
        <is>
          <t>인건비  및 운송비</t>
        </is>
      </c>
      <c r="G26" s="1020" t="n">
        <v>1</v>
      </c>
      <c r="H26" s="117" t="inlineStr">
        <is>
          <t>식</t>
        </is>
      </c>
      <c r="I26" s="1014" t="n">
        <v>16000000</v>
      </c>
      <c r="J26" s="1015">
        <f>G26*I26</f>
        <v/>
      </c>
      <c r="K26" s="1021" t="n">
        <v>1</v>
      </c>
      <c r="L26" s="65" t="inlineStr">
        <is>
          <t>식</t>
        </is>
      </c>
      <c r="M26" s="1017" t="n">
        <v>16000000</v>
      </c>
      <c r="N26" s="1018">
        <f>K26*M26</f>
        <v/>
      </c>
      <c r="O26" s="1019">
        <f>N26-J26</f>
        <v/>
      </c>
      <c r="P26" s="1021" t="n">
        <v>1</v>
      </c>
      <c r="Q26" s="65" t="inlineStr">
        <is>
          <t>식</t>
        </is>
      </c>
      <c r="R26" s="1017" t="n">
        <v>16000000</v>
      </c>
      <c r="S26" s="1018">
        <f>P26*R26</f>
        <v/>
      </c>
      <c r="T26" s="1003">
        <f>S26-N26</f>
        <v/>
      </c>
      <c r="U26" s="1021" t="n">
        <v>1</v>
      </c>
      <c r="V26" s="65" t="inlineStr">
        <is>
          <t>식</t>
        </is>
      </c>
      <c r="W26" s="1017" t="n">
        <v>16000000</v>
      </c>
      <c r="X26" s="1018">
        <f>U26*W26</f>
        <v/>
      </c>
      <c r="Y26" s="1003">
        <f>X26-S26</f>
        <v/>
      </c>
      <c r="Z26" s="1021" t="n">
        <v>1</v>
      </c>
      <c r="AA26" s="65" t="inlineStr">
        <is>
          <t>식</t>
        </is>
      </c>
      <c r="AB26" s="1017" t="n">
        <v>16000000</v>
      </c>
      <c r="AC26" s="1018">
        <f>Z26*AB26</f>
        <v/>
      </c>
      <c r="AD26" s="1003">
        <f>AC26-X26</f>
        <v/>
      </c>
      <c r="AE26" s="1021" t="n">
        <v>1</v>
      </c>
      <c r="AF26" s="65" t="inlineStr">
        <is>
          <t>식</t>
        </is>
      </c>
      <c r="AG26" s="1017" t="n">
        <v>16000000</v>
      </c>
      <c r="AH26" s="1018">
        <f>AE26*AG26</f>
        <v/>
      </c>
      <c r="AI26" s="1003">
        <f>AH26-AC26</f>
        <v/>
      </c>
      <c r="AJ26" s="93" t="n"/>
      <c r="AK26" s="31" t="n"/>
    </row>
    <row r="27" ht="60.6" customHeight="1" s="972">
      <c r="B27" s="1005" t="n"/>
      <c r="C27" s="1006" t="n"/>
      <c r="D27" s="1007" t="n"/>
      <c r="E27" s="61" t="inlineStr">
        <is>
          <t>무대</t>
        </is>
      </c>
      <c r="F27" s="64" t="inlineStr">
        <is>
          <t>메인무대 122m x 8.2m(H:1500/1800/2700) /  계단 / 데코타일 / 파인텍스</t>
        </is>
      </c>
      <c r="G27" s="1020" t="n">
        <v>1</v>
      </c>
      <c r="H27" s="117" t="inlineStr">
        <is>
          <t>식</t>
        </is>
      </c>
      <c r="I27" s="1014" t="n">
        <v>18000000</v>
      </c>
      <c r="J27" s="1015">
        <f>G27*I27</f>
        <v/>
      </c>
      <c r="K27" s="1021" t="n">
        <v>1</v>
      </c>
      <c r="L27" s="65" t="inlineStr">
        <is>
          <t>식</t>
        </is>
      </c>
      <c r="M27" s="1017" t="n">
        <v>18000000</v>
      </c>
      <c r="N27" s="1018">
        <f>K27*M27</f>
        <v/>
      </c>
      <c r="O27" s="1019">
        <f>N27-J27</f>
        <v/>
      </c>
      <c r="P27" s="1021" t="n">
        <v>1</v>
      </c>
      <c r="Q27" s="65" t="inlineStr">
        <is>
          <t>식</t>
        </is>
      </c>
      <c r="R27" s="1017" t="n">
        <v>18000000</v>
      </c>
      <c r="S27" s="1018">
        <f>P27*R27</f>
        <v/>
      </c>
      <c r="T27" s="1003">
        <f>S27-N27</f>
        <v/>
      </c>
      <c r="U27" s="1021" t="n">
        <v>1</v>
      </c>
      <c r="V27" s="65" t="inlineStr">
        <is>
          <t>식</t>
        </is>
      </c>
      <c r="W27" s="1017" t="n">
        <v>18000000</v>
      </c>
      <c r="X27" s="1018">
        <f>U27*W27</f>
        <v/>
      </c>
      <c r="Y27" s="1003">
        <f>X27-S27</f>
        <v/>
      </c>
      <c r="Z27" s="1021" t="n">
        <v>1</v>
      </c>
      <c r="AA27" s="65" t="inlineStr">
        <is>
          <t>식</t>
        </is>
      </c>
      <c r="AB27" s="1017" t="n">
        <v>18000000</v>
      </c>
      <c r="AC27" s="1018">
        <f>Z27*AB27</f>
        <v/>
      </c>
      <c r="AD27" s="1003">
        <f>AC27-X27</f>
        <v/>
      </c>
      <c r="AE27" s="1021" t="n">
        <v>1</v>
      </c>
      <c r="AF27" s="65" t="inlineStr">
        <is>
          <t>식</t>
        </is>
      </c>
      <c r="AG27" s="1017" t="n">
        <v>18000000</v>
      </c>
      <c r="AH27" s="1018">
        <f>AE27*AG27</f>
        <v/>
      </c>
      <c r="AI27" s="1003">
        <f>AH27-AC27</f>
        <v/>
      </c>
      <c r="AJ27" s="93" t="n"/>
      <c r="AK27" s="31" t="n"/>
    </row>
    <row r="28" ht="27.75" customHeight="1" s="972">
      <c r="B28" s="1005" t="n"/>
      <c r="C28" s="1006" t="n"/>
      <c r="D28" s="1007" t="n"/>
      <c r="E28" s="1005" t="n"/>
      <c r="F28" s="64" t="inlineStr">
        <is>
          <t>돌출무대  지름 10m x 23.5m / 데코타일 / 브랜딩</t>
        </is>
      </c>
      <c r="G28" s="1020" t="n">
        <v>1</v>
      </c>
      <c r="H28" s="117" t="inlineStr">
        <is>
          <t>식</t>
        </is>
      </c>
      <c r="I28" s="1014" t="n">
        <v>5000000</v>
      </c>
      <c r="J28" s="1015">
        <f>G28*I28</f>
        <v/>
      </c>
      <c r="K28" s="1021" t="n">
        <v>1</v>
      </c>
      <c r="L28" s="65" t="inlineStr">
        <is>
          <t>식</t>
        </is>
      </c>
      <c r="M28" s="1017" t="n">
        <v>5000000</v>
      </c>
      <c r="N28" s="1018">
        <f>K28*M28</f>
        <v/>
      </c>
      <c r="O28" s="1019">
        <f>N28-J28</f>
        <v/>
      </c>
      <c r="P28" s="1021" t="n">
        <v>1</v>
      </c>
      <c r="Q28" s="65" t="inlineStr">
        <is>
          <t>식</t>
        </is>
      </c>
      <c r="R28" s="1017" t="n">
        <v>5000000</v>
      </c>
      <c r="S28" s="1018">
        <f>P28*R28</f>
        <v/>
      </c>
      <c r="T28" s="1003">
        <f>S28-N28</f>
        <v/>
      </c>
      <c r="U28" s="1021" t="n">
        <v>1</v>
      </c>
      <c r="V28" s="65" t="inlineStr">
        <is>
          <t>식</t>
        </is>
      </c>
      <c r="W28" s="1017" t="n">
        <v>5000000</v>
      </c>
      <c r="X28" s="1018">
        <f>U28*W28</f>
        <v/>
      </c>
      <c r="Y28" s="1003">
        <f>X28-S28</f>
        <v/>
      </c>
      <c r="Z28" s="1021" t="n">
        <v>1</v>
      </c>
      <c r="AA28" s="65" t="inlineStr">
        <is>
          <t>식</t>
        </is>
      </c>
      <c r="AB28" s="1017" t="n">
        <v>5000000</v>
      </c>
      <c r="AC28" s="1018">
        <f>Z28*AB28</f>
        <v/>
      </c>
      <c r="AD28" s="1003">
        <f>AC28-X28</f>
        <v/>
      </c>
      <c r="AE28" s="1021" t="n">
        <v>1</v>
      </c>
      <c r="AF28" s="65" t="inlineStr">
        <is>
          <t>식</t>
        </is>
      </c>
      <c r="AG28" s="1017" t="n">
        <v>5000000</v>
      </c>
      <c r="AH28" s="1018">
        <f>AE28*AG28</f>
        <v/>
      </c>
      <c r="AI28" s="1003">
        <f>AH28-AC28</f>
        <v/>
      </c>
      <c r="AJ28" s="93" t="n"/>
      <c r="AK28" s="31" t="n"/>
    </row>
    <row r="29" ht="30.2" customHeight="1" s="972">
      <c r="B29" s="1005" t="n"/>
      <c r="C29" s="1006" t="n"/>
      <c r="D29" s="1007" t="n"/>
      <c r="E29" s="1005" t="n"/>
      <c r="F29" s="64" t="inlineStr">
        <is>
          <t>방염서류 및 흑막</t>
        </is>
      </c>
      <c r="G29" s="1020" t="n">
        <v>1</v>
      </c>
      <c r="H29" s="117" t="inlineStr">
        <is>
          <t>식</t>
        </is>
      </c>
      <c r="I29" s="1014" t="n">
        <v>5000000</v>
      </c>
      <c r="J29" s="1015">
        <f>G29*I29</f>
        <v/>
      </c>
      <c r="K29" s="1021" t="n">
        <v>1</v>
      </c>
      <c r="L29" s="65" t="inlineStr">
        <is>
          <t>식</t>
        </is>
      </c>
      <c r="M29" s="1017" t="n">
        <v>5000000</v>
      </c>
      <c r="N29" s="1018">
        <f>K29*M29</f>
        <v/>
      </c>
      <c r="O29" s="1019">
        <f>N29-J29</f>
        <v/>
      </c>
      <c r="P29" s="1021" t="n">
        <v>1</v>
      </c>
      <c r="Q29" s="65" t="inlineStr">
        <is>
          <t>식</t>
        </is>
      </c>
      <c r="R29" s="1017" t="n">
        <v>5000000</v>
      </c>
      <c r="S29" s="1018">
        <f>P29*R29</f>
        <v/>
      </c>
      <c r="T29" s="1003">
        <f>S29-N29</f>
        <v/>
      </c>
      <c r="U29" s="1021" t="n">
        <v>1</v>
      </c>
      <c r="V29" s="65" t="inlineStr">
        <is>
          <t>식</t>
        </is>
      </c>
      <c r="W29" s="1017" t="n">
        <v>5000000</v>
      </c>
      <c r="X29" s="1018">
        <f>U29*W29</f>
        <v/>
      </c>
      <c r="Y29" s="1003">
        <f>X29-S29</f>
        <v/>
      </c>
      <c r="Z29" s="1021" t="n">
        <v>1</v>
      </c>
      <c r="AA29" s="65" t="inlineStr">
        <is>
          <t>식</t>
        </is>
      </c>
      <c r="AB29" s="1017" t="n">
        <v>5000000</v>
      </c>
      <c r="AC29" s="1018">
        <f>Z29*AB29</f>
        <v/>
      </c>
      <c r="AD29" s="1003">
        <f>AC29-X29</f>
        <v/>
      </c>
      <c r="AE29" s="1021" t="n">
        <v>1</v>
      </c>
      <c r="AF29" s="65" t="inlineStr">
        <is>
          <t>식</t>
        </is>
      </c>
      <c r="AG29" s="1017" t="n">
        <v>5000000</v>
      </c>
      <c r="AH29" s="1018">
        <f>AE29*AG29</f>
        <v/>
      </c>
      <c r="AI29" s="1003">
        <f>AH29-AC29</f>
        <v/>
      </c>
      <c r="AJ29" s="93" t="n"/>
      <c r="AK29" s="31" t="n"/>
    </row>
    <row r="30" ht="30.2" customHeight="1" s="972">
      <c r="B30" s="1005" t="n"/>
      <c r="C30" s="1006" t="n"/>
      <c r="D30" s="1007" t="n"/>
      <c r="E30" s="1005" t="n"/>
      <c r="F30" s="64" t="inlineStr">
        <is>
          <t>상부 v 브랜딩  목공+시트마감</t>
        </is>
      </c>
      <c r="G30" s="1020" t="n">
        <v>2</v>
      </c>
      <c r="H30" s="117" t="inlineStr">
        <is>
          <t>식</t>
        </is>
      </c>
      <c r="I30" s="1014" t="n">
        <v>2000000</v>
      </c>
      <c r="J30" s="1015">
        <f>G30*I30</f>
        <v/>
      </c>
      <c r="K30" s="1021" t="n">
        <v>2</v>
      </c>
      <c r="L30" s="65" t="inlineStr">
        <is>
          <t>식</t>
        </is>
      </c>
      <c r="M30" s="1017" t="n">
        <v>2000000</v>
      </c>
      <c r="N30" s="1018">
        <f>K30*M30</f>
        <v/>
      </c>
      <c r="O30" s="1019">
        <f>N30-J30</f>
        <v/>
      </c>
      <c r="P30" s="1021" t="n">
        <v>2</v>
      </c>
      <c r="Q30" s="65" t="inlineStr">
        <is>
          <t>식</t>
        </is>
      </c>
      <c r="R30" s="1017" t="n">
        <v>2000000</v>
      </c>
      <c r="S30" s="1018">
        <f>P30*R30</f>
        <v/>
      </c>
      <c r="T30" s="1003">
        <f>S30-N30</f>
        <v/>
      </c>
      <c r="U30" s="1021" t="n">
        <v>2</v>
      </c>
      <c r="V30" s="65" t="inlineStr">
        <is>
          <t>식</t>
        </is>
      </c>
      <c r="W30" s="1017" t="n">
        <v>2000000</v>
      </c>
      <c r="X30" s="1018">
        <f>U30*W30</f>
        <v/>
      </c>
      <c r="Y30" s="1003">
        <f>X30-S30</f>
        <v/>
      </c>
      <c r="Z30" s="1021" t="n">
        <v>2</v>
      </c>
      <c r="AA30" s="65" t="inlineStr">
        <is>
          <t>식</t>
        </is>
      </c>
      <c r="AB30" s="1017" t="n">
        <v>2000000</v>
      </c>
      <c r="AC30" s="1018">
        <f>Z30*AB30</f>
        <v/>
      </c>
      <c r="AD30" s="1003">
        <f>AC30-X30</f>
        <v/>
      </c>
      <c r="AE30" s="1021" t="n">
        <v>2</v>
      </c>
      <c r="AF30" s="65" t="inlineStr">
        <is>
          <t>식</t>
        </is>
      </c>
      <c r="AG30" s="1017" t="n">
        <v>2000000</v>
      </c>
      <c r="AH30" s="1018">
        <f>AE30*AG30</f>
        <v/>
      </c>
      <c r="AI30" s="1003">
        <f>AH30-AC30</f>
        <v/>
      </c>
      <c r="AJ30" s="93" t="inlineStr">
        <is>
          <t>-</t>
        </is>
      </c>
      <c r="AK30" s="31" t="n"/>
    </row>
    <row r="31" ht="30.2" customHeight="1" s="972">
      <c r="B31" s="1005" t="n"/>
      <c r="C31" s="1006" t="n"/>
      <c r="D31" s="1007" t="n"/>
      <c r="E31" s="1005" t="n"/>
      <c r="F31" s="64" t="inlineStr">
        <is>
          <t>CASS 대형 LED 채널 간판 1ea 소형 2ea / 크레인</t>
        </is>
      </c>
      <c r="G31" s="1020" t="n">
        <v>1</v>
      </c>
      <c r="H31" s="117" t="inlineStr">
        <is>
          <t>식</t>
        </is>
      </c>
      <c r="I31" s="1014" t="n">
        <v>9000000</v>
      </c>
      <c r="J31" s="1015">
        <f>G31*I31</f>
        <v/>
      </c>
      <c r="K31" s="1021" t="n">
        <v>1</v>
      </c>
      <c r="L31" s="65" t="inlineStr">
        <is>
          <t>식</t>
        </is>
      </c>
      <c r="M31" s="1017" t="n">
        <v>9000000</v>
      </c>
      <c r="N31" s="1018">
        <f>K31*M31</f>
        <v/>
      </c>
      <c r="O31" s="1019">
        <f>N31-J31</f>
        <v/>
      </c>
      <c r="P31" s="1021" t="n">
        <v>1</v>
      </c>
      <c r="Q31" s="65" t="inlineStr">
        <is>
          <t>식</t>
        </is>
      </c>
      <c r="R31" s="1017" t="n">
        <v>9000000</v>
      </c>
      <c r="S31" s="1018">
        <f>P31*R31</f>
        <v/>
      </c>
      <c r="T31" s="1003">
        <f>S31-N31</f>
        <v/>
      </c>
      <c r="U31" s="1021" t="n">
        <v>1</v>
      </c>
      <c r="V31" s="65" t="inlineStr">
        <is>
          <t>식</t>
        </is>
      </c>
      <c r="W31" s="1017" t="n">
        <v>9000000</v>
      </c>
      <c r="X31" s="1018">
        <f>U31*W31</f>
        <v/>
      </c>
      <c r="Y31" s="1003">
        <f>X31-S31</f>
        <v/>
      </c>
      <c r="Z31" s="1021" t="n">
        <v>1</v>
      </c>
      <c r="AA31" s="65" t="inlineStr">
        <is>
          <t>식</t>
        </is>
      </c>
      <c r="AB31" s="1017" t="n">
        <v>9000000</v>
      </c>
      <c r="AC31" s="1018">
        <f>Z31*AB31</f>
        <v/>
      </c>
      <c r="AD31" s="1003">
        <f>AC31-X31</f>
        <v/>
      </c>
      <c r="AE31" s="1021" t="n">
        <v>1</v>
      </c>
      <c r="AF31" s="65" t="inlineStr">
        <is>
          <t>식</t>
        </is>
      </c>
      <c r="AG31" s="1017" t="n">
        <v>9000000</v>
      </c>
      <c r="AH31" s="1018">
        <f>AE31*AG31</f>
        <v/>
      </c>
      <c r="AI31" s="1003">
        <f>AH31-AC31</f>
        <v/>
      </c>
      <c r="AJ31" s="93" t="n"/>
      <c r="AK31" s="31" t="n"/>
    </row>
    <row r="32" ht="30.2" customHeight="1" s="972">
      <c r="B32" s="1005" t="n"/>
      <c r="C32" s="1006" t="n"/>
      <c r="D32" s="1007" t="n"/>
      <c r="E32" s="981" t="n"/>
      <c r="F32" s="64" t="inlineStr">
        <is>
          <t>인건비  및 운송비</t>
        </is>
      </c>
      <c r="G32" s="1020" t="n">
        <v>1</v>
      </c>
      <c r="H32" s="117" t="inlineStr">
        <is>
          <t>식</t>
        </is>
      </c>
      <c r="I32" s="1014" t="n">
        <v>5000000</v>
      </c>
      <c r="J32" s="1015">
        <f>G32*I32</f>
        <v/>
      </c>
      <c r="K32" s="1021" t="n">
        <v>1</v>
      </c>
      <c r="L32" s="65" t="inlineStr">
        <is>
          <t>식</t>
        </is>
      </c>
      <c r="M32" s="1017" t="n">
        <v>5000000</v>
      </c>
      <c r="N32" s="1018">
        <f>K32*M32</f>
        <v/>
      </c>
      <c r="O32" s="1019">
        <f>N32-J32</f>
        <v/>
      </c>
      <c r="P32" s="1021" t="n">
        <v>1</v>
      </c>
      <c r="Q32" s="65" t="inlineStr">
        <is>
          <t>식</t>
        </is>
      </c>
      <c r="R32" s="1017" t="n">
        <v>5000000</v>
      </c>
      <c r="S32" s="1018">
        <f>P32*R32</f>
        <v/>
      </c>
      <c r="T32" s="1003">
        <f>S32-N32</f>
        <v/>
      </c>
      <c r="U32" s="1021" t="n">
        <v>1</v>
      </c>
      <c r="V32" s="65" t="inlineStr">
        <is>
          <t>식</t>
        </is>
      </c>
      <c r="W32" s="1017" t="n">
        <v>5000000</v>
      </c>
      <c r="X32" s="1018">
        <f>U32*W32</f>
        <v/>
      </c>
      <c r="Y32" s="1003">
        <f>X32-S32</f>
        <v/>
      </c>
      <c r="Z32" s="1021" t="n">
        <v>1</v>
      </c>
      <c r="AA32" s="65" t="inlineStr">
        <is>
          <t>식</t>
        </is>
      </c>
      <c r="AB32" s="1017" t="n">
        <v>5000000</v>
      </c>
      <c r="AC32" s="1018">
        <f>Z32*AB32</f>
        <v/>
      </c>
      <c r="AD32" s="1003">
        <f>AC32-X32</f>
        <v/>
      </c>
      <c r="AE32" s="1021" t="n">
        <v>1</v>
      </c>
      <c r="AF32" s="65" t="inlineStr">
        <is>
          <t>식</t>
        </is>
      </c>
      <c r="AG32" s="1017" t="n">
        <v>5000000</v>
      </c>
      <c r="AH32" s="1018">
        <f>AE32*AG32</f>
        <v/>
      </c>
      <c r="AI32" s="1003">
        <f>AH32-AC32</f>
        <v/>
      </c>
      <c r="AJ32" s="93" t="n"/>
      <c r="AK32" s="31" t="n"/>
    </row>
    <row r="33" ht="30.2" customHeight="1" s="972">
      <c r="B33" s="1005" t="n"/>
      <c r="C33" s="1006" t="n"/>
      <c r="D33" s="1007" t="n"/>
      <c r="E33" s="61" t="inlineStr">
        <is>
          <t>음향</t>
        </is>
      </c>
      <c r="F33" s="68" t="inlineStr">
        <is>
          <t>Main Adamson E15</t>
        </is>
      </c>
      <c r="G33" s="1020" t="n">
        <v>32</v>
      </c>
      <c r="H33" s="117" t="inlineStr">
        <is>
          <t>ea</t>
        </is>
      </c>
      <c r="I33" s="1022" t="n">
        <v>120000</v>
      </c>
      <c r="J33" s="1015">
        <f>G33*I33</f>
        <v/>
      </c>
      <c r="K33" s="1023" t="n">
        <v>32</v>
      </c>
      <c r="L33" s="65" t="inlineStr">
        <is>
          <t>ea</t>
        </is>
      </c>
      <c r="M33" s="1024" t="n">
        <v>120000</v>
      </c>
      <c r="N33" s="1018">
        <f>K33*M33</f>
        <v/>
      </c>
      <c r="O33" s="1019">
        <f>N33-J33</f>
        <v/>
      </c>
      <c r="P33" s="1023" t="n">
        <v>32</v>
      </c>
      <c r="Q33" s="65" t="inlineStr">
        <is>
          <t>ea</t>
        </is>
      </c>
      <c r="R33" s="1024" t="n">
        <v>120000</v>
      </c>
      <c r="S33" s="1018">
        <f>P33*R33</f>
        <v/>
      </c>
      <c r="T33" s="1003">
        <f>S33-N33</f>
        <v/>
      </c>
      <c r="U33" s="1023" t="n">
        <v>32</v>
      </c>
      <c r="V33" s="65" t="inlineStr">
        <is>
          <t>ea</t>
        </is>
      </c>
      <c r="W33" s="1024" t="n">
        <v>120000</v>
      </c>
      <c r="X33" s="1018">
        <f>U33*W33</f>
        <v/>
      </c>
      <c r="Y33" s="1003">
        <f>X33-S33</f>
        <v/>
      </c>
      <c r="Z33" s="1023" t="n">
        <v>32</v>
      </c>
      <c r="AA33" s="65" t="inlineStr">
        <is>
          <t>ea</t>
        </is>
      </c>
      <c r="AB33" s="1024" t="n">
        <v>120000</v>
      </c>
      <c r="AC33" s="1018">
        <f>Z33*AB33</f>
        <v/>
      </c>
      <c r="AD33" s="1003">
        <f>AC33-X33</f>
        <v/>
      </c>
      <c r="AE33" s="1023" t="n">
        <v>32</v>
      </c>
      <c r="AF33" s="65" t="inlineStr">
        <is>
          <t>ea</t>
        </is>
      </c>
      <c r="AG33" s="1024" t="n">
        <v>120000</v>
      </c>
      <c r="AH33" s="1018">
        <f>AE33*AG33</f>
        <v/>
      </c>
      <c r="AI33" s="1003">
        <f>AH33-AC33</f>
        <v/>
      </c>
      <c r="AJ33" s="93" t="n"/>
      <c r="AK33" s="31" t="n"/>
    </row>
    <row r="34" ht="30.2" customHeight="1" s="972">
      <c r="B34" s="1005" t="n"/>
      <c r="C34" s="1006" t="n"/>
      <c r="D34" s="1007" t="n"/>
      <c r="E34" s="1005" t="n"/>
      <c r="F34" s="68" t="inlineStr">
        <is>
          <t>Main Adamson E218</t>
        </is>
      </c>
      <c r="G34" s="1020" t="n">
        <v>24</v>
      </c>
      <c r="H34" s="117" t="inlineStr">
        <is>
          <t>ea</t>
        </is>
      </c>
      <c r="I34" s="1022" t="n">
        <v>120000</v>
      </c>
      <c r="J34" s="1015">
        <f>G34*I34</f>
        <v/>
      </c>
      <c r="K34" s="1023" t="n">
        <v>24</v>
      </c>
      <c r="L34" s="65" t="inlineStr">
        <is>
          <t>ea</t>
        </is>
      </c>
      <c r="M34" s="1024" t="n">
        <v>120000</v>
      </c>
      <c r="N34" s="1018">
        <f>K34*M34</f>
        <v/>
      </c>
      <c r="O34" s="1019">
        <f>N34-J34</f>
        <v/>
      </c>
      <c r="P34" s="1023" t="n">
        <v>24</v>
      </c>
      <c r="Q34" s="65" t="inlineStr">
        <is>
          <t>ea</t>
        </is>
      </c>
      <c r="R34" s="1024" t="n">
        <v>120000</v>
      </c>
      <c r="S34" s="1018">
        <f>P34*R34</f>
        <v/>
      </c>
      <c r="T34" s="1003">
        <f>S34-N34</f>
        <v/>
      </c>
      <c r="U34" s="1023" t="n">
        <v>24</v>
      </c>
      <c r="V34" s="65" t="inlineStr">
        <is>
          <t>ea</t>
        </is>
      </c>
      <c r="W34" s="1024" t="n">
        <v>120000</v>
      </c>
      <c r="X34" s="1018">
        <f>U34*W34</f>
        <v/>
      </c>
      <c r="Y34" s="1003">
        <f>X34-S34</f>
        <v/>
      </c>
      <c r="Z34" s="1023" t="n">
        <v>24</v>
      </c>
      <c r="AA34" s="65" t="inlineStr">
        <is>
          <t>ea</t>
        </is>
      </c>
      <c r="AB34" s="1024" t="n">
        <v>120000</v>
      </c>
      <c r="AC34" s="1018">
        <f>Z34*AB34</f>
        <v/>
      </c>
      <c r="AD34" s="1003">
        <f>AC34-X34</f>
        <v/>
      </c>
      <c r="AE34" s="1023" t="n">
        <v>24</v>
      </c>
      <c r="AF34" s="65" t="inlineStr">
        <is>
          <t>ea</t>
        </is>
      </c>
      <c r="AG34" s="1024" t="n">
        <v>120000</v>
      </c>
      <c r="AH34" s="1018">
        <f>AE34*AG34</f>
        <v/>
      </c>
      <c r="AI34" s="1003">
        <f>AH34-AC34</f>
        <v/>
      </c>
      <c r="AJ34" s="93" t="n"/>
      <c r="AK34" s="31" t="n"/>
    </row>
    <row r="35" ht="30.2" customHeight="1" s="972">
      <c r="B35" s="1005" t="n"/>
      <c r="C35" s="1006" t="n"/>
      <c r="D35" s="1007" t="n"/>
      <c r="E35" s="1005" t="n"/>
      <c r="F35" s="68" t="inlineStr">
        <is>
          <t xml:space="preserve">Main EV X2 </t>
        </is>
      </c>
      <c r="G35" s="1020" t="n">
        <v>24</v>
      </c>
      <c r="H35" s="117" t="inlineStr">
        <is>
          <t>ea</t>
        </is>
      </c>
      <c r="I35" s="1022" t="n">
        <v>80000</v>
      </c>
      <c r="J35" s="1015">
        <f>G35*I35</f>
        <v/>
      </c>
      <c r="K35" s="1023" t="n">
        <v>24</v>
      </c>
      <c r="L35" s="65" t="inlineStr">
        <is>
          <t>ea</t>
        </is>
      </c>
      <c r="M35" s="1024" t="n">
        <v>80000</v>
      </c>
      <c r="N35" s="1018">
        <f>K35*M35</f>
        <v/>
      </c>
      <c r="O35" s="1019">
        <f>N35-J35</f>
        <v/>
      </c>
      <c r="P35" s="1023" t="n">
        <v>24</v>
      </c>
      <c r="Q35" s="65" t="inlineStr">
        <is>
          <t>ea</t>
        </is>
      </c>
      <c r="R35" s="1024" t="n">
        <v>80000</v>
      </c>
      <c r="S35" s="1018">
        <f>P35*R35</f>
        <v/>
      </c>
      <c r="T35" s="1003">
        <f>S35-N35</f>
        <v/>
      </c>
      <c r="U35" s="1023" t="n">
        <v>24</v>
      </c>
      <c r="V35" s="65" t="inlineStr">
        <is>
          <t>ea</t>
        </is>
      </c>
      <c r="W35" s="1024" t="n">
        <v>80000</v>
      </c>
      <c r="X35" s="1018">
        <f>U35*W35</f>
        <v/>
      </c>
      <c r="Y35" s="1003">
        <f>X35-S35</f>
        <v/>
      </c>
      <c r="Z35" s="1023" t="n">
        <v>24</v>
      </c>
      <c r="AA35" s="65" t="inlineStr">
        <is>
          <t>ea</t>
        </is>
      </c>
      <c r="AB35" s="1024" t="n">
        <v>80000</v>
      </c>
      <c r="AC35" s="1018">
        <f>Z35*AB35</f>
        <v/>
      </c>
      <c r="AD35" s="1003">
        <f>AC35-X35</f>
        <v/>
      </c>
      <c r="AE35" s="1023" t="n">
        <v>24</v>
      </c>
      <c r="AF35" s="65" t="inlineStr">
        <is>
          <t>ea</t>
        </is>
      </c>
      <c r="AG35" s="1024" t="n">
        <v>80000</v>
      </c>
      <c r="AH35" s="1018">
        <f>AE35*AG35</f>
        <v/>
      </c>
      <c r="AI35" s="1003">
        <f>AH35-AC35</f>
        <v/>
      </c>
      <c r="AJ35" s="93" t="n"/>
      <c r="AK35" s="31" t="n"/>
    </row>
    <row r="36" ht="30.2" customHeight="1" s="972">
      <c r="B36" s="1005" t="n"/>
      <c r="C36" s="1006" t="n"/>
      <c r="D36" s="1007" t="n"/>
      <c r="E36" s="1005" t="n"/>
      <c r="F36" s="68" t="inlineStr">
        <is>
          <t>Main EV X128</t>
        </is>
      </c>
      <c r="G36" s="1020" t="n">
        <v>12</v>
      </c>
      <c r="H36" s="117" t="inlineStr">
        <is>
          <t>ea</t>
        </is>
      </c>
      <c r="I36" s="1022" t="n">
        <v>120000</v>
      </c>
      <c r="J36" s="1015">
        <f>G36*I36</f>
        <v/>
      </c>
      <c r="K36" s="1023" t="n">
        <v>12</v>
      </c>
      <c r="L36" s="65" t="inlineStr">
        <is>
          <t>ea</t>
        </is>
      </c>
      <c r="M36" s="1024" t="n">
        <v>120000</v>
      </c>
      <c r="N36" s="1018">
        <f>K36*M36</f>
        <v/>
      </c>
      <c r="O36" s="1019">
        <f>N36-J36</f>
        <v/>
      </c>
      <c r="P36" s="1023" t="n">
        <v>12</v>
      </c>
      <c r="Q36" s="65" t="inlineStr">
        <is>
          <t>ea</t>
        </is>
      </c>
      <c r="R36" s="1024" t="n">
        <v>120000</v>
      </c>
      <c r="S36" s="1018">
        <f>P36*R36</f>
        <v/>
      </c>
      <c r="T36" s="1003">
        <f>S36-N36</f>
        <v/>
      </c>
      <c r="U36" s="1023" t="n">
        <v>12</v>
      </c>
      <c r="V36" s="65" t="inlineStr">
        <is>
          <t>ea</t>
        </is>
      </c>
      <c r="W36" s="1024" t="n">
        <v>120000</v>
      </c>
      <c r="X36" s="1018">
        <f>U36*W36</f>
        <v/>
      </c>
      <c r="Y36" s="1003">
        <f>X36-S36</f>
        <v/>
      </c>
      <c r="Z36" s="1023" t="n">
        <v>12</v>
      </c>
      <c r="AA36" s="65" t="inlineStr">
        <is>
          <t>ea</t>
        </is>
      </c>
      <c r="AB36" s="1024" t="n">
        <v>120000</v>
      </c>
      <c r="AC36" s="1018">
        <f>Z36*AB36</f>
        <v/>
      </c>
      <c r="AD36" s="1003">
        <f>AC36-X36</f>
        <v/>
      </c>
      <c r="AE36" s="1023" t="n">
        <v>12</v>
      </c>
      <c r="AF36" s="65" t="inlineStr">
        <is>
          <t>ea</t>
        </is>
      </c>
      <c r="AG36" s="1024" t="n">
        <v>120000</v>
      </c>
      <c r="AH36" s="1018">
        <f>AE36*AG36</f>
        <v/>
      </c>
      <c r="AI36" s="1003">
        <f>AH36-AC36</f>
        <v/>
      </c>
      <c r="AJ36" s="93" t="inlineStr">
        <is>
          <t>-</t>
        </is>
      </c>
      <c r="AK36" s="31" t="n"/>
    </row>
    <row r="37" ht="30.2" customHeight="1" s="972">
      <c r="B37" s="1005" t="n"/>
      <c r="C37" s="1006" t="n"/>
      <c r="D37" s="1007" t="n"/>
      <c r="E37" s="1005" t="n"/>
      <c r="F37" s="68" t="inlineStr">
        <is>
          <t>Main Power Amp. Set</t>
        </is>
      </c>
      <c r="G37" s="1020" t="n">
        <v>16</v>
      </c>
      <c r="H37" s="117" t="inlineStr">
        <is>
          <t>ea</t>
        </is>
      </c>
      <c r="I37" s="1022" t="n">
        <v>200000</v>
      </c>
      <c r="J37" s="1015">
        <f>G37*I37</f>
        <v/>
      </c>
      <c r="K37" s="1023" t="n">
        <v>16</v>
      </c>
      <c r="L37" s="65" t="inlineStr">
        <is>
          <t>ea</t>
        </is>
      </c>
      <c r="M37" s="1024" t="n">
        <v>200000</v>
      </c>
      <c r="N37" s="1018">
        <f>K37*M37</f>
        <v/>
      </c>
      <c r="O37" s="1019">
        <f>N37-J37</f>
        <v/>
      </c>
      <c r="P37" s="1023" t="n">
        <v>16</v>
      </c>
      <c r="Q37" s="65" t="inlineStr">
        <is>
          <t>ea</t>
        </is>
      </c>
      <c r="R37" s="1024" t="n">
        <v>200000</v>
      </c>
      <c r="S37" s="1018">
        <f>P37*R37</f>
        <v/>
      </c>
      <c r="T37" s="1003">
        <f>S37-N37</f>
        <v/>
      </c>
      <c r="U37" s="1023" t="n">
        <v>16</v>
      </c>
      <c r="V37" s="65" t="inlineStr">
        <is>
          <t>ea</t>
        </is>
      </c>
      <c r="W37" s="1024" t="n">
        <v>200000</v>
      </c>
      <c r="X37" s="1018">
        <f>U37*W37</f>
        <v/>
      </c>
      <c r="Y37" s="1003">
        <f>X37-S37</f>
        <v/>
      </c>
      <c r="Z37" s="1023" t="n">
        <v>16</v>
      </c>
      <c r="AA37" s="65" t="inlineStr">
        <is>
          <t>ea</t>
        </is>
      </c>
      <c r="AB37" s="1024" t="n">
        <v>200000</v>
      </c>
      <c r="AC37" s="1018">
        <f>Z37*AB37</f>
        <v/>
      </c>
      <c r="AD37" s="1003">
        <f>AC37-X37</f>
        <v/>
      </c>
      <c r="AE37" s="1023" t="n">
        <v>16</v>
      </c>
      <c r="AF37" s="65" t="inlineStr">
        <is>
          <t>ea</t>
        </is>
      </c>
      <c r="AG37" s="1024" t="n">
        <v>200000</v>
      </c>
      <c r="AH37" s="1018">
        <f>AE37*AG37</f>
        <v/>
      </c>
      <c r="AI37" s="1003">
        <f>AH37-AC37</f>
        <v/>
      </c>
      <c r="AJ37" s="93" t="inlineStr">
        <is>
          <t>-</t>
        </is>
      </c>
      <c r="AK37" s="31" t="n"/>
    </row>
    <row r="38" ht="30.2" customHeight="1" s="972">
      <c r="B38" s="1005" t="n"/>
      <c r="C38" s="1006" t="n"/>
      <c r="D38" s="1007" t="n"/>
      <c r="E38" s="1005" t="n"/>
      <c r="F38" s="68" t="inlineStr">
        <is>
          <t>DIGICO SD10 /  FOH Rack / Stage Rack</t>
        </is>
      </c>
      <c r="G38" s="1020" t="n">
        <v>1</v>
      </c>
      <c r="H38" s="117" t="inlineStr">
        <is>
          <t>set</t>
        </is>
      </c>
      <c r="I38" s="1022" t="n">
        <v>2000000</v>
      </c>
      <c r="J38" s="1015">
        <f>G38*I38</f>
        <v/>
      </c>
      <c r="K38" s="1023" t="n">
        <v>1</v>
      </c>
      <c r="L38" s="65" t="inlineStr">
        <is>
          <t>set</t>
        </is>
      </c>
      <c r="M38" s="1024" t="n">
        <v>2000000</v>
      </c>
      <c r="N38" s="1018">
        <f>K38*M38</f>
        <v/>
      </c>
      <c r="O38" s="1019">
        <f>N38-J38</f>
        <v/>
      </c>
      <c r="P38" s="1023" t="n">
        <v>1</v>
      </c>
      <c r="Q38" s="65" t="inlineStr">
        <is>
          <t>set</t>
        </is>
      </c>
      <c r="R38" s="1024" t="n">
        <v>2000000</v>
      </c>
      <c r="S38" s="1018">
        <f>P38*R38</f>
        <v/>
      </c>
      <c r="T38" s="1003">
        <f>S38-N38</f>
        <v/>
      </c>
      <c r="U38" s="1023" t="n">
        <v>1</v>
      </c>
      <c r="V38" s="65" t="inlineStr">
        <is>
          <t>set</t>
        </is>
      </c>
      <c r="W38" s="1024" t="n">
        <v>2000000</v>
      </c>
      <c r="X38" s="1018">
        <f>U38*W38</f>
        <v/>
      </c>
      <c r="Y38" s="1003">
        <f>X38-S38</f>
        <v/>
      </c>
      <c r="Z38" s="1023" t="n">
        <v>1</v>
      </c>
      <c r="AA38" s="65" t="inlineStr">
        <is>
          <t>set</t>
        </is>
      </c>
      <c r="AB38" s="1024" t="n">
        <v>2000000</v>
      </c>
      <c r="AC38" s="1018">
        <f>Z38*AB38</f>
        <v/>
      </c>
      <c r="AD38" s="1003">
        <f>AC38-X38</f>
        <v/>
      </c>
      <c r="AE38" s="1023" t="n">
        <v>1</v>
      </c>
      <c r="AF38" s="65" t="inlineStr">
        <is>
          <t>set</t>
        </is>
      </c>
      <c r="AG38" s="1024" t="n">
        <v>2000000</v>
      </c>
      <c r="AH38" s="1018">
        <f>AE38*AG38</f>
        <v/>
      </c>
      <c r="AI38" s="1003">
        <f>AH38-AC38</f>
        <v/>
      </c>
      <c r="AJ38" s="93" t="inlineStr">
        <is>
          <t>-</t>
        </is>
      </c>
      <c r="AK38" s="31" t="n"/>
    </row>
    <row r="39" ht="30.2" customHeight="1" s="972">
      <c r="B39" s="1005" t="n"/>
      <c r="C39" s="1006" t="n"/>
      <c r="D39" s="1007" t="n"/>
      <c r="E39" s="1005" t="n"/>
      <c r="F39" s="68" t="inlineStr">
        <is>
          <t xml:space="preserve">Instrument wired Mic </t>
        </is>
      </c>
      <c r="G39" s="1020" t="n">
        <v>1</v>
      </c>
      <c r="H39" s="117" t="inlineStr">
        <is>
          <t>set</t>
        </is>
      </c>
      <c r="I39" s="1022" t="n">
        <v>400000</v>
      </c>
      <c r="J39" s="1015">
        <f>G39*I39</f>
        <v/>
      </c>
      <c r="K39" s="1023" t="n">
        <v>1</v>
      </c>
      <c r="L39" s="65" t="inlineStr">
        <is>
          <t>set</t>
        </is>
      </c>
      <c r="M39" s="1024" t="n">
        <v>400000</v>
      </c>
      <c r="N39" s="1018">
        <f>K39*M39</f>
        <v/>
      </c>
      <c r="O39" s="1019">
        <f>N39-J39</f>
        <v/>
      </c>
      <c r="P39" s="1023" t="n">
        <v>1</v>
      </c>
      <c r="Q39" s="65" t="inlineStr">
        <is>
          <t>set</t>
        </is>
      </c>
      <c r="R39" s="1024" t="n">
        <v>400000</v>
      </c>
      <c r="S39" s="1018">
        <f>P39*R39</f>
        <v/>
      </c>
      <c r="T39" s="1003">
        <f>S39-N39</f>
        <v/>
      </c>
      <c r="U39" s="1023" t="n">
        <v>1</v>
      </c>
      <c r="V39" s="65" t="inlineStr">
        <is>
          <t>set</t>
        </is>
      </c>
      <c r="W39" s="1024" t="n">
        <v>400000</v>
      </c>
      <c r="X39" s="1018">
        <f>U39*W39</f>
        <v/>
      </c>
      <c r="Y39" s="1003">
        <f>X39-S39</f>
        <v/>
      </c>
      <c r="Z39" s="1023" t="n">
        <v>1</v>
      </c>
      <c r="AA39" s="65" t="inlineStr">
        <is>
          <t>set</t>
        </is>
      </c>
      <c r="AB39" s="1024" t="n">
        <v>400000</v>
      </c>
      <c r="AC39" s="1018">
        <f>Z39*AB39</f>
        <v/>
      </c>
      <c r="AD39" s="1003">
        <f>AC39-X39</f>
        <v/>
      </c>
      <c r="AE39" s="1023" t="n">
        <v>1</v>
      </c>
      <c r="AF39" s="65" t="inlineStr">
        <is>
          <t>set</t>
        </is>
      </c>
      <c r="AG39" s="1024" t="n">
        <v>400000</v>
      </c>
      <c r="AH39" s="1018">
        <f>AE39*AG39</f>
        <v/>
      </c>
      <c r="AI39" s="1003">
        <f>AH39-AC39</f>
        <v/>
      </c>
      <c r="AJ39" s="93" t="n"/>
      <c r="AK39" s="31" t="n"/>
    </row>
    <row r="40" ht="30.2" customHeight="1" s="972">
      <c r="B40" s="1005" t="n"/>
      <c r="C40" s="1006" t="n"/>
      <c r="D40" s="1007" t="n"/>
      <c r="E40" s="1005" t="n"/>
      <c r="F40" s="68" t="inlineStr">
        <is>
          <t>Wireless Mic</t>
        </is>
      </c>
      <c r="G40" s="1020" t="n">
        <v>8</v>
      </c>
      <c r="H40" s="117" t="inlineStr">
        <is>
          <t>ea</t>
        </is>
      </c>
      <c r="I40" s="1022" t="n">
        <v>40000</v>
      </c>
      <c r="J40" s="1015">
        <f>G40*I40</f>
        <v/>
      </c>
      <c r="K40" s="1023" t="n">
        <v>8</v>
      </c>
      <c r="L40" s="65" t="inlineStr">
        <is>
          <t>ea</t>
        </is>
      </c>
      <c r="M40" s="1024" t="n">
        <v>40000</v>
      </c>
      <c r="N40" s="1018">
        <f>K40*M40</f>
        <v/>
      </c>
      <c r="O40" s="1019">
        <f>N40-J40</f>
        <v/>
      </c>
      <c r="P40" s="1023" t="n">
        <v>8</v>
      </c>
      <c r="Q40" s="65" t="inlineStr">
        <is>
          <t>ea</t>
        </is>
      </c>
      <c r="R40" s="1024" t="n">
        <v>40000</v>
      </c>
      <c r="S40" s="1018">
        <f>P40*R40</f>
        <v/>
      </c>
      <c r="T40" s="1003">
        <f>S40-N40</f>
        <v/>
      </c>
      <c r="U40" s="1023" t="n">
        <v>8</v>
      </c>
      <c r="V40" s="65" t="inlineStr">
        <is>
          <t>ea</t>
        </is>
      </c>
      <c r="W40" s="1024" t="n">
        <v>40000</v>
      </c>
      <c r="X40" s="1018">
        <f>U40*W40</f>
        <v/>
      </c>
      <c r="Y40" s="1003">
        <f>X40-S40</f>
        <v/>
      </c>
      <c r="Z40" s="1023" t="n">
        <v>8</v>
      </c>
      <c r="AA40" s="65" t="inlineStr">
        <is>
          <t>ea</t>
        </is>
      </c>
      <c r="AB40" s="1024" t="n">
        <v>40000</v>
      </c>
      <c r="AC40" s="1018">
        <f>Z40*AB40</f>
        <v/>
      </c>
      <c r="AD40" s="1003">
        <f>AC40-X40</f>
        <v/>
      </c>
      <c r="AE40" s="1023" t="n">
        <v>8</v>
      </c>
      <c r="AF40" s="65" t="inlineStr">
        <is>
          <t>ea</t>
        </is>
      </c>
      <c r="AG40" s="1024" t="n">
        <v>40000</v>
      </c>
      <c r="AH40" s="1018">
        <f>AE40*AG40</f>
        <v/>
      </c>
      <c r="AI40" s="1003">
        <f>AH40-AC40</f>
        <v/>
      </c>
      <c r="AJ40" s="93" t="n"/>
      <c r="AK40" s="32" t="n"/>
    </row>
    <row r="41" ht="30.2" customHeight="1" s="972">
      <c r="B41" s="1005" t="n"/>
      <c r="C41" s="1006" t="n"/>
      <c r="D41" s="1007" t="n"/>
      <c r="E41" s="1005" t="n"/>
      <c r="F41" s="68" t="inlineStr">
        <is>
          <t>IEM(in-Ear monitor)</t>
        </is>
      </c>
      <c r="G41" s="1020" t="n">
        <v>4</v>
      </c>
      <c r="H41" s="117" t="inlineStr">
        <is>
          <t>ea</t>
        </is>
      </c>
      <c r="I41" s="1022" t="n">
        <v>80000</v>
      </c>
      <c r="J41" s="1015">
        <f>G41*I41</f>
        <v/>
      </c>
      <c r="K41" s="1023" t="n">
        <v>4</v>
      </c>
      <c r="L41" s="65" t="inlineStr">
        <is>
          <t>ea</t>
        </is>
      </c>
      <c r="M41" s="1024" t="n">
        <v>80000</v>
      </c>
      <c r="N41" s="1018">
        <f>K41*M41</f>
        <v/>
      </c>
      <c r="O41" s="1019">
        <f>N41-J41</f>
        <v/>
      </c>
      <c r="P41" s="1023" t="n">
        <v>4</v>
      </c>
      <c r="Q41" s="65" t="inlineStr">
        <is>
          <t>ea</t>
        </is>
      </c>
      <c r="R41" s="1024" t="n">
        <v>80000</v>
      </c>
      <c r="S41" s="1018">
        <f>P41*R41</f>
        <v/>
      </c>
      <c r="T41" s="1003">
        <f>S41-N41</f>
        <v/>
      </c>
      <c r="U41" s="1023" t="n">
        <v>4</v>
      </c>
      <c r="V41" s="65" t="inlineStr">
        <is>
          <t>ea</t>
        </is>
      </c>
      <c r="W41" s="1024" t="n">
        <v>80000</v>
      </c>
      <c r="X41" s="1018">
        <f>U41*W41</f>
        <v/>
      </c>
      <c r="Y41" s="1003">
        <f>X41-S41</f>
        <v/>
      </c>
      <c r="Z41" s="1023" t="n">
        <v>4</v>
      </c>
      <c r="AA41" s="65" t="inlineStr">
        <is>
          <t>ea</t>
        </is>
      </c>
      <c r="AB41" s="1024" t="n">
        <v>80000</v>
      </c>
      <c r="AC41" s="1018">
        <f>Z41*AB41</f>
        <v/>
      </c>
      <c r="AD41" s="1003">
        <f>AC41-X41</f>
        <v/>
      </c>
      <c r="AE41" s="1023" t="n">
        <v>4</v>
      </c>
      <c r="AF41" s="65" t="inlineStr">
        <is>
          <t>ea</t>
        </is>
      </c>
      <c r="AG41" s="1024" t="n">
        <v>80000</v>
      </c>
      <c r="AH41" s="1018">
        <f>AE41*AG41</f>
        <v/>
      </c>
      <c r="AI41" s="1003">
        <f>AH41-AC41</f>
        <v/>
      </c>
      <c r="AJ41" s="93" t="n"/>
      <c r="AK41" s="31" t="n"/>
    </row>
    <row r="42" ht="30.2" customHeight="1" s="972">
      <c r="B42" s="1005" t="n"/>
      <c r="C42" s="1006" t="n"/>
      <c r="D42" s="1007" t="n"/>
      <c r="E42" s="1005" t="n"/>
      <c r="F42" s="68" t="inlineStr">
        <is>
          <t>Monitor Speaker / AMP</t>
        </is>
      </c>
      <c r="G42" s="1020" t="n">
        <v>1</v>
      </c>
      <c r="H42" s="117" t="inlineStr">
        <is>
          <t>SET</t>
        </is>
      </c>
      <c r="I42" s="1022" t="n">
        <v>600000</v>
      </c>
      <c r="J42" s="1015">
        <f>G42*I42</f>
        <v/>
      </c>
      <c r="K42" s="1023" t="n">
        <v>1</v>
      </c>
      <c r="L42" s="65" t="inlineStr">
        <is>
          <t>SET</t>
        </is>
      </c>
      <c r="M42" s="1024" t="n">
        <v>600000</v>
      </c>
      <c r="N42" s="1018">
        <f>K42*M42</f>
        <v/>
      </c>
      <c r="O42" s="1019">
        <f>N42-J42</f>
        <v/>
      </c>
      <c r="P42" s="1023" t="n">
        <v>1</v>
      </c>
      <c r="Q42" s="65" t="inlineStr">
        <is>
          <t>SET</t>
        </is>
      </c>
      <c r="R42" s="1024" t="n">
        <v>600000</v>
      </c>
      <c r="S42" s="1018">
        <f>P42*R42</f>
        <v/>
      </c>
      <c r="T42" s="1003">
        <f>S42-N42</f>
        <v/>
      </c>
      <c r="U42" s="1023" t="n">
        <v>1</v>
      </c>
      <c r="V42" s="65" t="inlineStr">
        <is>
          <t>SET</t>
        </is>
      </c>
      <c r="W42" s="1024" t="n">
        <v>600000</v>
      </c>
      <c r="X42" s="1018">
        <f>U42*W42</f>
        <v/>
      </c>
      <c r="Y42" s="1003">
        <f>X42-S42</f>
        <v/>
      </c>
      <c r="Z42" s="1023" t="n">
        <v>1</v>
      </c>
      <c r="AA42" s="65" t="inlineStr">
        <is>
          <t>SET</t>
        </is>
      </c>
      <c r="AB42" s="1024" t="n">
        <v>600000</v>
      </c>
      <c r="AC42" s="1018">
        <f>Z42*AB42</f>
        <v/>
      </c>
      <c r="AD42" s="1003">
        <f>AC42-X42</f>
        <v/>
      </c>
      <c r="AE42" s="1023" t="n">
        <v>1</v>
      </c>
      <c r="AF42" s="65" t="inlineStr">
        <is>
          <t>SET</t>
        </is>
      </c>
      <c r="AG42" s="1024" t="n">
        <v>600000</v>
      </c>
      <c r="AH42" s="1018">
        <f>AE42*AG42</f>
        <v/>
      </c>
      <c r="AI42" s="1003">
        <f>AH42-AC42</f>
        <v/>
      </c>
      <c r="AJ42" s="93" t="n"/>
      <c r="AK42" s="31" t="n"/>
    </row>
    <row r="43" ht="30.2" customHeight="1" s="972">
      <c r="B43" s="1005" t="n"/>
      <c r="C43" s="1006" t="n"/>
      <c r="D43" s="1007" t="n"/>
      <c r="E43" s="1005" t="n"/>
      <c r="F43" s="68" t="inlineStr">
        <is>
          <t xml:space="preserve">Audio Management System </t>
        </is>
      </c>
      <c r="G43" s="1020" t="n">
        <v>1</v>
      </c>
      <c r="H43" s="117" t="inlineStr">
        <is>
          <t>set</t>
        </is>
      </c>
      <c r="I43" s="1022" t="n">
        <v>400000</v>
      </c>
      <c r="J43" s="1015">
        <f>G43*I43</f>
        <v/>
      </c>
      <c r="K43" s="1023" t="n">
        <v>1</v>
      </c>
      <c r="L43" s="65" t="inlineStr">
        <is>
          <t>set</t>
        </is>
      </c>
      <c r="M43" s="1024" t="n">
        <v>400000</v>
      </c>
      <c r="N43" s="1018">
        <f>K43*M43</f>
        <v/>
      </c>
      <c r="O43" s="1019">
        <f>N43-J43</f>
        <v/>
      </c>
      <c r="P43" s="1023" t="n">
        <v>1</v>
      </c>
      <c r="Q43" s="65" t="inlineStr">
        <is>
          <t>set</t>
        </is>
      </c>
      <c r="R43" s="1024" t="n">
        <v>400000</v>
      </c>
      <c r="S43" s="1018">
        <f>P43*R43</f>
        <v/>
      </c>
      <c r="T43" s="1003">
        <f>S43-N43</f>
        <v/>
      </c>
      <c r="U43" s="1023" t="n">
        <v>1</v>
      </c>
      <c r="V43" s="65" t="inlineStr">
        <is>
          <t>set</t>
        </is>
      </c>
      <c r="W43" s="1024" t="n">
        <v>400000</v>
      </c>
      <c r="X43" s="1018">
        <f>U43*W43</f>
        <v/>
      </c>
      <c r="Y43" s="1003">
        <f>X43-S43</f>
        <v/>
      </c>
      <c r="Z43" s="1023" t="n">
        <v>1</v>
      </c>
      <c r="AA43" s="65" t="inlineStr">
        <is>
          <t>set</t>
        </is>
      </c>
      <c r="AB43" s="1024" t="n">
        <v>400000</v>
      </c>
      <c r="AC43" s="1018">
        <f>Z43*AB43</f>
        <v/>
      </c>
      <c r="AD43" s="1003">
        <f>AC43-X43</f>
        <v/>
      </c>
      <c r="AE43" s="1023" t="n">
        <v>1</v>
      </c>
      <c r="AF43" s="65" t="inlineStr">
        <is>
          <t>set</t>
        </is>
      </c>
      <c r="AG43" s="1024" t="n">
        <v>400000</v>
      </c>
      <c r="AH43" s="1018">
        <f>AE43*AG43</f>
        <v/>
      </c>
      <c r="AI43" s="1003">
        <f>AH43-AC43</f>
        <v/>
      </c>
      <c r="AJ43" s="93" t="n"/>
      <c r="AK43" s="31" t="n"/>
    </row>
    <row r="44" ht="30.2" customHeight="1" s="972">
      <c r="B44" s="1005" t="n"/>
      <c r="C44" s="1006" t="n"/>
      <c r="D44" s="1007" t="n"/>
      <c r="E44" s="981" t="n"/>
      <c r="F44" s="68" t="inlineStr">
        <is>
          <t>설치/철거 및 운영, 운송비</t>
        </is>
      </c>
      <c r="G44" s="1020" t="n">
        <v>1</v>
      </c>
      <c r="H44" s="141" t="inlineStr">
        <is>
          <t>Team</t>
        </is>
      </c>
      <c r="I44" s="1022" t="n">
        <v>5000000</v>
      </c>
      <c r="J44" s="1015">
        <f>G44*I44</f>
        <v/>
      </c>
      <c r="K44" s="1023" t="n">
        <v>1</v>
      </c>
      <c r="L44" s="67" t="inlineStr">
        <is>
          <t>Team</t>
        </is>
      </c>
      <c r="M44" s="1024" t="n">
        <v>5000000</v>
      </c>
      <c r="N44" s="1018">
        <f>K44*M44</f>
        <v/>
      </c>
      <c r="O44" s="1019">
        <f>N44-J44</f>
        <v/>
      </c>
      <c r="P44" s="1023" t="n">
        <v>1</v>
      </c>
      <c r="Q44" s="67" t="inlineStr">
        <is>
          <t>Team</t>
        </is>
      </c>
      <c r="R44" s="1024" t="n">
        <v>5000000</v>
      </c>
      <c r="S44" s="1018">
        <f>P44*R44</f>
        <v/>
      </c>
      <c r="T44" s="1003">
        <f>S44-N44</f>
        <v/>
      </c>
      <c r="U44" s="1023" t="n">
        <v>1</v>
      </c>
      <c r="V44" s="67" t="inlineStr">
        <is>
          <t>Team</t>
        </is>
      </c>
      <c r="W44" s="1024" t="n">
        <v>5000000</v>
      </c>
      <c r="X44" s="1018">
        <f>U44*W44</f>
        <v/>
      </c>
      <c r="Y44" s="1003">
        <f>X44-S44</f>
        <v/>
      </c>
      <c r="Z44" s="1023" t="n">
        <v>1</v>
      </c>
      <c r="AA44" s="67" t="inlineStr">
        <is>
          <t>Team</t>
        </is>
      </c>
      <c r="AB44" s="1024" t="n">
        <v>5000000</v>
      </c>
      <c r="AC44" s="1018">
        <f>Z44*AB44</f>
        <v/>
      </c>
      <c r="AD44" s="1003">
        <f>AC44-X44</f>
        <v/>
      </c>
      <c r="AE44" s="1023" t="n">
        <v>1</v>
      </c>
      <c r="AF44" s="67" t="inlineStr">
        <is>
          <t>Team</t>
        </is>
      </c>
      <c r="AG44" s="1024" t="n">
        <v>5000000</v>
      </c>
      <c r="AH44" s="1018">
        <f>AE44*AG44</f>
        <v/>
      </c>
      <c r="AI44" s="1003">
        <f>AH44-AC44</f>
        <v/>
      </c>
      <c r="AJ44" s="93" t="n"/>
      <c r="AK44" s="31" t="n"/>
    </row>
    <row r="45" ht="30.2" customHeight="1" s="972">
      <c r="B45" s="1005" t="n"/>
      <c r="C45" s="1006" t="n"/>
      <c r="D45" s="1007" t="n"/>
      <c r="E45" s="61" t="inlineStr">
        <is>
          <t>조명</t>
        </is>
      </c>
      <c r="F45" s="68" t="inlineStr">
        <is>
          <t>Mytos</t>
        </is>
      </c>
      <c r="G45" s="1025" t="n">
        <v>40</v>
      </c>
      <c r="H45" s="125" t="inlineStr">
        <is>
          <t>ea</t>
        </is>
      </c>
      <c r="I45" s="1022" t="n">
        <v>200000</v>
      </c>
      <c r="J45" s="1015">
        <f>G45*I45</f>
        <v/>
      </c>
      <c r="K45" s="1026" t="n">
        <v>40</v>
      </c>
      <c r="L45" s="63" t="inlineStr">
        <is>
          <t>ea</t>
        </is>
      </c>
      <c r="M45" s="1024" t="n">
        <v>200000</v>
      </c>
      <c r="N45" s="1018">
        <f>K45*M45</f>
        <v/>
      </c>
      <c r="O45" s="1019">
        <f>N45-J45</f>
        <v/>
      </c>
      <c r="P45" s="1026" t="n">
        <v>40</v>
      </c>
      <c r="Q45" s="63" t="inlineStr">
        <is>
          <t>ea</t>
        </is>
      </c>
      <c r="R45" s="1024" t="n">
        <v>200000</v>
      </c>
      <c r="S45" s="1018">
        <f>P45*R45</f>
        <v/>
      </c>
      <c r="T45" s="1003">
        <f>S45-N45</f>
        <v/>
      </c>
      <c r="U45" s="1026" t="n">
        <v>40</v>
      </c>
      <c r="V45" s="63" t="inlineStr">
        <is>
          <t>ea</t>
        </is>
      </c>
      <c r="W45" s="1024" t="n">
        <v>200000</v>
      </c>
      <c r="X45" s="1018">
        <f>U45*W45</f>
        <v/>
      </c>
      <c r="Y45" s="1003">
        <f>X45-S45</f>
        <v/>
      </c>
      <c r="Z45" s="1026" t="n">
        <v>40</v>
      </c>
      <c r="AA45" s="63" t="inlineStr">
        <is>
          <t>ea</t>
        </is>
      </c>
      <c r="AB45" s="1024" t="n">
        <v>200000</v>
      </c>
      <c r="AC45" s="1018">
        <f>Z45*AB45</f>
        <v/>
      </c>
      <c r="AD45" s="1003">
        <f>AC45-X45</f>
        <v/>
      </c>
      <c r="AE45" s="1026" t="n">
        <v>40</v>
      </c>
      <c r="AF45" s="63" t="inlineStr">
        <is>
          <t>ea</t>
        </is>
      </c>
      <c r="AG45" s="1024" t="n">
        <v>200000</v>
      </c>
      <c r="AH45" s="1018">
        <f>AE45*AG45</f>
        <v/>
      </c>
      <c r="AI45" s="1003">
        <f>AH45-AC45</f>
        <v/>
      </c>
      <c r="AJ45" s="93" t="n"/>
      <c r="AK45" s="31" t="n"/>
    </row>
    <row r="46" ht="30.2" customHeight="1" s="972">
      <c r="B46" s="1005" t="n"/>
      <c r="C46" s="1006" t="n"/>
      <c r="D46" s="1007" t="n"/>
      <c r="E46" s="1005" t="n"/>
      <c r="F46" s="68" t="inlineStr">
        <is>
          <t>Scenius</t>
        </is>
      </c>
      <c r="G46" s="1025" t="n">
        <v>20</v>
      </c>
      <c r="H46" s="125" t="inlineStr">
        <is>
          <t>ea</t>
        </is>
      </c>
      <c r="I46" s="1022" t="n">
        <v>200000</v>
      </c>
      <c r="J46" s="1015">
        <f>G46*I46</f>
        <v/>
      </c>
      <c r="K46" s="1026" t="n">
        <v>20</v>
      </c>
      <c r="L46" s="63" t="inlineStr">
        <is>
          <t>ea</t>
        </is>
      </c>
      <c r="M46" s="1024" t="n">
        <v>200000</v>
      </c>
      <c r="N46" s="1018">
        <f>K46*M46</f>
        <v/>
      </c>
      <c r="O46" s="1019">
        <f>N46-J46</f>
        <v/>
      </c>
      <c r="P46" s="1026" t="n">
        <v>20</v>
      </c>
      <c r="Q46" s="63" t="inlineStr">
        <is>
          <t>ea</t>
        </is>
      </c>
      <c r="R46" s="1024" t="n">
        <v>200000</v>
      </c>
      <c r="S46" s="1018">
        <f>P46*R46</f>
        <v/>
      </c>
      <c r="T46" s="1003">
        <f>S46-N46</f>
        <v/>
      </c>
      <c r="U46" s="1026" t="n">
        <v>20</v>
      </c>
      <c r="V46" s="63" t="inlineStr">
        <is>
          <t>ea</t>
        </is>
      </c>
      <c r="W46" s="1024" t="n">
        <v>200000</v>
      </c>
      <c r="X46" s="1018">
        <f>U46*W46</f>
        <v/>
      </c>
      <c r="Y46" s="1003">
        <f>X46-S46</f>
        <v/>
      </c>
      <c r="Z46" s="1026" t="n">
        <v>20</v>
      </c>
      <c r="AA46" s="63" t="inlineStr">
        <is>
          <t>ea</t>
        </is>
      </c>
      <c r="AB46" s="1024" t="n">
        <v>200000</v>
      </c>
      <c r="AC46" s="1018">
        <f>Z46*AB46</f>
        <v/>
      </c>
      <c r="AD46" s="1003">
        <f>AC46-X46</f>
        <v/>
      </c>
      <c r="AE46" s="1026" t="n">
        <v>20</v>
      </c>
      <c r="AF46" s="63" t="inlineStr">
        <is>
          <t>ea</t>
        </is>
      </c>
      <c r="AG46" s="1024" t="n">
        <v>200000</v>
      </c>
      <c r="AH46" s="1018">
        <f>AE46*AG46</f>
        <v/>
      </c>
      <c r="AI46" s="1003">
        <f>AH46-AC46</f>
        <v/>
      </c>
      <c r="AJ46" s="93" t="inlineStr">
        <is>
          <t>-</t>
        </is>
      </c>
      <c r="AK46" s="31" t="n"/>
    </row>
    <row r="47" ht="30.2" customHeight="1" s="972">
      <c r="B47" s="1005" t="n"/>
      <c r="C47" s="1006" t="n"/>
      <c r="D47" s="1007" t="n"/>
      <c r="E47" s="1005" t="n"/>
      <c r="F47" s="68" t="inlineStr">
        <is>
          <t>JARAG</t>
        </is>
      </c>
      <c r="G47" s="1025" t="n">
        <v>20</v>
      </c>
      <c r="H47" s="141" t="inlineStr">
        <is>
          <t>ea</t>
        </is>
      </c>
      <c r="I47" s="1014" t="n">
        <v>120000</v>
      </c>
      <c r="J47" s="1015">
        <f>G47*I47</f>
        <v/>
      </c>
      <c r="K47" s="1026" t="n">
        <v>20</v>
      </c>
      <c r="L47" s="69" t="inlineStr">
        <is>
          <t>ea</t>
        </is>
      </c>
      <c r="M47" s="1027" t="n">
        <v>120000</v>
      </c>
      <c r="N47" s="1018">
        <f>K47*M47</f>
        <v/>
      </c>
      <c r="O47" s="1019">
        <f>N47-J47</f>
        <v/>
      </c>
      <c r="P47" s="1026" t="n">
        <v>20</v>
      </c>
      <c r="Q47" s="69" t="inlineStr">
        <is>
          <t>ea</t>
        </is>
      </c>
      <c r="R47" s="1027" t="n">
        <v>120000</v>
      </c>
      <c r="S47" s="1018">
        <f>P47*R47</f>
        <v/>
      </c>
      <c r="T47" s="1003">
        <f>S47-N47</f>
        <v/>
      </c>
      <c r="U47" s="1026" t="n">
        <v>20</v>
      </c>
      <c r="V47" s="69" t="inlineStr">
        <is>
          <t>ea</t>
        </is>
      </c>
      <c r="W47" s="1027" t="n">
        <v>120000</v>
      </c>
      <c r="X47" s="1018">
        <f>U47*W47</f>
        <v/>
      </c>
      <c r="Y47" s="1003">
        <f>X47-S47</f>
        <v/>
      </c>
      <c r="Z47" s="1026" t="n">
        <v>20</v>
      </c>
      <c r="AA47" s="69" t="inlineStr">
        <is>
          <t>ea</t>
        </is>
      </c>
      <c r="AB47" s="1027" t="n">
        <v>120000</v>
      </c>
      <c r="AC47" s="1018">
        <f>Z47*AB47</f>
        <v/>
      </c>
      <c r="AD47" s="1003">
        <f>AC47-X47</f>
        <v/>
      </c>
      <c r="AE47" s="1026" t="n">
        <v>20</v>
      </c>
      <c r="AF47" s="69" t="inlineStr">
        <is>
          <t>ea</t>
        </is>
      </c>
      <c r="AG47" s="1027" t="n">
        <v>120000</v>
      </c>
      <c r="AH47" s="1018">
        <f>AE47*AG47</f>
        <v/>
      </c>
      <c r="AI47" s="1003">
        <f>AH47-AC47</f>
        <v/>
      </c>
      <c r="AJ47" s="93" t="n"/>
      <c r="AK47" s="31" t="n"/>
    </row>
    <row r="48" ht="30.2" customHeight="1" s="972">
      <c r="B48" s="1005" t="n"/>
      <c r="C48" s="1006" t="n"/>
      <c r="D48" s="1007" t="n"/>
      <c r="E48" s="1005" t="n"/>
      <c r="F48" s="68" t="inlineStr">
        <is>
          <t>MMX</t>
        </is>
      </c>
      <c r="G48" s="1025" t="n">
        <v>8</v>
      </c>
      <c r="H48" s="125" t="inlineStr">
        <is>
          <t>ea</t>
        </is>
      </c>
      <c r="I48" s="1022" t="n">
        <v>120000</v>
      </c>
      <c r="J48" s="1015">
        <f>G48*I48</f>
        <v/>
      </c>
      <c r="K48" s="1026" t="n">
        <v>8</v>
      </c>
      <c r="L48" s="63" t="inlineStr">
        <is>
          <t>ea</t>
        </is>
      </c>
      <c r="M48" s="1024" t="n">
        <v>120000</v>
      </c>
      <c r="N48" s="1018">
        <f>K48*M48</f>
        <v/>
      </c>
      <c r="O48" s="1019">
        <f>N48-J48</f>
        <v/>
      </c>
      <c r="P48" s="1026" t="n">
        <v>8</v>
      </c>
      <c r="Q48" s="63" t="inlineStr">
        <is>
          <t>ea</t>
        </is>
      </c>
      <c r="R48" s="1024" t="n">
        <v>120000</v>
      </c>
      <c r="S48" s="1018">
        <f>P48*R48</f>
        <v/>
      </c>
      <c r="T48" s="1003">
        <f>S48-N48</f>
        <v/>
      </c>
      <c r="U48" s="1026" t="n">
        <v>8</v>
      </c>
      <c r="V48" s="63" t="inlineStr">
        <is>
          <t>ea</t>
        </is>
      </c>
      <c r="W48" s="1024" t="n">
        <v>120000</v>
      </c>
      <c r="X48" s="1018">
        <f>U48*W48</f>
        <v/>
      </c>
      <c r="Y48" s="1003">
        <f>X48-S48</f>
        <v/>
      </c>
      <c r="Z48" s="1026" t="n">
        <v>8</v>
      </c>
      <c r="AA48" s="63" t="inlineStr">
        <is>
          <t>ea</t>
        </is>
      </c>
      <c r="AB48" s="1024" t="n">
        <v>120000</v>
      </c>
      <c r="AC48" s="1018">
        <f>Z48*AB48</f>
        <v/>
      </c>
      <c r="AD48" s="1003">
        <f>AC48-X48</f>
        <v/>
      </c>
      <c r="AE48" s="1026" t="n">
        <v>8</v>
      </c>
      <c r="AF48" s="63" t="inlineStr">
        <is>
          <t>ea</t>
        </is>
      </c>
      <c r="AG48" s="1024" t="n">
        <v>120000</v>
      </c>
      <c r="AH48" s="1018">
        <f>AE48*AG48</f>
        <v/>
      </c>
      <c r="AI48" s="1003">
        <f>AH48-AC48</f>
        <v/>
      </c>
      <c r="AJ48" s="93" t="n"/>
      <c r="AK48" s="31" t="n"/>
    </row>
    <row r="49" ht="30.2" customHeight="1" s="972">
      <c r="B49" s="1005" t="n"/>
      <c r="C49" s="1006" t="n"/>
      <c r="D49" s="1007" t="n"/>
      <c r="E49" s="1005" t="n"/>
      <c r="F49" s="68" t="inlineStr">
        <is>
          <t>Sirius</t>
        </is>
      </c>
      <c r="G49" s="1025" t="n">
        <v>102</v>
      </c>
      <c r="H49" s="127" t="inlineStr">
        <is>
          <t>ea</t>
        </is>
      </c>
      <c r="I49" s="1022" t="n">
        <v>80000</v>
      </c>
      <c r="J49" s="1015">
        <f>G49*I49</f>
        <v/>
      </c>
      <c r="K49" s="1026" t="n">
        <v>102</v>
      </c>
      <c r="L49" s="70" t="inlineStr">
        <is>
          <t>ea</t>
        </is>
      </c>
      <c r="M49" s="1024" t="n">
        <v>80000</v>
      </c>
      <c r="N49" s="1018">
        <f>K49*M49</f>
        <v/>
      </c>
      <c r="O49" s="1019">
        <f>N49-J49</f>
        <v/>
      </c>
      <c r="P49" s="1026" t="n">
        <v>102</v>
      </c>
      <c r="Q49" s="70" t="inlineStr">
        <is>
          <t>ea</t>
        </is>
      </c>
      <c r="R49" s="1024" t="n">
        <v>80000</v>
      </c>
      <c r="S49" s="1018">
        <f>P49*R49</f>
        <v/>
      </c>
      <c r="T49" s="1003">
        <f>S49-N49</f>
        <v/>
      </c>
      <c r="U49" s="1026" t="n">
        <v>102</v>
      </c>
      <c r="V49" s="70" t="inlineStr">
        <is>
          <t>ea</t>
        </is>
      </c>
      <c r="W49" s="1024" t="n">
        <v>80000</v>
      </c>
      <c r="X49" s="1018">
        <f>U49*W49</f>
        <v/>
      </c>
      <c r="Y49" s="1003">
        <f>X49-S49</f>
        <v/>
      </c>
      <c r="Z49" s="1026" t="n">
        <v>102</v>
      </c>
      <c r="AA49" s="70" t="inlineStr">
        <is>
          <t>ea</t>
        </is>
      </c>
      <c r="AB49" s="1024" t="n">
        <v>80000</v>
      </c>
      <c r="AC49" s="1018">
        <f>Z49*AB49</f>
        <v/>
      </c>
      <c r="AD49" s="1003">
        <f>AC49-X49</f>
        <v/>
      </c>
      <c r="AE49" s="1026" t="n">
        <v>102</v>
      </c>
      <c r="AF49" s="70" t="inlineStr">
        <is>
          <t>ea</t>
        </is>
      </c>
      <c r="AG49" s="1024" t="n">
        <v>80000</v>
      </c>
      <c r="AH49" s="1018">
        <f>AE49*AG49</f>
        <v/>
      </c>
      <c r="AI49" s="1003">
        <f>AH49-AC49</f>
        <v/>
      </c>
      <c r="AJ49" s="93" t="inlineStr">
        <is>
          <t>-</t>
        </is>
      </c>
      <c r="AK49" s="31" t="n"/>
    </row>
    <row r="50" ht="30.2" customHeight="1" s="972">
      <c r="B50" s="1005" t="n"/>
      <c r="C50" s="1006" t="n"/>
      <c r="D50" s="1007" t="n"/>
      <c r="E50" s="1005" t="n"/>
      <c r="F50" s="68" t="inlineStr">
        <is>
          <t>Aura 5w</t>
        </is>
      </c>
      <c r="G50" s="1025" t="n">
        <v>50</v>
      </c>
      <c r="H50" s="125" t="inlineStr">
        <is>
          <t>ea</t>
        </is>
      </c>
      <c r="I50" s="1022" t="n">
        <v>60000</v>
      </c>
      <c r="J50" s="1015">
        <f>G50*I50</f>
        <v/>
      </c>
      <c r="K50" s="1026" t="n">
        <v>50</v>
      </c>
      <c r="L50" s="63" t="inlineStr">
        <is>
          <t>ea</t>
        </is>
      </c>
      <c r="M50" s="1024" t="n">
        <v>60000</v>
      </c>
      <c r="N50" s="1018">
        <f>K50*M50</f>
        <v/>
      </c>
      <c r="O50" s="1019">
        <f>N50-J50</f>
        <v/>
      </c>
      <c r="P50" s="1026" t="n">
        <v>50</v>
      </c>
      <c r="Q50" s="63" t="inlineStr">
        <is>
          <t>ea</t>
        </is>
      </c>
      <c r="R50" s="1024" t="n">
        <v>60000</v>
      </c>
      <c r="S50" s="1018">
        <f>P50*R50</f>
        <v/>
      </c>
      <c r="T50" s="1003">
        <f>S50-N50</f>
        <v/>
      </c>
      <c r="U50" s="1026" t="n">
        <v>50</v>
      </c>
      <c r="V50" s="63" t="inlineStr">
        <is>
          <t>ea</t>
        </is>
      </c>
      <c r="W50" s="1024" t="n">
        <v>60000</v>
      </c>
      <c r="X50" s="1018">
        <f>U50*W50</f>
        <v/>
      </c>
      <c r="Y50" s="1003">
        <f>X50-S50</f>
        <v/>
      </c>
      <c r="Z50" s="1026" t="n">
        <v>50</v>
      </c>
      <c r="AA50" s="63" t="inlineStr">
        <is>
          <t>ea</t>
        </is>
      </c>
      <c r="AB50" s="1024" t="n">
        <v>60000</v>
      </c>
      <c r="AC50" s="1018">
        <f>Z50*AB50</f>
        <v/>
      </c>
      <c r="AD50" s="1003">
        <f>AC50-X50</f>
        <v/>
      </c>
      <c r="AE50" s="1026" t="n">
        <v>50</v>
      </c>
      <c r="AF50" s="63" t="inlineStr">
        <is>
          <t>ea</t>
        </is>
      </c>
      <c r="AG50" s="1024" t="n">
        <v>60000</v>
      </c>
      <c r="AH50" s="1018">
        <f>AE50*AG50</f>
        <v/>
      </c>
      <c r="AI50" s="1003">
        <f>AH50-AC50</f>
        <v/>
      </c>
      <c r="AJ50" s="93" t="inlineStr">
        <is>
          <t>-</t>
        </is>
      </c>
      <c r="AK50" s="31" t="n"/>
    </row>
    <row r="51" ht="30.2" customHeight="1" s="972">
      <c r="B51" s="1005" t="n"/>
      <c r="C51" s="1006" t="n"/>
      <c r="D51" s="1007" t="n"/>
      <c r="E51" s="1005" t="n"/>
      <c r="F51" s="68" t="inlineStr">
        <is>
          <t>LED BAR</t>
        </is>
      </c>
      <c r="G51" s="1025" t="n">
        <v>124</v>
      </c>
      <c r="H51" s="125" t="inlineStr">
        <is>
          <t>ea</t>
        </is>
      </c>
      <c r="I51" s="1022" t="n">
        <v>40000</v>
      </c>
      <c r="J51" s="1015">
        <f>G51*I51</f>
        <v/>
      </c>
      <c r="K51" s="1026" t="n">
        <v>124</v>
      </c>
      <c r="L51" s="63" t="inlineStr">
        <is>
          <t>ea</t>
        </is>
      </c>
      <c r="M51" s="1024" t="n">
        <v>40000</v>
      </c>
      <c r="N51" s="1018">
        <f>K51*M51</f>
        <v/>
      </c>
      <c r="O51" s="1019">
        <f>N51-J51</f>
        <v/>
      </c>
      <c r="P51" s="1026" t="n">
        <v>124</v>
      </c>
      <c r="Q51" s="63" t="inlineStr">
        <is>
          <t>ea</t>
        </is>
      </c>
      <c r="R51" s="1024" t="n">
        <v>40000</v>
      </c>
      <c r="S51" s="1018">
        <f>P51*R51</f>
        <v/>
      </c>
      <c r="T51" s="1003">
        <f>S51-N51</f>
        <v/>
      </c>
      <c r="U51" s="1026" t="n">
        <v>124</v>
      </c>
      <c r="V51" s="63" t="inlineStr">
        <is>
          <t>ea</t>
        </is>
      </c>
      <c r="W51" s="1024" t="n">
        <v>40000</v>
      </c>
      <c r="X51" s="1018">
        <f>U51*W51</f>
        <v/>
      </c>
      <c r="Y51" s="1003">
        <f>X51-S51</f>
        <v/>
      </c>
      <c r="Z51" s="1026" t="n">
        <v>124</v>
      </c>
      <c r="AA51" s="63" t="inlineStr">
        <is>
          <t>ea</t>
        </is>
      </c>
      <c r="AB51" s="1024" t="n">
        <v>40000</v>
      </c>
      <c r="AC51" s="1018">
        <f>Z51*AB51</f>
        <v/>
      </c>
      <c r="AD51" s="1003">
        <f>AC51-X51</f>
        <v/>
      </c>
      <c r="AE51" s="1026" t="n">
        <v>124</v>
      </c>
      <c r="AF51" s="63" t="inlineStr">
        <is>
          <t>ea</t>
        </is>
      </c>
      <c r="AG51" s="1024" t="n">
        <v>40000</v>
      </c>
      <c r="AH51" s="1018">
        <f>AE51*AG51</f>
        <v/>
      </c>
      <c r="AI51" s="1003">
        <f>AH51-AC51</f>
        <v/>
      </c>
      <c r="AJ51" s="93" t="inlineStr">
        <is>
          <t>-</t>
        </is>
      </c>
      <c r="AK51" s="31" t="n"/>
    </row>
    <row r="52" ht="30.2" customHeight="1" s="972">
      <c r="B52" s="1005" t="n"/>
      <c r="C52" s="1006" t="n"/>
      <c r="D52" s="1007" t="n"/>
      <c r="E52" s="1005" t="n"/>
      <c r="F52" s="68" t="inlineStr">
        <is>
          <t>LED Zoom Par</t>
        </is>
      </c>
      <c r="G52" s="1025" t="n">
        <v>16</v>
      </c>
      <c r="H52" s="125" t="inlineStr">
        <is>
          <t>ea</t>
        </is>
      </c>
      <c r="I52" s="1022" t="n">
        <v>25000</v>
      </c>
      <c r="J52" s="1015">
        <f>G52*I52</f>
        <v/>
      </c>
      <c r="K52" s="1026" t="n">
        <v>16</v>
      </c>
      <c r="L52" s="63" t="inlineStr">
        <is>
          <t>ea</t>
        </is>
      </c>
      <c r="M52" s="1024" t="n">
        <v>25000</v>
      </c>
      <c r="N52" s="1018">
        <f>K52*M52</f>
        <v/>
      </c>
      <c r="O52" s="1019">
        <f>N52-J52</f>
        <v/>
      </c>
      <c r="P52" s="1026" t="n">
        <v>16</v>
      </c>
      <c r="Q52" s="63" t="inlineStr">
        <is>
          <t>ea</t>
        </is>
      </c>
      <c r="R52" s="1024" t="n">
        <v>25000</v>
      </c>
      <c r="S52" s="1018">
        <f>P52*R52</f>
        <v/>
      </c>
      <c r="T52" s="1003">
        <f>S52-N52</f>
        <v/>
      </c>
      <c r="U52" s="1026" t="n">
        <v>16</v>
      </c>
      <c r="V52" s="63" t="inlineStr">
        <is>
          <t>ea</t>
        </is>
      </c>
      <c r="W52" s="1024" t="n">
        <v>25000</v>
      </c>
      <c r="X52" s="1018">
        <f>U52*W52</f>
        <v/>
      </c>
      <c r="Y52" s="1003">
        <f>X52-S52</f>
        <v/>
      </c>
      <c r="Z52" s="1026" t="n">
        <v>16</v>
      </c>
      <c r="AA52" s="63" t="inlineStr">
        <is>
          <t>ea</t>
        </is>
      </c>
      <c r="AB52" s="1024" t="n">
        <v>25000</v>
      </c>
      <c r="AC52" s="1018">
        <f>Z52*AB52</f>
        <v/>
      </c>
      <c r="AD52" s="1003">
        <f>AC52-X52</f>
        <v/>
      </c>
      <c r="AE52" s="1026" t="n">
        <v>16</v>
      </c>
      <c r="AF52" s="63" t="inlineStr">
        <is>
          <t>ea</t>
        </is>
      </c>
      <c r="AG52" s="1024" t="n">
        <v>25000</v>
      </c>
      <c r="AH52" s="1018">
        <f>AE52*AG52</f>
        <v/>
      </c>
      <c r="AI52" s="1003">
        <f>AH52-AC52</f>
        <v/>
      </c>
      <c r="AJ52" s="93" t="n"/>
      <c r="AK52" s="32" t="n"/>
    </row>
    <row r="53" ht="30.2" customHeight="1" s="972">
      <c r="B53" s="1005" t="n"/>
      <c r="C53" s="1006" t="n"/>
      <c r="D53" s="1007" t="n"/>
      <c r="E53" s="1005" t="n"/>
      <c r="F53" s="68" t="inlineStr">
        <is>
          <t>LED Strobe / Atomic 3000</t>
        </is>
      </c>
      <c r="G53" s="1025" t="n">
        <v>45</v>
      </c>
      <c r="H53" s="125" t="inlineStr">
        <is>
          <t>ea</t>
        </is>
      </c>
      <c r="I53" s="1022" t="n">
        <v>100000</v>
      </c>
      <c r="J53" s="1015">
        <f>G53*I53</f>
        <v/>
      </c>
      <c r="K53" s="1026" t="n">
        <v>45</v>
      </c>
      <c r="L53" s="63" t="inlineStr">
        <is>
          <t>ea</t>
        </is>
      </c>
      <c r="M53" s="1024" t="n">
        <v>100000</v>
      </c>
      <c r="N53" s="1018">
        <f>K53*M53</f>
        <v/>
      </c>
      <c r="O53" s="1019">
        <f>N53-J53</f>
        <v/>
      </c>
      <c r="P53" s="1026" t="n">
        <v>45</v>
      </c>
      <c r="Q53" s="63" t="inlineStr">
        <is>
          <t>ea</t>
        </is>
      </c>
      <c r="R53" s="1024" t="n">
        <v>100000</v>
      </c>
      <c r="S53" s="1018">
        <f>P53*R53</f>
        <v/>
      </c>
      <c r="T53" s="1003">
        <f>S53-N53</f>
        <v/>
      </c>
      <c r="U53" s="1026" t="n">
        <v>45</v>
      </c>
      <c r="V53" s="63" t="inlineStr">
        <is>
          <t>ea</t>
        </is>
      </c>
      <c r="W53" s="1024" t="n">
        <v>100000</v>
      </c>
      <c r="X53" s="1018">
        <f>U53*W53</f>
        <v/>
      </c>
      <c r="Y53" s="1003">
        <f>X53-S53</f>
        <v/>
      </c>
      <c r="Z53" s="1026" t="n">
        <v>45</v>
      </c>
      <c r="AA53" s="63" t="inlineStr">
        <is>
          <t>ea</t>
        </is>
      </c>
      <c r="AB53" s="1024" t="n">
        <v>100000</v>
      </c>
      <c r="AC53" s="1018">
        <f>Z53*AB53</f>
        <v/>
      </c>
      <c r="AD53" s="1003">
        <f>AC53-X53</f>
        <v/>
      </c>
      <c r="AE53" s="1026" t="n">
        <v>45</v>
      </c>
      <c r="AF53" s="63" t="inlineStr">
        <is>
          <t>ea</t>
        </is>
      </c>
      <c r="AG53" s="1024" t="n">
        <v>100000</v>
      </c>
      <c r="AH53" s="1018">
        <f>AE53*AG53</f>
        <v/>
      </c>
      <c r="AI53" s="1003">
        <f>AH53-AC53</f>
        <v/>
      </c>
      <c r="AJ53" s="93" t="n"/>
      <c r="AK53" s="31" t="n"/>
    </row>
    <row r="54" ht="30.2" customHeight="1" s="972">
      <c r="B54" s="1005" t="n"/>
      <c r="C54" s="1006" t="n"/>
      <c r="D54" s="1007" t="n"/>
      <c r="E54" s="1005" t="n"/>
      <c r="F54" s="68" t="inlineStr">
        <is>
          <t>4 Blinder 650*4</t>
        </is>
      </c>
      <c r="G54" s="1025" t="n">
        <v>30</v>
      </c>
      <c r="H54" s="125" t="inlineStr">
        <is>
          <t>ea</t>
        </is>
      </c>
      <c r="I54" s="1022" t="n">
        <v>60000</v>
      </c>
      <c r="J54" s="1015">
        <f>G54*I54</f>
        <v/>
      </c>
      <c r="K54" s="1026" t="n">
        <v>30</v>
      </c>
      <c r="L54" s="63" t="inlineStr">
        <is>
          <t>ea</t>
        </is>
      </c>
      <c r="M54" s="1024" t="n">
        <v>60000</v>
      </c>
      <c r="N54" s="1018">
        <f>K54*M54</f>
        <v/>
      </c>
      <c r="O54" s="1019">
        <f>N54-J54</f>
        <v/>
      </c>
      <c r="P54" s="1026" t="n">
        <v>30</v>
      </c>
      <c r="Q54" s="63" t="inlineStr">
        <is>
          <t>ea</t>
        </is>
      </c>
      <c r="R54" s="1024" t="n">
        <v>60000</v>
      </c>
      <c r="S54" s="1018">
        <f>P54*R54</f>
        <v/>
      </c>
      <c r="T54" s="1003">
        <f>S54-N54</f>
        <v/>
      </c>
      <c r="U54" s="1026" t="n">
        <v>30</v>
      </c>
      <c r="V54" s="63" t="inlineStr">
        <is>
          <t>ea</t>
        </is>
      </c>
      <c r="W54" s="1024" t="n">
        <v>60000</v>
      </c>
      <c r="X54" s="1018">
        <f>U54*W54</f>
        <v/>
      </c>
      <c r="Y54" s="1003">
        <f>X54-S54</f>
        <v/>
      </c>
      <c r="Z54" s="1026" t="n">
        <v>30</v>
      </c>
      <c r="AA54" s="63" t="inlineStr">
        <is>
          <t>ea</t>
        </is>
      </c>
      <c r="AB54" s="1024" t="n">
        <v>60000</v>
      </c>
      <c r="AC54" s="1018">
        <f>Z54*AB54</f>
        <v/>
      </c>
      <c r="AD54" s="1003">
        <f>AC54-X54</f>
        <v/>
      </c>
      <c r="AE54" s="1026" t="n">
        <v>30</v>
      </c>
      <c r="AF54" s="63" t="inlineStr">
        <is>
          <t>ea</t>
        </is>
      </c>
      <c r="AG54" s="1024" t="n">
        <v>60000</v>
      </c>
      <c r="AH54" s="1018">
        <f>AE54*AG54</f>
        <v/>
      </c>
      <c r="AI54" s="1003">
        <f>AH54-AC54</f>
        <v/>
      </c>
      <c r="AJ54" s="93" t="n"/>
      <c r="AK54" s="31" t="n"/>
    </row>
    <row r="55" ht="30.2" customHeight="1" s="972">
      <c r="B55" s="1005" t="n"/>
      <c r="C55" s="1006" t="n"/>
      <c r="D55" s="1007" t="n"/>
      <c r="E55" s="1005" t="n"/>
      <c r="F55" s="68" t="inlineStr">
        <is>
          <t>1 Blinder 650</t>
        </is>
      </c>
      <c r="G55" s="1025" t="n">
        <v>50</v>
      </c>
      <c r="H55" s="125" t="inlineStr">
        <is>
          <t>ea</t>
        </is>
      </c>
      <c r="I55" s="1022" t="n">
        <v>20000</v>
      </c>
      <c r="J55" s="1015">
        <f>G55*I55</f>
        <v/>
      </c>
      <c r="K55" s="1026" t="n">
        <v>50</v>
      </c>
      <c r="L55" s="63" t="inlineStr">
        <is>
          <t>ea</t>
        </is>
      </c>
      <c r="M55" s="1024" t="n">
        <v>20000</v>
      </c>
      <c r="N55" s="1018">
        <f>K55*M55</f>
        <v/>
      </c>
      <c r="O55" s="1019">
        <f>N55-J55</f>
        <v/>
      </c>
      <c r="P55" s="1026" t="n">
        <v>50</v>
      </c>
      <c r="Q55" s="63" t="inlineStr">
        <is>
          <t>ea</t>
        </is>
      </c>
      <c r="R55" s="1024" t="n">
        <v>20000</v>
      </c>
      <c r="S55" s="1018">
        <f>P55*R55</f>
        <v/>
      </c>
      <c r="T55" s="1003">
        <f>S55-N55</f>
        <v/>
      </c>
      <c r="U55" s="1026" t="n">
        <v>50</v>
      </c>
      <c r="V55" s="63" t="inlineStr">
        <is>
          <t>ea</t>
        </is>
      </c>
      <c r="W55" s="1024" t="n">
        <v>20000</v>
      </c>
      <c r="X55" s="1018">
        <f>U55*W55</f>
        <v/>
      </c>
      <c r="Y55" s="1003">
        <f>X55-S55</f>
        <v/>
      </c>
      <c r="Z55" s="1026" t="n">
        <v>50</v>
      </c>
      <c r="AA55" s="63" t="inlineStr">
        <is>
          <t>ea</t>
        </is>
      </c>
      <c r="AB55" s="1024" t="n">
        <v>20000</v>
      </c>
      <c r="AC55" s="1018">
        <f>Z55*AB55</f>
        <v/>
      </c>
      <c r="AD55" s="1003">
        <f>AC55-X55</f>
        <v/>
      </c>
      <c r="AE55" s="1026" t="n">
        <v>50</v>
      </c>
      <c r="AF55" s="63" t="inlineStr">
        <is>
          <t>ea</t>
        </is>
      </c>
      <c r="AG55" s="1024" t="n">
        <v>20000</v>
      </c>
      <c r="AH55" s="1018">
        <f>AE55*AG55</f>
        <v/>
      </c>
      <c r="AI55" s="1003">
        <f>AH55-AC55</f>
        <v/>
      </c>
      <c r="AJ55" s="93" t="n"/>
      <c r="AK55" s="31" t="n"/>
    </row>
    <row r="56" ht="30.2" customHeight="1" s="972">
      <c r="B56" s="1005" t="n"/>
      <c r="C56" s="1006" t="n"/>
      <c r="D56" s="1007" t="n"/>
      <c r="E56" s="1005" t="n"/>
      <c r="F56" s="68" t="inlineStr">
        <is>
          <t>Par 64</t>
        </is>
      </c>
      <c r="G56" s="1025" t="n">
        <v>10</v>
      </c>
      <c r="H56" s="125" t="inlineStr">
        <is>
          <t>ea</t>
        </is>
      </c>
      <c r="I56" s="1022" t="n">
        <v>10000</v>
      </c>
      <c r="J56" s="1015">
        <f>G56*I56</f>
        <v/>
      </c>
      <c r="K56" s="1026" t="n">
        <v>10</v>
      </c>
      <c r="L56" s="63" t="inlineStr">
        <is>
          <t>ea</t>
        </is>
      </c>
      <c r="M56" s="1024" t="n">
        <v>10000</v>
      </c>
      <c r="N56" s="1018">
        <f>K56*M56</f>
        <v/>
      </c>
      <c r="O56" s="1019">
        <f>N56-J56</f>
        <v/>
      </c>
      <c r="P56" s="1026" t="n">
        <v>10</v>
      </c>
      <c r="Q56" s="63" t="inlineStr">
        <is>
          <t>ea</t>
        </is>
      </c>
      <c r="R56" s="1024" t="n">
        <v>10000</v>
      </c>
      <c r="S56" s="1018">
        <f>P56*R56</f>
        <v/>
      </c>
      <c r="T56" s="1003">
        <f>S56-N56</f>
        <v/>
      </c>
      <c r="U56" s="1026" t="n">
        <v>10</v>
      </c>
      <c r="V56" s="63" t="inlineStr">
        <is>
          <t>ea</t>
        </is>
      </c>
      <c r="W56" s="1024" t="n">
        <v>10000</v>
      </c>
      <c r="X56" s="1018">
        <f>U56*W56</f>
        <v/>
      </c>
      <c r="Y56" s="1003">
        <f>X56-S56</f>
        <v/>
      </c>
      <c r="Z56" s="1026" t="n">
        <v>10</v>
      </c>
      <c r="AA56" s="63" t="inlineStr">
        <is>
          <t>ea</t>
        </is>
      </c>
      <c r="AB56" s="1024" t="n">
        <v>10000</v>
      </c>
      <c r="AC56" s="1018">
        <f>Z56*AB56</f>
        <v/>
      </c>
      <c r="AD56" s="1003">
        <f>AC56-X56</f>
        <v/>
      </c>
      <c r="AE56" s="1026" t="n">
        <v>10</v>
      </c>
      <c r="AF56" s="63" t="inlineStr">
        <is>
          <t>ea</t>
        </is>
      </c>
      <c r="AG56" s="1024" t="n">
        <v>10000</v>
      </c>
      <c r="AH56" s="1018">
        <f>AE56*AG56</f>
        <v/>
      </c>
      <c r="AI56" s="1003">
        <f>AH56-AC56</f>
        <v/>
      </c>
      <c r="AJ56" s="93" t="n"/>
      <c r="AK56" s="31" t="n"/>
    </row>
    <row r="57" ht="30.2" customHeight="1" s="972">
      <c r="B57" s="1005" t="n"/>
      <c r="C57" s="1006" t="n"/>
      <c r="D57" s="1007" t="n"/>
      <c r="E57" s="1005" t="n"/>
      <c r="F57" s="68" t="inlineStr">
        <is>
          <t>Dimmer</t>
        </is>
      </c>
      <c r="G57" s="1025" t="n">
        <v>2</v>
      </c>
      <c r="H57" s="127" t="inlineStr">
        <is>
          <t>ea</t>
        </is>
      </c>
      <c r="I57" s="1022" t="n">
        <v>150000</v>
      </c>
      <c r="J57" s="1015">
        <f>G57*I57</f>
        <v/>
      </c>
      <c r="K57" s="1026" t="n">
        <v>2</v>
      </c>
      <c r="L57" s="70" t="inlineStr">
        <is>
          <t>ea</t>
        </is>
      </c>
      <c r="M57" s="1024" t="n">
        <v>150000</v>
      </c>
      <c r="N57" s="1018">
        <f>K57*M57</f>
        <v/>
      </c>
      <c r="O57" s="1019">
        <f>N57-J57</f>
        <v/>
      </c>
      <c r="P57" s="1026" t="n">
        <v>2</v>
      </c>
      <c r="Q57" s="70" t="inlineStr">
        <is>
          <t>ea</t>
        </is>
      </c>
      <c r="R57" s="1024" t="n">
        <v>150000</v>
      </c>
      <c r="S57" s="1018">
        <f>P57*R57</f>
        <v/>
      </c>
      <c r="T57" s="1003">
        <f>S57-N57</f>
        <v/>
      </c>
      <c r="U57" s="1026" t="n">
        <v>2</v>
      </c>
      <c r="V57" s="70" t="inlineStr">
        <is>
          <t>ea</t>
        </is>
      </c>
      <c r="W57" s="1024" t="n">
        <v>150000</v>
      </c>
      <c r="X57" s="1018">
        <f>U57*W57</f>
        <v/>
      </c>
      <c r="Y57" s="1003">
        <f>X57-S57</f>
        <v/>
      </c>
      <c r="Z57" s="1026" t="n">
        <v>2</v>
      </c>
      <c r="AA57" s="70" t="inlineStr">
        <is>
          <t>ea</t>
        </is>
      </c>
      <c r="AB57" s="1024" t="n">
        <v>150000</v>
      </c>
      <c r="AC57" s="1018">
        <f>Z57*AB57</f>
        <v/>
      </c>
      <c r="AD57" s="1003">
        <f>AC57-X57</f>
        <v/>
      </c>
      <c r="AE57" s="1026" t="n">
        <v>2</v>
      </c>
      <c r="AF57" s="70" t="inlineStr">
        <is>
          <t>ea</t>
        </is>
      </c>
      <c r="AG57" s="1024" t="n">
        <v>150000</v>
      </c>
      <c r="AH57" s="1018">
        <f>AE57*AG57</f>
        <v/>
      </c>
      <c r="AI57" s="1003">
        <f>AH57-AC57</f>
        <v/>
      </c>
      <c r="AJ57" s="93" t="n"/>
      <c r="AK57" s="31" t="n"/>
    </row>
    <row r="58" ht="30.2" customHeight="1" s="972">
      <c r="B58" s="1005" t="n"/>
      <c r="C58" s="1006" t="n"/>
      <c r="D58" s="1007" t="n"/>
      <c r="E58" s="1005" t="n"/>
      <c r="F58" s="68" t="inlineStr">
        <is>
          <t>RD Box</t>
        </is>
      </c>
      <c r="G58" s="1025" t="n">
        <v>2</v>
      </c>
      <c r="H58" s="125" t="inlineStr">
        <is>
          <t>ea</t>
        </is>
      </c>
      <c r="I58" s="1022" t="n">
        <v>200000</v>
      </c>
      <c r="J58" s="1015">
        <f>G58*I58</f>
        <v/>
      </c>
      <c r="K58" s="1026" t="n">
        <v>2</v>
      </c>
      <c r="L58" s="63" t="inlineStr">
        <is>
          <t>ea</t>
        </is>
      </c>
      <c r="M58" s="1024" t="n">
        <v>200000</v>
      </c>
      <c r="N58" s="1018">
        <f>K58*M58</f>
        <v/>
      </c>
      <c r="O58" s="1019">
        <f>N58-J58</f>
        <v/>
      </c>
      <c r="P58" s="1026" t="n">
        <v>2</v>
      </c>
      <c r="Q58" s="63" t="inlineStr">
        <is>
          <t>ea</t>
        </is>
      </c>
      <c r="R58" s="1024" t="n">
        <v>200000</v>
      </c>
      <c r="S58" s="1018">
        <f>P58*R58</f>
        <v/>
      </c>
      <c r="T58" s="1003">
        <f>S58-N58</f>
        <v/>
      </c>
      <c r="U58" s="1026" t="n">
        <v>2</v>
      </c>
      <c r="V58" s="63" t="inlineStr">
        <is>
          <t>ea</t>
        </is>
      </c>
      <c r="W58" s="1024" t="n">
        <v>200000</v>
      </c>
      <c r="X58" s="1018">
        <f>U58*W58</f>
        <v/>
      </c>
      <c r="Y58" s="1003">
        <f>X58-S58</f>
        <v/>
      </c>
      <c r="Z58" s="1026" t="n">
        <v>2</v>
      </c>
      <c r="AA58" s="63" t="inlineStr">
        <is>
          <t>ea</t>
        </is>
      </c>
      <c r="AB58" s="1024" t="n">
        <v>200000</v>
      </c>
      <c r="AC58" s="1018">
        <f>Z58*AB58</f>
        <v/>
      </c>
      <c r="AD58" s="1003">
        <f>AC58-X58</f>
        <v/>
      </c>
      <c r="AE58" s="1026" t="n">
        <v>2</v>
      </c>
      <c r="AF58" s="63" t="inlineStr">
        <is>
          <t>ea</t>
        </is>
      </c>
      <c r="AG58" s="1024" t="n">
        <v>200000</v>
      </c>
      <c r="AH58" s="1018">
        <f>AE58*AG58</f>
        <v/>
      </c>
      <c r="AI58" s="1003">
        <f>AH58-AC58</f>
        <v/>
      </c>
      <c r="AJ58" s="93" t="inlineStr">
        <is>
          <t>-</t>
        </is>
      </c>
      <c r="AK58" s="31" t="n"/>
    </row>
    <row r="59" ht="30.2" customHeight="1" s="972">
      <c r="B59" s="1005" t="n"/>
      <c r="C59" s="1006" t="n"/>
      <c r="D59" s="1007" t="n"/>
      <c r="E59" s="1005" t="n"/>
      <c r="F59" s="68" t="inlineStr">
        <is>
          <t>Console</t>
        </is>
      </c>
      <c r="G59" s="1025" t="n">
        <v>1</v>
      </c>
      <c r="H59" s="125" t="inlineStr">
        <is>
          <t>ea</t>
        </is>
      </c>
      <c r="I59" s="1022" t="n">
        <v>1000000</v>
      </c>
      <c r="J59" s="1015">
        <f>G59*I59</f>
        <v/>
      </c>
      <c r="K59" s="1026" t="n">
        <v>1</v>
      </c>
      <c r="L59" s="63" t="inlineStr">
        <is>
          <t>ea</t>
        </is>
      </c>
      <c r="M59" s="1024" t="n">
        <v>1000000</v>
      </c>
      <c r="N59" s="1018">
        <f>K59*M59</f>
        <v/>
      </c>
      <c r="O59" s="1019">
        <f>N59-J59</f>
        <v/>
      </c>
      <c r="P59" s="1026" t="n">
        <v>1</v>
      </c>
      <c r="Q59" s="63" t="inlineStr">
        <is>
          <t>ea</t>
        </is>
      </c>
      <c r="R59" s="1024" t="n">
        <v>1000000</v>
      </c>
      <c r="S59" s="1018">
        <f>P59*R59</f>
        <v/>
      </c>
      <c r="T59" s="1003">
        <f>S59-N59</f>
        <v/>
      </c>
      <c r="U59" s="1026" t="n">
        <v>1</v>
      </c>
      <c r="V59" s="63" t="inlineStr">
        <is>
          <t>ea</t>
        </is>
      </c>
      <c r="W59" s="1024" t="n">
        <v>1000000</v>
      </c>
      <c r="X59" s="1018">
        <f>U59*W59</f>
        <v/>
      </c>
      <c r="Y59" s="1003">
        <f>X59-S59</f>
        <v/>
      </c>
      <c r="Z59" s="1026" t="n">
        <v>1</v>
      </c>
      <c r="AA59" s="63" t="inlineStr">
        <is>
          <t>ea</t>
        </is>
      </c>
      <c r="AB59" s="1024" t="n">
        <v>1000000</v>
      </c>
      <c r="AC59" s="1018">
        <f>Z59*AB59</f>
        <v/>
      </c>
      <c r="AD59" s="1003">
        <f>AC59-X59</f>
        <v/>
      </c>
      <c r="AE59" s="1026" t="n">
        <v>1</v>
      </c>
      <c r="AF59" s="63" t="inlineStr">
        <is>
          <t>ea</t>
        </is>
      </c>
      <c r="AG59" s="1024" t="n">
        <v>1000000</v>
      </c>
      <c r="AH59" s="1018">
        <f>AE59*AG59</f>
        <v/>
      </c>
      <c r="AI59" s="1003">
        <f>AH59-AC59</f>
        <v/>
      </c>
      <c r="AJ59" s="93" t="n"/>
      <c r="AK59" s="31" t="n"/>
    </row>
    <row r="60" ht="30.2" customHeight="1" s="972">
      <c r="B60" s="1005" t="n"/>
      <c r="C60" s="1006" t="n"/>
      <c r="D60" s="1007" t="n"/>
      <c r="E60" s="1005" t="n"/>
      <c r="F60" s="68" t="inlineStr">
        <is>
          <t>Fog</t>
        </is>
      </c>
      <c r="G60" s="1025" t="n">
        <v>5</v>
      </c>
      <c r="H60" s="125" t="inlineStr">
        <is>
          <t>ea</t>
        </is>
      </c>
      <c r="I60" s="1022" t="n">
        <v>100000</v>
      </c>
      <c r="J60" s="1015">
        <f>G60*I60</f>
        <v/>
      </c>
      <c r="K60" s="1026" t="n">
        <v>5</v>
      </c>
      <c r="L60" s="63" t="inlineStr">
        <is>
          <t>ea</t>
        </is>
      </c>
      <c r="M60" s="1024" t="n">
        <v>100000</v>
      </c>
      <c r="N60" s="1018">
        <f>K60*M60</f>
        <v/>
      </c>
      <c r="O60" s="1019">
        <f>N60-J60</f>
        <v/>
      </c>
      <c r="P60" s="1026" t="n">
        <v>5</v>
      </c>
      <c r="Q60" s="63" t="inlineStr">
        <is>
          <t>ea</t>
        </is>
      </c>
      <c r="R60" s="1024" t="n">
        <v>100000</v>
      </c>
      <c r="S60" s="1018">
        <f>P60*R60</f>
        <v/>
      </c>
      <c r="T60" s="1003">
        <f>S60-N60</f>
        <v/>
      </c>
      <c r="U60" s="1026" t="n">
        <v>5</v>
      </c>
      <c r="V60" s="63" t="inlineStr">
        <is>
          <t>ea</t>
        </is>
      </c>
      <c r="W60" s="1024" t="n">
        <v>100000</v>
      </c>
      <c r="X60" s="1018">
        <f>U60*W60</f>
        <v/>
      </c>
      <c r="Y60" s="1003">
        <f>X60-S60</f>
        <v/>
      </c>
      <c r="Z60" s="1026" t="n">
        <v>5</v>
      </c>
      <c r="AA60" s="63" t="inlineStr">
        <is>
          <t>ea</t>
        </is>
      </c>
      <c r="AB60" s="1024" t="n">
        <v>100000</v>
      </c>
      <c r="AC60" s="1018">
        <f>Z60*AB60</f>
        <v/>
      </c>
      <c r="AD60" s="1003">
        <f>AC60-X60</f>
        <v/>
      </c>
      <c r="AE60" s="1026" t="n">
        <v>5</v>
      </c>
      <c r="AF60" s="63" t="inlineStr">
        <is>
          <t>ea</t>
        </is>
      </c>
      <c r="AG60" s="1024" t="n">
        <v>100000</v>
      </c>
      <c r="AH60" s="1018">
        <f>AE60*AG60</f>
        <v/>
      </c>
      <c r="AI60" s="1003">
        <f>AH60-AC60</f>
        <v/>
      </c>
      <c r="AJ60" s="93" t="n"/>
      <c r="AK60" s="31" t="n"/>
    </row>
    <row r="61" ht="30.2" customHeight="1" s="972">
      <c r="B61" s="1005" t="n"/>
      <c r="C61" s="1006" t="n"/>
      <c r="D61" s="1007" t="n"/>
      <c r="E61" s="981" t="n"/>
      <c r="F61" s="68" t="inlineStr">
        <is>
          <t>설치/철거 및 운영, 운송비</t>
        </is>
      </c>
      <c r="G61" s="1025" t="n">
        <v>1</v>
      </c>
      <c r="H61" s="125" t="inlineStr">
        <is>
          <t>식</t>
        </is>
      </c>
      <c r="I61" s="1022" t="n">
        <v>6000000</v>
      </c>
      <c r="J61" s="1015">
        <f>G61*I61</f>
        <v/>
      </c>
      <c r="K61" s="1026" t="n">
        <v>1</v>
      </c>
      <c r="L61" s="63" t="inlineStr">
        <is>
          <t>식</t>
        </is>
      </c>
      <c r="M61" s="1024" t="n">
        <v>6000000</v>
      </c>
      <c r="N61" s="1018">
        <f>K61*M61</f>
        <v/>
      </c>
      <c r="O61" s="1019">
        <f>N61-J61</f>
        <v/>
      </c>
      <c r="P61" s="1026" t="n">
        <v>1</v>
      </c>
      <c r="Q61" s="63" t="inlineStr">
        <is>
          <t>식</t>
        </is>
      </c>
      <c r="R61" s="1024" t="n">
        <v>6000000</v>
      </c>
      <c r="S61" s="1018">
        <f>P61*R61</f>
        <v/>
      </c>
      <c r="T61" s="1003">
        <f>S61-N61</f>
        <v/>
      </c>
      <c r="U61" s="1026" t="n">
        <v>1</v>
      </c>
      <c r="V61" s="63" t="inlineStr">
        <is>
          <t>식</t>
        </is>
      </c>
      <c r="W61" s="1024" t="n">
        <v>6000000</v>
      </c>
      <c r="X61" s="1018">
        <f>U61*W61</f>
        <v/>
      </c>
      <c r="Y61" s="1003">
        <f>X61-S61</f>
        <v/>
      </c>
      <c r="Z61" s="1026" t="n">
        <v>1</v>
      </c>
      <c r="AA61" s="63" t="inlineStr">
        <is>
          <t>식</t>
        </is>
      </c>
      <c r="AB61" s="1024" t="n">
        <v>6000000</v>
      </c>
      <c r="AC61" s="1018">
        <f>Z61*AB61</f>
        <v/>
      </c>
      <c r="AD61" s="1003">
        <f>AC61-X61</f>
        <v/>
      </c>
      <c r="AE61" s="1026" t="n">
        <v>1</v>
      </c>
      <c r="AF61" s="63" t="inlineStr">
        <is>
          <t>식</t>
        </is>
      </c>
      <c r="AG61" s="1024" t="n">
        <v>6000000</v>
      </c>
      <c r="AH61" s="1018">
        <f>AE61*AG61</f>
        <v/>
      </c>
      <c r="AI61" s="1003">
        <f>AH61-AC61</f>
        <v/>
      </c>
      <c r="AJ61" s="93" t="inlineStr">
        <is>
          <t>-</t>
        </is>
      </c>
      <c r="AK61" s="31" t="n"/>
    </row>
    <row r="62" ht="30.2" customHeight="1" s="972">
      <c r="B62" s="1005" t="n"/>
      <c r="C62" s="1006" t="n"/>
      <c r="D62" s="1007" t="n"/>
      <c r="E62" s="61" t="inlineStr">
        <is>
          <t>영상</t>
        </is>
      </c>
      <c r="F62" s="68" t="inlineStr">
        <is>
          <t>LED 4.85mm / 500 x 1000</t>
        </is>
      </c>
      <c r="G62" s="1020" t="n">
        <v>1000</v>
      </c>
      <c r="H62" s="117" t="inlineStr">
        <is>
          <t>ea</t>
        </is>
      </c>
      <c r="I62" s="1022" t="n">
        <v>45000</v>
      </c>
      <c r="J62" s="1015">
        <f>G62*I62</f>
        <v/>
      </c>
      <c r="K62" s="1021" t="n">
        <v>1000</v>
      </c>
      <c r="L62" s="65" t="inlineStr">
        <is>
          <t>ea</t>
        </is>
      </c>
      <c r="M62" s="1024" t="n">
        <v>45000</v>
      </c>
      <c r="N62" s="1018">
        <f>K62*M62</f>
        <v/>
      </c>
      <c r="O62" s="1019">
        <f>N62-J62</f>
        <v/>
      </c>
      <c r="P62" s="1021" t="n">
        <v>1000</v>
      </c>
      <c r="Q62" s="65" t="inlineStr">
        <is>
          <t>ea</t>
        </is>
      </c>
      <c r="R62" s="1024" t="n">
        <v>45000</v>
      </c>
      <c r="S62" s="1018">
        <f>P62*R62</f>
        <v/>
      </c>
      <c r="T62" s="1003">
        <f>S62-N62</f>
        <v/>
      </c>
      <c r="U62" s="1021" t="n">
        <v>1000</v>
      </c>
      <c r="V62" s="65" t="inlineStr">
        <is>
          <t>ea</t>
        </is>
      </c>
      <c r="W62" s="1024" t="n">
        <v>45000</v>
      </c>
      <c r="X62" s="1018">
        <f>U62*W62</f>
        <v/>
      </c>
      <c r="Y62" s="1003">
        <f>X62-S62</f>
        <v/>
      </c>
      <c r="Z62" s="1021" t="n">
        <v>1000</v>
      </c>
      <c r="AA62" s="65" t="inlineStr">
        <is>
          <t>ea</t>
        </is>
      </c>
      <c r="AB62" s="1024" t="n">
        <v>45000</v>
      </c>
      <c r="AC62" s="1018">
        <f>Z62*AB62</f>
        <v/>
      </c>
      <c r="AD62" s="1003">
        <f>AC62-X62</f>
        <v/>
      </c>
      <c r="AE62" s="1021" t="n">
        <v>1000</v>
      </c>
      <c r="AF62" s="65" t="inlineStr">
        <is>
          <t>ea</t>
        </is>
      </c>
      <c r="AG62" s="1024" t="n">
        <v>45000</v>
      </c>
      <c r="AH62" s="1018">
        <f>AE62*AG62</f>
        <v/>
      </c>
      <c r="AI62" s="1003">
        <f>AH62-AC62</f>
        <v/>
      </c>
      <c r="AJ62" s="93" t="inlineStr">
        <is>
          <t>-</t>
        </is>
      </c>
      <c r="AK62" s="614" t="inlineStr">
        <is>
          <t>실제 운영 물량 1,450EA (450EA 추가) | 미청구 (약 2,000만원)</t>
        </is>
      </c>
    </row>
    <row r="63" ht="30.2" customHeight="1" s="972">
      <c r="B63" s="1005" t="n"/>
      <c r="C63" s="1006" t="n"/>
      <c r="D63" s="1007" t="n"/>
      <c r="E63" s="1005" t="n"/>
      <c r="F63" s="68" t="inlineStr">
        <is>
          <t xml:space="preserve">Barco Encore2 system </t>
        </is>
      </c>
      <c r="G63" s="1020" t="n">
        <v>1</v>
      </c>
      <c r="H63" s="117" t="inlineStr">
        <is>
          <t>set</t>
        </is>
      </c>
      <c r="I63" s="1022" t="n">
        <v>4000000</v>
      </c>
      <c r="J63" s="1015">
        <f>G63*I63</f>
        <v/>
      </c>
      <c r="K63" s="1021" t="n">
        <v>1</v>
      </c>
      <c r="L63" s="65" t="inlineStr">
        <is>
          <t>set</t>
        </is>
      </c>
      <c r="M63" s="1024" t="n">
        <v>4000000</v>
      </c>
      <c r="N63" s="1018">
        <f>K63*M63</f>
        <v/>
      </c>
      <c r="O63" s="1019">
        <f>N63-J63</f>
        <v/>
      </c>
      <c r="P63" s="1021" t="n">
        <v>1</v>
      </c>
      <c r="Q63" s="65" t="inlineStr">
        <is>
          <t>set</t>
        </is>
      </c>
      <c r="R63" s="1024" t="n">
        <v>4000000</v>
      </c>
      <c r="S63" s="1018">
        <f>P63*R63</f>
        <v/>
      </c>
      <c r="T63" s="1003">
        <f>S63-N63</f>
        <v/>
      </c>
      <c r="U63" s="1021" t="n">
        <v>1</v>
      </c>
      <c r="V63" s="65" t="inlineStr">
        <is>
          <t>set</t>
        </is>
      </c>
      <c r="W63" s="1024" t="n">
        <v>4000000</v>
      </c>
      <c r="X63" s="1018">
        <f>U63*W63</f>
        <v/>
      </c>
      <c r="Y63" s="1003">
        <f>X63-S63</f>
        <v/>
      </c>
      <c r="Z63" s="1021" t="n">
        <v>1</v>
      </c>
      <c r="AA63" s="65" t="inlineStr">
        <is>
          <t>set</t>
        </is>
      </c>
      <c r="AB63" s="1024" t="n">
        <v>4000000</v>
      </c>
      <c r="AC63" s="1018">
        <f>Z63*AB63</f>
        <v/>
      </c>
      <c r="AD63" s="1003">
        <f>AC63-X63</f>
        <v/>
      </c>
      <c r="AE63" s="1021" t="n">
        <v>1</v>
      </c>
      <c r="AF63" s="65" t="inlineStr">
        <is>
          <t>set</t>
        </is>
      </c>
      <c r="AG63" s="1024" t="n">
        <v>4000000</v>
      </c>
      <c r="AH63" s="1018">
        <f>AE63*AG63</f>
        <v/>
      </c>
      <c r="AI63" s="1003">
        <f>AH63-AC63</f>
        <v/>
      </c>
      <c r="AJ63" s="93" t="inlineStr">
        <is>
          <t>-</t>
        </is>
      </c>
      <c r="AK63" s="31" t="n"/>
    </row>
    <row r="64" ht="30.2" customHeight="1" s="972">
      <c r="B64" s="1005" t="n"/>
      <c r="C64" s="1006" t="n"/>
      <c r="D64" s="1007" t="n"/>
      <c r="E64" s="1005" t="n"/>
      <c r="F64" s="68" t="inlineStr">
        <is>
          <t>LED Controller</t>
        </is>
      </c>
      <c r="G64" s="1020" t="n">
        <v>1</v>
      </c>
      <c r="H64" s="117" t="inlineStr">
        <is>
          <t>set</t>
        </is>
      </c>
      <c r="I64" s="1022" t="n">
        <v>1500000</v>
      </c>
      <c r="J64" s="1015">
        <f>G64*I64</f>
        <v/>
      </c>
      <c r="K64" s="1021" t="n">
        <v>1</v>
      </c>
      <c r="L64" s="65" t="inlineStr">
        <is>
          <t>set</t>
        </is>
      </c>
      <c r="M64" s="1024" t="n">
        <v>1500000</v>
      </c>
      <c r="N64" s="1018">
        <f>K64*M64</f>
        <v/>
      </c>
      <c r="O64" s="1019">
        <f>N64-J64</f>
        <v/>
      </c>
      <c r="P64" s="1021" t="n">
        <v>1</v>
      </c>
      <c r="Q64" s="65" t="inlineStr">
        <is>
          <t>set</t>
        </is>
      </c>
      <c r="R64" s="1024" t="n">
        <v>1500000</v>
      </c>
      <c r="S64" s="1018">
        <f>P64*R64</f>
        <v/>
      </c>
      <c r="T64" s="1003">
        <f>S64-N64</f>
        <v/>
      </c>
      <c r="U64" s="1021" t="n">
        <v>1</v>
      </c>
      <c r="V64" s="65" t="inlineStr">
        <is>
          <t>set</t>
        </is>
      </c>
      <c r="W64" s="1024" t="n">
        <v>1500000</v>
      </c>
      <c r="X64" s="1018">
        <f>U64*W64</f>
        <v/>
      </c>
      <c r="Y64" s="1003">
        <f>X64-S64</f>
        <v/>
      </c>
      <c r="Z64" s="1021" t="n">
        <v>1</v>
      </c>
      <c r="AA64" s="65" t="inlineStr">
        <is>
          <t>set</t>
        </is>
      </c>
      <c r="AB64" s="1024" t="n">
        <v>1500000</v>
      </c>
      <c r="AC64" s="1018">
        <f>Z64*AB64</f>
        <v/>
      </c>
      <c r="AD64" s="1003">
        <f>AC64-X64</f>
        <v/>
      </c>
      <c r="AE64" s="1021" t="n">
        <v>1</v>
      </c>
      <c r="AF64" s="65" t="inlineStr">
        <is>
          <t>set</t>
        </is>
      </c>
      <c r="AG64" s="1024" t="n">
        <v>1500000</v>
      </c>
      <c r="AH64" s="1018">
        <f>AE64*AG64</f>
        <v/>
      </c>
      <c r="AI64" s="1003">
        <f>AH64-AC64</f>
        <v/>
      </c>
      <c r="AJ64" s="93" t="n"/>
      <c r="AK64" s="614" t="inlineStr">
        <is>
          <t>실제 운영 물량 2EA (1EA 추가) | 미청구 (약 150만원)</t>
        </is>
      </c>
    </row>
    <row r="65" ht="30.2" customHeight="1" s="972">
      <c r="B65" s="1005" t="n"/>
      <c r="C65" s="1006" t="n"/>
      <c r="D65" s="1007" t="n"/>
      <c r="E65" s="981" t="n"/>
      <c r="F65" s="68" t="inlineStr">
        <is>
          <t>설치/철거 및 운영, 운송비</t>
        </is>
      </c>
      <c r="G65" s="1020" t="n">
        <v>1</v>
      </c>
      <c r="H65" s="117" t="inlineStr">
        <is>
          <t>식</t>
        </is>
      </c>
      <c r="I65" s="1022" t="n">
        <v>5000000</v>
      </c>
      <c r="J65" s="1015">
        <f>G65*I65</f>
        <v/>
      </c>
      <c r="K65" s="1021" t="n">
        <v>1</v>
      </c>
      <c r="L65" s="65" t="inlineStr">
        <is>
          <t>식</t>
        </is>
      </c>
      <c r="M65" s="1024" t="n">
        <v>5000000</v>
      </c>
      <c r="N65" s="1018">
        <f>K65*M65</f>
        <v/>
      </c>
      <c r="O65" s="1019">
        <f>N65-J65</f>
        <v/>
      </c>
      <c r="P65" s="1021" t="n">
        <v>1</v>
      </c>
      <c r="Q65" s="65" t="inlineStr">
        <is>
          <t>식</t>
        </is>
      </c>
      <c r="R65" s="1024" t="n">
        <v>5000000</v>
      </c>
      <c r="S65" s="1018">
        <f>P65*R65</f>
        <v/>
      </c>
      <c r="T65" s="1003">
        <f>S65-N65</f>
        <v/>
      </c>
      <c r="U65" s="1021" t="n">
        <v>1</v>
      </c>
      <c r="V65" s="65" t="inlineStr">
        <is>
          <t>식</t>
        </is>
      </c>
      <c r="W65" s="1024" t="n">
        <v>5000000</v>
      </c>
      <c r="X65" s="1018">
        <f>U65*W65</f>
        <v/>
      </c>
      <c r="Y65" s="1003">
        <f>X65-S65</f>
        <v/>
      </c>
      <c r="Z65" s="1021" t="n">
        <v>1</v>
      </c>
      <c r="AA65" s="65" t="inlineStr">
        <is>
          <t>식</t>
        </is>
      </c>
      <c r="AB65" s="1024" t="n">
        <v>5000000</v>
      </c>
      <c r="AC65" s="1018">
        <f>Z65*AB65</f>
        <v/>
      </c>
      <c r="AD65" s="1003">
        <f>AC65-X65</f>
        <v/>
      </c>
      <c r="AE65" s="1021" t="n">
        <v>1</v>
      </c>
      <c r="AF65" s="65" t="inlineStr">
        <is>
          <t>식</t>
        </is>
      </c>
      <c r="AG65" s="1024" t="n">
        <v>5000000</v>
      </c>
      <c r="AH65" s="1018">
        <f>AE65*AG65</f>
        <v/>
      </c>
      <c r="AI65" s="1003">
        <f>AH65-AC65</f>
        <v/>
      </c>
      <c r="AJ65" s="93" t="n"/>
      <c r="AK65" s="31" t="n"/>
    </row>
    <row r="66" ht="30.2" customHeight="1" s="972">
      <c r="B66" s="1005" t="n"/>
      <c r="C66" s="1006" t="n"/>
      <c r="D66" s="1007" t="n"/>
      <c r="E66" s="61" t="inlineStr">
        <is>
          <t>중계</t>
        </is>
      </c>
      <c r="F66" s="68" t="inlineStr">
        <is>
          <t>55배율 HD 카메라 [리허설포함 2일]</t>
        </is>
      </c>
      <c r="G66" s="1020" t="n">
        <v>1</v>
      </c>
      <c r="H66" s="1028" t="inlineStr">
        <is>
          <t>ea</t>
        </is>
      </c>
      <c r="I66" s="1022" t="n">
        <v>800000</v>
      </c>
      <c r="J66" s="1015">
        <f>G66*I66</f>
        <v/>
      </c>
      <c r="K66" s="1023" t="n">
        <v>1</v>
      </c>
      <c r="L66" s="1029" t="inlineStr">
        <is>
          <t>ea</t>
        </is>
      </c>
      <c r="M66" s="1024" t="n">
        <v>800000</v>
      </c>
      <c r="N66" s="1018">
        <f>K66*M66</f>
        <v/>
      </c>
      <c r="O66" s="1019">
        <f>N66-J66</f>
        <v/>
      </c>
      <c r="P66" s="1023" t="n">
        <v>1</v>
      </c>
      <c r="Q66" s="1029" t="inlineStr">
        <is>
          <t>ea</t>
        </is>
      </c>
      <c r="R66" s="1024" t="n">
        <v>800000</v>
      </c>
      <c r="S66" s="1018">
        <f>P66*R66</f>
        <v/>
      </c>
      <c r="T66" s="1003">
        <f>S66-N66</f>
        <v/>
      </c>
      <c r="U66" s="1023" t="n">
        <v>1</v>
      </c>
      <c r="V66" s="1029" t="inlineStr">
        <is>
          <t>ea</t>
        </is>
      </c>
      <c r="W66" s="1024" t="n">
        <v>800000</v>
      </c>
      <c r="X66" s="1018">
        <f>U66*W66</f>
        <v/>
      </c>
      <c r="Y66" s="1003">
        <f>X66-S66</f>
        <v/>
      </c>
      <c r="Z66" s="1023" t="n">
        <v>1</v>
      </c>
      <c r="AA66" s="1029" t="inlineStr">
        <is>
          <t>ea</t>
        </is>
      </c>
      <c r="AB66" s="1024" t="n">
        <v>800000</v>
      </c>
      <c r="AC66" s="1018">
        <f>Z66*AB66</f>
        <v/>
      </c>
      <c r="AD66" s="1003">
        <f>AC66-X66</f>
        <v/>
      </c>
      <c r="AE66" s="1023" t="n">
        <v>1</v>
      </c>
      <c r="AF66" s="1029" t="inlineStr">
        <is>
          <t>ea</t>
        </is>
      </c>
      <c r="AG66" s="1024" t="n">
        <v>800000</v>
      </c>
      <c r="AH66" s="1018">
        <f>AE66*AG66</f>
        <v/>
      </c>
      <c r="AI66" s="1003">
        <f>AH66-AC66</f>
        <v/>
      </c>
      <c r="AJ66" s="93" t="n"/>
      <c r="AK66" s="31" t="n"/>
    </row>
    <row r="67" ht="30.2" customHeight="1" s="972">
      <c r="B67" s="1005" t="n"/>
      <c r="C67" s="1006" t="n"/>
      <c r="D67" s="1007" t="n"/>
      <c r="E67" s="1005" t="n"/>
      <c r="F67" s="68" t="inlineStr">
        <is>
          <t>12배율 HD 카메라 [리허설포함 2일]</t>
        </is>
      </c>
      <c r="G67" s="1020" t="n">
        <v>2</v>
      </c>
      <c r="H67" s="1028" t="inlineStr">
        <is>
          <t>ea</t>
        </is>
      </c>
      <c r="I67" s="1022" t="n">
        <v>500000</v>
      </c>
      <c r="J67" s="1015">
        <f>G67*I67</f>
        <v/>
      </c>
      <c r="K67" s="1023" t="n">
        <v>2</v>
      </c>
      <c r="L67" s="1029" t="inlineStr">
        <is>
          <t>ea</t>
        </is>
      </c>
      <c r="M67" s="1024" t="n">
        <v>500000</v>
      </c>
      <c r="N67" s="1018">
        <f>K67*M67</f>
        <v/>
      </c>
      <c r="O67" s="1019">
        <f>N67-J67</f>
        <v/>
      </c>
      <c r="P67" s="1023" t="n">
        <v>2</v>
      </c>
      <c r="Q67" s="1029" t="inlineStr">
        <is>
          <t>ea</t>
        </is>
      </c>
      <c r="R67" s="1024" t="n">
        <v>500000</v>
      </c>
      <c r="S67" s="1018">
        <f>P67*R67</f>
        <v/>
      </c>
      <c r="T67" s="1003">
        <f>S67-N67</f>
        <v/>
      </c>
      <c r="U67" s="1023" t="n">
        <v>2</v>
      </c>
      <c r="V67" s="1029" t="inlineStr">
        <is>
          <t>ea</t>
        </is>
      </c>
      <c r="W67" s="1024" t="n">
        <v>500000</v>
      </c>
      <c r="X67" s="1018">
        <f>U67*W67</f>
        <v/>
      </c>
      <c r="Y67" s="1003">
        <f>X67-S67</f>
        <v/>
      </c>
      <c r="Z67" s="1023" t="n">
        <v>2</v>
      </c>
      <c r="AA67" s="1029" t="inlineStr">
        <is>
          <t>ea</t>
        </is>
      </c>
      <c r="AB67" s="1024" t="n">
        <v>500000</v>
      </c>
      <c r="AC67" s="1018">
        <f>Z67*AB67</f>
        <v/>
      </c>
      <c r="AD67" s="1003">
        <f>AC67-X67</f>
        <v/>
      </c>
      <c r="AE67" s="1023" t="n">
        <v>2</v>
      </c>
      <c r="AF67" s="1029" t="inlineStr">
        <is>
          <t>ea</t>
        </is>
      </c>
      <c r="AG67" s="1024" t="n">
        <v>500000</v>
      </c>
      <c r="AH67" s="1018">
        <f>AE67*AG67</f>
        <v/>
      </c>
      <c r="AI67" s="1003">
        <f>AH67-AC67</f>
        <v/>
      </c>
      <c r="AJ67" s="93" t="inlineStr">
        <is>
          <t>-</t>
        </is>
      </c>
      <c r="AK67" s="31" t="n"/>
    </row>
    <row r="68" ht="30.2" customHeight="1" s="972">
      <c r="B68" s="1005" t="n"/>
      <c r="C68" s="1006" t="n"/>
      <c r="D68" s="1007" t="n"/>
      <c r="E68" s="1005" t="n"/>
      <c r="F68" s="68" t="inlineStr">
        <is>
          <t>지미집 12배욜 HD 카메라 [리허설포함 2일]</t>
        </is>
      </c>
      <c r="G68" s="1020" t="n">
        <v>2</v>
      </c>
      <c r="H68" s="1028" t="inlineStr">
        <is>
          <t>ea</t>
        </is>
      </c>
      <c r="I68" s="1022" t="n">
        <v>600000</v>
      </c>
      <c r="J68" s="1015">
        <f>G68*I68</f>
        <v/>
      </c>
      <c r="K68" s="1023" t="n">
        <v>2</v>
      </c>
      <c r="L68" s="1029" t="inlineStr">
        <is>
          <t>ea</t>
        </is>
      </c>
      <c r="M68" s="1024" t="n">
        <v>600000</v>
      </c>
      <c r="N68" s="1018">
        <f>K68*M68</f>
        <v/>
      </c>
      <c r="O68" s="1019">
        <f>N68-J68</f>
        <v/>
      </c>
      <c r="P68" s="1023" t="n">
        <v>2</v>
      </c>
      <c r="Q68" s="1029" t="inlineStr">
        <is>
          <t>ea</t>
        </is>
      </c>
      <c r="R68" s="1024" t="n">
        <v>600000</v>
      </c>
      <c r="S68" s="1018">
        <f>P68*R68</f>
        <v/>
      </c>
      <c r="T68" s="1003">
        <f>S68-N68</f>
        <v/>
      </c>
      <c r="U68" s="1023" t="n">
        <v>2</v>
      </c>
      <c r="V68" s="1029" t="inlineStr">
        <is>
          <t>ea</t>
        </is>
      </c>
      <c r="W68" s="1024" t="n">
        <v>600000</v>
      </c>
      <c r="X68" s="1018">
        <f>U68*W68</f>
        <v/>
      </c>
      <c r="Y68" s="1003">
        <f>X68-S68</f>
        <v/>
      </c>
      <c r="Z68" s="1023" t="n">
        <v>2</v>
      </c>
      <c r="AA68" s="1029" t="inlineStr">
        <is>
          <t>ea</t>
        </is>
      </c>
      <c r="AB68" s="1024" t="n">
        <v>600000</v>
      </c>
      <c r="AC68" s="1018">
        <f>Z68*AB68</f>
        <v/>
      </c>
      <c r="AD68" s="1003">
        <f>AC68-X68</f>
        <v/>
      </c>
      <c r="AE68" s="1023" t="n">
        <v>2</v>
      </c>
      <c r="AF68" s="1029" t="inlineStr">
        <is>
          <t>ea</t>
        </is>
      </c>
      <c r="AG68" s="1024" t="n">
        <v>600000</v>
      </c>
      <c r="AH68" s="1018">
        <f>AE68*AG68</f>
        <v/>
      </c>
      <c r="AI68" s="1003">
        <f>AH68-AC68</f>
        <v/>
      </c>
      <c r="AJ68" s="93" t="inlineStr">
        <is>
          <t>-</t>
        </is>
      </c>
      <c r="AK68" s="31" t="n"/>
    </row>
    <row r="69" ht="30.2" customHeight="1" s="972">
      <c r="B69" s="1005" t="n"/>
      <c r="C69" s="1006" t="n"/>
      <c r="D69" s="1007" t="n"/>
      <c r="E69" s="981" t="n"/>
      <c r="F69" s="68" t="inlineStr">
        <is>
          <t>HD 리모트 카메라 [리허설포함 2일]</t>
        </is>
      </c>
      <c r="G69" s="1020" t="n">
        <v>2</v>
      </c>
      <c r="H69" s="1028" t="inlineStr">
        <is>
          <t>ea</t>
        </is>
      </c>
      <c r="I69" s="1022" t="n">
        <v>300000</v>
      </c>
      <c r="J69" s="1015">
        <f>G69*I69</f>
        <v/>
      </c>
      <c r="K69" s="1023" t="n">
        <v>2</v>
      </c>
      <c r="L69" s="1029" t="inlineStr">
        <is>
          <t>ea</t>
        </is>
      </c>
      <c r="M69" s="1024" t="n">
        <v>300000</v>
      </c>
      <c r="N69" s="1018">
        <f>K69*M69</f>
        <v/>
      </c>
      <c r="O69" s="1019">
        <f>N69-J69</f>
        <v/>
      </c>
      <c r="P69" s="1023" t="n">
        <v>2</v>
      </c>
      <c r="Q69" s="1029" t="inlineStr">
        <is>
          <t>ea</t>
        </is>
      </c>
      <c r="R69" s="1024" t="n">
        <v>300000</v>
      </c>
      <c r="S69" s="1018">
        <f>P69*R69</f>
        <v/>
      </c>
      <c r="T69" s="1003">
        <f>S69-N69</f>
        <v/>
      </c>
      <c r="U69" s="1023" t="n">
        <v>2</v>
      </c>
      <c r="V69" s="1029" t="inlineStr">
        <is>
          <t>ea</t>
        </is>
      </c>
      <c r="W69" s="1024" t="n">
        <v>300000</v>
      </c>
      <c r="X69" s="1018">
        <f>U69*W69</f>
        <v/>
      </c>
      <c r="Y69" s="1003">
        <f>X69-S69</f>
        <v/>
      </c>
      <c r="Z69" s="1023" t="n">
        <v>2</v>
      </c>
      <c r="AA69" s="1029" t="inlineStr">
        <is>
          <t>ea</t>
        </is>
      </c>
      <c r="AB69" s="1024" t="n">
        <v>300000</v>
      </c>
      <c r="AC69" s="1018">
        <f>Z69*AB69</f>
        <v/>
      </c>
      <c r="AD69" s="1003">
        <f>AC69-X69</f>
        <v/>
      </c>
      <c r="AE69" s="1023" t="n">
        <v>2</v>
      </c>
      <c r="AF69" s="1029" t="inlineStr">
        <is>
          <t>ea</t>
        </is>
      </c>
      <c r="AG69" s="1024" t="n">
        <v>300000</v>
      </c>
      <c r="AH69" s="1018">
        <f>AE69*AG69</f>
        <v/>
      </c>
      <c r="AI69" s="1003">
        <f>AH69-AC69</f>
        <v/>
      </c>
      <c r="AJ69" s="93" t="inlineStr">
        <is>
          <t>-</t>
        </is>
      </c>
      <c r="AK69" s="31" t="n"/>
    </row>
    <row r="70" ht="30.2" customHeight="1" s="972">
      <c r="B70" s="1005" t="n"/>
      <c r="C70" s="1006" t="n"/>
      <c r="D70" s="1007" t="n"/>
      <c r="E70" s="68" t="inlineStr">
        <is>
          <t>특수효과</t>
        </is>
      </c>
      <c r="F70" s="72" t="inlineStr">
        <is>
          <t>LOW FIRE</t>
        </is>
      </c>
      <c r="G70" s="1030" t="n"/>
      <c r="H70" s="1028" t="inlineStr">
        <is>
          <t>ea</t>
        </is>
      </c>
      <c r="I70" s="1022" t="n"/>
      <c r="J70" s="1015">
        <f>G70*I70</f>
        <v/>
      </c>
      <c r="K70" s="1031" t="n"/>
      <c r="L70" s="1029" t="inlineStr">
        <is>
          <t>ea</t>
        </is>
      </c>
      <c r="M70" s="1024" t="n"/>
      <c r="N70" s="1018">
        <f>K70*M70</f>
        <v/>
      </c>
      <c r="O70" s="1019">
        <f>N70-J70</f>
        <v/>
      </c>
      <c r="P70" s="1031" t="n"/>
      <c r="Q70" s="1029" t="inlineStr">
        <is>
          <t>ea</t>
        </is>
      </c>
      <c r="R70" s="1024" t="n"/>
      <c r="S70" s="1018">
        <f>P70*R70</f>
        <v/>
      </c>
      <c r="T70" s="1003">
        <f>S70-N70</f>
        <v/>
      </c>
      <c r="U70" s="1031" t="n"/>
      <c r="V70" s="1029" t="inlineStr">
        <is>
          <t>ea</t>
        </is>
      </c>
      <c r="W70" s="1024" t="n"/>
      <c r="X70" s="1018">
        <f>U70*W70</f>
        <v/>
      </c>
      <c r="Y70" s="1003">
        <f>X70-S70</f>
        <v/>
      </c>
      <c r="Z70" s="1031" t="n"/>
      <c r="AA70" s="1029" t="inlineStr">
        <is>
          <t>ea</t>
        </is>
      </c>
      <c r="AB70" s="1024" t="n"/>
      <c r="AC70" s="1018">
        <f>Z70*AB70</f>
        <v/>
      </c>
      <c r="AD70" s="1003">
        <f>AC70-X70</f>
        <v/>
      </c>
      <c r="AE70" s="1031" t="n"/>
      <c r="AF70" s="1029" t="inlineStr">
        <is>
          <t>ea</t>
        </is>
      </c>
      <c r="AG70" s="1024" t="n"/>
      <c r="AH70" s="1018">
        <f>AE70*AG70</f>
        <v/>
      </c>
      <c r="AI70" s="1003">
        <f>AH70-AC70</f>
        <v/>
      </c>
      <c r="AJ70" s="93" t="n"/>
      <c r="AK70" s="31" t="n"/>
    </row>
    <row r="71" ht="30.2" customHeight="1" s="972">
      <c r="B71" s="1005" t="n"/>
      <c r="C71" s="1006" t="n"/>
      <c r="D71" s="1007" t="n"/>
      <c r="E71" s="1005" t="n"/>
      <c r="F71" s="72" t="inlineStr">
        <is>
          <t>HIGH FIRE</t>
        </is>
      </c>
      <c r="G71" s="1030" t="n">
        <v>14</v>
      </c>
      <c r="H71" s="1028" t="inlineStr">
        <is>
          <t>ea</t>
        </is>
      </c>
      <c r="I71" s="1022" t="n">
        <v>200000</v>
      </c>
      <c r="J71" s="1015">
        <f>G71*I71</f>
        <v/>
      </c>
      <c r="K71" s="1031" t="n">
        <v>14</v>
      </c>
      <c r="L71" s="1029" t="inlineStr">
        <is>
          <t>ea</t>
        </is>
      </c>
      <c r="M71" s="1024" t="n">
        <v>200000</v>
      </c>
      <c r="N71" s="1018">
        <f>K71*M71</f>
        <v/>
      </c>
      <c r="O71" s="1019">
        <f>N71-J71</f>
        <v/>
      </c>
      <c r="P71" s="1031" t="n">
        <v>14</v>
      </c>
      <c r="Q71" s="1029" t="inlineStr">
        <is>
          <t>ea</t>
        </is>
      </c>
      <c r="R71" s="1024" t="n">
        <v>200000</v>
      </c>
      <c r="S71" s="1018">
        <f>P71*R71</f>
        <v/>
      </c>
      <c r="T71" s="1003">
        <f>S71-N71</f>
        <v/>
      </c>
      <c r="U71" s="1031" t="n">
        <v>14</v>
      </c>
      <c r="V71" s="1029" t="inlineStr">
        <is>
          <t>ea</t>
        </is>
      </c>
      <c r="W71" s="1024" t="n">
        <v>200000</v>
      </c>
      <c r="X71" s="1018">
        <f>U71*W71</f>
        <v/>
      </c>
      <c r="Y71" s="1003">
        <f>X71-S71</f>
        <v/>
      </c>
      <c r="Z71" s="1031" t="n">
        <v>14</v>
      </c>
      <c r="AA71" s="1029" t="inlineStr">
        <is>
          <t>ea</t>
        </is>
      </c>
      <c r="AB71" s="1024" t="n">
        <v>200000</v>
      </c>
      <c r="AC71" s="1018">
        <f>Z71*AB71</f>
        <v/>
      </c>
      <c r="AD71" s="1003">
        <f>AC71-X71</f>
        <v/>
      </c>
      <c r="AE71" s="1031" t="n">
        <v>14</v>
      </c>
      <c r="AF71" s="1029" t="inlineStr">
        <is>
          <t>ea</t>
        </is>
      </c>
      <c r="AG71" s="1024" t="n">
        <v>200000</v>
      </c>
      <c r="AH71" s="1018">
        <f>AE71*AG71</f>
        <v/>
      </c>
      <c r="AI71" s="1003">
        <f>AH71-AC71</f>
        <v/>
      </c>
      <c r="AJ71" s="93" t="n"/>
      <c r="AK71" s="614" t="inlineStr">
        <is>
          <t>실제 운영 물량 16EA (2EA 추가) | 미청구 (약 40만원)</t>
        </is>
      </c>
    </row>
    <row r="72" ht="30.2" customHeight="1" s="972">
      <c r="B72" s="1005" t="n"/>
      <c r="C72" s="1006" t="n"/>
      <c r="D72" s="1007" t="n"/>
      <c r="E72" s="1005" t="n"/>
      <c r="F72" s="72" t="inlineStr">
        <is>
          <t>BIG FIRE</t>
        </is>
      </c>
      <c r="G72" s="1030" t="n">
        <v>6</v>
      </c>
      <c r="H72" s="1028" t="inlineStr">
        <is>
          <t>ea</t>
        </is>
      </c>
      <c r="I72" s="1022" t="n">
        <v>300000</v>
      </c>
      <c r="J72" s="1015">
        <f>G72*I72</f>
        <v/>
      </c>
      <c r="K72" s="1031" t="n">
        <v>6</v>
      </c>
      <c r="L72" s="1029" t="inlineStr">
        <is>
          <t>ea</t>
        </is>
      </c>
      <c r="M72" s="1024" t="n">
        <v>300000</v>
      </c>
      <c r="N72" s="1018">
        <f>K72*M72</f>
        <v/>
      </c>
      <c r="O72" s="1019">
        <f>N72-J72</f>
        <v/>
      </c>
      <c r="P72" s="1031" t="n">
        <v>6</v>
      </c>
      <c r="Q72" s="1029" t="inlineStr">
        <is>
          <t>ea</t>
        </is>
      </c>
      <c r="R72" s="1024" t="n">
        <v>300000</v>
      </c>
      <c r="S72" s="1018">
        <f>P72*R72</f>
        <v/>
      </c>
      <c r="T72" s="1003">
        <f>S72-N72</f>
        <v/>
      </c>
      <c r="U72" s="1031" t="n">
        <v>6</v>
      </c>
      <c r="V72" s="1029" t="inlineStr">
        <is>
          <t>ea</t>
        </is>
      </c>
      <c r="W72" s="1024" t="n">
        <v>300000</v>
      </c>
      <c r="X72" s="1018">
        <f>U72*W72</f>
        <v/>
      </c>
      <c r="Y72" s="1003">
        <f>X72-S72</f>
        <v/>
      </c>
      <c r="Z72" s="1031" t="n">
        <v>6</v>
      </c>
      <c r="AA72" s="1029" t="inlineStr">
        <is>
          <t>ea</t>
        </is>
      </c>
      <c r="AB72" s="1024" t="n">
        <v>300000</v>
      </c>
      <c r="AC72" s="1018">
        <f>Z72*AB72</f>
        <v/>
      </c>
      <c r="AD72" s="1003">
        <f>AC72-X72</f>
        <v/>
      </c>
      <c r="AE72" s="1031" t="n">
        <v>6</v>
      </c>
      <c r="AF72" s="1029" t="inlineStr">
        <is>
          <t>ea</t>
        </is>
      </c>
      <c r="AG72" s="1024" t="n">
        <v>300000</v>
      </c>
      <c r="AH72" s="1018">
        <f>AE72*AG72</f>
        <v/>
      </c>
      <c r="AI72" s="1003">
        <f>AH72-AC72</f>
        <v/>
      </c>
      <c r="AJ72" s="93" t="n"/>
      <c r="AK72" s="614" t="inlineStr">
        <is>
          <t>실제 운영 물량 7EA (1EA 추가) | 미청구 (약 30만원)</t>
        </is>
      </c>
    </row>
    <row r="73" ht="30.2" customHeight="1" s="972">
      <c r="B73" s="1005" t="n"/>
      <c r="C73" s="1006" t="n"/>
      <c r="D73" s="1007" t="n"/>
      <c r="E73" s="1005" t="n"/>
      <c r="F73" s="72" t="inlineStr">
        <is>
          <t>CO2 JET</t>
        </is>
      </c>
      <c r="G73" s="1030" t="n">
        <v>14</v>
      </c>
      <c r="H73" s="1028" t="inlineStr">
        <is>
          <t>ea</t>
        </is>
      </c>
      <c r="I73" s="1022" t="n">
        <v>120000</v>
      </c>
      <c r="J73" s="1015">
        <f>G73*I73</f>
        <v/>
      </c>
      <c r="K73" s="1031" t="n">
        <v>14</v>
      </c>
      <c r="L73" s="1029" t="inlineStr">
        <is>
          <t>ea</t>
        </is>
      </c>
      <c r="M73" s="1024" t="n">
        <v>120000</v>
      </c>
      <c r="N73" s="1018">
        <f>K73*M73</f>
        <v/>
      </c>
      <c r="O73" s="1019">
        <f>N73-J73</f>
        <v/>
      </c>
      <c r="P73" s="1031" t="n">
        <v>14</v>
      </c>
      <c r="Q73" s="1029" t="inlineStr">
        <is>
          <t>ea</t>
        </is>
      </c>
      <c r="R73" s="1024" t="n">
        <v>120000</v>
      </c>
      <c r="S73" s="1018">
        <f>P73*R73</f>
        <v/>
      </c>
      <c r="T73" s="1003">
        <f>S73-N73</f>
        <v/>
      </c>
      <c r="U73" s="1031" t="n">
        <v>14</v>
      </c>
      <c r="V73" s="1029" t="inlineStr">
        <is>
          <t>ea</t>
        </is>
      </c>
      <c r="W73" s="1024" t="n">
        <v>120000</v>
      </c>
      <c r="X73" s="1018">
        <f>U73*W73</f>
        <v/>
      </c>
      <c r="Y73" s="1003">
        <f>X73-S73</f>
        <v/>
      </c>
      <c r="Z73" s="1031" t="n">
        <v>14</v>
      </c>
      <c r="AA73" s="1029" t="inlineStr">
        <is>
          <t>ea</t>
        </is>
      </c>
      <c r="AB73" s="1024" t="n">
        <v>120000</v>
      </c>
      <c r="AC73" s="1018">
        <f>Z73*AB73</f>
        <v/>
      </c>
      <c r="AD73" s="1003">
        <f>AC73-X73</f>
        <v/>
      </c>
      <c r="AE73" s="1031" t="n">
        <v>14</v>
      </c>
      <c r="AF73" s="1029" t="inlineStr">
        <is>
          <t>ea</t>
        </is>
      </c>
      <c r="AG73" s="1024" t="n">
        <v>120000</v>
      </c>
      <c r="AH73" s="1018">
        <f>AE73*AG73</f>
        <v/>
      </c>
      <c r="AI73" s="1003">
        <f>AH73-AC73</f>
        <v/>
      </c>
      <c r="AJ73" s="93" t="n"/>
      <c r="AK73" s="614" t="inlineStr">
        <is>
          <t>실제 운영 물량 24EA (10EA 추가) | 미청구 (약 120만원) ,CO2가스 추가48개ㅣ 미청구 144만원</t>
        </is>
      </c>
    </row>
    <row r="74" ht="30.2" customHeight="1" s="972">
      <c r="B74" s="1005" t="n"/>
      <c r="C74" s="1006" t="n"/>
      <c r="D74" s="1007" t="n"/>
      <c r="E74" s="1005" t="n"/>
      <c r="F74" s="72" t="inlineStr">
        <is>
          <t>BIG blaster</t>
        </is>
      </c>
      <c r="G74" s="1030" t="n">
        <v>6</v>
      </c>
      <c r="H74" s="1028" t="inlineStr">
        <is>
          <t>ea</t>
        </is>
      </c>
      <c r="I74" s="1022" t="n">
        <v>500000</v>
      </c>
      <c r="J74" s="1015">
        <f>G74*I74</f>
        <v/>
      </c>
      <c r="K74" s="1031" t="n">
        <v>6</v>
      </c>
      <c r="L74" s="1029" t="inlineStr">
        <is>
          <t>ea</t>
        </is>
      </c>
      <c r="M74" s="1024" t="n">
        <v>500000</v>
      </c>
      <c r="N74" s="1018">
        <f>K74*M74</f>
        <v/>
      </c>
      <c r="O74" s="1019">
        <f>N74-J74</f>
        <v/>
      </c>
      <c r="P74" s="1031" t="n">
        <v>6</v>
      </c>
      <c r="Q74" s="1029" t="inlineStr">
        <is>
          <t>ea</t>
        </is>
      </c>
      <c r="R74" s="1024" t="n">
        <v>500000</v>
      </c>
      <c r="S74" s="1018">
        <f>P74*R74</f>
        <v/>
      </c>
      <c r="T74" s="1003">
        <f>S74-N74</f>
        <v/>
      </c>
      <c r="U74" s="1031" t="n">
        <v>6</v>
      </c>
      <c r="V74" s="1029" t="inlineStr">
        <is>
          <t>ea</t>
        </is>
      </c>
      <c r="W74" s="1024" t="n">
        <v>500000</v>
      </c>
      <c r="X74" s="1018">
        <f>U74*W74</f>
        <v/>
      </c>
      <c r="Y74" s="1003">
        <f>X74-S74</f>
        <v/>
      </c>
      <c r="Z74" s="1031" t="n">
        <v>6</v>
      </c>
      <c r="AA74" s="1029" t="inlineStr">
        <is>
          <t>ea</t>
        </is>
      </c>
      <c r="AB74" s="1024" t="n">
        <v>500000</v>
      </c>
      <c r="AC74" s="1018">
        <f>Z74*AB74</f>
        <v/>
      </c>
      <c r="AD74" s="1003">
        <f>AC74-X74</f>
        <v/>
      </c>
      <c r="AE74" s="1031" t="n">
        <v>6</v>
      </c>
      <c r="AF74" s="1029" t="inlineStr">
        <is>
          <t>ea</t>
        </is>
      </c>
      <c r="AG74" s="1024" t="n">
        <v>500000</v>
      </c>
      <c r="AH74" s="1018">
        <f>AE74*AG74</f>
        <v/>
      </c>
      <c r="AI74" s="1003">
        <f>AH74-AC74</f>
        <v/>
      </c>
      <c r="AJ74" s="93" t="n"/>
      <c r="AK74" s="31" t="n"/>
    </row>
    <row r="75" ht="30.2" customHeight="1" s="972">
      <c r="B75" s="1005" t="n"/>
      <c r="C75" s="1006" t="n"/>
      <c r="D75" s="1007" t="n"/>
      <c r="E75" s="1005" t="n"/>
      <c r="F75" s="72" t="inlineStr">
        <is>
          <t>AIR SHOT</t>
        </is>
      </c>
      <c r="G75" s="1030" t="n">
        <v>10</v>
      </c>
      <c r="H75" s="1028" t="inlineStr">
        <is>
          <t>ea</t>
        </is>
      </c>
      <c r="I75" s="1022" t="n">
        <v>100000</v>
      </c>
      <c r="J75" s="1015">
        <f>G75*I75</f>
        <v/>
      </c>
      <c r="K75" s="1031" t="n">
        <v>10</v>
      </c>
      <c r="L75" s="1029" t="inlineStr">
        <is>
          <t>ea</t>
        </is>
      </c>
      <c r="M75" s="1024" t="n">
        <v>100000</v>
      </c>
      <c r="N75" s="1018">
        <f>K75*M75</f>
        <v/>
      </c>
      <c r="O75" s="1019">
        <f>N75-J75</f>
        <v/>
      </c>
      <c r="P75" s="1031" t="n">
        <v>10</v>
      </c>
      <c r="Q75" s="1029" t="inlineStr">
        <is>
          <t>ea</t>
        </is>
      </c>
      <c r="R75" s="1024" t="n">
        <v>100000</v>
      </c>
      <c r="S75" s="1018">
        <f>P75*R75</f>
        <v/>
      </c>
      <c r="T75" s="1003">
        <f>S75-N75</f>
        <v/>
      </c>
      <c r="U75" s="1031" t="n">
        <v>10</v>
      </c>
      <c r="V75" s="1029" t="inlineStr">
        <is>
          <t>ea</t>
        </is>
      </c>
      <c r="W75" s="1024" t="n">
        <v>100000</v>
      </c>
      <c r="X75" s="1018">
        <f>U75*W75</f>
        <v/>
      </c>
      <c r="Y75" s="1003">
        <f>X75-S75</f>
        <v/>
      </c>
      <c r="Z75" s="1031" t="n">
        <v>10</v>
      </c>
      <c r="AA75" s="1029" t="inlineStr">
        <is>
          <t>ea</t>
        </is>
      </c>
      <c r="AB75" s="1024" t="n">
        <v>100000</v>
      </c>
      <c r="AC75" s="1018">
        <f>Z75*AB75</f>
        <v/>
      </c>
      <c r="AD75" s="1003">
        <f>AC75-X75</f>
        <v/>
      </c>
      <c r="AE75" s="1031" t="n">
        <v>10</v>
      </c>
      <c r="AF75" s="1029" t="inlineStr">
        <is>
          <t>ea</t>
        </is>
      </c>
      <c r="AG75" s="1024" t="n">
        <v>100000</v>
      </c>
      <c r="AH75" s="1018">
        <f>AE75*AG75</f>
        <v/>
      </c>
      <c r="AI75" s="1003">
        <f>AH75-AC75</f>
        <v/>
      </c>
      <c r="AJ75" s="93" t="n"/>
      <c r="AK75" s="614" t="inlineStr">
        <is>
          <t>실제 운영 물량 16EA (6EA 추가) | 미청구 60만원 ㅣ 충전재추가 릴160SET (약160만원 )</t>
        </is>
      </c>
    </row>
    <row r="76" ht="30.2" customHeight="1" s="972">
      <c r="B76" s="1005" t="n"/>
      <c r="C76" s="1006" t="n"/>
      <c r="D76" s="1007" t="n"/>
      <c r="E76" s="1005" t="n"/>
      <c r="F76" s="72" t="inlineStr">
        <is>
          <t>WATER CANNON 4inch</t>
        </is>
      </c>
      <c r="G76" s="1030" t="n">
        <v>16</v>
      </c>
      <c r="H76" s="1028" t="inlineStr">
        <is>
          <t>ea</t>
        </is>
      </c>
      <c r="I76" s="1022" t="n">
        <v>300000</v>
      </c>
      <c r="J76" s="1015">
        <f>G76*I76</f>
        <v/>
      </c>
      <c r="K76" s="1031" t="n">
        <v>16</v>
      </c>
      <c r="L76" s="1029" t="inlineStr">
        <is>
          <t>ea</t>
        </is>
      </c>
      <c r="M76" s="1024" t="n">
        <v>300000</v>
      </c>
      <c r="N76" s="1018">
        <f>K76*M76</f>
        <v/>
      </c>
      <c r="O76" s="1019">
        <f>N76-J76</f>
        <v/>
      </c>
      <c r="P76" s="1031" t="n">
        <v>16</v>
      </c>
      <c r="Q76" s="1029" t="inlineStr">
        <is>
          <t>ea</t>
        </is>
      </c>
      <c r="R76" s="1024" t="n">
        <v>300000</v>
      </c>
      <c r="S76" s="1018">
        <f>P76*R76</f>
        <v/>
      </c>
      <c r="T76" s="1003">
        <f>S76-N76</f>
        <v/>
      </c>
      <c r="U76" s="1031" t="n">
        <v>16</v>
      </c>
      <c r="V76" s="1029" t="inlineStr">
        <is>
          <t>ea</t>
        </is>
      </c>
      <c r="W76" s="1024" t="n">
        <v>300000</v>
      </c>
      <c r="X76" s="1018">
        <f>U76*W76</f>
        <v/>
      </c>
      <c r="Y76" s="1003">
        <f>X76-S76</f>
        <v/>
      </c>
      <c r="Z76" s="1031" t="n">
        <v>16</v>
      </c>
      <c r="AA76" s="1029" t="inlineStr">
        <is>
          <t>ea</t>
        </is>
      </c>
      <c r="AB76" s="1024" t="n">
        <v>300000</v>
      </c>
      <c r="AC76" s="1018">
        <f>Z76*AB76</f>
        <v/>
      </c>
      <c r="AD76" s="1003">
        <f>AC76-X76</f>
        <v/>
      </c>
      <c r="AE76" s="1031" t="n">
        <v>16</v>
      </c>
      <c r="AF76" s="1029" t="inlineStr">
        <is>
          <t>ea</t>
        </is>
      </c>
      <c r="AG76" s="1024" t="n">
        <v>300000</v>
      </c>
      <c r="AH76" s="1018">
        <f>AE76*AG76</f>
        <v/>
      </c>
      <c r="AI76" s="1003">
        <f>AH76-AC76</f>
        <v/>
      </c>
      <c r="AJ76" s="93" t="n"/>
      <c r="AK76" s="31" t="n"/>
    </row>
    <row r="77" ht="30.2" customHeight="1" s="972">
      <c r="B77" s="1005" t="n"/>
      <c r="C77" s="1006" t="n"/>
      <c r="D77" s="1007" t="n"/>
      <c r="E77" s="1005" t="n"/>
      <c r="F77" s="72" t="inlineStr">
        <is>
          <t>water tank [drum]</t>
        </is>
      </c>
      <c r="G77" s="1030" t="n">
        <v>10</v>
      </c>
      <c r="H77" s="1028" t="inlineStr">
        <is>
          <t>ea</t>
        </is>
      </c>
      <c r="I77" s="1022" t="n">
        <v>50000</v>
      </c>
      <c r="J77" s="1015">
        <f>G77*I77</f>
        <v/>
      </c>
      <c r="K77" s="1031" t="n">
        <v>10</v>
      </c>
      <c r="L77" s="1029" t="inlineStr">
        <is>
          <t>ea</t>
        </is>
      </c>
      <c r="M77" s="1024" t="n">
        <v>50000</v>
      </c>
      <c r="N77" s="1018">
        <f>K77*M77</f>
        <v/>
      </c>
      <c r="O77" s="1019">
        <f>N77-J77</f>
        <v/>
      </c>
      <c r="P77" s="1031" t="n">
        <v>10</v>
      </c>
      <c r="Q77" s="1029" t="inlineStr">
        <is>
          <t>ea</t>
        </is>
      </c>
      <c r="R77" s="1024" t="n">
        <v>50000</v>
      </c>
      <c r="S77" s="1018">
        <f>P77*R77</f>
        <v/>
      </c>
      <c r="T77" s="1003">
        <f>S77-N77</f>
        <v/>
      </c>
      <c r="U77" s="1031" t="n">
        <v>10</v>
      </c>
      <c r="V77" s="1029" t="inlineStr">
        <is>
          <t>ea</t>
        </is>
      </c>
      <c r="W77" s="1024" t="n">
        <v>50000</v>
      </c>
      <c r="X77" s="1018">
        <f>U77*W77</f>
        <v/>
      </c>
      <c r="Y77" s="1003">
        <f>X77-S77</f>
        <v/>
      </c>
      <c r="Z77" s="1031" t="n">
        <v>10</v>
      </c>
      <c r="AA77" s="1029" t="inlineStr">
        <is>
          <t>ea</t>
        </is>
      </c>
      <c r="AB77" s="1024" t="n">
        <v>50000</v>
      </c>
      <c r="AC77" s="1018">
        <f>Z77*AB77</f>
        <v/>
      </c>
      <c r="AD77" s="1003">
        <f>AC77-X77</f>
        <v/>
      </c>
      <c r="AE77" s="1031" t="n">
        <v>10</v>
      </c>
      <c r="AF77" s="1029" t="inlineStr">
        <is>
          <t>ea</t>
        </is>
      </c>
      <c r="AG77" s="1024" t="n">
        <v>50000</v>
      </c>
      <c r="AH77" s="1018">
        <f>AE77*AG77</f>
        <v/>
      </c>
      <c r="AI77" s="1003">
        <f>AH77-AC77</f>
        <v/>
      </c>
      <c r="AJ77" s="93" t="inlineStr">
        <is>
          <t>-</t>
        </is>
      </c>
      <c r="AK77" s="31" t="n"/>
    </row>
    <row r="78" ht="30.2" customHeight="1" s="972">
      <c r="B78" s="1005" t="n"/>
      <c r="C78" s="1006" t="n"/>
      <c r="D78" s="1007" t="n"/>
      <c r="E78" s="1005" t="n"/>
      <c r="F78" s="72" t="inlineStr">
        <is>
          <t>CONSOLE [TIGER TURCH]</t>
        </is>
      </c>
      <c r="G78" s="1030" t="n">
        <v>1</v>
      </c>
      <c r="H78" s="1028" t="inlineStr">
        <is>
          <t>ea</t>
        </is>
      </c>
      <c r="I78" s="1022" t="n">
        <v>500000</v>
      </c>
      <c r="J78" s="1015">
        <f>G78*I78</f>
        <v/>
      </c>
      <c r="K78" s="1031" t="n">
        <v>1</v>
      </c>
      <c r="L78" s="1029" t="inlineStr">
        <is>
          <t>ea</t>
        </is>
      </c>
      <c r="M78" s="1024" t="n">
        <v>500000</v>
      </c>
      <c r="N78" s="1018">
        <f>K78*M78</f>
        <v/>
      </c>
      <c r="O78" s="1019">
        <f>N78-J78</f>
        <v/>
      </c>
      <c r="P78" s="1031" t="n">
        <v>1</v>
      </c>
      <c r="Q78" s="1029" t="inlineStr">
        <is>
          <t>ea</t>
        </is>
      </c>
      <c r="R78" s="1024" t="n">
        <v>500000</v>
      </c>
      <c r="S78" s="1018">
        <f>P78*R78</f>
        <v/>
      </c>
      <c r="T78" s="1003">
        <f>S78-N78</f>
        <v/>
      </c>
      <c r="U78" s="1031" t="n">
        <v>1</v>
      </c>
      <c r="V78" s="1029" t="inlineStr">
        <is>
          <t>ea</t>
        </is>
      </c>
      <c r="W78" s="1024" t="n">
        <v>500000</v>
      </c>
      <c r="X78" s="1018">
        <f>U78*W78</f>
        <v/>
      </c>
      <c r="Y78" s="1003">
        <f>X78-S78</f>
        <v/>
      </c>
      <c r="Z78" s="1031" t="n">
        <v>1</v>
      </c>
      <c r="AA78" s="1029" t="inlineStr">
        <is>
          <t>ea</t>
        </is>
      </c>
      <c r="AB78" s="1024" t="n">
        <v>500000</v>
      </c>
      <c r="AC78" s="1018">
        <f>Z78*AB78</f>
        <v/>
      </c>
      <c r="AD78" s="1003">
        <f>AC78-X78</f>
        <v/>
      </c>
      <c r="AE78" s="1031" t="n">
        <v>1</v>
      </c>
      <c r="AF78" s="1029" t="inlineStr">
        <is>
          <t>ea</t>
        </is>
      </c>
      <c r="AG78" s="1024" t="n">
        <v>500000</v>
      </c>
      <c r="AH78" s="1018">
        <f>AE78*AG78</f>
        <v/>
      </c>
      <c r="AI78" s="1003">
        <f>AH78-AC78</f>
        <v/>
      </c>
      <c r="AJ78" s="93" t="n"/>
      <c r="AK78" s="31" t="n"/>
    </row>
    <row r="79" ht="30.2" customHeight="1" s="972">
      <c r="B79" s="1005" t="n"/>
      <c r="C79" s="1006" t="n"/>
      <c r="D79" s="1007" t="n"/>
      <c r="E79" s="1005" t="n"/>
      <c r="F79" s="72" t="inlineStr">
        <is>
          <t>무대화약 20line[ 마인 분수 후레싱 코메트 외]</t>
        </is>
      </c>
      <c r="G79" s="1030" t="n">
        <v>20</v>
      </c>
      <c r="H79" s="1028" t="inlineStr">
        <is>
          <t>ea</t>
        </is>
      </c>
      <c r="I79" s="1022" t="n">
        <v>400000</v>
      </c>
      <c r="J79" s="1015">
        <f>G79*I79</f>
        <v/>
      </c>
      <c r="K79" s="1031" t="n">
        <v>20</v>
      </c>
      <c r="L79" s="1029" t="inlineStr">
        <is>
          <t>ea</t>
        </is>
      </c>
      <c r="M79" s="1024" t="n">
        <v>400000</v>
      </c>
      <c r="N79" s="1018">
        <f>K79*M79</f>
        <v/>
      </c>
      <c r="O79" s="1019">
        <f>N79-J79</f>
        <v/>
      </c>
      <c r="P79" s="1031" t="n">
        <v>20</v>
      </c>
      <c r="Q79" s="1029" t="inlineStr">
        <is>
          <t>ea</t>
        </is>
      </c>
      <c r="R79" s="1024" t="n">
        <v>400000</v>
      </c>
      <c r="S79" s="1018">
        <f>P79*R79</f>
        <v/>
      </c>
      <c r="T79" s="1003">
        <f>S79-N79</f>
        <v/>
      </c>
      <c r="U79" s="1031" t="n">
        <v>20</v>
      </c>
      <c r="V79" s="1029" t="inlineStr">
        <is>
          <t>ea</t>
        </is>
      </c>
      <c r="W79" s="1024" t="n">
        <v>400000</v>
      </c>
      <c r="X79" s="1018">
        <f>U79*W79</f>
        <v/>
      </c>
      <c r="Y79" s="1003">
        <f>X79-S79</f>
        <v/>
      </c>
      <c r="Z79" s="1031" t="n">
        <v>20</v>
      </c>
      <c r="AA79" s="1029" t="inlineStr">
        <is>
          <t>ea</t>
        </is>
      </c>
      <c r="AB79" s="1024" t="n">
        <v>400000</v>
      </c>
      <c r="AC79" s="1018">
        <f>Z79*AB79</f>
        <v/>
      </c>
      <c r="AD79" s="1003">
        <f>AC79-X79</f>
        <v/>
      </c>
      <c r="AE79" s="1031" t="n">
        <v>20</v>
      </c>
      <c r="AF79" s="1029" t="inlineStr">
        <is>
          <t>ea</t>
        </is>
      </c>
      <c r="AG79" s="1024" t="n">
        <v>400000</v>
      </c>
      <c r="AH79" s="1018">
        <f>AE79*AG79</f>
        <v/>
      </c>
      <c r="AI79" s="1003">
        <f>AH79-AC79</f>
        <v/>
      </c>
      <c r="AJ79" s="93" t="inlineStr">
        <is>
          <t>-</t>
        </is>
      </c>
      <c r="AK79" s="31" t="n"/>
    </row>
    <row r="80" ht="30.2" customHeight="1" s="972">
      <c r="B80" s="1005" t="n"/>
      <c r="C80" s="1006" t="n"/>
      <c r="D80" s="1007" t="n"/>
      <c r="E80" s="1005" t="n"/>
      <c r="F80" s="342" t="inlineStr">
        <is>
          <t>FIREWORK 3min</t>
        </is>
      </c>
      <c r="G80" s="1032" t="n">
        <v>1</v>
      </c>
      <c r="H80" s="1033" t="inlineStr">
        <is>
          <t>식</t>
        </is>
      </c>
      <c r="I80" s="1034" t="n">
        <v>6000000</v>
      </c>
      <c r="J80" s="1035">
        <f>G80*I80</f>
        <v/>
      </c>
      <c r="K80" s="1036" t="n">
        <v>1</v>
      </c>
      <c r="L80" s="1037" t="inlineStr">
        <is>
          <t>식</t>
        </is>
      </c>
      <c r="M80" s="1038" t="n">
        <v>20000000</v>
      </c>
      <c r="N80" s="1039">
        <f>K80*M80</f>
        <v/>
      </c>
      <c r="O80" s="1040">
        <f>N80-J80</f>
        <v/>
      </c>
      <c r="P80" s="1041" t="n">
        <v>1</v>
      </c>
      <c r="Q80" s="1042" t="inlineStr">
        <is>
          <t>식</t>
        </is>
      </c>
      <c r="R80" s="1043" t="n">
        <v>15000000</v>
      </c>
      <c r="S80" s="1044" t="n">
        <v>15000000</v>
      </c>
      <c r="T80" s="1045">
        <f>S80-N80</f>
        <v/>
      </c>
      <c r="U80" s="1041" t="n">
        <v>1</v>
      </c>
      <c r="V80" s="1042" t="inlineStr">
        <is>
          <t>식</t>
        </is>
      </c>
      <c r="W80" s="1043" t="n">
        <v>15000000</v>
      </c>
      <c r="X80" s="1044" t="n">
        <v>15000000</v>
      </c>
      <c r="Y80" s="1045">
        <f>X80-S80</f>
        <v/>
      </c>
      <c r="Z80" s="1041" t="n">
        <v>1</v>
      </c>
      <c r="AA80" s="1042" t="inlineStr">
        <is>
          <t>식</t>
        </is>
      </c>
      <c r="AB80" s="1043" t="n">
        <v>15000000</v>
      </c>
      <c r="AC80" s="1044" t="n">
        <v>15000000</v>
      </c>
      <c r="AD80" s="1045">
        <f>AC80-X80</f>
        <v/>
      </c>
      <c r="AE80" s="1041" t="n">
        <v>1</v>
      </c>
      <c r="AF80" s="1042" t="inlineStr">
        <is>
          <t>식</t>
        </is>
      </c>
      <c r="AG80" s="1043" t="n">
        <v>15000000</v>
      </c>
      <c r="AH80" s="1044" t="n">
        <v>15000000</v>
      </c>
      <c r="AI80" s="1045">
        <f>AH80-AC80</f>
        <v/>
      </c>
      <c r="AJ80" s="515" t="inlineStr">
        <is>
          <t>-</t>
        </is>
      </c>
      <c r="AK80" s="516" t="inlineStr">
        <is>
          <t>블루 모지 디제이 타임 중반부 및 엔딩. 9시 30분 이전 진행</t>
        </is>
      </c>
    </row>
    <row r="81" ht="30.2" customHeight="1" s="972">
      <c r="B81" s="1005" t="n"/>
      <c r="C81" s="1006" t="n"/>
      <c r="D81" s="1007" t="n"/>
      <c r="E81" s="1005" t="n"/>
      <c r="F81" s="72" t="inlineStr">
        <is>
          <t>회약기사 선임 및  허가서류</t>
        </is>
      </c>
      <c r="G81" s="1020" t="n">
        <v>1</v>
      </c>
      <c r="H81" s="1028" t="inlineStr">
        <is>
          <t>식</t>
        </is>
      </c>
      <c r="I81" s="1022" t="n">
        <v>1000000</v>
      </c>
      <c r="J81" s="1015">
        <f>G81*I81</f>
        <v/>
      </c>
      <c r="K81" s="1023" t="n">
        <v>1</v>
      </c>
      <c r="L81" s="1029" t="inlineStr">
        <is>
          <t>식</t>
        </is>
      </c>
      <c r="M81" s="1024" t="n">
        <v>1000000</v>
      </c>
      <c r="N81" s="1018">
        <f>K81*M81</f>
        <v/>
      </c>
      <c r="O81" s="1019">
        <f>N81-J81</f>
        <v/>
      </c>
      <c r="P81" s="1023" t="n">
        <v>1</v>
      </c>
      <c r="Q81" s="1029" t="inlineStr">
        <is>
          <t>식</t>
        </is>
      </c>
      <c r="R81" s="1024" t="n">
        <v>1000000</v>
      </c>
      <c r="S81" s="1018">
        <f>P81*R81</f>
        <v/>
      </c>
      <c r="T81" s="1003">
        <f>S81-N81</f>
        <v/>
      </c>
      <c r="U81" s="1023" t="n">
        <v>1</v>
      </c>
      <c r="V81" s="1029" t="inlineStr">
        <is>
          <t>식</t>
        </is>
      </c>
      <c r="W81" s="1024" t="n">
        <v>1000000</v>
      </c>
      <c r="X81" s="1018">
        <f>U81*W81</f>
        <v/>
      </c>
      <c r="Y81" s="1003">
        <f>X81-S81</f>
        <v/>
      </c>
      <c r="Z81" s="1023" t="n">
        <v>1</v>
      </c>
      <c r="AA81" s="1029" t="inlineStr">
        <is>
          <t>식</t>
        </is>
      </c>
      <c r="AB81" s="1024" t="n">
        <v>1000000</v>
      </c>
      <c r="AC81" s="1018">
        <f>Z81*AB81</f>
        <v/>
      </c>
      <c r="AD81" s="1003">
        <f>AC81-X81</f>
        <v/>
      </c>
      <c r="AE81" s="1023" t="n">
        <v>1</v>
      </c>
      <c r="AF81" s="1029" t="inlineStr">
        <is>
          <t>식</t>
        </is>
      </c>
      <c r="AG81" s="1024" t="n">
        <v>1000000</v>
      </c>
      <c r="AH81" s="1018">
        <f>AE81*AG81</f>
        <v/>
      </c>
      <c r="AI81" s="1003">
        <f>AH81-AC81</f>
        <v/>
      </c>
      <c r="AJ81" s="93" t="inlineStr">
        <is>
          <t>-</t>
        </is>
      </c>
      <c r="AK81" s="31" t="n"/>
    </row>
    <row r="82" ht="30.2" customHeight="1" s="972">
      <c r="B82" s="1005" t="n"/>
      <c r="C82" s="1006" t="n"/>
      <c r="D82" s="1007" t="n"/>
      <c r="E82" s="981" t="n"/>
      <c r="F82" s="73" t="inlineStr">
        <is>
          <t>풀컬러 레이져 19w  - phaenon X PRO 11500외</t>
        </is>
      </c>
      <c r="G82" s="1046" t="n">
        <v>4</v>
      </c>
      <c r="H82" s="1028" t="inlineStr">
        <is>
          <t>ea</t>
        </is>
      </c>
      <c r="I82" s="1014" t="n">
        <v>2000000</v>
      </c>
      <c r="J82" s="1015">
        <f>G82*I82</f>
        <v/>
      </c>
      <c r="K82" s="1047" t="n">
        <v>4</v>
      </c>
      <c r="L82" s="1029" t="inlineStr">
        <is>
          <t>ea</t>
        </is>
      </c>
      <c r="M82" s="1017" t="n">
        <v>2000000</v>
      </c>
      <c r="N82" s="1018">
        <f>K82*M82</f>
        <v/>
      </c>
      <c r="O82" s="1019">
        <f>N82-J82</f>
        <v/>
      </c>
      <c r="P82" s="1047" t="n">
        <v>4</v>
      </c>
      <c r="Q82" s="1029" t="inlineStr">
        <is>
          <t>ea</t>
        </is>
      </c>
      <c r="R82" s="1017" t="n">
        <v>2000000</v>
      </c>
      <c r="S82" s="1018">
        <f>P82*R82</f>
        <v/>
      </c>
      <c r="T82" s="1003">
        <f>S82-N82</f>
        <v/>
      </c>
      <c r="U82" s="1047" t="n">
        <v>4</v>
      </c>
      <c r="V82" s="1029" t="inlineStr">
        <is>
          <t>ea</t>
        </is>
      </c>
      <c r="W82" s="1017" t="n">
        <v>2000000</v>
      </c>
      <c r="X82" s="1018">
        <f>U82*W82</f>
        <v/>
      </c>
      <c r="Y82" s="1003">
        <f>X82-S82</f>
        <v/>
      </c>
      <c r="Z82" s="1047" t="n">
        <v>4</v>
      </c>
      <c r="AA82" s="1029" t="inlineStr">
        <is>
          <t>ea</t>
        </is>
      </c>
      <c r="AB82" s="1017" t="n">
        <v>2000000</v>
      </c>
      <c r="AC82" s="1018">
        <f>Z82*AB82</f>
        <v/>
      </c>
      <c r="AD82" s="1003">
        <f>AC82-X82</f>
        <v/>
      </c>
      <c r="AE82" s="1047" t="n">
        <v>4</v>
      </c>
      <c r="AF82" s="1029" t="inlineStr">
        <is>
          <t>ea</t>
        </is>
      </c>
      <c r="AG82" s="1017" t="n">
        <v>2000000</v>
      </c>
      <c r="AH82" s="1018">
        <f>AE82*AG82</f>
        <v/>
      </c>
      <c r="AI82" s="1003">
        <f>AH82-AC82</f>
        <v/>
      </c>
      <c r="AJ82" s="93" t="n"/>
      <c r="AK82" s="31" t="n"/>
    </row>
    <row r="83" ht="30.2" customHeight="1" s="972">
      <c r="B83" s="1005" t="n"/>
      <c r="C83" s="1006" t="n"/>
      <c r="D83" s="1007" t="n"/>
      <c r="E83" s="822" t="inlineStr">
        <is>
          <t>DJ 장비</t>
        </is>
      </c>
      <c r="F83" s="64" t="inlineStr">
        <is>
          <t>DJ장비</t>
        </is>
      </c>
      <c r="G83" s="1020" t="n">
        <v>2</v>
      </c>
      <c r="H83" s="117" t="inlineStr">
        <is>
          <t>set</t>
        </is>
      </c>
      <c r="I83" s="1014" t="n">
        <v>1000000</v>
      </c>
      <c r="J83" s="1015">
        <f>G83*I83</f>
        <v/>
      </c>
      <c r="K83" s="1021" t="n">
        <v>2</v>
      </c>
      <c r="L83" s="65" t="inlineStr">
        <is>
          <t>set</t>
        </is>
      </c>
      <c r="M83" s="1017" t="n">
        <v>1000000</v>
      </c>
      <c r="N83" s="1018">
        <f>K83*M83</f>
        <v/>
      </c>
      <c r="O83" s="1019">
        <f>N83-J83</f>
        <v/>
      </c>
      <c r="P83" s="1021" t="n">
        <v>2</v>
      </c>
      <c r="Q83" s="65" t="inlineStr">
        <is>
          <t>set</t>
        </is>
      </c>
      <c r="R83" s="1017" t="n">
        <v>1000000</v>
      </c>
      <c r="S83" s="1018">
        <f>P83*R83</f>
        <v/>
      </c>
      <c r="T83" s="1003">
        <f>S83-N83</f>
        <v/>
      </c>
      <c r="U83" s="1021" t="n">
        <v>2</v>
      </c>
      <c r="V83" s="65" t="inlineStr">
        <is>
          <t>set</t>
        </is>
      </c>
      <c r="W83" s="1017" t="n">
        <v>1000000</v>
      </c>
      <c r="X83" s="1018">
        <f>U83*W83</f>
        <v/>
      </c>
      <c r="Y83" s="1003">
        <f>X83-S83</f>
        <v/>
      </c>
      <c r="Z83" s="1021" t="n">
        <v>2</v>
      </c>
      <c r="AA83" s="65" t="inlineStr">
        <is>
          <t>set</t>
        </is>
      </c>
      <c r="AB83" s="1017" t="n">
        <v>1000000</v>
      </c>
      <c r="AC83" s="1018">
        <f>Z83*AB83</f>
        <v/>
      </c>
      <c r="AD83" s="1003">
        <f>AC83-X83</f>
        <v/>
      </c>
      <c r="AE83" s="1021" t="n">
        <v>2</v>
      </c>
      <c r="AF83" s="65" t="inlineStr">
        <is>
          <t>set</t>
        </is>
      </c>
      <c r="AG83" s="1017" t="n">
        <v>1000000</v>
      </c>
      <c r="AH83" s="1018">
        <f>AE83*AG83</f>
        <v/>
      </c>
      <c r="AI83" s="1003">
        <f>AH83-AC83</f>
        <v/>
      </c>
      <c r="AJ83" s="93" t="n"/>
      <c r="AK83" s="31" t="n"/>
    </row>
    <row r="84" ht="60.6" customHeight="1" s="972">
      <c r="B84" s="1005" t="n"/>
      <c r="C84" s="1006" t="n"/>
      <c r="D84" s="1007" t="n"/>
      <c r="E84" s="822" t="inlineStr">
        <is>
          <t xml:space="preserve">발전차 </t>
        </is>
      </c>
      <c r="F84" s="73" t="inlineStr">
        <is>
          <t>셋팅 / 리허설 / 본공연 /  철수 / 유류비 포함  300kw</t>
        </is>
      </c>
      <c r="G84" s="1020" t="n">
        <v>16</v>
      </c>
      <c r="H84" s="117" t="inlineStr">
        <is>
          <t>ea</t>
        </is>
      </c>
      <c r="I84" s="1014" t="n">
        <v>1500000</v>
      </c>
      <c r="J84" s="1015">
        <f>G84*I84</f>
        <v/>
      </c>
      <c r="K84" s="1021" t="n">
        <v>16</v>
      </c>
      <c r="L84" s="65" t="inlineStr">
        <is>
          <t>ea</t>
        </is>
      </c>
      <c r="M84" s="1017" t="n">
        <v>1500000</v>
      </c>
      <c r="N84" s="1018">
        <f>K84*M84</f>
        <v/>
      </c>
      <c r="O84" s="1019">
        <f>N84-J84</f>
        <v/>
      </c>
      <c r="P84" s="1021" t="n">
        <v>16</v>
      </c>
      <c r="Q84" s="65" t="inlineStr">
        <is>
          <t>ea</t>
        </is>
      </c>
      <c r="R84" s="1017" t="n">
        <v>1500000</v>
      </c>
      <c r="S84" s="1018">
        <f>P84*R84</f>
        <v/>
      </c>
      <c r="T84" s="1003">
        <f>S84-N84</f>
        <v/>
      </c>
      <c r="U84" s="1021" t="n">
        <v>16</v>
      </c>
      <c r="V84" s="65" t="inlineStr">
        <is>
          <t>ea</t>
        </is>
      </c>
      <c r="W84" s="1017" t="n">
        <v>1500000</v>
      </c>
      <c r="X84" s="1018">
        <f>U84*W84</f>
        <v/>
      </c>
      <c r="Y84" s="1003">
        <f>X84-S84</f>
        <v/>
      </c>
      <c r="Z84" s="1021" t="n">
        <v>16</v>
      </c>
      <c r="AA84" s="65" t="inlineStr">
        <is>
          <t>ea</t>
        </is>
      </c>
      <c r="AB84" s="1017" t="n">
        <v>1500000</v>
      </c>
      <c r="AC84" s="1018">
        <f>Z84*AB84</f>
        <v/>
      </c>
      <c r="AD84" s="1003">
        <f>AC84-X84</f>
        <v/>
      </c>
      <c r="AE84" s="1021" t="n">
        <v>16</v>
      </c>
      <c r="AF84" s="65" t="inlineStr">
        <is>
          <t>ea</t>
        </is>
      </c>
      <c r="AG84" s="1017" t="n">
        <v>1500000</v>
      </c>
      <c r="AH84" s="1018">
        <f>AE84*AG84</f>
        <v/>
      </c>
      <c r="AI84" s="1003">
        <f>AH84-AC84</f>
        <v/>
      </c>
      <c r="AJ84" s="93" t="n"/>
      <c r="AK84" s="31" t="n"/>
    </row>
    <row r="85" ht="60.6" customHeight="1" s="972">
      <c r="B85" s="1005" t="n"/>
      <c r="C85" s="1008" t="n"/>
      <c r="D85" s="996" t="n"/>
      <c r="E85" s="61" t="inlineStr">
        <is>
          <t>사전/현장 영상 제작비</t>
        </is>
      </c>
      <c r="F85" s="73" t="inlineStr">
        <is>
          <t>사전안내영상 제작비 / 영상 제작비 인트로영상 및 사전 관객 영상안내 제작물외</t>
        </is>
      </c>
      <c r="G85" s="1020" t="n">
        <v>1</v>
      </c>
      <c r="H85" s="117" t="inlineStr">
        <is>
          <t>식</t>
        </is>
      </c>
      <c r="I85" s="1014" t="n">
        <v>10000000</v>
      </c>
      <c r="J85" s="1015">
        <f>G85*I85</f>
        <v/>
      </c>
      <c r="K85" s="1021" t="n">
        <v>1</v>
      </c>
      <c r="L85" s="65" t="inlineStr">
        <is>
          <t>식</t>
        </is>
      </c>
      <c r="M85" s="1017" t="n">
        <v>10000000</v>
      </c>
      <c r="N85" s="1018">
        <f>K85*M85</f>
        <v/>
      </c>
      <c r="O85" s="1019">
        <f>N85-J85</f>
        <v/>
      </c>
      <c r="P85" s="1021" t="n">
        <v>1</v>
      </c>
      <c r="Q85" s="65" t="inlineStr">
        <is>
          <t>식</t>
        </is>
      </c>
      <c r="R85" s="1017" t="n">
        <v>10000000</v>
      </c>
      <c r="S85" s="1018">
        <f>P85*R85</f>
        <v/>
      </c>
      <c r="T85" s="1003">
        <f>S85-N85</f>
        <v/>
      </c>
      <c r="U85" s="1021" t="n">
        <v>1</v>
      </c>
      <c r="V85" s="65" t="inlineStr">
        <is>
          <t>식</t>
        </is>
      </c>
      <c r="W85" s="1017" t="n">
        <v>10000000</v>
      </c>
      <c r="X85" s="1018">
        <f>U85*W85</f>
        <v/>
      </c>
      <c r="Y85" s="1003">
        <f>X85-S85</f>
        <v/>
      </c>
      <c r="Z85" s="1021" t="n">
        <v>1</v>
      </c>
      <c r="AA85" s="65" t="inlineStr">
        <is>
          <t>식</t>
        </is>
      </c>
      <c r="AB85" s="1017" t="n">
        <v>10000000</v>
      </c>
      <c r="AC85" s="1018">
        <f>Z85*AB85</f>
        <v/>
      </c>
      <c r="AD85" s="1003">
        <f>AC85-X85</f>
        <v/>
      </c>
      <c r="AE85" s="1021" t="n">
        <v>1</v>
      </c>
      <c r="AF85" s="65" t="inlineStr">
        <is>
          <t>식</t>
        </is>
      </c>
      <c r="AG85" s="1017" t="n">
        <v>10000000</v>
      </c>
      <c r="AH85" s="1018">
        <f>AE85*AG85</f>
        <v/>
      </c>
      <c r="AI85" s="1003">
        <f>AH85-AC85</f>
        <v/>
      </c>
      <c r="AJ85" s="93" t="n"/>
      <c r="AK85" s="31" t="n"/>
    </row>
    <row r="86" ht="30.2" customHeight="1" s="972">
      <c r="B86" s="1005" t="n"/>
      <c r="C86" s="874" t="inlineStr">
        <is>
          <t>소계</t>
        </is>
      </c>
      <c r="D86" s="955" t="n"/>
      <c r="E86" s="955" t="n"/>
      <c r="F86" s="955" t="n"/>
      <c r="G86" s="955" t="n"/>
      <c r="H86" s="955" t="n"/>
      <c r="I86" s="949" t="n"/>
      <c r="J86" s="1048">
        <f>SUM(J21:J85)</f>
        <v/>
      </c>
      <c r="K86" s="1049" t="n"/>
      <c r="L86" s="955" t="n"/>
      <c r="M86" s="949" t="n"/>
      <c r="N86" s="1050">
        <f>SUM(N21:N85)</f>
        <v/>
      </c>
      <c r="O86" s="1051">
        <f>SUM(O21:O85)</f>
        <v/>
      </c>
      <c r="P86" s="1049" t="n"/>
      <c r="Q86" s="955" t="n"/>
      <c r="R86" s="949" t="n"/>
      <c r="S86" s="1050">
        <f>SUM(S21:S85)</f>
        <v/>
      </c>
      <c r="T86" s="1051">
        <f>SUM(T21:T85)</f>
        <v/>
      </c>
      <c r="U86" s="1049" t="n"/>
      <c r="V86" s="955" t="n"/>
      <c r="W86" s="949" t="n"/>
      <c r="X86" s="1050">
        <f>SUM(X21:X85)</f>
        <v/>
      </c>
      <c r="Y86" s="1051">
        <f>SUM(Y21:Y85)</f>
        <v/>
      </c>
      <c r="Z86" s="1049" t="n"/>
      <c r="AA86" s="955" t="n"/>
      <c r="AB86" s="949" t="n"/>
      <c r="AC86" s="1050">
        <f>SUM(AC21:AC85)</f>
        <v/>
      </c>
      <c r="AD86" s="1051">
        <f>SUM(AD21:AD85)</f>
        <v/>
      </c>
      <c r="AE86" s="1049" t="n"/>
      <c r="AF86" s="955" t="n"/>
      <c r="AG86" s="949" t="n"/>
      <c r="AH86" s="1050">
        <f>SUM(AH21:AH85)</f>
        <v/>
      </c>
      <c r="AI86" s="1051">
        <f>SUM(AI21:AI85)</f>
        <v/>
      </c>
      <c r="AJ86" s="94" t="n"/>
      <c r="AK86" s="33" t="n"/>
    </row>
    <row r="87" ht="30.2" customHeight="1" s="972">
      <c r="B87" s="1005" t="n"/>
      <c r="C87" s="1052" t="inlineStr">
        <is>
          <t>서브 스테이지</t>
        </is>
      </c>
      <c r="D87" s="1053" t="n"/>
      <c r="E87" s="822" t="inlineStr">
        <is>
          <t>음향</t>
        </is>
      </c>
      <c r="F87" s="68" t="inlineStr">
        <is>
          <t xml:space="preserve">Main EV X2 </t>
        </is>
      </c>
      <c r="G87" s="1020" t="n">
        <v>8</v>
      </c>
      <c r="H87" s="117" t="inlineStr">
        <is>
          <t>ea</t>
        </is>
      </c>
      <c r="I87" s="1022" t="n">
        <v>80000</v>
      </c>
      <c r="J87" s="1015">
        <f>G87*I87</f>
        <v/>
      </c>
      <c r="K87" s="1023" t="n">
        <v>8</v>
      </c>
      <c r="L87" s="133" t="inlineStr">
        <is>
          <t>ea</t>
        </is>
      </c>
      <c r="M87" s="1024" t="n">
        <v>80000</v>
      </c>
      <c r="N87" s="1018">
        <f>K87*M87</f>
        <v/>
      </c>
      <c r="O87" s="1019">
        <f>N87-J87</f>
        <v/>
      </c>
      <c r="P87" s="1023" t="n">
        <v>8</v>
      </c>
      <c r="Q87" s="133" t="inlineStr">
        <is>
          <t>ea</t>
        </is>
      </c>
      <c r="R87" s="1024" t="n">
        <v>80000</v>
      </c>
      <c r="S87" s="1018">
        <f>P87*R87</f>
        <v/>
      </c>
      <c r="T87" s="1003">
        <f>S87-N87</f>
        <v/>
      </c>
      <c r="U87" s="1023" t="n">
        <v>8</v>
      </c>
      <c r="V87" s="133" t="inlineStr">
        <is>
          <t>ea</t>
        </is>
      </c>
      <c r="W87" s="1024" t="n">
        <v>80000</v>
      </c>
      <c r="X87" s="1018">
        <f>U87*W87</f>
        <v/>
      </c>
      <c r="Y87" s="1003">
        <f>X87-S87</f>
        <v/>
      </c>
      <c r="Z87" s="1023" t="n">
        <v>8</v>
      </c>
      <c r="AA87" s="133" t="inlineStr">
        <is>
          <t>ea</t>
        </is>
      </c>
      <c r="AB87" s="1024" t="n">
        <v>80000</v>
      </c>
      <c r="AC87" s="1018">
        <f>Z87*AB87</f>
        <v/>
      </c>
      <c r="AD87" s="1003">
        <f>AC87-X87</f>
        <v/>
      </c>
      <c r="AE87" s="1023" t="n">
        <v>8</v>
      </c>
      <c r="AF87" s="133" t="inlineStr">
        <is>
          <t>ea</t>
        </is>
      </c>
      <c r="AG87" s="1024" t="n">
        <v>80000</v>
      </c>
      <c r="AH87" s="1018">
        <f>AE87*AG87</f>
        <v/>
      </c>
      <c r="AI87" s="1003">
        <f>AH87-AC87</f>
        <v/>
      </c>
      <c r="AJ87" s="95" t="n"/>
      <c r="AK87" s="823" t="n"/>
    </row>
    <row r="88" ht="30.2" customHeight="1" s="972">
      <c r="B88" s="1005" t="n"/>
      <c r="C88" s="1006" t="n"/>
      <c r="E88" s="1005" t="n"/>
      <c r="F88" s="68" t="inlineStr">
        <is>
          <t>Main EV X128</t>
        </is>
      </c>
      <c r="G88" s="1020" t="n">
        <v>4</v>
      </c>
      <c r="H88" s="117" t="inlineStr">
        <is>
          <t>ea</t>
        </is>
      </c>
      <c r="I88" s="1022" t="n">
        <v>120000</v>
      </c>
      <c r="J88" s="1015">
        <f>G88*I88</f>
        <v/>
      </c>
      <c r="K88" s="1023" t="n">
        <v>4</v>
      </c>
      <c r="L88" s="133" t="inlineStr">
        <is>
          <t>ea</t>
        </is>
      </c>
      <c r="M88" s="1024" t="n">
        <v>120000</v>
      </c>
      <c r="N88" s="1018">
        <f>K88*M88</f>
        <v/>
      </c>
      <c r="O88" s="1019">
        <f>N88-J88</f>
        <v/>
      </c>
      <c r="P88" s="1023" t="n">
        <v>4</v>
      </c>
      <c r="Q88" s="133" t="inlineStr">
        <is>
          <t>ea</t>
        </is>
      </c>
      <c r="R88" s="1024" t="n">
        <v>120000</v>
      </c>
      <c r="S88" s="1018">
        <f>P88*R88</f>
        <v/>
      </c>
      <c r="T88" s="1003">
        <f>S88-N88</f>
        <v/>
      </c>
      <c r="U88" s="1023" t="n">
        <v>4</v>
      </c>
      <c r="V88" s="133" t="inlineStr">
        <is>
          <t>ea</t>
        </is>
      </c>
      <c r="W88" s="1024" t="n">
        <v>120000</v>
      </c>
      <c r="X88" s="1018">
        <f>U88*W88</f>
        <v/>
      </c>
      <c r="Y88" s="1003">
        <f>X88-S88</f>
        <v/>
      </c>
      <c r="Z88" s="1023" t="n">
        <v>4</v>
      </c>
      <c r="AA88" s="133" t="inlineStr">
        <is>
          <t>ea</t>
        </is>
      </c>
      <c r="AB88" s="1024" t="n">
        <v>120000</v>
      </c>
      <c r="AC88" s="1018">
        <f>Z88*AB88</f>
        <v/>
      </c>
      <c r="AD88" s="1003">
        <f>AC88-X88</f>
        <v/>
      </c>
      <c r="AE88" s="1023" t="n">
        <v>4</v>
      </c>
      <c r="AF88" s="133" t="inlineStr">
        <is>
          <t>ea</t>
        </is>
      </c>
      <c r="AG88" s="1024" t="n">
        <v>120000</v>
      </c>
      <c r="AH88" s="1018">
        <f>AE88*AG88</f>
        <v/>
      </c>
      <c r="AI88" s="1003">
        <f>AH88-AC88</f>
        <v/>
      </c>
      <c r="AJ88" s="95" t="n"/>
      <c r="AK88" s="34" t="n"/>
    </row>
    <row r="89" ht="30.2" customHeight="1" s="972">
      <c r="B89" s="1005" t="n"/>
      <c r="C89" s="1006" t="n"/>
      <c r="E89" s="1005" t="n"/>
      <c r="F89" s="68" t="inlineStr">
        <is>
          <t>Main Power Amp. Set</t>
        </is>
      </c>
      <c r="G89" s="1020" t="n">
        <v>2</v>
      </c>
      <c r="H89" s="117" t="inlineStr">
        <is>
          <t>ea</t>
        </is>
      </c>
      <c r="I89" s="1022" t="n">
        <v>200000</v>
      </c>
      <c r="J89" s="1015">
        <f>G89*I89</f>
        <v/>
      </c>
      <c r="K89" s="1023" t="n">
        <v>2</v>
      </c>
      <c r="L89" s="133" t="inlineStr">
        <is>
          <t>ea</t>
        </is>
      </c>
      <c r="M89" s="1024" t="n">
        <v>200000</v>
      </c>
      <c r="N89" s="1018">
        <f>K89*M89</f>
        <v/>
      </c>
      <c r="O89" s="1019">
        <f>N89-J89</f>
        <v/>
      </c>
      <c r="P89" s="1023" t="n">
        <v>2</v>
      </c>
      <c r="Q89" s="133" t="inlineStr">
        <is>
          <t>ea</t>
        </is>
      </c>
      <c r="R89" s="1024" t="n">
        <v>200000</v>
      </c>
      <c r="S89" s="1018">
        <f>P89*R89</f>
        <v/>
      </c>
      <c r="T89" s="1003">
        <f>S89-N89</f>
        <v/>
      </c>
      <c r="U89" s="1023" t="n">
        <v>2</v>
      </c>
      <c r="V89" s="133" t="inlineStr">
        <is>
          <t>ea</t>
        </is>
      </c>
      <c r="W89" s="1024" t="n">
        <v>200000</v>
      </c>
      <c r="X89" s="1018">
        <f>U89*W89</f>
        <v/>
      </c>
      <c r="Y89" s="1003">
        <f>X89-S89</f>
        <v/>
      </c>
      <c r="Z89" s="1023" t="n">
        <v>2</v>
      </c>
      <c r="AA89" s="133" t="inlineStr">
        <is>
          <t>ea</t>
        </is>
      </c>
      <c r="AB89" s="1024" t="n">
        <v>200000</v>
      </c>
      <c r="AC89" s="1018">
        <f>Z89*AB89</f>
        <v/>
      </c>
      <c r="AD89" s="1003">
        <f>AC89-X89</f>
        <v/>
      </c>
      <c r="AE89" s="1023" t="n">
        <v>2</v>
      </c>
      <c r="AF89" s="133" t="inlineStr">
        <is>
          <t>ea</t>
        </is>
      </c>
      <c r="AG89" s="1024" t="n">
        <v>200000</v>
      </c>
      <c r="AH89" s="1018">
        <f>AE89*AG89</f>
        <v/>
      </c>
      <c r="AI89" s="1003">
        <f>AH89-AC89</f>
        <v/>
      </c>
      <c r="AJ89" s="93" t="n"/>
      <c r="AK89" s="31" t="n"/>
    </row>
    <row r="90" ht="30.2" customHeight="1" s="972">
      <c r="B90" s="1005" t="n"/>
      <c r="C90" s="1006" t="n"/>
      <c r="E90" s="1005" t="n"/>
      <c r="F90" s="64" t="inlineStr">
        <is>
          <t>Digital Console</t>
        </is>
      </c>
      <c r="G90" s="1054" t="n">
        <v>1</v>
      </c>
      <c r="H90" s="117" t="inlineStr">
        <is>
          <t>ea</t>
        </is>
      </c>
      <c r="I90" s="1014" t="n">
        <v>500000</v>
      </c>
      <c r="J90" s="1015">
        <f>G90*I90</f>
        <v/>
      </c>
      <c r="K90" s="1055" t="n">
        <v>1</v>
      </c>
      <c r="L90" s="133" t="inlineStr">
        <is>
          <t>ea</t>
        </is>
      </c>
      <c r="M90" s="1027" t="n">
        <v>500000</v>
      </c>
      <c r="N90" s="1018">
        <f>K90*M90</f>
        <v/>
      </c>
      <c r="O90" s="1019">
        <f>N90-J90</f>
        <v/>
      </c>
      <c r="P90" s="1055" t="n">
        <v>1</v>
      </c>
      <c r="Q90" s="133" t="inlineStr">
        <is>
          <t>ea</t>
        </is>
      </c>
      <c r="R90" s="1027" t="n">
        <v>500000</v>
      </c>
      <c r="S90" s="1018">
        <f>P90*R90</f>
        <v/>
      </c>
      <c r="T90" s="1003">
        <f>S90-N90</f>
        <v/>
      </c>
      <c r="U90" s="1055" t="n">
        <v>1</v>
      </c>
      <c r="V90" s="133" t="inlineStr">
        <is>
          <t>ea</t>
        </is>
      </c>
      <c r="W90" s="1027" t="n">
        <v>500000</v>
      </c>
      <c r="X90" s="1018">
        <f>U90*W90</f>
        <v/>
      </c>
      <c r="Y90" s="1003">
        <f>X90-S90</f>
        <v/>
      </c>
      <c r="Z90" s="1055" t="n">
        <v>1</v>
      </c>
      <c r="AA90" s="133" t="inlineStr">
        <is>
          <t>ea</t>
        </is>
      </c>
      <c r="AB90" s="1027" t="n">
        <v>500000</v>
      </c>
      <c r="AC90" s="1018">
        <f>Z90*AB90</f>
        <v/>
      </c>
      <c r="AD90" s="1003">
        <f>AC90-X90</f>
        <v/>
      </c>
      <c r="AE90" s="1055" t="n">
        <v>1</v>
      </c>
      <c r="AF90" s="133" t="inlineStr">
        <is>
          <t>ea</t>
        </is>
      </c>
      <c r="AG90" s="1027" t="n">
        <v>500000</v>
      </c>
      <c r="AH90" s="1018">
        <f>AE90*AG90</f>
        <v/>
      </c>
      <c r="AI90" s="1003">
        <f>AH90-AC90</f>
        <v/>
      </c>
      <c r="AJ90" s="93" t="n"/>
      <c r="AK90" s="31" t="n"/>
    </row>
    <row r="91" ht="30.2" customHeight="1" s="972">
      <c r="B91" s="1005" t="n"/>
      <c r="C91" s="1006" t="n"/>
      <c r="E91" s="981" t="n"/>
      <c r="F91" s="68" t="inlineStr">
        <is>
          <t>설치/철거 및 운영, 운송비</t>
        </is>
      </c>
      <c r="G91" s="1020" t="n">
        <v>1</v>
      </c>
      <c r="H91" s="141" t="inlineStr">
        <is>
          <t>Team</t>
        </is>
      </c>
      <c r="I91" s="1022" t="n">
        <v>1000000</v>
      </c>
      <c r="J91" s="1015">
        <f>G91*I91</f>
        <v/>
      </c>
      <c r="K91" s="1023" t="n">
        <v>1</v>
      </c>
      <c r="L91" s="69" t="inlineStr">
        <is>
          <t>Team</t>
        </is>
      </c>
      <c r="M91" s="1024" t="n">
        <v>1000000</v>
      </c>
      <c r="N91" s="1018">
        <f>K91*M91</f>
        <v/>
      </c>
      <c r="O91" s="1019">
        <f>N91-J91</f>
        <v/>
      </c>
      <c r="P91" s="1023" t="n">
        <v>1</v>
      </c>
      <c r="Q91" s="69" t="inlineStr">
        <is>
          <t>Team</t>
        </is>
      </c>
      <c r="R91" s="1024" t="n">
        <v>1000000</v>
      </c>
      <c r="S91" s="1018">
        <f>P91*R91</f>
        <v/>
      </c>
      <c r="T91" s="1003">
        <f>S91-N91</f>
        <v/>
      </c>
      <c r="U91" s="1023" t="n">
        <v>1</v>
      </c>
      <c r="V91" s="69" t="inlineStr">
        <is>
          <t>Team</t>
        </is>
      </c>
      <c r="W91" s="1024" t="n">
        <v>1000000</v>
      </c>
      <c r="X91" s="1018">
        <f>U91*W91</f>
        <v/>
      </c>
      <c r="Y91" s="1003">
        <f>X91-S91</f>
        <v/>
      </c>
      <c r="Z91" s="1023" t="n">
        <v>1</v>
      </c>
      <c r="AA91" s="69" t="inlineStr">
        <is>
          <t>Team</t>
        </is>
      </c>
      <c r="AB91" s="1024" t="n">
        <v>1000000</v>
      </c>
      <c r="AC91" s="1018">
        <f>Z91*AB91</f>
        <v/>
      </c>
      <c r="AD91" s="1003">
        <f>AC91-X91</f>
        <v/>
      </c>
      <c r="AE91" s="1023" t="n">
        <v>1</v>
      </c>
      <c r="AF91" s="69" t="inlineStr">
        <is>
          <t>Team</t>
        </is>
      </c>
      <c r="AG91" s="1024" t="n">
        <v>1000000</v>
      </c>
      <c r="AH91" s="1018">
        <f>AE91*AG91</f>
        <v/>
      </c>
      <c r="AI91" s="1003">
        <f>AH91-AC91</f>
        <v/>
      </c>
      <c r="AJ91" s="93" t="n"/>
      <c r="AK91" s="31" t="n"/>
    </row>
    <row r="92" ht="30.2" customHeight="1" s="972">
      <c r="B92" s="1005" t="n"/>
      <c r="C92" s="1006" t="n"/>
      <c r="E92" s="822" t="inlineStr">
        <is>
          <t>조명</t>
        </is>
      </c>
      <c r="F92" s="68" t="inlineStr">
        <is>
          <t>Sirius</t>
        </is>
      </c>
      <c r="G92" s="1025" t="n">
        <v>16</v>
      </c>
      <c r="H92" s="127" t="inlineStr">
        <is>
          <t>ea</t>
        </is>
      </c>
      <c r="I92" s="1022" t="n">
        <v>80000</v>
      </c>
      <c r="J92" s="1015">
        <f>G92*I92</f>
        <v/>
      </c>
      <c r="K92" s="1026" t="n">
        <v>16</v>
      </c>
      <c r="L92" s="134" t="inlineStr">
        <is>
          <t>ea</t>
        </is>
      </c>
      <c r="M92" s="1024" t="n">
        <v>80000</v>
      </c>
      <c r="N92" s="1018">
        <f>K92*M92</f>
        <v/>
      </c>
      <c r="O92" s="1019">
        <f>N92-J92</f>
        <v/>
      </c>
      <c r="P92" s="1026" t="n">
        <v>16</v>
      </c>
      <c r="Q92" s="134" t="inlineStr">
        <is>
          <t>ea</t>
        </is>
      </c>
      <c r="R92" s="1024" t="n">
        <v>80000</v>
      </c>
      <c r="S92" s="1018">
        <f>P92*R92</f>
        <v/>
      </c>
      <c r="T92" s="1003">
        <f>S92-N92</f>
        <v/>
      </c>
      <c r="U92" s="1026" t="n">
        <v>16</v>
      </c>
      <c r="V92" s="134" t="inlineStr">
        <is>
          <t>ea</t>
        </is>
      </c>
      <c r="W92" s="1024" t="n">
        <v>80000</v>
      </c>
      <c r="X92" s="1018">
        <f>U92*W92</f>
        <v/>
      </c>
      <c r="Y92" s="1003">
        <f>X92-S92</f>
        <v/>
      </c>
      <c r="Z92" s="1026" t="n">
        <v>16</v>
      </c>
      <c r="AA92" s="134" t="inlineStr">
        <is>
          <t>ea</t>
        </is>
      </c>
      <c r="AB92" s="1024" t="n">
        <v>80000</v>
      </c>
      <c r="AC92" s="1018">
        <f>Z92*AB92</f>
        <v/>
      </c>
      <c r="AD92" s="1003">
        <f>AC92-X92</f>
        <v/>
      </c>
      <c r="AE92" s="1026" t="n">
        <v>16</v>
      </c>
      <c r="AF92" s="134" t="inlineStr">
        <is>
          <t>ea</t>
        </is>
      </c>
      <c r="AG92" s="1024" t="n">
        <v>80000</v>
      </c>
      <c r="AH92" s="1018">
        <f>AE92*AG92</f>
        <v/>
      </c>
      <c r="AI92" s="1003">
        <f>AH92-AC92</f>
        <v/>
      </c>
      <c r="AJ92" s="93" t="n"/>
      <c r="AK92" s="32" t="n"/>
    </row>
    <row r="93" ht="30.2" customHeight="1" s="972">
      <c r="B93" s="1005" t="n"/>
      <c r="C93" s="1006" t="n"/>
      <c r="E93" s="1005" t="n"/>
      <c r="F93" s="68" t="inlineStr">
        <is>
          <t>Aura 5w</t>
        </is>
      </c>
      <c r="G93" s="1025" t="n">
        <v>16</v>
      </c>
      <c r="H93" s="125" t="inlineStr">
        <is>
          <t>ea</t>
        </is>
      </c>
      <c r="I93" s="1022" t="n">
        <v>60000</v>
      </c>
      <c r="J93" s="1015">
        <f>G93*I93</f>
        <v/>
      </c>
      <c r="K93" s="1026" t="n">
        <v>16</v>
      </c>
      <c r="L93" s="135" t="inlineStr">
        <is>
          <t>ea</t>
        </is>
      </c>
      <c r="M93" s="1024" t="n">
        <v>60000</v>
      </c>
      <c r="N93" s="1018">
        <f>K93*M93</f>
        <v/>
      </c>
      <c r="O93" s="1019">
        <f>N93-J93</f>
        <v/>
      </c>
      <c r="P93" s="1026" t="n">
        <v>16</v>
      </c>
      <c r="Q93" s="135" t="inlineStr">
        <is>
          <t>ea</t>
        </is>
      </c>
      <c r="R93" s="1024" t="n">
        <v>60000</v>
      </c>
      <c r="S93" s="1018">
        <f>P93*R93</f>
        <v/>
      </c>
      <c r="T93" s="1003">
        <f>S93-N93</f>
        <v/>
      </c>
      <c r="U93" s="1026" t="n">
        <v>16</v>
      </c>
      <c r="V93" s="135" t="inlineStr">
        <is>
          <t>ea</t>
        </is>
      </c>
      <c r="W93" s="1024" t="n">
        <v>60000</v>
      </c>
      <c r="X93" s="1018">
        <f>U93*W93</f>
        <v/>
      </c>
      <c r="Y93" s="1003">
        <f>X93-S93</f>
        <v/>
      </c>
      <c r="Z93" s="1026" t="n">
        <v>16</v>
      </c>
      <c r="AA93" s="135" t="inlineStr">
        <is>
          <t>ea</t>
        </is>
      </c>
      <c r="AB93" s="1024" t="n">
        <v>60000</v>
      </c>
      <c r="AC93" s="1018">
        <f>Z93*AB93</f>
        <v/>
      </c>
      <c r="AD93" s="1003">
        <f>AC93-X93</f>
        <v/>
      </c>
      <c r="AE93" s="1026" t="n">
        <v>16</v>
      </c>
      <c r="AF93" s="135" t="inlineStr">
        <is>
          <t>ea</t>
        </is>
      </c>
      <c r="AG93" s="1024" t="n">
        <v>60000</v>
      </c>
      <c r="AH93" s="1018">
        <f>AE93*AG93</f>
        <v/>
      </c>
      <c r="AI93" s="1003">
        <f>AH93-AC93</f>
        <v/>
      </c>
      <c r="AJ93" s="93" t="n"/>
      <c r="AK93" s="31" t="n"/>
    </row>
    <row r="94" ht="30.2" customHeight="1" s="972">
      <c r="B94" s="1005" t="n"/>
      <c r="C94" s="1006" t="n"/>
      <c r="E94" s="1005" t="n"/>
      <c r="F94" s="68" t="inlineStr">
        <is>
          <t>Robin 600</t>
        </is>
      </c>
      <c r="G94" s="1025" t="n">
        <v>8</v>
      </c>
      <c r="H94" s="125" t="inlineStr">
        <is>
          <t>ea</t>
        </is>
      </c>
      <c r="I94" s="1022" t="n">
        <v>80000</v>
      </c>
      <c r="J94" s="1015">
        <f>G94*I94</f>
        <v/>
      </c>
      <c r="K94" s="1026" t="n">
        <v>8</v>
      </c>
      <c r="L94" s="135" t="inlineStr">
        <is>
          <t>ea</t>
        </is>
      </c>
      <c r="M94" s="1024" t="n">
        <v>80000</v>
      </c>
      <c r="N94" s="1018">
        <f>K94*M94</f>
        <v/>
      </c>
      <c r="O94" s="1019">
        <f>N94-J94</f>
        <v/>
      </c>
      <c r="P94" s="1026" t="n">
        <v>8</v>
      </c>
      <c r="Q94" s="135" t="inlineStr">
        <is>
          <t>ea</t>
        </is>
      </c>
      <c r="R94" s="1024" t="n">
        <v>80000</v>
      </c>
      <c r="S94" s="1018">
        <f>P94*R94</f>
        <v/>
      </c>
      <c r="T94" s="1003">
        <f>S94-N94</f>
        <v/>
      </c>
      <c r="U94" s="1026" t="n">
        <v>8</v>
      </c>
      <c r="V94" s="135" t="inlineStr">
        <is>
          <t>ea</t>
        </is>
      </c>
      <c r="W94" s="1024" t="n">
        <v>80000</v>
      </c>
      <c r="X94" s="1018">
        <f>U94*W94</f>
        <v/>
      </c>
      <c r="Y94" s="1003">
        <f>X94-S94</f>
        <v/>
      </c>
      <c r="Z94" s="1026" t="n">
        <v>8</v>
      </c>
      <c r="AA94" s="135" t="inlineStr">
        <is>
          <t>ea</t>
        </is>
      </c>
      <c r="AB94" s="1024" t="n">
        <v>80000</v>
      </c>
      <c r="AC94" s="1018">
        <f>Z94*AB94</f>
        <v/>
      </c>
      <c r="AD94" s="1003">
        <f>AC94-X94</f>
        <v/>
      </c>
      <c r="AE94" s="1026" t="n">
        <v>8</v>
      </c>
      <c r="AF94" s="135" t="inlineStr">
        <is>
          <t>ea</t>
        </is>
      </c>
      <c r="AG94" s="1024" t="n">
        <v>80000</v>
      </c>
      <c r="AH94" s="1018">
        <f>AE94*AG94</f>
        <v/>
      </c>
      <c r="AI94" s="1003">
        <f>AH94-AC94</f>
        <v/>
      </c>
      <c r="AJ94" s="95" t="n"/>
      <c r="AK94" s="34" t="n"/>
    </row>
    <row r="95" ht="30.2" customHeight="1" s="972">
      <c r="B95" s="1005" t="n"/>
      <c r="C95" s="1006" t="n"/>
      <c r="E95" s="1005" t="n"/>
      <c r="F95" s="68" t="inlineStr">
        <is>
          <t>LED Strobe / Atomic 3000</t>
        </is>
      </c>
      <c r="G95" s="1025" t="n">
        <v>8</v>
      </c>
      <c r="H95" s="125" t="inlineStr">
        <is>
          <t>ea</t>
        </is>
      </c>
      <c r="I95" s="1022" t="n">
        <v>100000</v>
      </c>
      <c r="J95" s="1015">
        <f>G95*I95</f>
        <v/>
      </c>
      <c r="K95" s="1026" t="n">
        <v>8</v>
      </c>
      <c r="L95" s="135" t="inlineStr">
        <is>
          <t>ea</t>
        </is>
      </c>
      <c r="M95" s="1024" t="n">
        <v>100000</v>
      </c>
      <c r="N95" s="1018">
        <f>K95*M95</f>
        <v/>
      </c>
      <c r="O95" s="1019">
        <f>N95-J95</f>
        <v/>
      </c>
      <c r="P95" s="1026" t="n">
        <v>8</v>
      </c>
      <c r="Q95" s="135" t="inlineStr">
        <is>
          <t>ea</t>
        </is>
      </c>
      <c r="R95" s="1024" t="n">
        <v>100000</v>
      </c>
      <c r="S95" s="1018">
        <f>P95*R95</f>
        <v/>
      </c>
      <c r="T95" s="1003">
        <f>S95-N95</f>
        <v/>
      </c>
      <c r="U95" s="1026" t="n">
        <v>8</v>
      </c>
      <c r="V95" s="135" t="inlineStr">
        <is>
          <t>ea</t>
        </is>
      </c>
      <c r="W95" s="1024" t="n">
        <v>100000</v>
      </c>
      <c r="X95" s="1018">
        <f>U95*W95</f>
        <v/>
      </c>
      <c r="Y95" s="1003">
        <f>X95-S95</f>
        <v/>
      </c>
      <c r="Z95" s="1026" t="n">
        <v>8</v>
      </c>
      <c r="AA95" s="135" t="inlineStr">
        <is>
          <t>ea</t>
        </is>
      </c>
      <c r="AB95" s="1024" t="n">
        <v>100000</v>
      </c>
      <c r="AC95" s="1018">
        <f>Z95*AB95</f>
        <v/>
      </c>
      <c r="AD95" s="1003">
        <f>AC95-X95</f>
        <v/>
      </c>
      <c r="AE95" s="1026" t="n">
        <v>8</v>
      </c>
      <c r="AF95" s="135" t="inlineStr">
        <is>
          <t>ea</t>
        </is>
      </c>
      <c r="AG95" s="1024" t="n">
        <v>100000</v>
      </c>
      <c r="AH95" s="1018">
        <f>AE95*AG95</f>
        <v/>
      </c>
      <c r="AI95" s="1003">
        <f>AH95-AC95</f>
        <v/>
      </c>
      <c r="AJ95" s="93" t="n"/>
      <c r="AK95" s="31" t="n"/>
    </row>
    <row r="96" ht="30.2" customHeight="1" s="972">
      <c r="B96" s="1005" t="n"/>
      <c r="C96" s="1006" t="n"/>
      <c r="E96" s="981" t="n"/>
      <c r="F96" s="68" t="inlineStr">
        <is>
          <t>Console</t>
        </is>
      </c>
      <c r="G96" s="1025" t="n">
        <v>1</v>
      </c>
      <c r="H96" s="125" t="inlineStr">
        <is>
          <t>ea</t>
        </is>
      </c>
      <c r="I96" s="1022" t="n">
        <v>300000</v>
      </c>
      <c r="J96" s="1015">
        <f>G96*I96</f>
        <v/>
      </c>
      <c r="K96" s="1026" t="n">
        <v>1</v>
      </c>
      <c r="L96" s="135" t="inlineStr">
        <is>
          <t>ea</t>
        </is>
      </c>
      <c r="M96" s="1024" t="n">
        <v>300000</v>
      </c>
      <c r="N96" s="1018">
        <f>K96*M96</f>
        <v/>
      </c>
      <c r="O96" s="1019">
        <f>N96-J96</f>
        <v/>
      </c>
      <c r="P96" s="1026" t="n">
        <v>1</v>
      </c>
      <c r="Q96" s="135" t="inlineStr">
        <is>
          <t>ea</t>
        </is>
      </c>
      <c r="R96" s="1024" t="n">
        <v>300000</v>
      </c>
      <c r="S96" s="1018">
        <f>P96*R96</f>
        <v/>
      </c>
      <c r="T96" s="1003">
        <f>S96-N96</f>
        <v/>
      </c>
      <c r="U96" s="1026" t="n">
        <v>1</v>
      </c>
      <c r="V96" s="135" t="inlineStr">
        <is>
          <t>ea</t>
        </is>
      </c>
      <c r="W96" s="1024" t="n">
        <v>300000</v>
      </c>
      <c r="X96" s="1018">
        <f>U96*W96</f>
        <v/>
      </c>
      <c r="Y96" s="1003">
        <f>X96-S96</f>
        <v/>
      </c>
      <c r="Z96" s="1026" t="n">
        <v>1</v>
      </c>
      <c r="AA96" s="135" t="inlineStr">
        <is>
          <t>ea</t>
        </is>
      </c>
      <c r="AB96" s="1024" t="n">
        <v>300000</v>
      </c>
      <c r="AC96" s="1018">
        <f>Z96*AB96</f>
        <v/>
      </c>
      <c r="AD96" s="1003">
        <f>AC96-X96</f>
        <v/>
      </c>
      <c r="AE96" s="1026" t="n">
        <v>1</v>
      </c>
      <c r="AF96" s="135" t="inlineStr">
        <is>
          <t>ea</t>
        </is>
      </c>
      <c r="AG96" s="1024" t="n">
        <v>300000</v>
      </c>
      <c r="AH96" s="1018">
        <f>AE96*AG96</f>
        <v/>
      </c>
      <c r="AI96" s="1003">
        <f>AH96-AC96</f>
        <v/>
      </c>
      <c r="AJ96" s="93" t="n"/>
      <c r="AK96" s="31" t="n"/>
    </row>
    <row r="97" ht="30.2" customHeight="1" s="972">
      <c r="B97" s="1005" t="n"/>
      <c r="C97" s="1006" t="n"/>
      <c r="E97" s="822" t="inlineStr">
        <is>
          <t>무대</t>
        </is>
      </c>
      <c r="F97" s="64" t="inlineStr">
        <is>
          <t>5.4m x 3.6m x 0.9m/파인텍스, DJ 테이블</t>
        </is>
      </c>
      <c r="G97" s="1054" t="n">
        <v>1</v>
      </c>
      <c r="H97" s="117" t="inlineStr">
        <is>
          <t>식</t>
        </is>
      </c>
      <c r="I97" s="1014" t="n">
        <v>2000000</v>
      </c>
      <c r="J97" s="1015">
        <f>G97*I97</f>
        <v/>
      </c>
      <c r="K97" s="1055" t="n">
        <v>1</v>
      </c>
      <c r="L97" s="133" t="inlineStr">
        <is>
          <t>식</t>
        </is>
      </c>
      <c r="M97" s="1027" t="n">
        <v>2000000</v>
      </c>
      <c r="N97" s="1018">
        <f>K97*M97</f>
        <v/>
      </c>
      <c r="O97" s="1019">
        <f>N97-J97</f>
        <v/>
      </c>
      <c r="P97" s="1055" t="n">
        <v>1</v>
      </c>
      <c r="Q97" s="133" t="inlineStr">
        <is>
          <t>식</t>
        </is>
      </c>
      <c r="R97" s="1027" t="n">
        <v>2000000</v>
      </c>
      <c r="S97" s="1018">
        <f>P97*R97</f>
        <v/>
      </c>
      <c r="T97" s="1003">
        <f>S97-N97</f>
        <v/>
      </c>
      <c r="U97" s="1055" t="n">
        <v>1</v>
      </c>
      <c r="V97" s="133" t="inlineStr">
        <is>
          <t>식</t>
        </is>
      </c>
      <c r="W97" s="1027" t="n">
        <v>2000000</v>
      </c>
      <c r="X97" s="1018">
        <f>U97*W97</f>
        <v/>
      </c>
      <c r="Y97" s="1003">
        <f>X97-S97</f>
        <v/>
      </c>
      <c r="Z97" s="1055" t="n">
        <v>1</v>
      </c>
      <c r="AA97" s="133" t="inlineStr">
        <is>
          <t>식</t>
        </is>
      </c>
      <c r="AB97" s="1027" t="n">
        <v>2000000</v>
      </c>
      <c r="AC97" s="1018">
        <f>Z97*AB97</f>
        <v/>
      </c>
      <c r="AD97" s="1003">
        <f>AC97-X97</f>
        <v/>
      </c>
      <c r="AE97" s="1055" t="n">
        <v>1</v>
      </c>
      <c r="AF97" s="133" t="inlineStr">
        <is>
          <t>식</t>
        </is>
      </c>
      <c r="AG97" s="1027" t="n">
        <v>2000000</v>
      </c>
      <c r="AH97" s="1018">
        <f>AE97*AG97</f>
        <v/>
      </c>
      <c r="AI97" s="1003">
        <f>AH97-AC97</f>
        <v/>
      </c>
      <c r="AJ97" s="93" t="n"/>
      <c r="AK97" s="31" t="n"/>
    </row>
    <row r="98" ht="30.2" customHeight="1" s="972">
      <c r="B98" s="1005" t="n"/>
      <c r="C98" s="1006" t="n"/>
      <c r="E98" s="981" t="n"/>
      <c r="F98" s="64" t="inlineStr">
        <is>
          <t>인건비  및 운송비</t>
        </is>
      </c>
      <c r="G98" s="1020" t="n">
        <v>1</v>
      </c>
      <c r="H98" s="117" t="inlineStr">
        <is>
          <t>식</t>
        </is>
      </c>
      <c r="I98" s="1014" t="n">
        <v>500000</v>
      </c>
      <c r="J98" s="1015">
        <f>G98*I98</f>
        <v/>
      </c>
      <c r="K98" s="1023" t="n">
        <v>1</v>
      </c>
      <c r="L98" s="133" t="inlineStr">
        <is>
          <t>식</t>
        </is>
      </c>
      <c r="M98" s="1027" t="n">
        <v>500000</v>
      </c>
      <c r="N98" s="1018">
        <f>K98*M98</f>
        <v/>
      </c>
      <c r="O98" s="1019">
        <f>N98-J98</f>
        <v/>
      </c>
      <c r="P98" s="1023" t="n">
        <v>1</v>
      </c>
      <c r="Q98" s="133" t="inlineStr">
        <is>
          <t>식</t>
        </is>
      </c>
      <c r="R98" s="1027" t="n">
        <v>500000</v>
      </c>
      <c r="S98" s="1018">
        <f>P98*R98</f>
        <v/>
      </c>
      <c r="T98" s="1003">
        <f>S98-N98</f>
        <v/>
      </c>
      <c r="U98" s="1023" t="n">
        <v>1</v>
      </c>
      <c r="V98" s="133" t="inlineStr">
        <is>
          <t>식</t>
        </is>
      </c>
      <c r="W98" s="1027" t="n">
        <v>500000</v>
      </c>
      <c r="X98" s="1018">
        <f>U98*W98</f>
        <v/>
      </c>
      <c r="Y98" s="1003">
        <f>X98-S98</f>
        <v/>
      </c>
      <c r="Z98" s="1023" t="n">
        <v>1</v>
      </c>
      <c r="AA98" s="133" t="inlineStr">
        <is>
          <t>식</t>
        </is>
      </c>
      <c r="AB98" s="1027" t="n">
        <v>500000</v>
      </c>
      <c r="AC98" s="1018">
        <f>Z98*AB98</f>
        <v/>
      </c>
      <c r="AD98" s="1003">
        <f>AC98-X98</f>
        <v/>
      </c>
      <c r="AE98" s="1023" t="n">
        <v>1</v>
      </c>
      <c r="AF98" s="133" t="inlineStr">
        <is>
          <t>식</t>
        </is>
      </c>
      <c r="AG98" s="1027" t="n">
        <v>500000</v>
      </c>
      <c r="AH98" s="1018">
        <f>AE98*AG98</f>
        <v/>
      </c>
      <c r="AI98" s="1003">
        <f>AH98-AC98</f>
        <v/>
      </c>
      <c r="AJ98" s="93" t="n"/>
      <c r="AK98" s="32" t="n"/>
    </row>
    <row r="99" ht="30.2" customHeight="1" s="972">
      <c r="B99" s="1005" t="n"/>
      <c r="C99" s="1006" t="n"/>
      <c r="E99" s="822" t="inlineStr">
        <is>
          <t>영상</t>
        </is>
      </c>
      <c r="F99" s="68" t="inlineStr">
        <is>
          <t>LED 4.85mm / 500 x 1000</t>
        </is>
      </c>
      <c r="G99" s="1020" t="n">
        <v>56</v>
      </c>
      <c r="H99" s="117" t="inlineStr">
        <is>
          <t>ea</t>
        </is>
      </c>
      <c r="I99" s="1022" t="n">
        <v>45000</v>
      </c>
      <c r="J99" s="1015">
        <f>G99*I99</f>
        <v/>
      </c>
      <c r="K99" s="1023" t="n">
        <v>56</v>
      </c>
      <c r="L99" s="133" t="inlineStr">
        <is>
          <t>ea</t>
        </is>
      </c>
      <c r="M99" s="1024" t="n">
        <v>45000</v>
      </c>
      <c r="N99" s="1018">
        <f>K99*M99</f>
        <v/>
      </c>
      <c r="O99" s="1019">
        <f>N99-J99</f>
        <v/>
      </c>
      <c r="P99" s="1023" t="n">
        <v>56</v>
      </c>
      <c r="Q99" s="133" t="inlineStr">
        <is>
          <t>ea</t>
        </is>
      </c>
      <c r="R99" s="1024" t="n">
        <v>45000</v>
      </c>
      <c r="S99" s="1018">
        <f>P99*R99</f>
        <v/>
      </c>
      <c r="T99" s="1003">
        <f>S99-N99</f>
        <v/>
      </c>
      <c r="U99" s="1023" t="n">
        <v>56</v>
      </c>
      <c r="V99" s="133" t="inlineStr">
        <is>
          <t>ea</t>
        </is>
      </c>
      <c r="W99" s="1024" t="n">
        <v>45000</v>
      </c>
      <c r="X99" s="1018">
        <f>U99*W99</f>
        <v/>
      </c>
      <c r="Y99" s="1003">
        <f>X99-S99</f>
        <v/>
      </c>
      <c r="Z99" s="1023" t="n">
        <v>56</v>
      </c>
      <c r="AA99" s="133" t="inlineStr">
        <is>
          <t>ea</t>
        </is>
      </c>
      <c r="AB99" s="1024" t="n">
        <v>45000</v>
      </c>
      <c r="AC99" s="1018">
        <f>Z99*AB99</f>
        <v/>
      </c>
      <c r="AD99" s="1003">
        <f>AC99-X99</f>
        <v/>
      </c>
      <c r="AE99" s="1023" t="n">
        <v>56</v>
      </c>
      <c r="AF99" s="133" t="inlineStr">
        <is>
          <t>ea</t>
        </is>
      </c>
      <c r="AG99" s="1024" t="n">
        <v>45000</v>
      </c>
      <c r="AH99" s="1018">
        <f>AE99*AG99</f>
        <v/>
      </c>
      <c r="AI99" s="1003">
        <f>AH99-AC99</f>
        <v/>
      </c>
      <c r="AJ99" s="95" t="n"/>
      <c r="AK99" s="34" t="n"/>
    </row>
    <row r="100" ht="30.2" customFormat="1" customHeight="1" s="2">
      <c r="B100" s="1005" t="n"/>
      <c r="C100" s="1006" t="n"/>
      <c r="E100" s="1005" t="n"/>
      <c r="F100" s="68" t="inlineStr">
        <is>
          <t>Analog Way Smart Edge</t>
        </is>
      </c>
      <c r="G100" s="1020" t="n">
        <v>1</v>
      </c>
      <c r="H100" s="117" t="inlineStr">
        <is>
          <t>ea</t>
        </is>
      </c>
      <c r="I100" s="1022" t="n">
        <v>800000</v>
      </c>
      <c r="J100" s="1015">
        <f>G100*I100</f>
        <v/>
      </c>
      <c r="K100" s="1023" t="n">
        <v>1</v>
      </c>
      <c r="L100" s="133" t="inlineStr">
        <is>
          <t>ea</t>
        </is>
      </c>
      <c r="M100" s="1024" t="n">
        <v>800000</v>
      </c>
      <c r="N100" s="1018">
        <f>K100*M100</f>
        <v/>
      </c>
      <c r="O100" s="1019">
        <f>N100-J100</f>
        <v/>
      </c>
      <c r="P100" s="1023" t="n">
        <v>1</v>
      </c>
      <c r="Q100" s="133" t="inlineStr">
        <is>
          <t>ea</t>
        </is>
      </c>
      <c r="R100" s="1024" t="n">
        <v>800000</v>
      </c>
      <c r="S100" s="1018">
        <f>P100*R100</f>
        <v/>
      </c>
      <c r="T100" s="1003">
        <f>S100-N100</f>
        <v/>
      </c>
      <c r="U100" s="1023" t="n">
        <v>1</v>
      </c>
      <c r="V100" s="133" t="inlineStr">
        <is>
          <t>ea</t>
        </is>
      </c>
      <c r="W100" s="1024" t="n">
        <v>800000</v>
      </c>
      <c r="X100" s="1018">
        <f>U100*W100</f>
        <v/>
      </c>
      <c r="Y100" s="1003">
        <f>X100-S100</f>
        <v/>
      </c>
      <c r="Z100" s="1023" t="n">
        <v>1</v>
      </c>
      <c r="AA100" s="133" t="inlineStr">
        <is>
          <t>ea</t>
        </is>
      </c>
      <c r="AB100" s="1024" t="n">
        <v>800000</v>
      </c>
      <c r="AC100" s="1018">
        <f>Z100*AB100</f>
        <v/>
      </c>
      <c r="AD100" s="1003">
        <f>AC100-X100</f>
        <v/>
      </c>
      <c r="AE100" s="1023" t="n">
        <v>1</v>
      </c>
      <c r="AF100" s="133" t="inlineStr">
        <is>
          <t>ea</t>
        </is>
      </c>
      <c r="AG100" s="1024" t="n">
        <v>800000</v>
      </c>
      <c r="AH100" s="1018">
        <f>AE100*AG100</f>
        <v/>
      </c>
      <c r="AI100" s="1003">
        <f>AH100-AC100</f>
        <v/>
      </c>
      <c r="AJ100" s="93" t="n"/>
      <c r="AK100" s="31" t="n"/>
    </row>
    <row r="101" ht="30.2" customFormat="1" customHeight="1" s="2">
      <c r="B101" s="1005" t="n"/>
      <c r="C101" s="1006" t="n"/>
      <c r="E101" s="1005" t="n"/>
      <c r="F101" s="68" t="inlineStr">
        <is>
          <t>LED Controller</t>
        </is>
      </c>
      <c r="G101" s="1020" t="n">
        <v>1</v>
      </c>
      <c r="H101" s="117" t="inlineStr">
        <is>
          <t>ea</t>
        </is>
      </c>
      <c r="I101" s="1022" t="n">
        <v>300000</v>
      </c>
      <c r="J101" s="1015">
        <f>G101*I101</f>
        <v/>
      </c>
      <c r="K101" s="1023" t="n">
        <v>1</v>
      </c>
      <c r="L101" s="133" t="inlineStr">
        <is>
          <t>ea</t>
        </is>
      </c>
      <c r="M101" s="1024" t="n">
        <v>300000</v>
      </c>
      <c r="N101" s="1018">
        <f>K101*M101</f>
        <v/>
      </c>
      <c r="O101" s="1019">
        <f>N101-J101</f>
        <v/>
      </c>
      <c r="P101" s="1023" t="n">
        <v>1</v>
      </c>
      <c r="Q101" s="133" t="inlineStr">
        <is>
          <t>ea</t>
        </is>
      </c>
      <c r="R101" s="1024" t="n">
        <v>300000</v>
      </c>
      <c r="S101" s="1018">
        <f>P101*R101</f>
        <v/>
      </c>
      <c r="T101" s="1003">
        <f>S101-N101</f>
        <v/>
      </c>
      <c r="U101" s="1023" t="n">
        <v>1</v>
      </c>
      <c r="V101" s="133" t="inlineStr">
        <is>
          <t>ea</t>
        </is>
      </c>
      <c r="W101" s="1024" t="n">
        <v>300000</v>
      </c>
      <c r="X101" s="1018">
        <f>U101*W101</f>
        <v/>
      </c>
      <c r="Y101" s="1003">
        <f>X101-S101</f>
        <v/>
      </c>
      <c r="Z101" s="1023" t="n">
        <v>1</v>
      </c>
      <c r="AA101" s="133" t="inlineStr">
        <is>
          <t>ea</t>
        </is>
      </c>
      <c r="AB101" s="1024" t="n">
        <v>300000</v>
      </c>
      <c r="AC101" s="1018">
        <f>Z101*AB101</f>
        <v/>
      </c>
      <c r="AD101" s="1003">
        <f>AC101-X101</f>
        <v/>
      </c>
      <c r="AE101" s="1023" t="n">
        <v>1</v>
      </c>
      <c r="AF101" s="133" t="inlineStr">
        <is>
          <t>ea</t>
        </is>
      </c>
      <c r="AG101" s="1024" t="n">
        <v>300000</v>
      </c>
      <c r="AH101" s="1018">
        <f>AE101*AG101</f>
        <v/>
      </c>
      <c r="AI101" s="1003">
        <f>AH101-AC101</f>
        <v/>
      </c>
      <c r="AJ101" s="93" t="n"/>
      <c r="AK101" s="31" t="n"/>
    </row>
    <row r="102" ht="30.2" customFormat="1" customHeight="1" s="2">
      <c r="B102" s="1005" t="n"/>
      <c r="C102" s="1006" t="n"/>
      <c r="E102" s="981" t="n"/>
      <c r="F102" s="68" t="inlineStr">
        <is>
          <t>설치/철거 및 운영, 운송비</t>
        </is>
      </c>
      <c r="G102" s="1020" t="n">
        <v>1</v>
      </c>
      <c r="H102" s="117" t="inlineStr">
        <is>
          <t>식</t>
        </is>
      </c>
      <c r="I102" s="1022" t="n">
        <v>1000000</v>
      </c>
      <c r="J102" s="1015">
        <f>G102*I102</f>
        <v/>
      </c>
      <c r="K102" s="1023" t="n">
        <v>1</v>
      </c>
      <c r="L102" s="133" t="inlineStr">
        <is>
          <t>식</t>
        </is>
      </c>
      <c r="M102" s="1024" t="n">
        <v>1000000</v>
      </c>
      <c r="N102" s="1018">
        <f>K102*M102</f>
        <v/>
      </c>
      <c r="O102" s="1019">
        <f>N102-J102</f>
        <v/>
      </c>
      <c r="P102" s="1023" t="n">
        <v>1</v>
      </c>
      <c r="Q102" s="133" t="inlineStr">
        <is>
          <t>식</t>
        </is>
      </c>
      <c r="R102" s="1024" t="n">
        <v>1000000</v>
      </c>
      <c r="S102" s="1018">
        <f>P102*R102</f>
        <v/>
      </c>
      <c r="T102" s="1003">
        <f>S102-N102</f>
        <v/>
      </c>
      <c r="U102" s="1023" t="n">
        <v>1</v>
      </c>
      <c r="V102" s="133" t="inlineStr">
        <is>
          <t>식</t>
        </is>
      </c>
      <c r="W102" s="1024" t="n">
        <v>1000000</v>
      </c>
      <c r="X102" s="1018">
        <f>U102*W102</f>
        <v/>
      </c>
      <c r="Y102" s="1003">
        <f>X102-S102</f>
        <v/>
      </c>
      <c r="Z102" s="1023" t="n">
        <v>1</v>
      </c>
      <c r="AA102" s="133" t="inlineStr">
        <is>
          <t>식</t>
        </is>
      </c>
      <c r="AB102" s="1024" t="n">
        <v>1000000</v>
      </c>
      <c r="AC102" s="1018">
        <f>Z102*AB102</f>
        <v/>
      </c>
      <c r="AD102" s="1003">
        <f>AC102-X102</f>
        <v/>
      </c>
      <c r="AE102" s="1023" t="n">
        <v>1</v>
      </c>
      <c r="AF102" s="133" t="inlineStr">
        <is>
          <t>식</t>
        </is>
      </c>
      <c r="AG102" s="1024" t="n">
        <v>1000000</v>
      </c>
      <c r="AH102" s="1018">
        <f>AE102*AG102</f>
        <v/>
      </c>
      <c r="AI102" s="1003">
        <f>AH102-AC102</f>
        <v/>
      </c>
      <c r="AJ102" s="93" t="n"/>
      <c r="AK102" s="31" t="n"/>
    </row>
    <row r="103" ht="30.2" customFormat="1" customHeight="1" s="2">
      <c r="B103" s="1005" t="n"/>
      <c r="C103" s="1006" t="n"/>
      <c r="E103" s="822" t="inlineStr">
        <is>
          <t>DJ 장비</t>
        </is>
      </c>
      <c r="F103" s="64" t="inlineStr">
        <is>
          <t>DJ장비</t>
        </is>
      </c>
      <c r="G103" s="1020" t="n">
        <v>1</v>
      </c>
      <c r="H103" s="117" t="inlineStr">
        <is>
          <t>set</t>
        </is>
      </c>
      <c r="I103" s="1014" t="n">
        <v>1000000</v>
      </c>
      <c r="J103" s="1015">
        <f>G103*I103</f>
        <v/>
      </c>
      <c r="K103" s="1023" t="n">
        <v>1</v>
      </c>
      <c r="L103" s="133" t="inlineStr">
        <is>
          <t>set</t>
        </is>
      </c>
      <c r="M103" s="1027" t="n">
        <v>1000000</v>
      </c>
      <c r="N103" s="1018">
        <f>K103*M103</f>
        <v/>
      </c>
      <c r="O103" s="1019">
        <f>N103-J103</f>
        <v/>
      </c>
      <c r="P103" s="1023" t="n">
        <v>1</v>
      </c>
      <c r="Q103" s="133" t="inlineStr">
        <is>
          <t>set</t>
        </is>
      </c>
      <c r="R103" s="1027" t="n">
        <v>1000000</v>
      </c>
      <c r="S103" s="1018">
        <f>P103*R103</f>
        <v/>
      </c>
      <c r="T103" s="1003">
        <f>S103-N103</f>
        <v/>
      </c>
      <c r="U103" s="1023" t="n">
        <v>1</v>
      </c>
      <c r="V103" s="133" t="inlineStr">
        <is>
          <t>set</t>
        </is>
      </c>
      <c r="W103" s="1027" t="n">
        <v>1000000</v>
      </c>
      <c r="X103" s="1018">
        <f>U103*W103</f>
        <v/>
      </c>
      <c r="Y103" s="1003">
        <f>X103-S103</f>
        <v/>
      </c>
      <c r="Z103" s="1023" t="n">
        <v>1</v>
      </c>
      <c r="AA103" s="133" t="inlineStr">
        <is>
          <t>set</t>
        </is>
      </c>
      <c r="AB103" s="1027" t="n">
        <v>1000000</v>
      </c>
      <c r="AC103" s="1018">
        <f>Z103*AB103</f>
        <v/>
      </c>
      <c r="AD103" s="1003">
        <f>AC103-X103</f>
        <v/>
      </c>
      <c r="AE103" s="1023" t="n">
        <v>1</v>
      </c>
      <c r="AF103" s="133" t="inlineStr">
        <is>
          <t>set</t>
        </is>
      </c>
      <c r="AG103" s="1027" t="n">
        <v>1000000</v>
      </c>
      <c r="AH103" s="1018">
        <f>AE103*AG103</f>
        <v/>
      </c>
      <c r="AI103" s="1003">
        <f>AH103-AC103</f>
        <v/>
      </c>
      <c r="AJ103" s="93" t="n"/>
      <c r="AK103" s="32" t="n"/>
    </row>
    <row r="104" ht="30.2" customFormat="1" customHeight="1" s="2">
      <c r="B104" s="1005" t="n"/>
      <c r="C104" s="1006" t="n"/>
      <c r="E104" s="822" t="inlineStr">
        <is>
          <t>특수효과</t>
        </is>
      </c>
      <c r="F104" s="72" t="inlineStr">
        <is>
          <t>CO2 JET</t>
        </is>
      </c>
      <c r="G104" s="1030" t="n">
        <v>6</v>
      </c>
      <c r="H104" s="1028" t="inlineStr">
        <is>
          <t>ea</t>
        </is>
      </c>
      <c r="I104" s="1022" t="n">
        <v>120000</v>
      </c>
      <c r="J104" s="1015">
        <f>G104*I104</f>
        <v/>
      </c>
      <c r="K104" s="1031" t="n">
        <v>6</v>
      </c>
      <c r="L104" s="1056" t="inlineStr">
        <is>
          <t>ea</t>
        </is>
      </c>
      <c r="M104" s="1024" t="n">
        <v>120000</v>
      </c>
      <c r="N104" s="1018">
        <f>K104*M104</f>
        <v/>
      </c>
      <c r="O104" s="1019">
        <f>N104-J104</f>
        <v/>
      </c>
      <c r="P104" s="1031" t="n">
        <v>6</v>
      </c>
      <c r="Q104" s="1056" t="inlineStr">
        <is>
          <t>ea</t>
        </is>
      </c>
      <c r="R104" s="1024" t="n">
        <v>120000</v>
      </c>
      <c r="S104" s="1018">
        <f>P104*R104</f>
        <v/>
      </c>
      <c r="T104" s="1003">
        <f>S104-N104</f>
        <v/>
      </c>
      <c r="U104" s="1031" t="n">
        <v>6</v>
      </c>
      <c r="V104" s="1056" t="inlineStr">
        <is>
          <t>ea</t>
        </is>
      </c>
      <c r="W104" s="1024" t="n">
        <v>120000</v>
      </c>
      <c r="X104" s="1018">
        <f>U104*W104</f>
        <v/>
      </c>
      <c r="Y104" s="1003">
        <f>X104-S104</f>
        <v/>
      </c>
      <c r="Z104" s="1031" t="n">
        <v>6</v>
      </c>
      <c r="AA104" s="1056" t="inlineStr">
        <is>
          <t>ea</t>
        </is>
      </c>
      <c r="AB104" s="1024" t="n">
        <v>120000</v>
      </c>
      <c r="AC104" s="1018">
        <f>Z104*AB104</f>
        <v/>
      </c>
      <c r="AD104" s="1003">
        <f>AC104-X104</f>
        <v/>
      </c>
      <c r="AE104" s="1031" t="n">
        <v>6</v>
      </c>
      <c r="AF104" s="1056" t="inlineStr">
        <is>
          <t>ea</t>
        </is>
      </c>
      <c r="AG104" s="1024" t="n">
        <v>120000</v>
      </c>
      <c r="AH104" s="1018">
        <f>AE104*AG104</f>
        <v/>
      </c>
      <c r="AI104" s="1003">
        <f>AH104-AC104</f>
        <v/>
      </c>
      <c r="AJ104" s="93" t="n"/>
      <c r="AK104" s="31" t="n"/>
    </row>
    <row r="105" ht="30.2" customFormat="1" customHeight="1" s="2">
      <c r="B105" s="1005" t="n"/>
      <c r="C105" s="1006" t="n"/>
      <c r="E105" s="1005" t="n"/>
      <c r="F105" s="72" t="inlineStr">
        <is>
          <t>AIR SHOT</t>
        </is>
      </c>
      <c r="G105" s="1030" t="n">
        <v>2</v>
      </c>
      <c r="H105" s="1028" t="inlineStr">
        <is>
          <t>ea</t>
        </is>
      </c>
      <c r="I105" s="1022" t="n">
        <v>100000</v>
      </c>
      <c r="J105" s="1015">
        <f>G105*I105</f>
        <v/>
      </c>
      <c r="K105" s="1031" t="n">
        <v>2</v>
      </c>
      <c r="L105" s="1056" t="inlineStr">
        <is>
          <t>ea</t>
        </is>
      </c>
      <c r="M105" s="1024" t="n">
        <v>100000</v>
      </c>
      <c r="N105" s="1018">
        <f>K105*M105</f>
        <v/>
      </c>
      <c r="O105" s="1019">
        <f>N105-J105</f>
        <v/>
      </c>
      <c r="P105" s="1031" t="n">
        <v>2</v>
      </c>
      <c r="Q105" s="1056" t="inlineStr">
        <is>
          <t>ea</t>
        </is>
      </c>
      <c r="R105" s="1024" t="n">
        <v>100000</v>
      </c>
      <c r="S105" s="1018">
        <f>P105*R105</f>
        <v/>
      </c>
      <c r="T105" s="1003">
        <f>S105-N105</f>
        <v/>
      </c>
      <c r="U105" s="1031" t="n">
        <v>2</v>
      </c>
      <c r="V105" s="1056" t="inlineStr">
        <is>
          <t>ea</t>
        </is>
      </c>
      <c r="W105" s="1024" t="n">
        <v>100000</v>
      </c>
      <c r="X105" s="1018">
        <f>U105*W105</f>
        <v/>
      </c>
      <c r="Y105" s="1003">
        <f>X105-S105</f>
        <v/>
      </c>
      <c r="Z105" s="1031" t="n">
        <v>2</v>
      </c>
      <c r="AA105" s="1056" t="inlineStr">
        <is>
          <t>ea</t>
        </is>
      </c>
      <c r="AB105" s="1024" t="n">
        <v>100000</v>
      </c>
      <c r="AC105" s="1018">
        <f>Z105*AB105</f>
        <v/>
      </c>
      <c r="AD105" s="1003">
        <f>AC105-X105</f>
        <v/>
      </c>
      <c r="AE105" s="1031" t="n">
        <v>2</v>
      </c>
      <c r="AF105" s="1056" t="inlineStr">
        <is>
          <t>ea</t>
        </is>
      </c>
      <c r="AG105" s="1024" t="n">
        <v>100000</v>
      </c>
      <c r="AH105" s="1018">
        <f>AE105*AG105</f>
        <v/>
      </c>
      <c r="AI105" s="1003">
        <f>AH105-AC105</f>
        <v/>
      </c>
      <c r="AJ105" s="95" t="n"/>
      <c r="AK105" s="34" t="n"/>
    </row>
    <row r="106" ht="30.2" customFormat="1" customHeight="1" s="2">
      <c r="B106" s="1005" t="n"/>
      <c r="C106" s="1006" t="n"/>
      <c r="E106" s="1005" t="n"/>
      <c r="F106" s="72" t="inlineStr">
        <is>
          <t>CONSOLE</t>
        </is>
      </c>
      <c r="G106" s="1030" t="n">
        <v>1</v>
      </c>
      <c r="H106" s="1028" t="inlineStr">
        <is>
          <t>ea</t>
        </is>
      </c>
      <c r="I106" s="1022" t="n">
        <v>200000</v>
      </c>
      <c r="J106" s="1015">
        <f>G106*I106</f>
        <v/>
      </c>
      <c r="K106" s="1031" t="n">
        <v>1</v>
      </c>
      <c r="L106" s="1056" t="inlineStr">
        <is>
          <t>ea</t>
        </is>
      </c>
      <c r="M106" s="1024" t="n">
        <v>200000</v>
      </c>
      <c r="N106" s="1018">
        <f>K106*M106</f>
        <v/>
      </c>
      <c r="O106" s="1019">
        <f>N106-J106</f>
        <v/>
      </c>
      <c r="P106" s="1031" t="n">
        <v>1</v>
      </c>
      <c r="Q106" s="1056" t="inlineStr">
        <is>
          <t>ea</t>
        </is>
      </c>
      <c r="R106" s="1024" t="n">
        <v>200000</v>
      </c>
      <c r="S106" s="1018">
        <f>P106*R106</f>
        <v/>
      </c>
      <c r="T106" s="1003">
        <f>S106-N106</f>
        <v/>
      </c>
      <c r="U106" s="1031" t="n">
        <v>1</v>
      </c>
      <c r="V106" s="1056" t="inlineStr">
        <is>
          <t>ea</t>
        </is>
      </c>
      <c r="W106" s="1024" t="n">
        <v>200000</v>
      </c>
      <c r="X106" s="1018">
        <f>U106*W106</f>
        <v/>
      </c>
      <c r="Y106" s="1003">
        <f>X106-S106</f>
        <v/>
      </c>
      <c r="Z106" s="1031" t="n">
        <v>1</v>
      </c>
      <c r="AA106" s="1056" t="inlineStr">
        <is>
          <t>ea</t>
        </is>
      </c>
      <c r="AB106" s="1024" t="n">
        <v>200000</v>
      </c>
      <c r="AC106" s="1018">
        <f>Z106*AB106</f>
        <v/>
      </c>
      <c r="AD106" s="1003">
        <f>AC106-X106</f>
        <v/>
      </c>
      <c r="AE106" s="1031" t="n">
        <v>1</v>
      </c>
      <c r="AF106" s="1056" t="inlineStr">
        <is>
          <t>ea</t>
        </is>
      </c>
      <c r="AG106" s="1024" t="n">
        <v>200000</v>
      </c>
      <c r="AH106" s="1018">
        <f>AE106*AG106</f>
        <v/>
      </c>
      <c r="AI106" s="1003">
        <f>AH106-AC106</f>
        <v/>
      </c>
      <c r="AJ106" s="93" t="n"/>
      <c r="AK106" s="31" t="n"/>
    </row>
    <row r="107" ht="30.2" customFormat="1" customHeight="1" s="2">
      <c r="B107" s="1005" t="n"/>
      <c r="C107" s="1006" t="n"/>
      <c r="E107" s="981" t="n"/>
      <c r="F107" s="68" t="inlineStr">
        <is>
          <t>설치/철거 및 운영, 운송비</t>
        </is>
      </c>
      <c r="G107" s="1020" t="n">
        <v>1</v>
      </c>
      <c r="H107" s="117" t="inlineStr">
        <is>
          <t>식</t>
        </is>
      </c>
      <c r="I107" s="1022" t="n">
        <v>500000</v>
      </c>
      <c r="J107" s="1015">
        <f>G107*I107</f>
        <v/>
      </c>
      <c r="K107" s="1023" t="n">
        <v>1</v>
      </c>
      <c r="L107" s="133" t="inlineStr">
        <is>
          <t>식</t>
        </is>
      </c>
      <c r="M107" s="1024" t="n">
        <v>500000</v>
      </c>
      <c r="N107" s="1018">
        <f>K107*M107</f>
        <v/>
      </c>
      <c r="O107" s="1019">
        <f>N107-J107</f>
        <v/>
      </c>
      <c r="P107" s="1023" t="n">
        <v>1</v>
      </c>
      <c r="Q107" s="133" t="inlineStr">
        <is>
          <t>식</t>
        </is>
      </c>
      <c r="R107" s="1024" t="n">
        <v>500000</v>
      </c>
      <c r="S107" s="1018">
        <f>P107*R107</f>
        <v/>
      </c>
      <c r="T107" s="1003">
        <f>S107-N107</f>
        <v/>
      </c>
      <c r="U107" s="1023" t="n">
        <v>1</v>
      </c>
      <c r="V107" s="133" t="inlineStr">
        <is>
          <t>식</t>
        </is>
      </c>
      <c r="W107" s="1024" t="n">
        <v>500000</v>
      </c>
      <c r="X107" s="1018">
        <f>U107*W107</f>
        <v/>
      </c>
      <c r="Y107" s="1003">
        <f>X107-S107</f>
        <v/>
      </c>
      <c r="Z107" s="1023" t="n">
        <v>1</v>
      </c>
      <c r="AA107" s="133" t="inlineStr">
        <is>
          <t>식</t>
        </is>
      </c>
      <c r="AB107" s="1024" t="n">
        <v>500000</v>
      </c>
      <c r="AC107" s="1018">
        <f>Z107*AB107</f>
        <v/>
      </c>
      <c r="AD107" s="1003">
        <f>AC107-X107</f>
        <v/>
      </c>
      <c r="AE107" s="1023" t="n">
        <v>1</v>
      </c>
      <c r="AF107" s="133" t="inlineStr">
        <is>
          <t>식</t>
        </is>
      </c>
      <c r="AG107" s="1024" t="n">
        <v>500000</v>
      </c>
      <c r="AH107" s="1018">
        <f>AE107*AG107</f>
        <v/>
      </c>
      <c r="AI107" s="1003">
        <f>AH107-AC107</f>
        <v/>
      </c>
      <c r="AJ107" s="93" t="n"/>
      <c r="AK107" s="31" t="n"/>
    </row>
    <row r="108" ht="60.6" customFormat="1" customHeight="1" s="2">
      <c r="B108" s="1005" t="n"/>
      <c r="C108" s="1006" t="n"/>
      <c r="E108" s="747" t="inlineStr">
        <is>
          <t xml:space="preserve">발전차 </t>
        </is>
      </c>
      <c r="F108" s="84" t="inlineStr">
        <is>
          <t>셋팅 / 리허설 / 본공연 /  철수 / 유류비 포함  200kw</t>
        </is>
      </c>
      <c r="G108" s="1020" t="n">
        <v>3</v>
      </c>
      <c r="H108" s="117" t="inlineStr">
        <is>
          <t>ea</t>
        </is>
      </c>
      <c r="I108" s="1014" t="n">
        <v>1200000</v>
      </c>
      <c r="J108" s="1015">
        <f>G108*I108</f>
        <v/>
      </c>
      <c r="K108" s="1023" t="n">
        <v>3</v>
      </c>
      <c r="L108" s="133" t="inlineStr">
        <is>
          <t>ea</t>
        </is>
      </c>
      <c r="M108" s="1027" t="n">
        <v>1200000</v>
      </c>
      <c r="N108" s="1018">
        <f>K108*M108</f>
        <v/>
      </c>
      <c r="O108" s="1019">
        <f>N108-J108</f>
        <v/>
      </c>
      <c r="P108" s="1023" t="n">
        <v>3</v>
      </c>
      <c r="Q108" s="133" t="inlineStr">
        <is>
          <t>ea</t>
        </is>
      </c>
      <c r="R108" s="1027" t="n">
        <v>1200000</v>
      </c>
      <c r="S108" s="1018">
        <f>P108*R108</f>
        <v/>
      </c>
      <c r="T108" s="1003">
        <f>S108-N108</f>
        <v/>
      </c>
      <c r="U108" s="1023" t="n">
        <v>3</v>
      </c>
      <c r="V108" s="133" t="inlineStr">
        <is>
          <t>ea</t>
        </is>
      </c>
      <c r="W108" s="1027" t="n">
        <v>1200000</v>
      </c>
      <c r="X108" s="1018">
        <f>U108*W108</f>
        <v/>
      </c>
      <c r="Y108" s="1003">
        <f>X108-S108</f>
        <v/>
      </c>
      <c r="Z108" s="1023" t="n">
        <v>3</v>
      </c>
      <c r="AA108" s="133" t="inlineStr">
        <is>
          <t>ea</t>
        </is>
      </c>
      <c r="AB108" s="1027" t="n">
        <v>1200000</v>
      </c>
      <c r="AC108" s="1018">
        <f>Z108*AB108</f>
        <v/>
      </c>
      <c r="AD108" s="1003">
        <f>AC108-X108</f>
        <v/>
      </c>
      <c r="AE108" s="1023" t="n">
        <v>3</v>
      </c>
      <c r="AF108" s="133" t="inlineStr">
        <is>
          <t>ea</t>
        </is>
      </c>
      <c r="AG108" s="1027" t="n">
        <v>1200000</v>
      </c>
      <c r="AH108" s="1018">
        <f>AE108*AG108</f>
        <v/>
      </c>
      <c r="AI108" s="1003">
        <f>AH108-AC108</f>
        <v/>
      </c>
      <c r="AJ108" s="96" t="n"/>
      <c r="AK108" s="85" t="n"/>
    </row>
    <row r="109" ht="39.75" customFormat="1" customHeight="1" s="2">
      <c r="B109" s="1005" t="n"/>
      <c r="C109" s="1008" t="n"/>
      <c r="D109" s="1057" t="n"/>
      <c r="E109" s="97" t="inlineStr">
        <is>
          <t>(옵션) 이모지 프레임 적용</t>
        </is>
      </c>
      <c r="F109" s="98" t="inlineStr">
        <is>
          <t>트러스 + 지지 구조물 추가</t>
        </is>
      </c>
      <c r="G109" s="1058" t="n"/>
      <c r="H109" s="100" t="n"/>
      <c r="I109" s="1059" t="n"/>
      <c r="J109" s="1060" t="n"/>
      <c r="K109" s="1061" t="n">
        <v>1</v>
      </c>
      <c r="L109" s="100" t="inlineStr">
        <is>
          <t>set</t>
        </is>
      </c>
      <c r="M109" s="1059" t="n">
        <v>2000000</v>
      </c>
      <c r="N109" s="1062">
        <f>K109*M109</f>
        <v/>
      </c>
      <c r="O109" s="1063">
        <f>N109-J109</f>
        <v/>
      </c>
      <c r="P109" s="1061" t="n">
        <v>1</v>
      </c>
      <c r="Q109" s="100" t="inlineStr">
        <is>
          <t>set</t>
        </is>
      </c>
      <c r="R109" s="1059" t="n">
        <v>2000000</v>
      </c>
      <c r="S109" s="1062">
        <f>P109*R109</f>
        <v/>
      </c>
      <c r="T109" s="1063">
        <f>S109-O109</f>
        <v/>
      </c>
      <c r="U109" s="1061" t="n">
        <v>1</v>
      </c>
      <c r="V109" s="100" t="inlineStr">
        <is>
          <t>set</t>
        </is>
      </c>
      <c r="W109" s="1059" t="n">
        <v>2000000</v>
      </c>
      <c r="X109" s="1062">
        <f>U109*W109</f>
        <v/>
      </c>
      <c r="Y109" s="1063">
        <f>X109-S109</f>
        <v/>
      </c>
      <c r="Z109" s="1061" t="n">
        <v>1</v>
      </c>
      <c r="AA109" s="100" t="inlineStr">
        <is>
          <t>set</t>
        </is>
      </c>
      <c r="AB109" s="1059" t="n">
        <v>2000000</v>
      </c>
      <c r="AC109" s="1062">
        <f>Z109*AB109</f>
        <v/>
      </c>
      <c r="AD109" s="1063">
        <f>AC109-X109</f>
        <v/>
      </c>
      <c r="AE109" s="1061" t="n">
        <v>1</v>
      </c>
      <c r="AF109" s="100" t="inlineStr">
        <is>
          <t>set</t>
        </is>
      </c>
      <c r="AG109" s="1059" t="n">
        <v>2000000</v>
      </c>
      <c r="AH109" s="1062">
        <f>AE109*AG109</f>
        <v/>
      </c>
      <c r="AI109" s="1063">
        <f>AH109-AC109</f>
        <v/>
      </c>
      <c r="AJ109" s="103" t="n"/>
      <c r="AK109" s="104" t="inlineStr">
        <is>
          <t>추가 항목</t>
        </is>
      </c>
    </row>
    <row r="110" ht="29.25" customFormat="1" customHeight="1" s="2">
      <c r="B110" s="1005" t="n"/>
      <c r="C110" s="1064" t="inlineStr">
        <is>
          <t>소계</t>
        </is>
      </c>
      <c r="D110" s="1053" t="n"/>
      <c r="E110" s="1053" t="n"/>
      <c r="F110" s="1053" t="n"/>
      <c r="G110" s="1053" t="n"/>
      <c r="H110" s="1053" t="n"/>
      <c r="I110" s="997" t="n"/>
      <c r="J110" s="1065">
        <f>SUM(J87:J109)</f>
        <v/>
      </c>
      <c r="K110" s="1066" t="n"/>
      <c r="L110" s="955" t="n"/>
      <c r="M110" s="949" t="n"/>
      <c r="N110" s="1067">
        <f>SUM(N87:N109)</f>
        <v/>
      </c>
      <c r="O110" s="1068">
        <f>SUM(O87:O109)</f>
        <v/>
      </c>
      <c r="P110" s="1066" t="n"/>
      <c r="Q110" s="955" t="n"/>
      <c r="R110" s="949" t="n"/>
      <c r="S110" s="1067">
        <f>SUM(S87:S109)</f>
        <v/>
      </c>
      <c r="T110" s="1068">
        <f>SUM(T87:T109)</f>
        <v/>
      </c>
      <c r="U110" s="1066" t="n"/>
      <c r="V110" s="955" t="n"/>
      <c r="W110" s="949" t="n"/>
      <c r="X110" s="1067">
        <f>SUM(X87:X109)</f>
        <v/>
      </c>
      <c r="Y110" s="1068">
        <f>SUM(Y87:Y109)</f>
        <v/>
      </c>
      <c r="Z110" s="1066" t="n"/>
      <c r="AA110" s="955" t="n"/>
      <c r="AB110" s="949" t="n"/>
      <c r="AC110" s="1067">
        <f>SUM(AC87:AC109)</f>
        <v/>
      </c>
      <c r="AD110" s="1068">
        <f>SUM(AD87:AD109)</f>
        <v/>
      </c>
      <c r="AE110" s="1066" t="n"/>
      <c r="AF110" s="955" t="n"/>
      <c r="AG110" s="949" t="n"/>
      <c r="AH110" s="1067">
        <f>SUM(AH87:AH109)</f>
        <v/>
      </c>
      <c r="AI110" s="1068">
        <f>SUM(AI87:AI109)</f>
        <v/>
      </c>
      <c r="AJ110" s="94" t="n"/>
      <c r="AK110" s="33" t="n"/>
    </row>
    <row r="111" ht="30.2" customFormat="1" customHeight="1" s="2">
      <c r="B111" s="1005" t="n"/>
      <c r="C111" s="823" t="inlineStr">
        <is>
          <t>VIP 기본형</t>
        </is>
      </c>
      <c r="D111" s="997" t="n"/>
      <c r="E111" s="822" t="inlineStr">
        <is>
          <t>무대</t>
        </is>
      </c>
      <c r="F111" s="433" t="inlineStr">
        <is>
          <t>9m x 21m x 1.8m / 계단, 안전난간, 파인텍스</t>
        </is>
      </c>
      <c r="G111" s="434" t="n">
        <v>2</v>
      </c>
      <c r="H111" s="434" t="inlineStr">
        <is>
          <t>set</t>
        </is>
      </c>
      <c r="I111" s="1069" t="n">
        <v>10000000</v>
      </c>
      <c r="J111" s="1070">
        <f>G111*I111</f>
        <v/>
      </c>
      <c r="K111" s="1071" t="n">
        <v>0</v>
      </c>
      <c r="L111" s="438" t="inlineStr">
        <is>
          <t>set</t>
        </is>
      </c>
      <c r="M111" s="1072" t="n">
        <v>10000000</v>
      </c>
      <c r="N111" s="1073">
        <f>K111*M111</f>
        <v/>
      </c>
      <c r="O111" s="1074">
        <f>N111-J111</f>
        <v/>
      </c>
      <c r="P111" s="1071" t="n">
        <v>0</v>
      </c>
      <c r="Q111" s="438" t="inlineStr">
        <is>
          <t>set</t>
        </is>
      </c>
      <c r="R111" s="1072" t="n">
        <v>10000000</v>
      </c>
      <c r="S111" s="1073">
        <f>P111*R111</f>
        <v/>
      </c>
      <c r="T111" s="1075">
        <f>S111-N111</f>
        <v/>
      </c>
      <c r="U111" s="1071" t="n">
        <v>0</v>
      </c>
      <c r="V111" s="438" t="inlineStr">
        <is>
          <t>set</t>
        </is>
      </c>
      <c r="W111" s="1072" t="n">
        <v>10000000</v>
      </c>
      <c r="X111" s="1073">
        <f>U111*W111</f>
        <v/>
      </c>
      <c r="Y111" s="1075">
        <f>X111-S111</f>
        <v/>
      </c>
      <c r="Z111" s="1071" t="n">
        <v>0</v>
      </c>
      <c r="AA111" s="438" t="inlineStr">
        <is>
          <t>set</t>
        </is>
      </c>
      <c r="AB111" s="1072" t="n">
        <v>10000000</v>
      </c>
      <c r="AC111" s="1073">
        <f>Z111*AB111</f>
        <v/>
      </c>
      <c r="AD111" s="1075">
        <f>AC111-X111</f>
        <v/>
      </c>
      <c r="AE111" s="1071" t="n">
        <v>0</v>
      </c>
      <c r="AF111" s="438" t="inlineStr">
        <is>
          <t>set</t>
        </is>
      </c>
      <c r="AG111" s="1072" t="n">
        <v>10000000</v>
      </c>
      <c r="AH111" s="1073">
        <f>AE111*AG111</f>
        <v/>
      </c>
      <c r="AI111" s="1075">
        <f>AH111-AC111</f>
        <v/>
      </c>
      <c r="AJ111" s="442" t="n"/>
      <c r="AK111" s="438" t="inlineStr">
        <is>
          <t>규모변경</t>
        </is>
      </c>
    </row>
    <row r="112" ht="30.2" customFormat="1" customHeight="1" s="2">
      <c r="B112" s="1005" t="n"/>
      <c r="C112" s="1006" t="n"/>
      <c r="D112" s="1007" t="n"/>
      <c r="E112" s="1005" t="n"/>
      <c r="F112" s="433" t="inlineStr">
        <is>
          <t>11m x 21m x 2.1m / 단추가/ 규모확장</t>
        </is>
      </c>
      <c r="G112" s="434" t="n"/>
      <c r="H112" s="434" t="n"/>
      <c r="I112" s="1069" t="n"/>
      <c r="J112" s="1070" t="n"/>
      <c r="K112" s="1071" t="n">
        <v>2</v>
      </c>
      <c r="L112" s="438" t="inlineStr">
        <is>
          <t>set</t>
        </is>
      </c>
      <c r="M112" s="1072" t="n">
        <v>14000000</v>
      </c>
      <c r="N112" s="1073">
        <f>K112*M112</f>
        <v/>
      </c>
      <c r="O112" s="1076">
        <f>N112-J112</f>
        <v/>
      </c>
      <c r="P112" s="1071" t="n">
        <v>2</v>
      </c>
      <c r="Q112" s="438" t="inlineStr">
        <is>
          <t>set</t>
        </is>
      </c>
      <c r="R112" s="1072" t="n">
        <v>14000000</v>
      </c>
      <c r="S112" s="1073">
        <f>P112*R112</f>
        <v/>
      </c>
      <c r="T112" s="1075">
        <f>S112-N112</f>
        <v/>
      </c>
      <c r="U112" s="1071" t="n">
        <v>2</v>
      </c>
      <c r="V112" s="438" t="inlineStr">
        <is>
          <t>set</t>
        </is>
      </c>
      <c r="W112" s="1072" t="n">
        <v>14000000</v>
      </c>
      <c r="X112" s="1073">
        <f>U112*W112</f>
        <v/>
      </c>
      <c r="Y112" s="1075">
        <f>X112-S112</f>
        <v/>
      </c>
      <c r="Z112" s="1071" t="n">
        <v>2</v>
      </c>
      <c r="AA112" s="438" t="inlineStr">
        <is>
          <t>set</t>
        </is>
      </c>
      <c r="AB112" s="1072" t="n">
        <v>14000000</v>
      </c>
      <c r="AC112" s="1073">
        <f>Z112*AB112</f>
        <v/>
      </c>
      <c r="AD112" s="1075">
        <f>AC112-X112</f>
        <v/>
      </c>
      <c r="AE112" s="1071" t="n">
        <v>2</v>
      </c>
      <c r="AF112" s="438" t="inlineStr">
        <is>
          <t>set</t>
        </is>
      </c>
      <c r="AG112" s="1072" t="n">
        <v>14000000</v>
      </c>
      <c r="AH112" s="1073">
        <f>AE112*AG112</f>
        <v/>
      </c>
      <c r="AI112" s="1075">
        <f>AH112-AC112</f>
        <v/>
      </c>
      <c r="AJ112" s="442" t="n"/>
      <c r="AK112" s="438" t="inlineStr">
        <is>
          <t>9m x 21m x 1.8m → 11m x 21m x 2.1m (2SET)</t>
        </is>
      </c>
    </row>
    <row r="113" ht="30.2" customFormat="1" customHeight="1" s="2">
      <c r="B113" s="1005" t="n"/>
      <c r="C113" s="1006" t="n"/>
      <c r="D113" s="1007" t="n"/>
      <c r="E113" s="981" t="n"/>
      <c r="F113" s="89" t="inlineStr">
        <is>
          <t>인건비  및 운송비</t>
        </is>
      </c>
      <c r="G113" s="1020" t="n">
        <v>1</v>
      </c>
      <c r="H113" s="140" t="inlineStr">
        <is>
          <t>식</t>
        </is>
      </c>
      <c r="I113" s="1022" t="n">
        <v>4000000</v>
      </c>
      <c r="J113" s="1015">
        <f>G113*I113</f>
        <v/>
      </c>
      <c r="K113" s="1021" t="n">
        <v>1</v>
      </c>
      <c r="L113" s="88" t="inlineStr">
        <is>
          <t>식</t>
        </is>
      </c>
      <c r="M113" s="1077" t="n">
        <v>4000000</v>
      </c>
      <c r="N113" s="1018">
        <f>K113*M113</f>
        <v/>
      </c>
      <c r="O113" s="1078">
        <f>N113-J113</f>
        <v/>
      </c>
      <c r="P113" s="1021" t="n">
        <v>1</v>
      </c>
      <c r="Q113" s="88" t="inlineStr">
        <is>
          <t>식</t>
        </is>
      </c>
      <c r="R113" s="1077" t="n">
        <v>4000000</v>
      </c>
      <c r="S113" s="1018">
        <f>P113*R113</f>
        <v/>
      </c>
      <c r="T113" s="1003">
        <f>S113-N113</f>
        <v/>
      </c>
      <c r="U113" s="1021" t="n">
        <v>1</v>
      </c>
      <c r="V113" s="88" t="inlineStr">
        <is>
          <t>식</t>
        </is>
      </c>
      <c r="W113" s="1077" t="n">
        <v>4000000</v>
      </c>
      <c r="X113" s="1018">
        <f>U113*W113</f>
        <v/>
      </c>
      <c r="Y113" s="1003">
        <f>X113-S113</f>
        <v/>
      </c>
      <c r="Z113" s="1021" t="n">
        <v>1</v>
      </c>
      <c r="AA113" s="88" t="inlineStr">
        <is>
          <t>식</t>
        </is>
      </c>
      <c r="AB113" s="1077" t="n">
        <v>4000000</v>
      </c>
      <c r="AC113" s="1018">
        <f>Z113*AB113</f>
        <v/>
      </c>
      <c r="AD113" s="1003">
        <f>AC113-X113</f>
        <v/>
      </c>
      <c r="AE113" s="1021" t="n">
        <v>1</v>
      </c>
      <c r="AF113" s="88" t="inlineStr">
        <is>
          <t>식</t>
        </is>
      </c>
      <c r="AG113" s="1077" t="n">
        <v>4000000</v>
      </c>
      <c r="AH113" s="1018">
        <f>AE113*AG113</f>
        <v/>
      </c>
      <c r="AI113" s="1003">
        <f>AH113-AC113</f>
        <v/>
      </c>
      <c r="AJ113" s="93" t="n"/>
      <c r="AK113" s="823" t="n"/>
    </row>
    <row r="114" ht="30.2" customFormat="1" customHeight="1" s="2">
      <c r="B114" s="1005" t="n"/>
      <c r="C114" s="1006" t="n"/>
      <c r="D114" s="1007" t="n"/>
      <c r="E114" s="822" t="inlineStr">
        <is>
          <t>시스템</t>
        </is>
      </c>
      <c r="F114" s="89" t="inlineStr">
        <is>
          <t>상단 LED  3면</t>
        </is>
      </c>
      <c r="G114" s="1020" t="n"/>
      <c r="H114" s="140" t="inlineStr">
        <is>
          <t>식</t>
        </is>
      </c>
      <c r="I114" s="1022" t="n"/>
      <c r="J114" s="1015">
        <f>G114*I114</f>
        <v/>
      </c>
      <c r="K114" s="1021" t="n"/>
      <c r="L114" s="88" t="inlineStr">
        <is>
          <t>식</t>
        </is>
      </c>
      <c r="M114" s="1077" t="n"/>
      <c r="N114" s="1018">
        <f>K114*M114</f>
        <v/>
      </c>
      <c r="O114" s="1078">
        <f>N114-J114</f>
        <v/>
      </c>
      <c r="P114" s="1079" t="n">
        <v>2</v>
      </c>
      <c r="Q114" s="518" t="inlineStr">
        <is>
          <t>식</t>
        </is>
      </c>
      <c r="R114" s="1080" t="n">
        <v>5500000</v>
      </c>
      <c r="S114" s="1044">
        <f>P114*R114</f>
        <v/>
      </c>
      <c r="T114" s="1045">
        <f>S114-N114</f>
        <v/>
      </c>
      <c r="U114" s="1079" t="n">
        <v>2</v>
      </c>
      <c r="V114" s="518" t="inlineStr">
        <is>
          <t>식</t>
        </is>
      </c>
      <c r="W114" s="1080" t="n">
        <v>5500000</v>
      </c>
      <c r="X114" s="1044" t="n"/>
      <c r="Y114" s="1081">
        <f>X114-S114</f>
        <v/>
      </c>
      <c r="Z114" s="1079" t="n">
        <v>2</v>
      </c>
      <c r="AA114" s="518" t="inlineStr">
        <is>
          <t>식</t>
        </is>
      </c>
      <c r="AB114" s="1080" t="n">
        <v>5500000</v>
      </c>
      <c r="AC114" s="1044" t="n"/>
      <c r="AD114" s="1081">
        <f>AC114-X114</f>
        <v/>
      </c>
      <c r="AE114" s="1079" t="n">
        <v>2</v>
      </c>
      <c r="AF114" s="518" t="inlineStr">
        <is>
          <t>식</t>
        </is>
      </c>
      <c r="AG114" s="1080" t="n">
        <v>5500000</v>
      </c>
      <c r="AH114" s="1044" t="n"/>
      <c r="AI114" s="1081">
        <f>AH114-AC114</f>
        <v/>
      </c>
      <c r="AJ114" s="515" t="n"/>
      <c r="AK114" s="520" t="inlineStr">
        <is>
          <t>내일발주</t>
        </is>
      </c>
    </row>
    <row r="115" ht="30.2" customFormat="1" customHeight="1" s="2">
      <c r="B115" s="1005" t="n"/>
      <c r="C115" s="1006" t="n"/>
      <c r="D115" s="1007" t="n"/>
      <c r="E115" s="981" t="n"/>
      <c r="F115" s="89" t="inlineStr">
        <is>
          <t>상단 LED  1면</t>
        </is>
      </c>
      <c r="G115" s="1020" t="n">
        <v>1</v>
      </c>
      <c r="H115" s="140" t="inlineStr">
        <is>
          <t>식</t>
        </is>
      </c>
      <c r="I115" s="1022" t="n"/>
      <c r="J115" s="1015">
        <f>G115*I115</f>
        <v/>
      </c>
      <c r="K115" s="1021" t="n"/>
      <c r="L115" s="88" t="inlineStr">
        <is>
          <t>식</t>
        </is>
      </c>
      <c r="M115" s="1077" t="n"/>
      <c r="N115" s="1018">
        <f>K115*M115</f>
        <v/>
      </c>
      <c r="O115" s="1078">
        <f>N115-J115</f>
        <v/>
      </c>
      <c r="P115" s="1079" t="n">
        <v>2</v>
      </c>
      <c r="Q115" s="518" t="inlineStr">
        <is>
          <t>식</t>
        </is>
      </c>
      <c r="R115" s="1080" t="n">
        <v>3000000</v>
      </c>
      <c r="S115" s="1044" t="n"/>
      <c r="T115" s="1045">
        <f>S115-N115</f>
        <v/>
      </c>
      <c r="U115" s="1079" t="n">
        <v>2</v>
      </c>
      <c r="V115" s="518" t="inlineStr">
        <is>
          <t>식</t>
        </is>
      </c>
      <c r="W115" s="1080" t="n">
        <v>3000000</v>
      </c>
      <c r="X115" s="1018">
        <f>U115*W115</f>
        <v/>
      </c>
      <c r="Y115" s="1045" t="n"/>
      <c r="Z115" s="1079" t="n">
        <v>2</v>
      </c>
      <c r="AA115" s="518" t="inlineStr">
        <is>
          <t>식</t>
        </is>
      </c>
      <c r="AB115" s="1080" t="n">
        <v>3000000</v>
      </c>
      <c r="AC115" s="1044">
        <f>Z115*AB115</f>
        <v/>
      </c>
      <c r="AD115" s="1045" t="n"/>
      <c r="AE115" s="1079" t="n">
        <v>2</v>
      </c>
      <c r="AF115" s="518" t="inlineStr">
        <is>
          <t>식</t>
        </is>
      </c>
      <c r="AG115" s="1080" t="n">
        <v>3000000</v>
      </c>
      <c r="AH115" s="1044">
        <f>AE115*AG115</f>
        <v/>
      </c>
      <c r="AI115" s="1045" t="n"/>
      <c r="AJ115" s="515" t="n"/>
      <c r="AK115" s="520" t="n"/>
    </row>
    <row r="116" ht="30.2" customFormat="1" customHeight="1" s="2">
      <c r="B116" s="1005" t="n"/>
      <c r="C116" s="1006" t="n"/>
      <c r="D116" s="1007" t="n"/>
      <c r="E116" s="822" t="inlineStr">
        <is>
          <t>트러스</t>
        </is>
      </c>
      <c r="F116" s="444" t="inlineStr">
        <is>
          <t>헤비트러스  9m x 21m</t>
        </is>
      </c>
      <c r="G116" s="434" t="n">
        <v>2</v>
      </c>
      <c r="H116" s="445" t="inlineStr">
        <is>
          <t>식</t>
        </is>
      </c>
      <c r="I116" s="1069" t="n">
        <v>7000000</v>
      </c>
      <c r="J116" s="1070">
        <f>G116*I116</f>
        <v/>
      </c>
      <c r="K116" s="1071" t="n">
        <v>0</v>
      </c>
      <c r="L116" s="446" t="inlineStr">
        <is>
          <t>식</t>
        </is>
      </c>
      <c r="M116" s="1072" t="n">
        <v>7000000</v>
      </c>
      <c r="N116" s="1073">
        <f>K116*M116</f>
        <v/>
      </c>
      <c r="O116" s="1074">
        <f>N116-J116</f>
        <v/>
      </c>
      <c r="P116" s="1071" t="n">
        <v>0</v>
      </c>
      <c r="Q116" s="446" t="inlineStr">
        <is>
          <t>식</t>
        </is>
      </c>
      <c r="R116" s="1072" t="n">
        <v>7000000</v>
      </c>
      <c r="S116" s="1073">
        <f>P116*R116</f>
        <v/>
      </c>
      <c r="T116" s="1075">
        <f>S116-N116</f>
        <v/>
      </c>
      <c r="U116" s="1071" t="n">
        <v>0</v>
      </c>
      <c r="V116" s="446" t="inlineStr">
        <is>
          <t>식</t>
        </is>
      </c>
      <c r="W116" s="1072" t="n">
        <v>7000000</v>
      </c>
      <c r="X116" s="1073">
        <f>U116*W116</f>
        <v/>
      </c>
      <c r="Y116" s="1075">
        <f>X116-S116</f>
        <v/>
      </c>
      <c r="Z116" s="1071" t="n">
        <v>0</v>
      </c>
      <c r="AA116" s="446" t="inlineStr">
        <is>
          <t>식</t>
        </is>
      </c>
      <c r="AB116" s="1072" t="n">
        <v>7000000</v>
      </c>
      <c r="AC116" s="1073">
        <f>Z116*AB116</f>
        <v/>
      </c>
      <c r="AD116" s="1075">
        <f>AC116-X116</f>
        <v/>
      </c>
      <c r="AE116" s="1071" t="n">
        <v>0</v>
      </c>
      <c r="AF116" s="446" t="inlineStr">
        <is>
          <t>식</t>
        </is>
      </c>
      <c r="AG116" s="1072" t="n">
        <v>7000000</v>
      </c>
      <c r="AH116" s="1073">
        <f>AE116*AG116</f>
        <v/>
      </c>
      <c r="AI116" s="1075">
        <f>AH116-AC116</f>
        <v/>
      </c>
      <c r="AJ116" s="442" t="n"/>
      <c r="AK116" s="438" t="inlineStr">
        <is>
          <t>규모변경</t>
        </is>
      </c>
    </row>
    <row r="117" ht="30.2" customFormat="1" customHeight="1" s="2">
      <c r="B117" s="1005" t="n"/>
      <c r="C117" s="1006" t="n"/>
      <c r="D117" s="1007" t="n"/>
      <c r="E117" s="1005" t="n"/>
      <c r="F117" s="444" t="inlineStr">
        <is>
          <t>헤비트러스 11m x 21m / 규모확장에 대한 추가</t>
        </is>
      </c>
      <c r="G117" s="434" t="n">
        <v>1</v>
      </c>
      <c r="H117" s="445" t="inlineStr">
        <is>
          <t>식</t>
        </is>
      </c>
      <c r="I117" s="1069" t="n">
        <v>3000000</v>
      </c>
      <c r="J117" s="1070" t="n"/>
      <c r="K117" s="1071" t="n">
        <v>2</v>
      </c>
      <c r="L117" s="446" t="inlineStr">
        <is>
          <t>식</t>
        </is>
      </c>
      <c r="M117" s="1072" t="n">
        <v>10000000</v>
      </c>
      <c r="N117" s="1073">
        <f>K117*M117</f>
        <v/>
      </c>
      <c r="O117" s="1076">
        <f>N117-J117</f>
        <v/>
      </c>
      <c r="P117" s="1071" t="n">
        <v>2</v>
      </c>
      <c r="Q117" s="446" t="inlineStr">
        <is>
          <t>식</t>
        </is>
      </c>
      <c r="R117" s="1072" t="n">
        <v>10000000</v>
      </c>
      <c r="S117" s="1073">
        <f>P117*R117</f>
        <v/>
      </c>
      <c r="T117" s="1075">
        <f>S117-N117</f>
        <v/>
      </c>
      <c r="U117" s="1071" t="n">
        <v>2</v>
      </c>
      <c r="V117" s="446" t="inlineStr">
        <is>
          <t>식</t>
        </is>
      </c>
      <c r="W117" s="1072" t="n">
        <v>10000000</v>
      </c>
      <c r="X117" s="1073">
        <f>U117*W117</f>
        <v/>
      </c>
      <c r="Y117" s="1075">
        <f>X117-S117</f>
        <v/>
      </c>
      <c r="Z117" s="1071" t="n">
        <v>2</v>
      </c>
      <c r="AA117" s="446" t="inlineStr">
        <is>
          <t>식</t>
        </is>
      </c>
      <c r="AB117" s="1072" t="n">
        <v>10000000</v>
      </c>
      <c r="AC117" s="1073">
        <f>Z117*AB117</f>
        <v/>
      </c>
      <c r="AD117" s="1075">
        <f>AC117-X117</f>
        <v/>
      </c>
      <c r="AE117" s="1071" t="n">
        <v>2</v>
      </c>
      <c r="AF117" s="446" t="inlineStr">
        <is>
          <t>식</t>
        </is>
      </c>
      <c r="AG117" s="1072" t="n">
        <v>10000000</v>
      </c>
      <c r="AH117" s="1073">
        <f>AE117*AG117</f>
        <v/>
      </c>
      <c r="AI117" s="1075">
        <f>AH117-AC117</f>
        <v/>
      </c>
      <c r="AJ117" s="442" t="n"/>
      <c r="AK117" s="438" t="inlineStr">
        <is>
          <t>9m x 21m x 1.8m → 11m x 21m x 2.1m (2SET)</t>
        </is>
      </c>
    </row>
    <row r="118" ht="30.2" customFormat="1" customHeight="1" s="2">
      <c r="B118" s="1005" t="n"/>
      <c r="C118" s="1006" t="n"/>
      <c r="D118" s="1007" t="n"/>
      <c r="E118" s="1005" t="n"/>
      <c r="F118" s="64" t="inlineStr">
        <is>
          <t>루프</t>
        </is>
      </c>
      <c r="G118" s="113" t="n">
        <v>2</v>
      </c>
      <c r="H118" s="117" t="inlineStr">
        <is>
          <t>ea</t>
        </is>
      </c>
      <c r="I118" s="998" t="n">
        <v>2000000</v>
      </c>
      <c r="J118" s="1015">
        <f>G118*I118</f>
        <v/>
      </c>
      <c r="K118" s="1000" t="n">
        <v>2</v>
      </c>
      <c r="L118" s="65" t="inlineStr">
        <is>
          <t>ea</t>
        </is>
      </c>
      <c r="M118" s="1001" t="n">
        <v>2000000</v>
      </c>
      <c r="N118" s="1018">
        <f>K118*M118</f>
        <v/>
      </c>
      <c r="O118" s="1078">
        <f>N118-J118</f>
        <v/>
      </c>
      <c r="P118" s="1000" t="n">
        <v>2</v>
      </c>
      <c r="Q118" s="65" t="inlineStr">
        <is>
          <t>ea</t>
        </is>
      </c>
      <c r="R118" s="1001" t="n">
        <v>2000000</v>
      </c>
      <c r="S118" s="1018">
        <f>P118*R118</f>
        <v/>
      </c>
      <c r="T118" s="1003">
        <f>S118-N118</f>
        <v/>
      </c>
      <c r="U118" s="1000" t="n">
        <v>2</v>
      </c>
      <c r="V118" s="65" t="inlineStr">
        <is>
          <t>ea</t>
        </is>
      </c>
      <c r="W118" s="1001" t="n">
        <v>2000000</v>
      </c>
      <c r="X118" s="1018">
        <f>U118*W118</f>
        <v/>
      </c>
      <c r="Y118" s="1003">
        <f>X118-S118</f>
        <v/>
      </c>
      <c r="Z118" s="1000" t="n">
        <v>2</v>
      </c>
      <c r="AA118" s="65" t="inlineStr">
        <is>
          <t>ea</t>
        </is>
      </c>
      <c r="AB118" s="1001" t="n">
        <v>2000000</v>
      </c>
      <c r="AC118" s="1018">
        <f>Z118*AB118</f>
        <v/>
      </c>
      <c r="AD118" s="1003">
        <f>AC118-X118</f>
        <v/>
      </c>
      <c r="AE118" s="1000" t="n">
        <v>2</v>
      </c>
      <c r="AF118" s="65" t="inlineStr">
        <is>
          <t>ea</t>
        </is>
      </c>
      <c r="AG118" s="1001" t="n">
        <v>2000000</v>
      </c>
      <c r="AH118" s="1018">
        <f>AE118*AG118</f>
        <v/>
      </c>
      <c r="AI118" s="1003">
        <f>AH118-AC118</f>
        <v/>
      </c>
      <c r="AJ118" s="93" t="n"/>
      <c r="AK118" s="823" t="n"/>
    </row>
    <row r="119" ht="30.2" customFormat="1" customHeight="1" s="2">
      <c r="B119" s="1005" t="n"/>
      <c r="C119" s="1006" t="n"/>
      <c r="D119" s="1007" t="n"/>
      <c r="E119" s="981" t="n"/>
      <c r="F119" s="64" t="inlineStr">
        <is>
          <t>인건비  및 운송비</t>
        </is>
      </c>
      <c r="G119" s="113" t="n">
        <v>1</v>
      </c>
      <c r="H119" s="117" t="inlineStr">
        <is>
          <t>식</t>
        </is>
      </c>
      <c r="I119" s="998" t="n">
        <v>2000000</v>
      </c>
      <c r="J119" s="1015">
        <f>G119*I119</f>
        <v/>
      </c>
      <c r="K119" s="1000" t="n">
        <v>1</v>
      </c>
      <c r="L119" s="65" t="inlineStr">
        <is>
          <t>식</t>
        </is>
      </c>
      <c r="M119" s="1001" t="n">
        <v>2000000</v>
      </c>
      <c r="N119" s="1018">
        <f>K119*M119</f>
        <v/>
      </c>
      <c r="O119" s="1078">
        <f>N119-J119</f>
        <v/>
      </c>
      <c r="P119" s="1000" t="n">
        <v>1</v>
      </c>
      <c r="Q119" s="65" t="inlineStr">
        <is>
          <t>식</t>
        </is>
      </c>
      <c r="R119" s="1001" t="n">
        <v>2000000</v>
      </c>
      <c r="S119" s="1018">
        <f>P119*R119</f>
        <v/>
      </c>
      <c r="T119" s="1003">
        <f>S119-N119</f>
        <v/>
      </c>
      <c r="U119" s="1000" t="n">
        <v>1</v>
      </c>
      <c r="V119" s="65" t="inlineStr">
        <is>
          <t>식</t>
        </is>
      </c>
      <c r="W119" s="1001" t="n">
        <v>2000000</v>
      </c>
      <c r="X119" s="1018">
        <f>U119*W119</f>
        <v/>
      </c>
      <c r="Y119" s="1003">
        <f>X119-S119</f>
        <v/>
      </c>
      <c r="Z119" s="1000" t="n">
        <v>1</v>
      </c>
      <c r="AA119" s="65" t="inlineStr">
        <is>
          <t>식</t>
        </is>
      </c>
      <c r="AB119" s="1001" t="n">
        <v>2000000</v>
      </c>
      <c r="AC119" s="1018">
        <f>Z119*AB119</f>
        <v/>
      </c>
      <c r="AD119" s="1003">
        <f>AC119-X119</f>
        <v/>
      </c>
      <c r="AE119" s="1000" t="n">
        <v>1</v>
      </c>
      <c r="AF119" s="65" t="inlineStr">
        <is>
          <t>식</t>
        </is>
      </c>
      <c r="AG119" s="1001" t="n">
        <v>2000000</v>
      </c>
      <c r="AH119" s="1018">
        <f>AE119*AG119</f>
        <v/>
      </c>
      <c r="AI119" s="1003">
        <f>AH119-AC119</f>
        <v/>
      </c>
      <c r="AJ119" s="93" t="n"/>
      <c r="AK119" s="823" t="n"/>
    </row>
    <row r="120" ht="30.2" customFormat="1" customHeight="1" s="2">
      <c r="B120" s="1005" t="n"/>
      <c r="C120" s="1006" t="n"/>
      <c r="D120" s="1007" t="n"/>
      <c r="E120" s="68" t="inlineStr">
        <is>
          <t>집기</t>
        </is>
      </c>
      <c r="F120" s="91" t="inlineStr">
        <is>
          <t>소파 및 테이블</t>
        </is>
      </c>
      <c r="G120" s="141" t="n">
        <v>2</v>
      </c>
      <c r="H120" s="113" t="inlineStr">
        <is>
          <t>식</t>
        </is>
      </c>
      <c r="I120" s="998" t="n">
        <v>5000000</v>
      </c>
      <c r="J120" s="1015">
        <f>G120*I120</f>
        <v/>
      </c>
      <c r="K120" s="1021" t="n">
        <v>2</v>
      </c>
      <c r="L120" s="823" t="inlineStr">
        <is>
          <t>식</t>
        </is>
      </c>
      <c r="M120" s="1001" t="n">
        <v>5000000</v>
      </c>
      <c r="N120" s="1018">
        <f>K120*M120</f>
        <v/>
      </c>
      <c r="O120" s="1078">
        <f>N120-J120</f>
        <v/>
      </c>
      <c r="P120" s="1021" t="n">
        <v>2</v>
      </c>
      <c r="Q120" s="823" t="inlineStr">
        <is>
          <t>식</t>
        </is>
      </c>
      <c r="R120" s="1001" t="n">
        <v>5000000</v>
      </c>
      <c r="S120" s="1018">
        <f>P120*R120</f>
        <v/>
      </c>
      <c r="T120" s="1003">
        <f>S120-N120</f>
        <v/>
      </c>
      <c r="U120" s="1021" t="n">
        <v>2</v>
      </c>
      <c r="V120" s="823" t="inlineStr">
        <is>
          <t>식</t>
        </is>
      </c>
      <c r="W120" s="1001" t="n">
        <v>5000000</v>
      </c>
      <c r="X120" s="1018">
        <f>U120*W120</f>
        <v/>
      </c>
      <c r="Y120" s="1003">
        <f>X120-S120</f>
        <v/>
      </c>
      <c r="Z120" s="1021" t="n">
        <v>2</v>
      </c>
      <c r="AA120" s="823" t="inlineStr">
        <is>
          <t>식</t>
        </is>
      </c>
      <c r="AB120" s="1001" t="n">
        <v>5000000</v>
      </c>
      <c r="AC120" s="1018">
        <f>Z120*AB120</f>
        <v/>
      </c>
      <c r="AD120" s="1003">
        <f>AC120-X120</f>
        <v/>
      </c>
      <c r="AE120" s="1021" t="n">
        <v>2</v>
      </c>
      <c r="AF120" s="823" t="inlineStr">
        <is>
          <t>식</t>
        </is>
      </c>
      <c r="AG120" s="1001" t="n">
        <v>5000000</v>
      </c>
      <c r="AH120" s="1018">
        <f>AE120*AG120</f>
        <v/>
      </c>
      <c r="AI120" s="1003">
        <f>AH120-AC120</f>
        <v/>
      </c>
      <c r="AJ120" s="93" t="n"/>
      <c r="AK120" s="823" t="n"/>
    </row>
    <row r="121" ht="30.2" customFormat="1" customHeight="1" s="2">
      <c r="B121" s="1005" t="n"/>
      <c r="C121" s="1006" t="n"/>
      <c r="D121" s="1007" t="n"/>
      <c r="E121" s="68" t="inlineStr">
        <is>
          <t>BAR</t>
        </is>
      </c>
      <c r="F121" s="23" t="inlineStr">
        <is>
          <t>목공 BAR</t>
        </is>
      </c>
      <c r="G121" s="141" t="n">
        <v>2</v>
      </c>
      <c r="H121" s="113" t="inlineStr">
        <is>
          <t>set</t>
        </is>
      </c>
      <c r="I121" s="998" t="n">
        <v>1000000</v>
      </c>
      <c r="J121" s="1015">
        <f>G121*I121</f>
        <v/>
      </c>
      <c r="K121" s="1021" t="n">
        <v>2</v>
      </c>
      <c r="L121" s="823" t="inlineStr">
        <is>
          <t>set</t>
        </is>
      </c>
      <c r="M121" s="1001" t="n">
        <v>1000000</v>
      </c>
      <c r="N121" s="1018">
        <f>K121*M121</f>
        <v/>
      </c>
      <c r="O121" s="1078">
        <f>N121-J121</f>
        <v/>
      </c>
      <c r="P121" s="1021" t="n">
        <v>2</v>
      </c>
      <c r="Q121" s="823" t="inlineStr">
        <is>
          <t>set</t>
        </is>
      </c>
      <c r="R121" s="1001" t="n">
        <v>1000000</v>
      </c>
      <c r="S121" s="1018">
        <f>P121*R121</f>
        <v/>
      </c>
      <c r="T121" s="1003">
        <f>S121-N121</f>
        <v/>
      </c>
      <c r="U121" s="1021" t="n">
        <v>2</v>
      </c>
      <c r="V121" s="823" t="inlineStr">
        <is>
          <t>set</t>
        </is>
      </c>
      <c r="W121" s="1001" t="n">
        <v>1000000</v>
      </c>
      <c r="X121" s="1018">
        <f>U121*W121</f>
        <v/>
      </c>
      <c r="Y121" s="1003">
        <f>X121-S121</f>
        <v/>
      </c>
      <c r="Z121" s="1021" t="n">
        <v>2</v>
      </c>
      <c r="AA121" s="823" t="inlineStr">
        <is>
          <t>set</t>
        </is>
      </c>
      <c r="AB121" s="1001" t="n">
        <v>1000000</v>
      </c>
      <c r="AC121" s="1018">
        <f>Z121*AB121</f>
        <v/>
      </c>
      <c r="AD121" s="1003">
        <f>AC121-X121</f>
        <v/>
      </c>
      <c r="AE121" s="1021" t="n">
        <v>2</v>
      </c>
      <c r="AF121" s="823" t="inlineStr">
        <is>
          <t>set</t>
        </is>
      </c>
      <c r="AG121" s="1001" t="n">
        <v>1000000</v>
      </c>
      <c r="AH121" s="1018">
        <f>AE121*AG121</f>
        <v/>
      </c>
      <c r="AI121" s="1003">
        <f>AH121-AC121</f>
        <v/>
      </c>
      <c r="AJ121" s="96" t="n"/>
      <c r="AK121" s="823" t="n"/>
    </row>
    <row r="122" ht="30.2" customFormat="1" customHeight="1" s="2">
      <c r="B122" s="1005" t="n"/>
      <c r="C122" s="1006" t="n"/>
      <c r="D122" s="1007" t="n"/>
      <c r="E122" s="1082" t="inlineStr">
        <is>
          <t>추가 브랜딩</t>
        </is>
      </c>
      <c r="F122" s="105" t="inlineStr">
        <is>
          <t>VIP 천장부 브랜딩 / 9m x 21m</t>
        </is>
      </c>
      <c r="G122" s="142" t="n"/>
      <c r="H122" s="137" t="n"/>
      <c r="I122" s="1083" t="n"/>
      <c r="J122" s="1084" t="n"/>
      <c r="K122" s="1085" t="n">
        <v>1</v>
      </c>
      <c r="L122" s="753" t="inlineStr">
        <is>
          <t>set</t>
        </is>
      </c>
      <c r="M122" s="1086" t="n">
        <v>3402000</v>
      </c>
      <c r="N122" s="1062">
        <f>K122*M122</f>
        <v/>
      </c>
      <c r="O122" s="1087">
        <f>N122-J122</f>
        <v/>
      </c>
      <c r="P122" s="1085" t="n">
        <v>1</v>
      </c>
      <c r="Q122" s="753" t="inlineStr">
        <is>
          <t>set</t>
        </is>
      </c>
      <c r="R122" s="1086" t="n">
        <v>3402000</v>
      </c>
      <c r="S122" s="1062">
        <f>P122*R122</f>
        <v/>
      </c>
      <c r="T122" s="1088">
        <f>S122-N122</f>
        <v/>
      </c>
      <c r="U122" s="1079" t="n">
        <v>1</v>
      </c>
      <c r="V122" s="520" t="inlineStr">
        <is>
          <t>set</t>
        </is>
      </c>
      <c r="W122" s="1089" t="n">
        <v>3402000</v>
      </c>
      <c r="X122" s="1044" t="n"/>
      <c r="Y122" s="1081">
        <f>X122-S122</f>
        <v/>
      </c>
      <c r="Z122" s="1079" t="n">
        <v>1</v>
      </c>
      <c r="AA122" s="520" t="inlineStr">
        <is>
          <t>set</t>
        </is>
      </c>
      <c r="AB122" s="1089" t="n">
        <v>3402000</v>
      </c>
      <c r="AC122" s="1044" t="n"/>
      <c r="AD122" s="1081">
        <f>AC122-X122</f>
        <v/>
      </c>
      <c r="AE122" s="1079" t="n">
        <v>1</v>
      </c>
      <c r="AF122" s="520" t="inlineStr">
        <is>
          <t>set</t>
        </is>
      </c>
      <c r="AG122" s="1089" t="n">
        <v>3402000</v>
      </c>
      <c r="AH122" s="1044" t="n"/>
      <c r="AI122" s="1081">
        <f>AH122-AC122</f>
        <v/>
      </c>
      <c r="AJ122" s="522" t="n"/>
      <c r="AK122" s="520" t="inlineStr">
        <is>
          <t>추가항목</t>
        </is>
      </c>
    </row>
    <row r="123" ht="30.2" customFormat="1" customHeight="1" s="2">
      <c r="B123" s="1005" t="n"/>
      <c r="C123" s="1006" t="n"/>
      <c r="D123" s="1007" t="n"/>
      <c r="E123" s="1005" t="n"/>
      <c r="F123" s="433" t="inlineStr">
        <is>
          <t>VIP 천장부 브랜딩 규모 확장에 따른 추가 비용</t>
        </is>
      </c>
      <c r="G123" s="447" t="n"/>
      <c r="H123" s="434" t="n"/>
      <c r="I123" s="1069" t="n"/>
      <c r="J123" s="1070" t="n"/>
      <c r="K123" s="1090" t="n">
        <v>1</v>
      </c>
      <c r="L123" s="438" t="inlineStr">
        <is>
          <t>set</t>
        </is>
      </c>
      <c r="M123" s="1072">
        <f>M124-M122</f>
        <v/>
      </c>
      <c r="N123" s="1073">
        <f>K123*M123</f>
        <v/>
      </c>
      <c r="O123" s="1076">
        <f>N123-J123</f>
        <v/>
      </c>
      <c r="P123" s="1090" t="n">
        <v>1</v>
      </c>
      <c r="Q123" s="438" t="inlineStr">
        <is>
          <t>set</t>
        </is>
      </c>
      <c r="R123" s="1072">
        <f>R124-R122</f>
        <v/>
      </c>
      <c r="S123" s="1073">
        <f>P123*R123</f>
        <v/>
      </c>
      <c r="T123" s="1075">
        <f>S123-N123</f>
        <v/>
      </c>
      <c r="U123" s="1079" t="n">
        <v>1</v>
      </c>
      <c r="V123" s="520" t="inlineStr">
        <is>
          <t>set</t>
        </is>
      </c>
      <c r="W123" s="1089">
        <f>W124-W122</f>
        <v/>
      </c>
      <c r="X123" s="1044" t="n"/>
      <c r="Y123" s="1081">
        <f>X123-S123</f>
        <v/>
      </c>
      <c r="Z123" s="1079" t="n">
        <v>1</v>
      </c>
      <c r="AA123" s="520" t="inlineStr">
        <is>
          <t>set</t>
        </is>
      </c>
      <c r="AB123" s="1089">
        <f>AB124-AB122</f>
        <v/>
      </c>
      <c r="AC123" s="1044" t="n"/>
      <c r="AD123" s="1081">
        <f>AC123-X123</f>
        <v/>
      </c>
      <c r="AE123" s="1079" t="n">
        <v>1</v>
      </c>
      <c r="AF123" s="520" t="inlineStr">
        <is>
          <t>set</t>
        </is>
      </c>
      <c r="AG123" s="1089">
        <f>AG124-AG122</f>
        <v/>
      </c>
      <c r="AH123" s="1044" t="n"/>
      <c r="AI123" s="1081">
        <f>AH123-AC123</f>
        <v/>
      </c>
      <c r="AJ123" s="522" t="n"/>
      <c r="AK123" s="520" t="inlineStr">
        <is>
          <t>9m x 21m x 1.8m → 11m x 21m x 2.1m</t>
        </is>
      </c>
    </row>
    <row r="124" ht="30.2" customFormat="1" customHeight="1" s="2">
      <c r="B124" s="1005" t="n"/>
      <c r="C124" s="1008" t="n"/>
      <c r="D124" s="996" t="n"/>
      <c r="E124" s="981" t="n"/>
      <c r="F124" s="105" t="inlineStr">
        <is>
          <t>Vip 천장부 브랜딩 / 11m x 21m</t>
        </is>
      </c>
      <c r="G124" s="142" t="n"/>
      <c r="H124" s="137" t="n"/>
      <c r="I124" s="1083" t="n"/>
      <c r="J124" s="1084" t="n"/>
      <c r="K124" s="1085" t="n">
        <v>1</v>
      </c>
      <c r="L124" s="753" t="inlineStr">
        <is>
          <t>set</t>
        </is>
      </c>
      <c r="M124" s="1086" t="n">
        <v>4158000</v>
      </c>
      <c r="N124" s="1062">
        <f>K124*M124</f>
        <v/>
      </c>
      <c r="O124" s="1087">
        <f>N124-J124</f>
        <v/>
      </c>
      <c r="P124" s="1085" t="n">
        <v>1</v>
      </c>
      <c r="Q124" s="753" t="inlineStr">
        <is>
          <t>set</t>
        </is>
      </c>
      <c r="R124" s="1086" t="n">
        <v>4158000</v>
      </c>
      <c r="S124" s="1062">
        <f>P124*R124</f>
        <v/>
      </c>
      <c r="T124" s="1088">
        <f>S124-N124</f>
        <v/>
      </c>
      <c r="U124" s="1079" t="n">
        <v>1</v>
      </c>
      <c r="V124" s="520" t="inlineStr">
        <is>
          <t>set</t>
        </is>
      </c>
      <c r="W124" s="1089" t="n">
        <v>4158000</v>
      </c>
      <c r="X124" s="1044" t="n"/>
      <c r="Y124" s="1081">
        <f>X124-S124</f>
        <v/>
      </c>
      <c r="Z124" s="1079" t="n">
        <v>1</v>
      </c>
      <c r="AA124" s="520" t="inlineStr">
        <is>
          <t>set</t>
        </is>
      </c>
      <c r="AB124" s="1089" t="n">
        <v>4158000</v>
      </c>
      <c r="AC124" s="1044" t="n"/>
      <c r="AD124" s="1081">
        <f>AC124-X124</f>
        <v/>
      </c>
      <c r="AE124" s="1079" t="n">
        <v>1</v>
      </c>
      <c r="AF124" s="520" t="inlineStr">
        <is>
          <t>set</t>
        </is>
      </c>
      <c r="AG124" s="1089" t="n">
        <v>4158000</v>
      </c>
      <c r="AH124" s="1044" t="n"/>
      <c r="AI124" s="1081">
        <f>AH124-AC124</f>
        <v/>
      </c>
      <c r="AJ124" s="523" t="n"/>
      <c r="AK124" s="520" t="inlineStr">
        <is>
          <t>추가항목</t>
        </is>
      </c>
    </row>
    <row r="125" ht="30.2" customFormat="1" customHeight="1" s="2">
      <c r="B125" s="1005" t="n"/>
      <c r="C125" s="874" t="inlineStr">
        <is>
          <t>소계</t>
        </is>
      </c>
      <c r="D125" s="955" t="n"/>
      <c r="E125" s="955" t="n"/>
      <c r="F125" s="955" t="n"/>
      <c r="G125" s="955" t="n"/>
      <c r="H125" s="955" t="n"/>
      <c r="I125" s="949" t="n"/>
      <c r="J125" s="1091">
        <f>SUM(J111:J124)</f>
        <v/>
      </c>
      <c r="K125" s="1066" t="n"/>
      <c r="L125" s="955" t="n"/>
      <c r="M125" s="949" t="n"/>
      <c r="N125" s="1050">
        <f>SUM(N111:N124)</f>
        <v/>
      </c>
      <c r="O125" s="1092">
        <f>SUM(O111:O124)</f>
        <v/>
      </c>
      <c r="P125" s="1066" t="n"/>
      <c r="Q125" s="955" t="n"/>
      <c r="R125" s="949" t="n"/>
      <c r="S125" s="1050">
        <f>SUM(S111:S124)</f>
        <v/>
      </c>
      <c r="T125" s="1093">
        <f>S125-N125</f>
        <v/>
      </c>
      <c r="U125" s="1066" t="n"/>
      <c r="V125" s="955" t="n"/>
      <c r="W125" s="949" t="n"/>
      <c r="X125" s="1050">
        <f>SUM(X111:X124)</f>
        <v/>
      </c>
      <c r="Y125" s="1093">
        <f>X125-S125</f>
        <v/>
      </c>
      <c r="Z125" s="1066" t="n"/>
      <c r="AA125" s="955" t="n"/>
      <c r="AB125" s="949" t="n"/>
      <c r="AC125" s="1050">
        <f>SUM(AC111:AC124)</f>
        <v/>
      </c>
      <c r="AD125" s="1093">
        <f>AC125-X125</f>
        <v/>
      </c>
      <c r="AE125" s="1066" t="n"/>
      <c r="AF125" s="955" t="n"/>
      <c r="AG125" s="949" t="n"/>
      <c r="AH125" s="1050">
        <f>SUM(AH111:AH124)</f>
        <v/>
      </c>
      <c r="AI125" s="1093">
        <f>AH125-AC125</f>
        <v/>
      </c>
      <c r="AJ125" s="94" t="n"/>
      <c r="AK125" s="33" t="n"/>
    </row>
    <row r="126" ht="30.2" customFormat="1" customHeight="1" s="2">
      <c r="B126" s="1005" t="n"/>
      <c r="C126" s="823" t="inlineStr">
        <is>
          <t>FOH</t>
        </is>
      </c>
      <c r="D126" s="997" t="n"/>
      <c r="E126" s="822" t="inlineStr">
        <is>
          <t>무대</t>
        </is>
      </c>
      <c r="F126" s="23" t="inlineStr">
        <is>
          <t>11.8m x 8.2m / 안전난간</t>
        </is>
      </c>
      <c r="G126" s="113" t="n">
        <v>1</v>
      </c>
      <c r="H126" s="113" t="inlineStr">
        <is>
          <t>식</t>
        </is>
      </c>
      <c r="I126" s="998" t="n">
        <v>3000000</v>
      </c>
      <c r="J126" s="1015">
        <f>G126*I126</f>
        <v/>
      </c>
      <c r="K126" s="1000" t="n">
        <v>1</v>
      </c>
      <c r="L126" s="823" t="inlineStr">
        <is>
          <t>식</t>
        </is>
      </c>
      <c r="M126" s="1001" t="n">
        <v>3000000</v>
      </c>
      <c r="N126" s="1018">
        <f>K126*M126</f>
        <v/>
      </c>
      <c r="O126" s="1078">
        <f>N126-J126</f>
        <v/>
      </c>
      <c r="P126" s="1000" t="n">
        <v>1</v>
      </c>
      <c r="Q126" s="823" t="inlineStr">
        <is>
          <t>식</t>
        </is>
      </c>
      <c r="R126" s="1001" t="n">
        <v>3000000</v>
      </c>
      <c r="S126" s="1018">
        <f>P126*R126</f>
        <v/>
      </c>
      <c r="T126" s="1003">
        <f>S126-N126</f>
        <v/>
      </c>
      <c r="U126" s="1000" t="n">
        <v>1</v>
      </c>
      <c r="V126" s="823" t="inlineStr">
        <is>
          <t>식</t>
        </is>
      </c>
      <c r="W126" s="1001" t="n">
        <v>3000000</v>
      </c>
      <c r="X126" s="1018">
        <f>U126*W126</f>
        <v/>
      </c>
      <c r="Y126" s="1003">
        <f>X126-S126</f>
        <v/>
      </c>
      <c r="Z126" s="1000" t="n">
        <v>1</v>
      </c>
      <c r="AA126" s="823" t="inlineStr">
        <is>
          <t>식</t>
        </is>
      </c>
      <c r="AB126" s="1001" t="n">
        <v>3000000</v>
      </c>
      <c r="AC126" s="1018">
        <f>Z126*AB126</f>
        <v/>
      </c>
      <c r="AD126" s="1003">
        <f>AC126-X126</f>
        <v/>
      </c>
      <c r="AE126" s="1000" t="n">
        <v>1</v>
      </c>
      <c r="AF126" s="823" t="inlineStr">
        <is>
          <t>식</t>
        </is>
      </c>
      <c r="AG126" s="1001" t="n">
        <v>3000000</v>
      </c>
      <c r="AH126" s="1018">
        <f>AE126*AG126</f>
        <v/>
      </c>
      <c r="AI126" s="1003">
        <f>AH126-AC126</f>
        <v/>
      </c>
      <c r="AJ126" s="95" t="n"/>
      <c r="AK126" s="823" t="n"/>
    </row>
    <row r="127" ht="30.2" customFormat="1" customHeight="1" s="2">
      <c r="B127" s="1005" t="n"/>
      <c r="C127" s="1006" t="n"/>
      <c r="D127" s="1007" t="n"/>
      <c r="E127" s="981" t="n"/>
      <c r="F127" s="64" t="inlineStr">
        <is>
          <t>인건비  및 운송비</t>
        </is>
      </c>
      <c r="G127" s="1020" t="n">
        <v>1</v>
      </c>
      <c r="H127" s="117" t="inlineStr">
        <is>
          <t>식</t>
        </is>
      </c>
      <c r="I127" s="1014" t="n">
        <v>1000000</v>
      </c>
      <c r="J127" s="1015">
        <f>G127*I127</f>
        <v/>
      </c>
      <c r="K127" s="1021" t="n">
        <v>1</v>
      </c>
      <c r="L127" s="65" t="inlineStr">
        <is>
          <t>식</t>
        </is>
      </c>
      <c r="M127" s="1017" t="n">
        <v>1000000</v>
      </c>
      <c r="N127" s="1018">
        <f>K127*M127</f>
        <v/>
      </c>
      <c r="O127" s="1078">
        <f>N127-J127</f>
        <v/>
      </c>
      <c r="P127" s="1021" t="n">
        <v>1</v>
      </c>
      <c r="Q127" s="65" t="inlineStr">
        <is>
          <t>식</t>
        </is>
      </c>
      <c r="R127" s="1017" t="n">
        <v>1000000</v>
      </c>
      <c r="S127" s="1018">
        <f>P127*R127</f>
        <v/>
      </c>
      <c r="T127" s="1003">
        <f>S127-N127</f>
        <v/>
      </c>
      <c r="U127" s="1021" t="n">
        <v>1</v>
      </c>
      <c r="V127" s="65" t="inlineStr">
        <is>
          <t>식</t>
        </is>
      </c>
      <c r="W127" s="1017" t="n">
        <v>1000000</v>
      </c>
      <c r="X127" s="1018">
        <f>U127*W127</f>
        <v/>
      </c>
      <c r="Y127" s="1003">
        <f>X127-S127</f>
        <v/>
      </c>
      <c r="Z127" s="1021" t="n">
        <v>1</v>
      </c>
      <c r="AA127" s="65" t="inlineStr">
        <is>
          <t>식</t>
        </is>
      </c>
      <c r="AB127" s="1017" t="n">
        <v>1000000</v>
      </c>
      <c r="AC127" s="1018">
        <f>Z127*AB127</f>
        <v/>
      </c>
      <c r="AD127" s="1003">
        <f>AC127-X127</f>
        <v/>
      </c>
      <c r="AE127" s="1021" t="n">
        <v>1</v>
      </c>
      <c r="AF127" s="65" t="inlineStr">
        <is>
          <t>식</t>
        </is>
      </c>
      <c r="AG127" s="1017" t="n">
        <v>1000000</v>
      </c>
      <c r="AH127" s="1018">
        <f>AE127*AG127</f>
        <v/>
      </c>
      <c r="AI127" s="1003">
        <f>AH127-AC127</f>
        <v/>
      </c>
      <c r="AJ127" s="95" t="n"/>
      <c r="AK127" s="823" t="n"/>
    </row>
    <row r="128" ht="30.2" customFormat="1" customHeight="1" s="2">
      <c r="B128" s="1005" t="n"/>
      <c r="C128" s="1006" t="n"/>
      <c r="D128" s="1007" t="n"/>
      <c r="E128" s="822" t="inlineStr">
        <is>
          <t>트러스</t>
        </is>
      </c>
      <c r="F128" s="64" t="inlineStr">
        <is>
          <t>헤비트러스  12m x 9m</t>
        </is>
      </c>
      <c r="G128" s="113" t="n">
        <v>1</v>
      </c>
      <c r="H128" s="117" t="inlineStr">
        <is>
          <t>식</t>
        </is>
      </c>
      <c r="I128" s="998" t="n">
        <v>3500000</v>
      </c>
      <c r="J128" s="1015">
        <f>G128*I128</f>
        <v/>
      </c>
      <c r="K128" s="1000" t="n">
        <v>1</v>
      </c>
      <c r="L128" s="65" t="inlineStr">
        <is>
          <t>식</t>
        </is>
      </c>
      <c r="M128" s="1001" t="n">
        <v>3500000</v>
      </c>
      <c r="N128" s="1018">
        <f>K128*M128</f>
        <v/>
      </c>
      <c r="O128" s="1078">
        <f>N128-J128</f>
        <v/>
      </c>
      <c r="P128" s="1000" t="n">
        <v>1</v>
      </c>
      <c r="Q128" s="65" t="inlineStr">
        <is>
          <t>식</t>
        </is>
      </c>
      <c r="R128" s="1001" t="n">
        <v>3500000</v>
      </c>
      <c r="S128" s="1018">
        <f>P128*R128</f>
        <v/>
      </c>
      <c r="T128" s="1003">
        <f>S128-N128</f>
        <v/>
      </c>
      <c r="U128" s="1000" t="n">
        <v>1</v>
      </c>
      <c r="V128" s="65" t="inlineStr">
        <is>
          <t>식</t>
        </is>
      </c>
      <c r="W128" s="1001" t="n">
        <v>3500000</v>
      </c>
      <c r="X128" s="1018">
        <f>U128*W128</f>
        <v/>
      </c>
      <c r="Y128" s="1003">
        <f>X128-S128</f>
        <v/>
      </c>
      <c r="Z128" s="1000" t="n">
        <v>1</v>
      </c>
      <c r="AA128" s="65" t="inlineStr">
        <is>
          <t>식</t>
        </is>
      </c>
      <c r="AB128" s="1001" t="n">
        <v>3500000</v>
      </c>
      <c r="AC128" s="1018">
        <f>Z128*AB128</f>
        <v/>
      </c>
      <c r="AD128" s="1003">
        <f>AC128-X128</f>
        <v/>
      </c>
      <c r="AE128" s="1000" t="n">
        <v>1</v>
      </c>
      <c r="AF128" s="65" t="inlineStr">
        <is>
          <t>식</t>
        </is>
      </c>
      <c r="AG128" s="1001" t="n">
        <v>3500000</v>
      </c>
      <c r="AH128" s="1018">
        <f>AE128*AG128</f>
        <v/>
      </c>
      <c r="AI128" s="1003">
        <f>AH128-AC128</f>
        <v/>
      </c>
      <c r="AJ128" s="95" t="n"/>
      <c r="AK128" s="823" t="n"/>
    </row>
    <row r="129" ht="30.2" customFormat="1" customHeight="1" s="2">
      <c r="B129" s="1005" t="n"/>
      <c r="C129" s="1006" t="n"/>
      <c r="D129" s="1007" t="n"/>
      <c r="E129" s="1005" t="n"/>
      <c r="F129" s="64" t="inlineStr">
        <is>
          <t>루프</t>
        </is>
      </c>
      <c r="G129" s="113" t="n">
        <v>1</v>
      </c>
      <c r="H129" s="117" t="inlineStr">
        <is>
          <t>ea</t>
        </is>
      </c>
      <c r="I129" s="998" t="n">
        <v>1000000</v>
      </c>
      <c r="J129" s="1015">
        <f>G129*I129</f>
        <v/>
      </c>
      <c r="K129" s="1000" t="n">
        <v>1</v>
      </c>
      <c r="L129" s="65" t="inlineStr">
        <is>
          <t>ea</t>
        </is>
      </c>
      <c r="M129" s="1001" t="n">
        <v>1000000</v>
      </c>
      <c r="N129" s="1018">
        <f>K129*M129</f>
        <v/>
      </c>
      <c r="O129" s="1078">
        <f>N129-J129</f>
        <v/>
      </c>
      <c r="P129" s="1000" t="n">
        <v>1</v>
      </c>
      <c r="Q129" s="65" t="inlineStr">
        <is>
          <t>ea</t>
        </is>
      </c>
      <c r="R129" s="1001" t="n">
        <v>1000000</v>
      </c>
      <c r="S129" s="1018">
        <f>P129*R129</f>
        <v/>
      </c>
      <c r="T129" s="1003">
        <f>S129-N129</f>
        <v/>
      </c>
      <c r="U129" s="1000" t="n">
        <v>1</v>
      </c>
      <c r="V129" s="65" t="inlineStr">
        <is>
          <t>ea</t>
        </is>
      </c>
      <c r="W129" s="1001" t="n">
        <v>1000000</v>
      </c>
      <c r="X129" s="1018">
        <f>U129*W129</f>
        <v/>
      </c>
      <c r="Y129" s="1003">
        <f>X129-S129</f>
        <v/>
      </c>
      <c r="Z129" s="1000" t="n">
        <v>1</v>
      </c>
      <c r="AA129" s="65" t="inlineStr">
        <is>
          <t>ea</t>
        </is>
      </c>
      <c r="AB129" s="1001" t="n">
        <v>1000000</v>
      </c>
      <c r="AC129" s="1018">
        <f>Z129*AB129</f>
        <v/>
      </c>
      <c r="AD129" s="1003">
        <f>AC129-X129</f>
        <v/>
      </c>
      <c r="AE129" s="1000" t="n">
        <v>1</v>
      </c>
      <c r="AF129" s="65" t="inlineStr">
        <is>
          <t>ea</t>
        </is>
      </c>
      <c r="AG129" s="1001" t="n">
        <v>1000000</v>
      </c>
      <c r="AH129" s="1018">
        <f>AE129*AG129</f>
        <v/>
      </c>
      <c r="AI129" s="1003">
        <f>AH129-AC129</f>
        <v/>
      </c>
      <c r="AJ129" s="95" t="n"/>
      <c r="AK129" s="823" t="n"/>
    </row>
    <row r="130" ht="30.2" customFormat="1" customHeight="1" s="2">
      <c r="B130" s="1005" t="n"/>
      <c r="C130" s="1008" t="n"/>
      <c r="D130" s="996" t="n"/>
      <c r="E130" s="981" t="n"/>
      <c r="F130" s="64" t="inlineStr">
        <is>
          <t>인건비  및 운송비</t>
        </is>
      </c>
      <c r="G130" s="113" t="n">
        <v>1</v>
      </c>
      <c r="H130" s="117" t="inlineStr">
        <is>
          <t>식</t>
        </is>
      </c>
      <c r="I130" s="998" t="n">
        <v>600000</v>
      </c>
      <c r="J130" s="1015">
        <f>G130*I130</f>
        <v/>
      </c>
      <c r="K130" s="1000" t="n">
        <v>1</v>
      </c>
      <c r="L130" s="65" t="inlineStr">
        <is>
          <t>식</t>
        </is>
      </c>
      <c r="M130" s="1001" t="n">
        <v>600000</v>
      </c>
      <c r="N130" s="1018">
        <f>K130*M130</f>
        <v/>
      </c>
      <c r="O130" s="1078">
        <f>N130-J130</f>
        <v/>
      </c>
      <c r="P130" s="1000" t="n">
        <v>1</v>
      </c>
      <c r="Q130" s="65" t="inlineStr">
        <is>
          <t>식</t>
        </is>
      </c>
      <c r="R130" s="1001" t="n">
        <v>600000</v>
      </c>
      <c r="S130" s="1018">
        <f>P130*R130</f>
        <v/>
      </c>
      <c r="T130" s="1003">
        <f>S130-N130</f>
        <v/>
      </c>
      <c r="U130" s="1000" t="n">
        <v>1</v>
      </c>
      <c r="V130" s="65" t="inlineStr">
        <is>
          <t>식</t>
        </is>
      </c>
      <c r="W130" s="1001" t="n">
        <v>600000</v>
      </c>
      <c r="X130" s="1018">
        <f>U130*W130</f>
        <v/>
      </c>
      <c r="Y130" s="1003">
        <f>X130-S130</f>
        <v/>
      </c>
      <c r="Z130" s="1000" t="n">
        <v>1</v>
      </c>
      <c r="AA130" s="65" t="inlineStr">
        <is>
          <t>식</t>
        </is>
      </c>
      <c r="AB130" s="1001" t="n">
        <v>600000</v>
      </c>
      <c r="AC130" s="1018">
        <f>Z130*AB130</f>
        <v/>
      </c>
      <c r="AD130" s="1003">
        <f>AC130-X130</f>
        <v/>
      </c>
      <c r="AE130" s="1000" t="n">
        <v>1</v>
      </c>
      <c r="AF130" s="65" t="inlineStr">
        <is>
          <t>식</t>
        </is>
      </c>
      <c r="AG130" s="1001" t="n">
        <v>600000</v>
      </c>
      <c r="AH130" s="1018">
        <f>AE130*AG130</f>
        <v/>
      </c>
      <c r="AI130" s="1003">
        <f>AH130-AC130</f>
        <v/>
      </c>
      <c r="AJ130" s="95" t="n"/>
      <c r="AK130" s="823" t="n"/>
    </row>
    <row r="131" ht="30.2" customHeight="1" s="972">
      <c r="B131" s="981" t="n"/>
      <c r="C131" s="1064" t="inlineStr">
        <is>
          <t>소계</t>
        </is>
      </c>
      <c r="D131" s="1053" t="n"/>
      <c r="E131" s="1053" t="n"/>
      <c r="F131" s="1053" t="n"/>
      <c r="G131" s="1053" t="n"/>
      <c r="H131" s="1053" t="n"/>
      <c r="I131" s="997" t="n"/>
      <c r="J131" s="1091">
        <f>SUM(J126:J130)</f>
        <v/>
      </c>
      <c r="K131" s="1066" t="n"/>
      <c r="L131" s="955" t="n"/>
      <c r="M131" s="949" t="n"/>
      <c r="N131" s="1050">
        <f>SUM(N126:N130)</f>
        <v/>
      </c>
      <c r="O131" s="1051">
        <f>SUM(O126:O130)</f>
        <v/>
      </c>
      <c r="P131" s="1066" t="n"/>
      <c r="Q131" s="955" t="n"/>
      <c r="R131" s="949" t="n"/>
      <c r="S131" s="1050">
        <f>SUM(S126:S130)</f>
        <v/>
      </c>
      <c r="T131" s="1093">
        <f>S131-N131</f>
        <v/>
      </c>
      <c r="U131" s="1066" t="n"/>
      <c r="V131" s="955" t="n"/>
      <c r="W131" s="949" t="n"/>
      <c r="X131" s="1050">
        <f>SUM(X126:X130)</f>
        <v/>
      </c>
      <c r="Y131" s="1093">
        <f>X131-S131</f>
        <v/>
      </c>
      <c r="Z131" s="1066" t="n"/>
      <c r="AA131" s="955" t="n"/>
      <c r="AB131" s="949" t="n"/>
      <c r="AC131" s="1050">
        <f>SUM(AC126:AC130)</f>
        <v/>
      </c>
      <c r="AD131" s="1093">
        <f>AC131-X131</f>
        <v/>
      </c>
      <c r="AE131" s="1066" t="n"/>
      <c r="AF131" s="955" t="n"/>
      <c r="AG131" s="949" t="n"/>
      <c r="AH131" s="1050">
        <f>SUM(AH126:AH130)</f>
        <v/>
      </c>
      <c r="AI131" s="1093">
        <f>AH131-AC131</f>
        <v/>
      </c>
      <c r="AJ131" s="94" t="n"/>
      <c r="AK131" s="33" t="n"/>
    </row>
    <row r="132" ht="30.2" customHeight="1" s="972">
      <c r="B132" s="875" t="inlineStr">
        <is>
          <t>2 프로덕션 소계</t>
        </is>
      </c>
      <c r="C132" s="955" t="n"/>
      <c r="D132" s="955" t="n"/>
      <c r="E132" s="955" t="n"/>
      <c r="F132" s="955" t="n"/>
      <c r="G132" s="955" t="n"/>
      <c r="H132" s="955" t="n"/>
      <c r="I132" s="949" t="n"/>
      <c r="J132" s="1009">
        <f>SUM(J131,J125,J110,J86,)</f>
        <v/>
      </c>
      <c r="K132" s="1094" t="n"/>
      <c r="L132" s="955" t="n"/>
      <c r="M132" s="949" t="n"/>
      <c r="N132" s="1095">
        <f>SUM(N131,N125,N110,N86,)</f>
        <v/>
      </c>
      <c r="O132" s="1096">
        <f>SUM(O131,O125,O110,O86,)</f>
        <v/>
      </c>
      <c r="P132" s="1094" t="n"/>
      <c r="Q132" s="955" t="n"/>
      <c r="R132" s="949" t="n"/>
      <c r="S132" s="1095">
        <f>SUM(S131,S125,S110,S86,)</f>
        <v/>
      </c>
      <c r="T132" s="1012">
        <f>S132-N132</f>
        <v/>
      </c>
      <c r="U132" s="1094" t="n"/>
      <c r="V132" s="955" t="n"/>
      <c r="W132" s="949" t="n"/>
      <c r="X132" s="1095">
        <f>SUM(X131,X125,X110,X86,)</f>
        <v/>
      </c>
      <c r="Y132" s="1012">
        <f>X132-S132</f>
        <v/>
      </c>
      <c r="Z132" s="1094" t="n"/>
      <c r="AA132" s="955" t="n"/>
      <c r="AB132" s="949" t="n"/>
      <c r="AC132" s="1095">
        <f>SUM(AC131,AC125,AC110,AC86,)</f>
        <v/>
      </c>
      <c r="AD132" s="1012">
        <f>AC132-X132</f>
        <v/>
      </c>
      <c r="AE132" s="1094" t="n"/>
      <c r="AF132" s="955" t="n"/>
      <c r="AG132" s="949" t="n"/>
      <c r="AH132" s="1095">
        <f>SUM(AH131,AH125,AH110,AH86,)</f>
        <v/>
      </c>
      <c r="AI132" s="1012">
        <f>AH132-AC132</f>
        <v/>
      </c>
      <c r="AJ132" s="1097" t="n"/>
      <c r="AK132" s="57" t="n"/>
    </row>
    <row r="133" ht="30.2" customFormat="1" customHeight="1" s="2">
      <c r="B133" s="34" t="inlineStr">
        <is>
          <t>3. 아티스트</t>
        </is>
      </c>
      <c r="C133" s="753" t="inlineStr">
        <is>
          <t>아티스트 섭외비</t>
        </is>
      </c>
      <c r="D133" s="753" t="inlineStr">
        <is>
          <t>메인스테이지</t>
        </is>
      </c>
      <c r="E133" s="173" t="inlineStr">
        <is>
          <t>국내</t>
        </is>
      </c>
      <c r="F133" s="174" t="inlineStr">
        <is>
          <t>로컬 아티스트</t>
        </is>
      </c>
      <c r="G133" s="179" t="n">
        <v>1</v>
      </c>
      <c r="H133" s="179" t="inlineStr">
        <is>
          <t>set</t>
        </is>
      </c>
      <c r="I133" s="1098" t="n">
        <v>100000000</v>
      </c>
      <c r="J133" s="1099">
        <f>G133*I133</f>
        <v/>
      </c>
      <c r="K133" s="1100" t="n">
        <v>1</v>
      </c>
      <c r="L133" s="1101" t="inlineStr">
        <is>
          <t>set</t>
        </is>
      </c>
      <c r="M133" s="1102" t="n">
        <v>288000000</v>
      </c>
      <c r="N133" s="1103">
        <f>K133*M133</f>
        <v/>
      </c>
      <c r="O133" s="1104">
        <f>N133-J133-J134</f>
        <v/>
      </c>
      <c r="P133" s="1100" t="n">
        <v>1</v>
      </c>
      <c r="Q133" s="1101" t="inlineStr">
        <is>
          <t>set</t>
        </is>
      </c>
      <c r="R133" s="1102" t="n">
        <v>288000000</v>
      </c>
      <c r="S133" s="1103">
        <f>P133*R133</f>
        <v/>
      </c>
      <c r="T133" s="1104" t="n">
        <v>0</v>
      </c>
      <c r="U133" s="1100" t="n">
        <v>1</v>
      </c>
      <c r="V133" s="1101" t="inlineStr">
        <is>
          <t>set</t>
        </is>
      </c>
      <c r="W133" s="1102" t="n">
        <v>288000000</v>
      </c>
      <c r="X133" s="1103">
        <f>U133*W133</f>
        <v/>
      </c>
      <c r="Y133" s="1104">
        <f>X133-S133</f>
        <v/>
      </c>
      <c r="Z133" s="1100" t="n">
        <v>1</v>
      </c>
      <c r="AA133" s="1101" t="inlineStr">
        <is>
          <t>set</t>
        </is>
      </c>
      <c r="AB133" s="1102" t="n">
        <v>288000000</v>
      </c>
      <c r="AC133" s="1103">
        <f>Z133*AB133</f>
        <v/>
      </c>
      <c r="AD133" s="1104">
        <f>AC133-X133</f>
        <v/>
      </c>
      <c r="AE133" s="1100" t="n">
        <v>1</v>
      </c>
      <c r="AF133" s="1101" t="inlineStr">
        <is>
          <t>set</t>
        </is>
      </c>
      <c r="AG133" s="1102" t="n">
        <v>288000000</v>
      </c>
      <c r="AH133" s="1103">
        <f>AE133*AG133</f>
        <v/>
      </c>
      <c r="AI133" s="1104">
        <f>AH133-AC133</f>
        <v/>
      </c>
      <c r="AJ133" s="1105" t="n"/>
      <c r="AK133" s="753" t="n"/>
    </row>
    <row r="134" ht="30.2" customFormat="1" customHeight="1" s="2">
      <c r="B134" s="1005" t="n"/>
      <c r="C134" s="1005" t="n"/>
      <c r="D134" s="981" t="n"/>
      <c r="E134" s="173" t="inlineStr">
        <is>
          <t>헤드라이너</t>
        </is>
      </c>
      <c r="F134" s="174" t="inlineStr">
        <is>
          <t>해외 및 국내 헤드라이너</t>
        </is>
      </c>
      <c r="G134" s="179" t="n">
        <v>1</v>
      </c>
      <c r="H134" s="179" t="inlineStr">
        <is>
          <t>set</t>
        </is>
      </c>
      <c r="I134" s="1098" t="n">
        <v>130000000</v>
      </c>
      <c r="J134" s="1099">
        <f>G134*I134</f>
        <v/>
      </c>
      <c r="K134" s="1106" t="n"/>
      <c r="L134" s="981" t="n"/>
      <c r="M134" s="981" t="n"/>
      <c r="N134" s="981" t="n"/>
      <c r="O134" s="1107" t="n"/>
      <c r="P134" s="1106" t="n"/>
      <c r="Q134" s="981" t="n"/>
      <c r="R134" s="981" t="n"/>
      <c r="S134" s="981" t="n"/>
      <c r="T134" s="1107" t="n"/>
      <c r="U134" s="1106" t="n"/>
      <c r="V134" s="981" t="n"/>
      <c r="W134" s="981" t="n"/>
      <c r="X134" s="981" t="n"/>
      <c r="Y134" s="1107" t="n"/>
      <c r="Z134" s="1106" t="n"/>
      <c r="AA134" s="981" t="n"/>
      <c r="AB134" s="981" t="n"/>
      <c r="AC134" s="981" t="n"/>
      <c r="AD134" s="1107" t="n"/>
      <c r="AE134" s="1106" t="n"/>
      <c r="AF134" s="981" t="n"/>
      <c r="AG134" s="981" t="n"/>
      <c r="AH134" s="981" t="n"/>
      <c r="AI134" s="1107" t="n"/>
      <c r="AJ134" s="996" t="n"/>
      <c r="AK134" s="981" t="n"/>
    </row>
    <row r="135" ht="30.2" customFormat="1" customHeight="1" s="2">
      <c r="B135" s="1005" t="n"/>
      <c r="C135" s="981" t="n"/>
      <c r="D135" s="753" t="inlineStr">
        <is>
          <t>블루스테이지</t>
        </is>
      </c>
      <c r="E135" s="173" t="inlineStr">
        <is>
          <t>국내</t>
        </is>
      </c>
      <c r="F135" s="174" t="inlineStr">
        <is>
          <t>국내팀</t>
        </is>
      </c>
      <c r="G135" s="179" t="n">
        <v>1</v>
      </c>
      <c r="H135" s="180" t="inlineStr">
        <is>
          <t>set</t>
        </is>
      </c>
      <c r="I135" s="1108" t="n">
        <v>20000000</v>
      </c>
      <c r="J135" s="1099" t="n">
        <v>20000000</v>
      </c>
      <c r="K135" s="1109" t="n">
        <v>1</v>
      </c>
      <c r="L135" s="1110" t="inlineStr">
        <is>
          <t>set</t>
        </is>
      </c>
      <c r="M135" s="1111" t="n">
        <v>12000000</v>
      </c>
      <c r="N135" s="1112">
        <f>K135*M135</f>
        <v/>
      </c>
      <c r="O135" s="1113">
        <f>N135-J135</f>
        <v/>
      </c>
      <c r="P135" s="1109" t="n">
        <v>1</v>
      </c>
      <c r="Q135" s="1110" t="inlineStr">
        <is>
          <t>set</t>
        </is>
      </c>
      <c r="R135" s="1111" t="n">
        <v>12000000</v>
      </c>
      <c r="S135" s="1112">
        <f>P135*R135</f>
        <v/>
      </c>
      <c r="T135" s="1088">
        <f>S135-N135</f>
        <v/>
      </c>
      <c r="U135" s="1109" t="n">
        <v>1</v>
      </c>
      <c r="V135" s="1110" t="inlineStr">
        <is>
          <t>set</t>
        </is>
      </c>
      <c r="W135" s="1111" t="n">
        <v>12000000</v>
      </c>
      <c r="X135" s="1112">
        <f>U135*W135</f>
        <v/>
      </c>
      <c r="Y135" s="1113">
        <f>X135-S135</f>
        <v/>
      </c>
      <c r="Z135" s="1109" t="n">
        <v>1</v>
      </c>
      <c r="AA135" s="1110" t="inlineStr">
        <is>
          <t>set</t>
        </is>
      </c>
      <c r="AB135" s="1111" t="n">
        <v>12000000</v>
      </c>
      <c r="AC135" s="1112">
        <f>Z135*AB135</f>
        <v/>
      </c>
      <c r="AD135" s="1113">
        <f>AC135-X135</f>
        <v/>
      </c>
      <c r="AE135" s="1109" t="n">
        <v>1</v>
      </c>
      <c r="AF135" s="1110" t="inlineStr">
        <is>
          <t>set</t>
        </is>
      </c>
      <c r="AG135" s="1111" t="n">
        <v>12000000</v>
      </c>
      <c r="AH135" s="1112">
        <f>AE135*AG135</f>
        <v/>
      </c>
      <c r="AI135" s="1113">
        <f>AH135-AC135</f>
        <v/>
      </c>
      <c r="AJ135" s="1105" t="n"/>
      <c r="AK135" s="753" t="n"/>
    </row>
    <row r="136" ht="32.25" customFormat="1" customHeight="1" s="2">
      <c r="B136" s="1005" t="n"/>
      <c r="C136" s="1064" t="inlineStr">
        <is>
          <t>소계</t>
        </is>
      </c>
      <c r="D136" s="1053" t="n"/>
      <c r="E136" s="1053" t="n"/>
      <c r="F136" s="1053" t="n"/>
      <c r="G136" s="1053" t="n"/>
      <c r="H136" s="1053" t="n"/>
      <c r="I136" s="997" t="n"/>
      <c r="J136" s="1114">
        <f>SUM(J133:J135)</f>
        <v/>
      </c>
      <c r="K136" s="1115" t="n"/>
      <c r="L136" s="955" t="n"/>
      <c r="M136" s="949" t="n"/>
      <c r="N136" s="1116">
        <f>SUM(N133:N135)</f>
        <v/>
      </c>
      <c r="O136" s="1117">
        <f>SUM(O133:O135)</f>
        <v/>
      </c>
      <c r="P136" s="1115" t="n"/>
      <c r="Q136" s="955" t="n"/>
      <c r="R136" s="949" t="n"/>
      <c r="S136" s="1116">
        <f>SUM(S133:S135)</f>
        <v/>
      </c>
      <c r="T136" s="1117">
        <f>SUM(T133:T135)</f>
        <v/>
      </c>
      <c r="U136" s="1115" t="n"/>
      <c r="V136" s="955" t="n"/>
      <c r="W136" s="949" t="n"/>
      <c r="X136" s="1116">
        <f>SUM(X133:X135)</f>
        <v/>
      </c>
      <c r="Y136" s="1117">
        <f>SUM(Y133:Y135)</f>
        <v/>
      </c>
      <c r="Z136" s="1115" t="n"/>
      <c r="AA136" s="955" t="n"/>
      <c r="AB136" s="949" t="n"/>
      <c r="AC136" s="1116">
        <f>SUM(AC133:AC135)</f>
        <v/>
      </c>
      <c r="AD136" s="1117">
        <f>SUM(AD133:AD135)</f>
        <v/>
      </c>
      <c r="AE136" s="1115" t="n"/>
      <c r="AF136" s="955" t="n"/>
      <c r="AG136" s="949" t="n"/>
      <c r="AH136" s="1116">
        <f>SUM(AH133:AH135)</f>
        <v/>
      </c>
      <c r="AI136" s="1117">
        <f>SUM(AI133:AI135)</f>
        <v/>
      </c>
      <c r="AJ136" s="1118" t="n"/>
      <c r="AK136" s="33" t="n"/>
    </row>
    <row r="137" ht="32.25" customFormat="1" customHeight="1" s="2">
      <c r="B137" s="1005" t="n"/>
      <c r="C137" s="823" t="inlineStr">
        <is>
          <t>아티스트 하스피탈리티</t>
        </is>
      </c>
      <c r="D137" s="753" t="inlineStr">
        <is>
          <t>해외 아티스트</t>
        </is>
      </c>
      <c r="E137" s="1119" t="inlineStr">
        <is>
          <t>하스피탈리티</t>
        </is>
      </c>
      <c r="F137" s="174" t="inlineStr">
        <is>
          <t>아티스트 호텔</t>
        </is>
      </c>
      <c r="G137" s="179" t="n">
        <v>1</v>
      </c>
      <c r="H137" s="189" t="inlineStr">
        <is>
          <t>set</t>
        </is>
      </c>
      <c r="I137" s="1098" t="n">
        <v>6000000</v>
      </c>
      <c r="J137" s="1099">
        <f>G137*I137</f>
        <v/>
      </c>
      <c r="K137" s="1100" t="n"/>
      <c r="L137" s="190" t="n"/>
      <c r="M137" s="190" t="n"/>
      <c r="N137" s="1112">
        <f>K137*M137</f>
        <v/>
      </c>
      <c r="O137" s="1120">
        <f>N137-J137</f>
        <v/>
      </c>
      <c r="P137" s="1100" t="n"/>
      <c r="Q137" s="190" t="n"/>
      <c r="R137" s="190" t="n"/>
      <c r="S137" s="1112">
        <f>P137*R137</f>
        <v/>
      </c>
      <c r="T137" s="1088">
        <f>S137-N137</f>
        <v/>
      </c>
      <c r="U137" s="1100" t="n"/>
      <c r="V137" s="190" t="n"/>
      <c r="W137" s="190" t="n"/>
      <c r="X137" s="1112">
        <f>U137*W137</f>
        <v/>
      </c>
      <c r="Y137" s="1120">
        <f>X137-T137</f>
        <v/>
      </c>
      <c r="Z137" s="1100" t="n"/>
      <c r="AA137" s="190" t="n"/>
      <c r="AB137" s="190" t="n"/>
      <c r="AC137" s="1112">
        <f>Z137*AB137</f>
        <v/>
      </c>
      <c r="AD137" s="1120">
        <f>AC137-Y137</f>
        <v/>
      </c>
      <c r="AE137" s="1100" t="n"/>
      <c r="AF137" s="190" t="n"/>
      <c r="AG137" s="190" t="n"/>
      <c r="AH137" s="1112">
        <f>AE137*AG137</f>
        <v/>
      </c>
      <c r="AI137" s="1120">
        <f>AH137-AD137</f>
        <v/>
      </c>
      <c r="AJ137" s="1121" t="n"/>
      <c r="AK137" s="1122" t="inlineStr">
        <is>
          <t>해외 아티스트 미섭외로 생략</t>
        </is>
      </c>
    </row>
    <row r="138" ht="32.25" customFormat="1" customHeight="1" s="2">
      <c r="B138" s="1005" t="n"/>
      <c r="C138" s="1005" t="n"/>
      <c r="D138" s="1005" t="n"/>
      <c r="E138" s="1123" t="n"/>
      <c r="F138" s="174" t="inlineStr">
        <is>
          <t>아티스트 의전 차량</t>
        </is>
      </c>
      <c r="G138" s="179" t="n">
        <v>1</v>
      </c>
      <c r="H138" s="189" t="inlineStr">
        <is>
          <t>team</t>
        </is>
      </c>
      <c r="I138" s="1098" t="n">
        <v>4000000</v>
      </c>
      <c r="J138" s="1099">
        <f>G138*I138</f>
        <v/>
      </c>
      <c r="K138" s="1100" t="n"/>
      <c r="L138" s="190" t="n"/>
      <c r="M138" s="190" t="n"/>
      <c r="N138" s="1112">
        <f>K138*M138</f>
        <v/>
      </c>
      <c r="O138" s="1120">
        <f>N138-J138</f>
        <v/>
      </c>
      <c r="P138" s="1100" t="n"/>
      <c r="Q138" s="190" t="n"/>
      <c r="R138" s="190" t="n"/>
      <c r="S138" s="1112">
        <f>P138*R138</f>
        <v/>
      </c>
      <c r="T138" s="1088">
        <f>S138-N138</f>
        <v/>
      </c>
      <c r="U138" s="1100" t="n"/>
      <c r="V138" s="190" t="n"/>
      <c r="W138" s="190" t="n"/>
      <c r="X138" s="1112">
        <f>U138*W138</f>
        <v/>
      </c>
      <c r="Y138" s="1120">
        <f>X138-T138</f>
        <v/>
      </c>
      <c r="Z138" s="1100" t="n"/>
      <c r="AA138" s="190" t="n"/>
      <c r="AB138" s="190" t="n"/>
      <c r="AC138" s="1112">
        <f>Z138*AB138</f>
        <v/>
      </c>
      <c r="AD138" s="1120">
        <f>AC138-Y138</f>
        <v/>
      </c>
      <c r="AE138" s="1100" t="n"/>
      <c r="AF138" s="190" t="n"/>
      <c r="AG138" s="190" t="n"/>
      <c r="AH138" s="1112">
        <f>AE138*AG138</f>
        <v/>
      </c>
      <c r="AI138" s="1120">
        <f>AH138-AD138</f>
        <v/>
      </c>
      <c r="AJ138" s="1121" t="n"/>
      <c r="AK138" s="1005" t="n"/>
    </row>
    <row r="139" ht="32.25" customFormat="1" customHeight="1" s="2">
      <c r="B139" s="1005" t="n"/>
      <c r="C139" s="1005" t="n"/>
      <c r="D139" s="981" t="n"/>
      <c r="E139" s="1124" t="n"/>
      <c r="F139" s="174" t="inlineStr">
        <is>
          <t>아티스트 케어 인력</t>
        </is>
      </c>
      <c r="G139" s="179" t="n">
        <v>9</v>
      </c>
      <c r="H139" s="189" t="inlineStr">
        <is>
          <t>인</t>
        </is>
      </c>
      <c r="I139" s="1098" t="n">
        <v>200000</v>
      </c>
      <c r="J139" s="1099">
        <f>G139*I139</f>
        <v/>
      </c>
      <c r="K139" s="1100" t="n"/>
      <c r="L139" s="190" t="n"/>
      <c r="M139" s="190" t="n"/>
      <c r="N139" s="1112">
        <f>K139*M139</f>
        <v/>
      </c>
      <c r="O139" s="1120">
        <f>N139-J139</f>
        <v/>
      </c>
      <c r="P139" s="1100" t="n"/>
      <c r="Q139" s="190" t="n"/>
      <c r="R139" s="190" t="n"/>
      <c r="S139" s="1112">
        <f>P139*R139</f>
        <v/>
      </c>
      <c r="T139" s="1088">
        <f>S139-N139</f>
        <v/>
      </c>
      <c r="U139" s="1100" t="n"/>
      <c r="V139" s="190" t="n"/>
      <c r="W139" s="190" t="n"/>
      <c r="X139" s="1112">
        <f>U139*W139</f>
        <v/>
      </c>
      <c r="Y139" s="1120">
        <f>X139-T139</f>
        <v/>
      </c>
      <c r="Z139" s="1100" t="n"/>
      <c r="AA139" s="190" t="n"/>
      <c r="AB139" s="190" t="n"/>
      <c r="AC139" s="1112">
        <f>Z139*AB139</f>
        <v/>
      </c>
      <c r="AD139" s="1120">
        <f>AC139-Y139</f>
        <v/>
      </c>
      <c r="AE139" s="1100" t="n"/>
      <c r="AF139" s="190" t="n"/>
      <c r="AG139" s="190" t="n"/>
      <c r="AH139" s="1112">
        <f>AE139*AG139</f>
        <v/>
      </c>
      <c r="AI139" s="1120">
        <f>AH139-AD139</f>
        <v/>
      </c>
      <c r="AJ139" s="1121" t="n"/>
      <c r="AK139" s="981" t="n"/>
    </row>
    <row r="140" ht="30.2" customFormat="1" customHeight="1" s="2">
      <c r="B140" s="1005" t="n"/>
      <c r="C140" s="1005" t="n"/>
      <c r="D140" s="823" t="inlineStr">
        <is>
          <t>백스테이지</t>
        </is>
      </c>
      <c r="E140" s="1125" t="inlineStr">
        <is>
          <t>하스피탈리티</t>
        </is>
      </c>
      <c r="F140" s="45" t="inlineStr">
        <is>
          <t>백스테이지 관리 인력</t>
        </is>
      </c>
      <c r="G140" s="162" t="n">
        <v>12</v>
      </c>
      <c r="H140" s="172" t="inlineStr">
        <is>
          <t>인</t>
        </is>
      </c>
      <c r="I140" s="1126" t="n">
        <v>180000</v>
      </c>
      <c r="J140" s="999">
        <f>G140*I140</f>
        <v/>
      </c>
      <c r="K140" s="1127" t="n">
        <v>12</v>
      </c>
      <c r="L140" s="50" t="inlineStr">
        <is>
          <t>인</t>
        </is>
      </c>
      <c r="M140" s="1128" t="n">
        <v>180000</v>
      </c>
      <c r="N140" s="1002">
        <f>K140*M140</f>
        <v/>
      </c>
      <c r="O140" s="1003">
        <f>N140-J140</f>
        <v/>
      </c>
      <c r="P140" s="1127" t="n">
        <v>12</v>
      </c>
      <c r="Q140" s="50" t="inlineStr">
        <is>
          <t>인</t>
        </is>
      </c>
      <c r="R140" s="1128" t="n">
        <v>180000</v>
      </c>
      <c r="S140" s="1002">
        <f>P140*R140</f>
        <v/>
      </c>
      <c r="T140" s="1003">
        <f>S140-N140</f>
        <v/>
      </c>
      <c r="U140" s="1127" t="n">
        <v>12</v>
      </c>
      <c r="V140" s="50" t="inlineStr">
        <is>
          <t>인</t>
        </is>
      </c>
      <c r="W140" s="1128" t="n">
        <v>180000</v>
      </c>
      <c r="X140" s="1002">
        <f>U140*W140</f>
        <v/>
      </c>
      <c r="Y140" s="1003">
        <f>X140-S140</f>
        <v/>
      </c>
      <c r="Z140" s="1127" t="n">
        <v>12</v>
      </c>
      <c r="AA140" s="50" t="inlineStr">
        <is>
          <t>인</t>
        </is>
      </c>
      <c r="AB140" s="1128" t="n">
        <v>180000</v>
      </c>
      <c r="AC140" s="1002">
        <f>Z140*AB140</f>
        <v/>
      </c>
      <c r="AD140" s="1003">
        <f>AC140-X140</f>
        <v/>
      </c>
      <c r="AE140" s="1127" t="n">
        <v>12</v>
      </c>
      <c r="AF140" s="50" t="inlineStr">
        <is>
          <t>인</t>
        </is>
      </c>
      <c r="AG140" s="1128" t="n">
        <v>180000</v>
      </c>
      <c r="AH140" s="1002">
        <f>AE140*AG140</f>
        <v/>
      </c>
      <c r="AI140" s="1003">
        <f>AH140-AC140</f>
        <v/>
      </c>
      <c r="AJ140" s="1004" t="n"/>
      <c r="AK140" s="823" t="inlineStr">
        <is>
          <t>18만원/day x 2일x 6인 기준</t>
        </is>
      </c>
    </row>
    <row r="141" ht="30.2" customFormat="1" customHeight="1" s="2">
      <c r="B141" s="1005" t="n"/>
      <c r="C141" s="981" t="n"/>
      <c r="D141" s="981" t="n"/>
      <c r="E141" s="1124" t="n"/>
      <c r="F141" s="174" t="inlineStr">
        <is>
          <t>백스테이지 케이터링 비용</t>
        </is>
      </c>
      <c r="G141" s="179" t="n">
        <v>1</v>
      </c>
      <c r="H141" s="180" t="inlineStr">
        <is>
          <t>set</t>
        </is>
      </c>
      <c r="I141" s="1108" t="n">
        <v>8000000</v>
      </c>
      <c r="J141" s="1099" t="n">
        <v>5000000</v>
      </c>
      <c r="K141" s="1129" t="n">
        <v>1</v>
      </c>
      <c r="L141" s="176" t="inlineStr">
        <is>
          <t>set</t>
        </is>
      </c>
      <c r="M141" s="1130" t="n">
        <v>5000000</v>
      </c>
      <c r="N141" s="1112">
        <f>K141*M141</f>
        <v/>
      </c>
      <c r="O141" s="1088">
        <f>N141-J141</f>
        <v/>
      </c>
      <c r="P141" s="1131" t="n">
        <v>1</v>
      </c>
      <c r="Q141" s="525" t="inlineStr">
        <is>
          <t>set</t>
        </is>
      </c>
      <c r="R141" s="1132" t="n">
        <v>3000000</v>
      </c>
      <c r="S141" s="1133">
        <f>P141*R141</f>
        <v/>
      </c>
      <c r="T141" s="1045">
        <f>S141-N141</f>
        <v/>
      </c>
      <c r="U141" s="1131" t="n">
        <v>1</v>
      </c>
      <c r="V141" s="525" t="inlineStr">
        <is>
          <t>set</t>
        </is>
      </c>
      <c r="W141" s="1132" t="n">
        <v>3000000</v>
      </c>
      <c r="X141" s="1133">
        <f>U141*W141</f>
        <v/>
      </c>
      <c r="Y141" s="1045">
        <f>X141-S141</f>
        <v/>
      </c>
      <c r="Z141" s="1131" t="n">
        <v>1</v>
      </c>
      <c r="AA141" s="525" t="inlineStr">
        <is>
          <t>set</t>
        </is>
      </c>
      <c r="AB141" s="1132" t="n">
        <v>3000000</v>
      </c>
      <c r="AC141" s="1133">
        <f>Z141*AB141</f>
        <v/>
      </c>
      <c r="AD141" s="1045">
        <f>AC141-X141</f>
        <v/>
      </c>
      <c r="AE141" s="1131" t="n">
        <v>1</v>
      </c>
      <c r="AF141" s="525" t="inlineStr">
        <is>
          <t>set</t>
        </is>
      </c>
      <c r="AG141" s="1132" t="n">
        <v>3000000</v>
      </c>
      <c r="AH141" s="1133">
        <f>AE141*AG141</f>
        <v/>
      </c>
      <c r="AI141" s="1045">
        <f>AH141-AC141</f>
        <v/>
      </c>
      <c r="AJ141" s="1134" t="n"/>
      <c r="AK141" s="553" t="n"/>
    </row>
    <row r="142" ht="32.25" customFormat="1" customHeight="1" s="2">
      <c r="B142" s="981" t="n"/>
      <c r="C142" s="1064" t="inlineStr">
        <is>
          <t>소계</t>
        </is>
      </c>
      <c r="D142" s="1053" t="n"/>
      <c r="E142" s="1053" t="n"/>
      <c r="F142" s="1053" t="n"/>
      <c r="G142" s="1053" t="n"/>
      <c r="H142" s="1053" t="n"/>
      <c r="I142" s="997" t="n"/>
      <c r="J142" s="1114">
        <f>SUM(J137:J141)</f>
        <v/>
      </c>
      <c r="K142" s="1135" t="n"/>
      <c r="L142" s="955" t="n"/>
      <c r="M142" s="949" t="n"/>
      <c r="N142" s="1116">
        <f>SUM(N137:N141)</f>
        <v/>
      </c>
      <c r="O142" s="1136">
        <f>SUM(O137:O141)</f>
        <v/>
      </c>
      <c r="P142" s="1135" t="n"/>
      <c r="Q142" s="955" t="n"/>
      <c r="R142" s="949" t="n"/>
      <c r="S142" s="1116">
        <f>SUM(S137:S141)</f>
        <v/>
      </c>
      <c r="T142" s="1093">
        <f>S142-N142</f>
        <v/>
      </c>
      <c r="U142" s="1135" t="n"/>
      <c r="V142" s="955" t="n"/>
      <c r="W142" s="949" t="n"/>
      <c r="X142" s="1116">
        <f>SUM(X137:X141)</f>
        <v/>
      </c>
      <c r="Y142" s="1136">
        <f>SUM(Y137:Y141)</f>
        <v/>
      </c>
      <c r="Z142" s="1135" t="n"/>
      <c r="AA142" s="955" t="n"/>
      <c r="AB142" s="949" t="n"/>
      <c r="AC142" s="1116">
        <f>SUM(AC137:AC141)</f>
        <v/>
      </c>
      <c r="AD142" s="1136">
        <f>SUM(AD137:AD141)</f>
        <v/>
      </c>
      <c r="AE142" s="1135" t="n"/>
      <c r="AF142" s="955" t="n"/>
      <c r="AG142" s="949" t="n"/>
      <c r="AH142" s="1116">
        <f>SUM(AH137:AH141)</f>
        <v/>
      </c>
      <c r="AI142" s="1136">
        <f>SUM(AI137:AI141)</f>
        <v/>
      </c>
      <c r="AJ142" s="1118" t="n"/>
      <c r="AK142" s="33" t="n"/>
    </row>
    <row r="143" ht="30.2" customHeight="1" s="972">
      <c r="B143" s="875" t="inlineStr">
        <is>
          <t>3 아티스트 소계</t>
        </is>
      </c>
      <c r="C143" s="955" t="n"/>
      <c r="D143" s="955" t="n"/>
      <c r="E143" s="955" t="n"/>
      <c r="F143" s="955" t="n"/>
      <c r="G143" s="955" t="n"/>
      <c r="H143" s="955" t="n"/>
      <c r="I143" s="949" t="n"/>
      <c r="J143" s="1009">
        <f>SUM(J136,J142)</f>
        <v/>
      </c>
      <c r="K143" s="1137" t="n"/>
      <c r="L143" s="955" t="n"/>
      <c r="M143" s="949" t="n"/>
      <c r="N143" s="1011">
        <f>N142+N136</f>
        <v/>
      </c>
      <c r="O143" s="1138">
        <f>O142+O136</f>
        <v/>
      </c>
      <c r="P143" s="1137" t="n"/>
      <c r="Q143" s="955" t="n"/>
      <c r="R143" s="949" t="n"/>
      <c r="S143" s="1011">
        <f>S142+S136</f>
        <v/>
      </c>
      <c r="T143" s="1012">
        <f>S143-N143</f>
        <v/>
      </c>
      <c r="U143" s="1137" t="n"/>
      <c r="V143" s="955" t="n"/>
      <c r="W143" s="949" t="n"/>
      <c r="X143" s="1011">
        <f>X142+X136</f>
        <v/>
      </c>
      <c r="Y143" s="1138">
        <f>Y142+Y136</f>
        <v/>
      </c>
      <c r="Z143" s="1137" t="n"/>
      <c r="AA143" s="955" t="n"/>
      <c r="AB143" s="949" t="n"/>
      <c r="AC143" s="1011">
        <f>AC142+AC136</f>
        <v/>
      </c>
      <c r="AD143" s="1138">
        <f>AD142+AD136</f>
        <v/>
      </c>
      <c r="AE143" s="1137" t="n"/>
      <c r="AF143" s="955" t="n"/>
      <c r="AG143" s="949" t="n"/>
      <c r="AH143" s="1011">
        <f>AH142+AH136</f>
        <v/>
      </c>
      <c r="AI143" s="1138">
        <f>AI142+AI136</f>
        <v/>
      </c>
      <c r="AJ143" s="1097" t="n"/>
      <c r="AK143" s="57" t="n"/>
    </row>
    <row r="144" ht="30.2" customFormat="1" customHeight="1" s="2">
      <c r="B144" s="34" t="inlineStr">
        <is>
          <t>4. 브랜딩</t>
        </is>
      </c>
      <c r="C144" s="823" t="inlineStr">
        <is>
          <t>하드 브랜딩</t>
        </is>
      </c>
      <c r="D144" s="383" t="inlineStr">
        <is>
          <t>게이트</t>
        </is>
      </c>
      <c r="E144" s="399" t="inlineStr">
        <is>
          <t>트러스 구조물</t>
        </is>
      </c>
      <c r="F144" s="400" t="inlineStr">
        <is>
          <t>10m x 4m</t>
        </is>
      </c>
      <c r="G144" s="385" t="n">
        <v>1</v>
      </c>
      <c r="H144" s="385" t="inlineStr">
        <is>
          <t>set</t>
        </is>
      </c>
      <c r="I144" s="1139" t="n">
        <v>1200000</v>
      </c>
      <c r="J144" s="1140">
        <f>G144*I144</f>
        <v/>
      </c>
      <c r="K144" s="402" t="n">
        <v>0</v>
      </c>
      <c r="L144" s="389" t="inlineStr">
        <is>
          <t>set</t>
        </is>
      </c>
      <c r="M144" s="1141" t="n">
        <v>1200000</v>
      </c>
      <c r="N144" s="1142">
        <f>K144*M144</f>
        <v/>
      </c>
      <c r="O144" s="1143">
        <f>N144-J144</f>
        <v/>
      </c>
      <c r="P144" s="402" t="n">
        <v>0</v>
      </c>
      <c r="Q144" s="389" t="inlineStr">
        <is>
          <t>set</t>
        </is>
      </c>
      <c r="R144" s="1141" t="n">
        <v>1200000</v>
      </c>
      <c r="S144" s="1142">
        <f>P144*R144</f>
        <v/>
      </c>
      <c r="T144" s="1144">
        <f>S144-N144</f>
        <v/>
      </c>
      <c r="U144" s="402" t="n">
        <v>0</v>
      </c>
      <c r="V144" s="389" t="inlineStr">
        <is>
          <t>set</t>
        </is>
      </c>
      <c r="W144" s="1141" t="n">
        <v>1200000</v>
      </c>
      <c r="X144" s="1142">
        <f>U144*W144</f>
        <v/>
      </c>
      <c r="Y144" s="1143">
        <f>X144-T144</f>
        <v/>
      </c>
      <c r="Z144" s="402" t="n">
        <v>0</v>
      </c>
      <c r="AA144" s="389" t="inlineStr">
        <is>
          <t>set</t>
        </is>
      </c>
      <c r="AB144" s="1141" t="n">
        <v>1200000</v>
      </c>
      <c r="AC144" s="1142">
        <f>Z144*AB144</f>
        <v/>
      </c>
      <c r="AD144" s="1143">
        <f>AC144-Y144</f>
        <v/>
      </c>
      <c r="AE144" s="402" t="n">
        <v>0</v>
      </c>
      <c r="AF144" s="389" t="inlineStr">
        <is>
          <t>set</t>
        </is>
      </c>
      <c r="AG144" s="1141" t="n">
        <v>1200000</v>
      </c>
      <c r="AH144" s="1142">
        <f>AE144*AG144</f>
        <v/>
      </c>
      <c r="AI144" s="1143">
        <f>AH144-AD144</f>
        <v/>
      </c>
      <c r="AJ144" s="1145" t="n"/>
      <c r="AK144" s="383" t="n"/>
    </row>
    <row r="145" ht="30.2" customFormat="1" customHeight="1" s="2">
      <c r="B145" s="1005" t="n"/>
      <c r="C145" s="1005" t="n"/>
      <c r="D145" s="753" t="inlineStr">
        <is>
          <t>메가 게이트</t>
        </is>
      </c>
      <c r="E145" s="753" t="inlineStr">
        <is>
          <t>목구조 세트</t>
        </is>
      </c>
      <c r="F145" s="191" t="inlineStr">
        <is>
          <t>전년도 규모 기준</t>
        </is>
      </c>
      <c r="G145" s="179" t="n"/>
      <c r="H145" s="179" t="n"/>
      <c r="I145" s="1098" t="n"/>
      <c r="J145" s="1084">
        <f>G145*I145</f>
        <v/>
      </c>
      <c r="K145" s="230" t="n">
        <v>1</v>
      </c>
      <c r="L145" s="175" t="inlineStr">
        <is>
          <t>set</t>
        </is>
      </c>
      <c r="M145" s="1146" t="n">
        <v>9000000</v>
      </c>
      <c r="N145" s="1062">
        <f>K145*M145</f>
        <v/>
      </c>
      <c r="O145" s="1063">
        <f>N145-J145</f>
        <v/>
      </c>
      <c r="P145" s="230" t="n">
        <v>1</v>
      </c>
      <c r="Q145" s="175" t="inlineStr">
        <is>
          <t>set</t>
        </is>
      </c>
      <c r="R145" s="1146" t="n">
        <v>9000000</v>
      </c>
      <c r="S145" s="1062">
        <f>P145*R145</f>
        <v/>
      </c>
      <c r="T145" s="1088">
        <f>S145-N145</f>
        <v/>
      </c>
      <c r="U145" s="230" t="n">
        <v>1</v>
      </c>
      <c r="V145" s="175" t="inlineStr">
        <is>
          <t>set</t>
        </is>
      </c>
      <c r="W145" s="1146" t="n">
        <v>9000000</v>
      </c>
      <c r="X145" s="1062">
        <f>U145*W145</f>
        <v/>
      </c>
      <c r="Y145" s="1063">
        <f>X145-S145</f>
        <v/>
      </c>
      <c r="Z145" s="230" t="n">
        <v>1</v>
      </c>
      <c r="AA145" s="175" t="inlineStr">
        <is>
          <t>set</t>
        </is>
      </c>
      <c r="AB145" s="1146" t="n">
        <v>9000000</v>
      </c>
      <c r="AC145" s="1062">
        <f>Z145*AB145</f>
        <v/>
      </c>
      <c r="AD145" s="1063">
        <f>AC145-X145</f>
        <v/>
      </c>
      <c r="AE145" s="230" t="n">
        <v>1</v>
      </c>
      <c r="AF145" s="175" t="inlineStr">
        <is>
          <t>set</t>
        </is>
      </c>
      <c r="AG145" s="1146" t="n">
        <v>9000000</v>
      </c>
      <c r="AH145" s="1062">
        <f>AE145*AG145</f>
        <v/>
      </c>
      <c r="AI145" s="1063">
        <f>AH145-AC145</f>
        <v/>
      </c>
      <c r="AJ145" s="1105" t="n"/>
      <c r="AK145" s="753" t="inlineStr">
        <is>
          <t>추가 항목</t>
        </is>
      </c>
    </row>
    <row r="146" ht="30.2" customFormat="1" customHeight="1" s="2">
      <c r="B146" s="1005" t="n"/>
      <c r="C146" s="1005" t="n"/>
      <c r="D146" s="981" t="n"/>
      <c r="E146" s="981" t="n"/>
      <c r="F146" s="456" t="inlineStr">
        <is>
          <t>소방출동 공간 확보를 위한 규모 확장 및 구조보강</t>
        </is>
      </c>
      <c r="G146" s="457" t="n"/>
      <c r="H146" s="457" t="n"/>
      <c r="I146" s="1147" t="n"/>
      <c r="J146" s="1070" t="n"/>
      <c r="K146" s="459" t="n">
        <v>1</v>
      </c>
      <c r="L146" s="460" t="inlineStr">
        <is>
          <t>set</t>
        </is>
      </c>
      <c r="M146" s="1148" t="n">
        <v>3500000</v>
      </c>
      <c r="N146" s="1073">
        <f>K146*M146</f>
        <v/>
      </c>
      <c r="O146" s="1149">
        <f>N146-J146</f>
        <v/>
      </c>
      <c r="P146" s="459" t="n">
        <v>1</v>
      </c>
      <c r="Q146" s="460" t="inlineStr">
        <is>
          <t>set</t>
        </is>
      </c>
      <c r="R146" s="1148" t="n">
        <v>3500000</v>
      </c>
      <c r="S146" s="1073">
        <f>P146*R146</f>
        <v/>
      </c>
      <c r="T146" s="1075">
        <f>S146-N146</f>
        <v/>
      </c>
      <c r="U146" s="459" t="n">
        <v>1</v>
      </c>
      <c r="V146" s="460" t="inlineStr">
        <is>
          <t>set</t>
        </is>
      </c>
      <c r="W146" s="1148" t="n">
        <v>3500000</v>
      </c>
      <c r="X146" s="1073">
        <f>U146*W146</f>
        <v/>
      </c>
      <c r="Y146" s="1149">
        <f>X146-S146</f>
        <v/>
      </c>
      <c r="Z146" s="459" t="n">
        <v>1</v>
      </c>
      <c r="AA146" s="460" t="inlineStr">
        <is>
          <t>set</t>
        </is>
      </c>
      <c r="AB146" s="1148" t="n">
        <v>3500000</v>
      </c>
      <c r="AC146" s="1073">
        <f>Z146*AB146</f>
        <v/>
      </c>
      <c r="AD146" s="1149">
        <f>AC146-X146</f>
        <v/>
      </c>
      <c r="AE146" s="459" t="n">
        <v>1</v>
      </c>
      <c r="AF146" s="460" t="inlineStr">
        <is>
          <t>set</t>
        </is>
      </c>
      <c r="AG146" s="1148" t="n">
        <v>3500000</v>
      </c>
      <c r="AH146" s="1073">
        <f>AE146*AG146</f>
        <v/>
      </c>
      <c r="AI146" s="1149">
        <f>AH146-AC146</f>
        <v/>
      </c>
      <c r="AJ146" s="1150" t="n"/>
      <c r="AK146" s="438" t="n"/>
    </row>
    <row r="147" ht="30.2" customFormat="1" customHeight="1" s="2">
      <c r="B147" s="1005" t="n"/>
      <c r="C147" s="981" t="n"/>
      <c r="D147" s="823" t="inlineStr">
        <is>
          <t>인포타워</t>
        </is>
      </c>
      <c r="E147" s="23" t="inlineStr">
        <is>
          <t>트러스 구조물</t>
        </is>
      </c>
      <c r="F147" s="58" t="inlineStr">
        <is>
          <t>3m x 3m x 5m(내경기준) , 콘크리트 웨이트</t>
        </is>
      </c>
      <c r="G147" s="162" t="n">
        <v>1</v>
      </c>
      <c r="H147" s="162" t="inlineStr">
        <is>
          <t>set</t>
        </is>
      </c>
      <c r="I147" s="1126" t="n">
        <v>2500000</v>
      </c>
      <c r="J147" s="1015">
        <f>G147*I147</f>
        <v/>
      </c>
      <c r="K147" s="229" t="n">
        <v>1</v>
      </c>
      <c r="L147" s="24" t="inlineStr">
        <is>
          <t>set</t>
        </is>
      </c>
      <c r="M147" s="1128" t="n">
        <v>2500000</v>
      </c>
      <c r="N147" s="1018">
        <f>K147*M147</f>
        <v/>
      </c>
      <c r="O147" s="1019">
        <f>N147-J147</f>
        <v/>
      </c>
      <c r="P147" s="229" t="n">
        <v>1</v>
      </c>
      <c r="Q147" s="24" t="inlineStr">
        <is>
          <t>set</t>
        </is>
      </c>
      <c r="R147" s="1128" t="n">
        <v>2500000</v>
      </c>
      <c r="S147" s="1018">
        <f>P147*R147</f>
        <v/>
      </c>
      <c r="T147" s="1003">
        <f>S147-N147</f>
        <v/>
      </c>
      <c r="U147" s="229" t="n">
        <v>1</v>
      </c>
      <c r="V147" s="24" t="inlineStr">
        <is>
          <t>set</t>
        </is>
      </c>
      <c r="W147" s="1128" t="n">
        <v>2500000</v>
      </c>
      <c r="X147" s="1018">
        <f>U147*W147</f>
        <v/>
      </c>
      <c r="Y147" s="1019">
        <f>X147-S147</f>
        <v/>
      </c>
      <c r="Z147" s="229" t="n">
        <v>1</v>
      </c>
      <c r="AA147" s="24" t="inlineStr">
        <is>
          <t>set</t>
        </is>
      </c>
      <c r="AB147" s="1128" t="n">
        <v>2500000</v>
      </c>
      <c r="AC147" s="1018">
        <f>Z147*AB147</f>
        <v/>
      </c>
      <c r="AD147" s="1019">
        <f>AC147-X147</f>
        <v/>
      </c>
      <c r="AE147" s="229" t="n">
        <v>1</v>
      </c>
      <c r="AF147" s="24" t="inlineStr">
        <is>
          <t>set</t>
        </is>
      </c>
      <c r="AG147" s="1128" t="n">
        <v>2500000</v>
      </c>
      <c r="AH147" s="1018">
        <f>AE147*AG147</f>
        <v/>
      </c>
      <c r="AI147" s="1019">
        <f>AH147-AC147</f>
        <v/>
      </c>
      <c r="AJ147" s="1004" t="n"/>
      <c r="AK147" s="823" t="n"/>
    </row>
    <row r="148" ht="32.25" customFormat="1" customHeight="1" s="2">
      <c r="B148" s="1005" t="n"/>
      <c r="C148" s="1064" t="inlineStr">
        <is>
          <t>소계</t>
        </is>
      </c>
      <c r="D148" s="1053" t="n"/>
      <c r="E148" s="1053" t="n"/>
      <c r="F148" s="1053" t="n"/>
      <c r="G148" s="1053" t="n"/>
      <c r="H148" s="1053" t="n"/>
      <c r="I148" s="997" t="n"/>
      <c r="J148" s="1114">
        <f>SUM(J144:J147)</f>
        <v/>
      </c>
      <c r="K148" s="1151" t="n"/>
      <c r="L148" s="1152" t="n"/>
      <c r="M148" s="1153" t="n"/>
      <c r="N148" s="1116">
        <f>SUM(N144:N147)</f>
        <v/>
      </c>
      <c r="O148" s="1117">
        <f>SUM(O144:O147)</f>
        <v/>
      </c>
      <c r="P148" s="1151" t="n"/>
      <c r="Q148" s="1152" t="n"/>
      <c r="R148" s="1153" t="n"/>
      <c r="S148" s="1116">
        <f>SUM(S144:S147)</f>
        <v/>
      </c>
      <c r="T148" s="1117">
        <f>SUM(T144:T147)</f>
        <v/>
      </c>
      <c r="U148" s="1151" t="n"/>
      <c r="V148" s="1152" t="n"/>
      <c r="W148" s="1153" t="n"/>
      <c r="X148" s="1116">
        <f>SUM(X144:X147)</f>
        <v/>
      </c>
      <c r="Y148" s="1117">
        <f>SUM(Y144:Y147)</f>
        <v/>
      </c>
      <c r="Z148" s="1151" t="n"/>
      <c r="AA148" s="1152" t="n"/>
      <c r="AB148" s="1153" t="n"/>
      <c r="AC148" s="1116">
        <f>SUM(AC144:AC147)</f>
        <v/>
      </c>
      <c r="AD148" s="1117">
        <f>SUM(AD144:AD147)</f>
        <v/>
      </c>
      <c r="AE148" s="1151" t="n"/>
      <c r="AF148" s="1152" t="n"/>
      <c r="AG148" s="1153" t="n"/>
      <c r="AH148" s="1116">
        <f>SUM(AH144:AH147)</f>
        <v/>
      </c>
      <c r="AI148" s="1117">
        <f>SUM(AI144:AI147)</f>
        <v/>
      </c>
      <c r="AJ148" s="1118" t="n"/>
      <c r="AK148" s="33" t="n"/>
    </row>
    <row r="149" ht="30.2" customFormat="1" customHeight="1" s="2">
      <c r="B149" s="1005" t="n"/>
      <c r="C149" s="744" t="inlineStr">
        <is>
          <t>소프트 브랜딩</t>
        </is>
      </c>
      <c r="D149" s="823" t="inlineStr">
        <is>
          <t>사전 제작물</t>
        </is>
      </c>
      <c r="E149" s="822" t="inlineStr">
        <is>
          <t>티켓 제작</t>
        </is>
      </c>
      <c r="F149" s="105" t="inlineStr">
        <is>
          <t>일반 티켓 제작_종이티켓</t>
        </is>
      </c>
      <c r="G149" s="137" t="n">
        <v>18000</v>
      </c>
      <c r="H149" s="137" t="inlineStr">
        <is>
          <t>개</t>
        </is>
      </c>
      <c r="I149" s="1154" t="n">
        <v>500</v>
      </c>
      <c r="J149" s="1155">
        <f>G149*I149</f>
        <v/>
      </c>
      <c r="K149" s="1100" t="n">
        <v>21000</v>
      </c>
      <c r="L149" s="1101" t="inlineStr">
        <is>
          <t>개</t>
        </is>
      </c>
      <c r="M149" s="1102" t="n">
        <v>500</v>
      </c>
      <c r="N149" s="1103">
        <f>K149*M149</f>
        <v/>
      </c>
      <c r="O149" s="1104">
        <f>N149-J149</f>
        <v/>
      </c>
      <c r="P149" s="1100" t="n">
        <v>21000</v>
      </c>
      <c r="Q149" s="1101" t="inlineStr">
        <is>
          <t>개</t>
        </is>
      </c>
      <c r="R149" s="1102" t="n">
        <v>500</v>
      </c>
      <c r="S149" s="1103">
        <f>P149*R149</f>
        <v/>
      </c>
      <c r="T149" s="1104" t="n">
        <v>0</v>
      </c>
      <c r="U149" s="1100" t="n">
        <v>21000</v>
      </c>
      <c r="V149" s="1101" t="inlineStr">
        <is>
          <t>개</t>
        </is>
      </c>
      <c r="W149" s="1102" t="n">
        <v>500</v>
      </c>
      <c r="X149" s="1103">
        <f>U149*W149</f>
        <v/>
      </c>
      <c r="Y149" s="1104">
        <f>X149-S149</f>
        <v/>
      </c>
      <c r="Z149" s="1100" t="n">
        <v>21000</v>
      </c>
      <c r="AA149" s="1101" t="inlineStr">
        <is>
          <t>개</t>
        </is>
      </c>
      <c r="AB149" s="1102" t="n">
        <v>500</v>
      </c>
      <c r="AC149" s="1103">
        <f>Z149*AB149</f>
        <v/>
      </c>
      <c r="AD149" s="1104">
        <f>AC149-X149</f>
        <v/>
      </c>
      <c r="AE149" s="1100" t="n">
        <v>21000</v>
      </c>
      <c r="AF149" s="1101" t="inlineStr">
        <is>
          <t>개</t>
        </is>
      </c>
      <c r="AG149" s="1102" t="n">
        <v>500</v>
      </c>
      <c r="AH149" s="1103">
        <f>AE149*AG149</f>
        <v/>
      </c>
      <c r="AI149" s="1104">
        <f>AH149-AC149</f>
        <v/>
      </c>
      <c r="AJ149" s="1156" t="n"/>
      <c r="AK149" s="752" t="inlineStr">
        <is>
          <t>제작수량 변경
**카드티켓 제작 추가 → 종이티켓 제작 방식 변경을 통한 단가 조정으로 총 금액 맞춤</t>
        </is>
      </c>
    </row>
    <row r="150" ht="30.2" customFormat="1" customHeight="1" s="2">
      <c r="B150" s="1005" t="n"/>
      <c r="C150" s="1005" t="n"/>
      <c r="D150" s="1005" t="n"/>
      <c r="E150" s="1005" t="n"/>
      <c r="F150" s="105" t="inlineStr">
        <is>
          <t>일반 티켓 제작_카드티켓</t>
        </is>
      </c>
      <c r="G150" s="981" t="n"/>
      <c r="H150" s="981" t="n"/>
      <c r="I150" s="981" t="n"/>
      <c r="J150" s="1008" t="n"/>
      <c r="K150" s="1106" t="n"/>
      <c r="L150" s="981" t="n"/>
      <c r="M150" s="981" t="n"/>
      <c r="N150" s="981" t="n"/>
      <c r="O150" s="1107" t="n"/>
      <c r="P150" s="1106" t="n"/>
      <c r="Q150" s="981" t="n"/>
      <c r="R150" s="981" t="n"/>
      <c r="S150" s="981" t="n"/>
      <c r="T150" s="1107" t="n"/>
      <c r="U150" s="1106" t="n"/>
      <c r="V150" s="981" t="n"/>
      <c r="W150" s="981" t="n"/>
      <c r="X150" s="981" t="n"/>
      <c r="Y150" s="1107" t="n"/>
      <c r="Z150" s="1106" t="n"/>
      <c r="AA150" s="981" t="n"/>
      <c r="AB150" s="981" t="n"/>
      <c r="AC150" s="981" t="n"/>
      <c r="AD150" s="1107" t="n"/>
      <c r="AE150" s="1106" t="n"/>
      <c r="AF150" s="981" t="n"/>
      <c r="AG150" s="981" t="n"/>
      <c r="AH150" s="981" t="n"/>
      <c r="AI150" s="1107" t="n"/>
      <c r="AJ150" s="1157" t="n"/>
      <c r="AK150" s="981" t="n"/>
    </row>
    <row r="151" ht="30.2" customFormat="1" customHeight="1" s="2">
      <c r="B151" s="1005" t="n"/>
      <c r="C151" s="1005" t="n"/>
      <c r="D151" s="1005" t="n"/>
      <c r="E151" s="1005" t="n"/>
      <c r="F151" s="193" t="inlineStr">
        <is>
          <t>VIP 티켓 제작</t>
        </is>
      </c>
      <c r="G151" s="137" t="n">
        <v>250</v>
      </c>
      <c r="H151" s="137" t="inlineStr">
        <is>
          <t>개</t>
        </is>
      </c>
      <c r="I151" s="1083" t="n">
        <v>3000</v>
      </c>
      <c r="J151" s="1099">
        <f>G151*I151</f>
        <v/>
      </c>
      <c r="K151" s="1109" t="n">
        <v>600</v>
      </c>
      <c r="L151" s="1110" t="inlineStr">
        <is>
          <t>개</t>
        </is>
      </c>
      <c r="M151" s="1111" t="n">
        <v>3000</v>
      </c>
      <c r="N151" s="1112">
        <f>K151*M151</f>
        <v/>
      </c>
      <c r="O151" s="1158">
        <f>N151-J151</f>
        <v/>
      </c>
      <c r="P151" s="1109" t="n">
        <v>600</v>
      </c>
      <c r="Q151" s="1110" t="inlineStr">
        <is>
          <t>개</t>
        </is>
      </c>
      <c r="R151" s="1111" t="n">
        <v>3000</v>
      </c>
      <c r="S151" s="1112">
        <f>P151*R151</f>
        <v/>
      </c>
      <c r="T151" s="1088">
        <f>S151-N151</f>
        <v/>
      </c>
      <c r="U151" s="1109" t="n">
        <v>600</v>
      </c>
      <c r="V151" s="1110" t="inlineStr">
        <is>
          <t>개</t>
        </is>
      </c>
      <c r="W151" s="1111" t="n">
        <v>3000</v>
      </c>
      <c r="X151" s="1112">
        <f>U151*W151</f>
        <v/>
      </c>
      <c r="Y151" s="1158">
        <f>X151-S151</f>
        <v/>
      </c>
      <c r="Z151" s="1109" t="n">
        <v>600</v>
      </c>
      <c r="AA151" s="1110" t="inlineStr">
        <is>
          <t>개</t>
        </is>
      </c>
      <c r="AB151" s="1111" t="n">
        <v>3000</v>
      </c>
      <c r="AC151" s="1112">
        <f>Z151*AB151</f>
        <v/>
      </c>
      <c r="AD151" s="1158">
        <f>AC151-X151</f>
        <v/>
      </c>
      <c r="AE151" s="1109" t="n">
        <v>600</v>
      </c>
      <c r="AF151" s="1110" t="inlineStr">
        <is>
          <t>개</t>
        </is>
      </c>
      <c r="AG151" s="1111" t="n">
        <v>3000</v>
      </c>
      <c r="AH151" s="1112">
        <f>AE151*AG151</f>
        <v/>
      </c>
      <c r="AI151" s="1158">
        <f>AH151-AC151</f>
        <v/>
      </c>
      <c r="AJ151" s="1159" t="n"/>
      <c r="AK151" s="753" t="inlineStr">
        <is>
          <t>제작수량 변경</t>
        </is>
      </c>
    </row>
    <row r="152" ht="95.25" customFormat="1" customHeight="1" s="2">
      <c r="B152" s="1005" t="n"/>
      <c r="C152" s="1005" t="n"/>
      <c r="D152" s="1005" t="n"/>
      <c r="E152" s="1005" t="n"/>
      <c r="F152" s="193" t="inlineStr">
        <is>
          <t>PVC 카드용 랜야드</t>
        </is>
      </c>
      <c r="G152" s="137" t="n"/>
      <c r="H152" s="137" t="n"/>
      <c r="I152" s="1083" t="n"/>
      <c r="J152" s="1099">
        <f>G152*I152</f>
        <v/>
      </c>
      <c r="K152" s="1109" t="n">
        <v>21000</v>
      </c>
      <c r="L152" s="1110" t="inlineStr">
        <is>
          <t>개</t>
        </is>
      </c>
      <c r="M152" s="1111" t="n">
        <v>1150</v>
      </c>
      <c r="N152" s="1112">
        <f>K152*M152</f>
        <v/>
      </c>
      <c r="O152" s="1158">
        <f>N152-J152</f>
        <v/>
      </c>
      <c r="P152" s="1109" t="n">
        <v>21000</v>
      </c>
      <c r="Q152" s="1110" t="inlineStr">
        <is>
          <t>개</t>
        </is>
      </c>
      <c r="R152" s="1111" t="n">
        <v>1150</v>
      </c>
      <c r="S152" s="1112">
        <f>P152*R152</f>
        <v/>
      </c>
      <c r="T152" s="1158">
        <f>S152-O152</f>
        <v/>
      </c>
      <c r="U152" s="1109" t="n">
        <v>21000</v>
      </c>
      <c r="V152" s="1110" t="inlineStr">
        <is>
          <t>개</t>
        </is>
      </c>
      <c r="W152" s="1111" t="n">
        <v>1150</v>
      </c>
      <c r="X152" s="1112">
        <f>U152*W152</f>
        <v/>
      </c>
      <c r="Y152" s="1158">
        <f>X152-S152</f>
        <v/>
      </c>
      <c r="Z152" s="1109" t="n">
        <v>21000</v>
      </c>
      <c r="AA152" s="1110" t="inlineStr">
        <is>
          <t>개</t>
        </is>
      </c>
      <c r="AB152" s="1111" t="n">
        <v>1150</v>
      </c>
      <c r="AC152" s="1112">
        <f>Z152*AB152</f>
        <v/>
      </c>
      <c r="AD152" s="1158">
        <f>AC152-X152</f>
        <v/>
      </c>
      <c r="AE152" s="1109" t="n">
        <v>21000</v>
      </c>
      <c r="AF152" s="1110" t="inlineStr">
        <is>
          <t>개</t>
        </is>
      </c>
      <c r="AG152" s="1111" t="n">
        <v>1150</v>
      </c>
      <c r="AH152" s="1112">
        <f>AE152*AG152</f>
        <v/>
      </c>
      <c r="AI152" s="1158">
        <f>AH152-AC152</f>
        <v/>
      </c>
      <c r="AJ152" s="1159" t="n"/>
      <c r="AK152" s="752" t="inlineStr">
        <is>
          <t>제작물 추가 / 제작 수량 및 스펙 변경
**비딩 당시 미포함 항목 / 이후 18000개*800원 제안
**최종 발주 21000개*1150원 으로 확정</t>
        </is>
      </c>
    </row>
    <row r="153" ht="30.2" customFormat="1" customHeight="1" s="2">
      <c r="B153" s="1005" t="n"/>
      <c r="C153" s="1005" t="n"/>
      <c r="D153" s="1005" t="n"/>
      <c r="E153" s="981" t="n"/>
      <c r="F153" s="193" t="inlineStr">
        <is>
          <t>티켓 배송 비용</t>
        </is>
      </c>
      <c r="G153" s="137" t="n">
        <v>16000</v>
      </c>
      <c r="H153" s="137" t="inlineStr">
        <is>
          <t>개</t>
        </is>
      </c>
      <c r="I153" s="1083" t="n">
        <v>2500</v>
      </c>
      <c r="J153" s="1099">
        <f>G153*I153</f>
        <v/>
      </c>
      <c r="K153" s="1109" t="n">
        <v>10000</v>
      </c>
      <c r="L153" s="1110" t="inlineStr">
        <is>
          <t>개</t>
        </is>
      </c>
      <c r="M153" s="1111" t="n">
        <v>2500</v>
      </c>
      <c r="N153" s="1112">
        <f>K153*M153</f>
        <v/>
      </c>
      <c r="O153" s="1113">
        <f>N153-J153</f>
        <v/>
      </c>
      <c r="P153" s="1109" t="n">
        <v>10000</v>
      </c>
      <c r="Q153" s="1110" t="inlineStr">
        <is>
          <t>개</t>
        </is>
      </c>
      <c r="R153" s="1111" t="n">
        <v>2500</v>
      </c>
      <c r="S153" s="1112">
        <f>P153*R153</f>
        <v/>
      </c>
      <c r="T153" s="1088">
        <f>S153-N153</f>
        <v/>
      </c>
      <c r="U153" s="1109" t="n">
        <v>10000</v>
      </c>
      <c r="V153" s="1110" t="inlineStr">
        <is>
          <t>개</t>
        </is>
      </c>
      <c r="W153" s="1111" t="n">
        <v>2500</v>
      </c>
      <c r="X153" s="1112">
        <f>U153*W153</f>
        <v/>
      </c>
      <c r="Y153" s="1113">
        <f>X153-S153</f>
        <v/>
      </c>
      <c r="Z153" s="1109" t="n">
        <v>10000</v>
      </c>
      <c r="AA153" s="1110" t="inlineStr">
        <is>
          <t>개</t>
        </is>
      </c>
      <c r="AB153" s="1111" t="n">
        <v>2500</v>
      </c>
      <c r="AC153" s="1112">
        <f>Z153*AB153</f>
        <v/>
      </c>
      <c r="AD153" s="1113">
        <f>AC153-X153</f>
        <v/>
      </c>
      <c r="AE153" s="1109" t="n">
        <v>10000</v>
      </c>
      <c r="AF153" s="1110" t="inlineStr">
        <is>
          <t>개</t>
        </is>
      </c>
      <c r="AG153" s="1111" t="n">
        <v>2500</v>
      </c>
      <c r="AH153" s="1112">
        <f>AE153*AG153</f>
        <v/>
      </c>
      <c r="AI153" s="1113">
        <f>AH153-AC153</f>
        <v/>
      </c>
      <c r="AJ153" s="1159" t="n"/>
      <c r="AK153" s="753" t="inlineStr">
        <is>
          <t>수량 변경 (16000개→10000개)</t>
        </is>
      </c>
    </row>
    <row r="154" ht="30.2" customFormat="1" customHeight="1" s="2">
      <c r="B154" s="1005" t="n"/>
      <c r="C154" s="1005" t="n"/>
      <c r="D154" s="1005" t="n"/>
      <c r="E154" s="449" t="inlineStr">
        <is>
          <t>스탭티</t>
        </is>
      </c>
      <c r="F154" s="449" t="inlineStr">
        <is>
          <t>스탭티 제작</t>
        </is>
      </c>
      <c r="G154" s="434" t="n">
        <v>300</v>
      </c>
      <c r="H154" s="434" t="inlineStr">
        <is>
          <t>개</t>
        </is>
      </c>
      <c r="I154" s="1069" t="n">
        <v>12000</v>
      </c>
      <c r="J154" s="1160">
        <f>G154*I154</f>
        <v/>
      </c>
      <c r="K154" s="451" t="n">
        <v>500</v>
      </c>
      <c r="L154" s="438" t="inlineStr">
        <is>
          <t>개</t>
        </is>
      </c>
      <c r="M154" s="1072" t="n">
        <v>18000</v>
      </c>
      <c r="N154" s="1161">
        <f>K154*M154</f>
        <v/>
      </c>
      <c r="O154" s="1162">
        <f>N154-J154</f>
        <v/>
      </c>
      <c r="P154" s="451" t="n">
        <v>500</v>
      </c>
      <c r="Q154" s="438" t="inlineStr">
        <is>
          <t>개</t>
        </is>
      </c>
      <c r="R154" s="1072" t="n">
        <v>18000</v>
      </c>
      <c r="S154" s="1161">
        <f>P154*R154</f>
        <v/>
      </c>
      <c r="T154" s="1075">
        <f>S154-N154</f>
        <v/>
      </c>
      <c r="U154" s="451" t="n">
        <v>500</v>
      </c>
      <c r="V154" s="438" t="inlineStr">
        <is>
          <t>개</t>
        </is>
      </c>
      <c r="W154" s="1072" t="n">
        <v>18000</v>
      </c>
      <c r="X154" s="1161">
        <f>U154*W154</f>
        <v/>
      </c>
      <c r="Y154" s="1162">
        <f>X154-S154</f>
        <v/>
      </c>
      <c r="Z154" s="451" t="n">
        <v>500</v>
      </c>
      <c r="AA154" s="438" t="inlineStr">
        <is>
          <t>개</t>
        </is>
      </c>
      <c r="AB154" s="1072" t="n">
        <v>18000</v>
      </c>
      <c r="AC154" s="1161">
        <f>Z154*AB154</f>
        <v/>
      </c>
      <c r="AD154" s="1162">
        <f>AC154-X154</f>
        <v/>
      </c>
      <c r="AE154" s="451" t="n">
        <v>500</v>
      </c>
      <c r="AF154" s="438" t="inlineStr">
        <is>
          <t>개</t>
        </is>
      </c>
      <c r="AG154" s="1072" t="n">
        <v>18000</v>
      </c>
      <c r="AH154" s="1161">
        <f>AE154*AG154</f>
        <v/>
      </c>
      <c r="AI154" s="1162">
        <f>AH154-AC154</f>
        <v/>
      </c>
      <c r="AJ154" s="1163" t="n"/>
      <c r="AK154" s="438" t="inlineStr">
        <is>
          <t>전사출력으로 변경/ 인쇄 범위 확대 /운영인력 증가에 따른 수량 변동</t>
        </is>
      </c>
    </row>
    <row r="155" ht="30.2" customFormat="1" customHeight="1" s="2">
      <c r="B155" s="1005" t="n"/>
      <c r="C155" s="1005" t="n"/>
      <c r="D155" s="1005" t="n"/>
      <c r="E155" s="748" t="inlineStr">
        <is>
          <t>입장팔찌 제작</t>
        </is>
      </c>
      <c r="F155" s="822" t="inlineStr">
        <is>
          <t>입장팔찌 + 스태프 팔찌 제작</t>
        </is>
      </c>
      <c r="G155" s="113" t="n">
        <v>20000</v>
      </c>
      <c r="H155" s="113" t="inlineStr">
        <is>
          <t>개</t>
        </is>
      </c>
      <c r="I155" s="998" t="n">
        <v>800</v>
      </c>
      <c r="J155" s="999">
        <f>G155*I155</f>
        <v/>
      </c>
      <c r="K155" s="232" t="n">
        <v>20000</v>
      </c>
      <c r="L155" s="823" t="inlineStr">
        <is>
          <t>개</t>
        </is>
      </c>
      <c r="M155" s="1001" t="n">
        <v>800</v>
      </c>
      <c r="N155" s="1002">
        <f>K155*M155</f>
        <v/>
      </c>
      <c r="O155" s="1164">
        <f>N155-J155</f>
        <v/>
      </c>
      <c r="P155" s="232" t="n">
        <v>20000</v>
      </c>
      <c r="Q155" s="823" t="inlineStr">
        <is>
          <t>개</t>
        </is>
      </c>
      <c r="R155" s="1001" t="n">
        <v>800</v>
      </c>
      <c r="S155" s="1002">
        <f>P155*R155</f>
        <v/>
      </c>
      <c r="T155" s="1003">
        <f>S155-N155</f>
        <v/>
      </c>
      <c r="U155" s="232" t="n">
        <v>20000</v>
      </c>
      <c r="V155" s="823" t="inlineStr">
        <is>
          <t>개</t>
        </is>
      </c>
      <c r="W155" s="1001" t="n">
        <v>800</v>
      </c>
      <c r="X155" s="1002">
        <f>U155*W155</f>
        <v/>
      </c>
      <c r="Y155" s="1164">
        <f>X155-S155</f>
        <v/>
      </c>
      <c r="Z155" s="232" t="n">
        <v>20000</v>
      </c>
      <c r="AA155" s="823" t="inlineStr">
        <is>
          <t>개</t>
        </is>
      </c>
      <c r="AB155" s="1001" t="n">
        <v>800</v>
      </c>
      <c r="AC155" s="1002">
        <f>Z155*AB155</f>
        <v/>
      </c>
      <c r="AD155" s="1164">
        <f>AC155-X155</f>
        <v/>
      </c>
      <c r="AE155" s="232" t="n">
        <v>20000</v>
      </c>
      <c r="AF155" s="823" t="inlineStr">
        <is>
          <t>개</t>
        </is>
      </c>
      <c r="AG155" s="1001" t="n">
        <v>800</v>
      </c>
      <c r="AH155" s="1002">
        <f>AE155*AG155</f>
        <v/>
      </c>
      <c r="AI155" s="1164">
        <f>AH155-AC155</f>
        <v/>
      </c>
      <c r="AJ155" s="1165" t="n"/>
      <c r="AK155" s="823" t="n"/>
    </row>
    <row r="156" ht="30.2" customFormat="1" customHeight="1" s="2">
      <c r="B156" s="1005" t="n"/>
      <c r="C156" s="1005" t="n"/>
      <c r="D156" s="1005" t="n"/>
      <c r="E156" s="748" t="inlineStr">
        <is>
          <t>비표 제작</t>
        </is>
      </c>
      <c r="F156" s="822" t="inlineStr">
        <is>
          <t>목걸이 비표</t>
        </is>
      </c>
      <c r="G156" s="113" t="n">
        <v>500</v>
      </c>
      <c r="H156" s="113" t="inlineStr">
        <is>
          <t>개</t>
        </is>
      </c>
      <c r="I156" s="998" t="n">
        <v>2000</v>
      </c>
      <c r="J156" s="999">
        <f>G156*I156</f>
        <v/>
      </c>
      <c r="K156" s="232" t="n">
        <v>500</v>
      </c>
      <c r="L156" s="823" t="inlineStr">
        <is>
          <t>개</t>
        </is>
      </c>
      <c r="M156" s="1001" t="n">
        <v>2000</v>
      </c>
      <c r="N156" s="1002">
        <f>K156*M156</f>
        <v/>
      </c>
      <c r="O156" s="1164">
        <f>N156-J156</f>
        <v/>
      </c>
      <c r="P156" s="232" t="n">
        <v>500</v>
      </c>
      <c r="Q156" s="823" t="inlineStr">
        <is>
          <t>개</t>
        </is>
      </c>
      <c r="R156" s="1001" t="n">
        <v>2000</v>
      </c>
      <c r="S156" s="1002">
        <f>P156*R156</f>
        <v/>
      </c>
      <c r="T156" s="1003">
        <f>S156-N156</f>
        <v/>
      </c>
      <c r="U156" s="232" t="n">
        <v>500</v>
      </c>
      <c r="V156" s="823" t="inlineStr">
        <is>
          <t>개</t>
        </is>
      </c>
      <c r="W156" s="1001" t="n">
        <v>2000</v>
      </c>
      <c r="X156" s="1002">
        <f>U156*W156</f>
        <v/>
      </c>
      <c r="Y156" s="1164">
        <f>X156-S156</f>
        <v/>
      </c>
      <c r="Z156" s="232" t="n">
        <v>500</v>
      </c>
      <c r="AA156" s="823" t="inlineStr">
        <is>
          <t>개</t>
        </is>
      </c>
      <c r="AB156" s="1001" t="n">
        <v>2000</v>
      </c>
      <c r="AC156" s="1002">
        <f>Z156*AB156</f>
        <v/>
      </c>
      <c r="AD156" s="1164">
        <f>AC156-X156</f>
        <v/>
      </c>
      <c r="AE156" s="232" t="n">
        <v>500</v>
      </c>
      <c r="AF156" s="823" t="inlineStr">
        <is>
          <t>개</t>
        </is>
      </c>
      <c r="AG156" s="1001" t="n">
        <v>2000</v>
      </c>
      <c r="AH156" s="1002">
        <f>AE156*AG156</f>
        <v/>
      </c>
      <c r="AI156" s="1164">
        <f>AH156-AC156</f>
        <v/>
      </c>
      <c r="AJ156" s="1165" t="n"/>
      <c r="AK156" s="823" t="n"/>
    </row>
    <row r="157" ht="30.2" customFormat="1" customHeight="1" s="2">
      <c r="A157" s="2" t="inlineStr">
        <is>
          <t>i</t>
        </is>
      </c>
      <c r="B157" s="1005" t="n"/>
      <c r="C157" s="1005" t="n"/>
      <c r="D157" s="981" t="n"/>
      <c r="E157" s="748" t="inlineStr">
        <is>
          <t>인터뷰룸</t>
        </is>
      </c>
      <c r="F157" s="822" t="inlineStr">
        <is>
          <t>포토월 출력</t>
        </is>
      </c>
      <c r="G157" s="113" t="n">
        <v>1</v>
      </c>
      <c r="H157" s="113" t="inlineStr">
        <is>
          <t>개</t>
        </is>
      </c>
      <c r="I157" s="998" t="n">
        <v>500000</v>
      </c>
      <c r="J157" s="999">
        <f>G157*I157</f>
        <v/>
      </c>
      <c r="K157" s="232" t="n">
        <v>1</v>
      </c>
      <c r="L157" s="823" t="inlineStr">
        <is>
          <t>개</t>
        </is>
      </c>
      <c r="M157" s="1001" t="n">
        <v>500000</v>
      </c>
      <c r="N157" s="1002">
        <f>K157*M157</f>
        <v/>
      </c>
      <c r="O157" s="1164">
        <f>N157-J157</f>
        <v/>
      </c>
      <c r="P157" s="232" t="n">
        <v>1</v>
      </c>
      <c r="Q157" s="823" t="inlineStr">
        <is>
          <t>개</t>
        </is>
      </c>
      <c r="R157" s="1001" t="n">
        <v>500000</v>
      </c>
      <c r="S157" s="1002">
        <f>P157*R157</f>
        <v/>
      </c>
      <c r="T157" s="1003">
        <f>S157-N157</f>
        <v/>
      </c>
      <c r="U157" s="232" t="n">
        <v>1</v>
      </c>
      <c r="V157" s="823" t="inlineStr">
        <is>
          <t>개</t>
        </is>
      </c>
      <c r="W157" s="1001" t="n">
        <v>500000</v>
      </c>
      <c r="X157" s="1002">
        <f>U157*W157</f>
        <v/>
      </c>
      <c r="Y157" s="1164">
        <f>X157-S157</f>
        <v/>
      </c>
      <c r="Z157" s="232" t="n">
        <v>1</v>
      </c>
      <c r="AA157" s="823" t="inlineStr">
        <is>
          <t>개</t>
        </is>
      </c>
      <c r="AB157" s="1001" t="n">
        <v>500000</v>
      </c>
      <c r="AC157" s="1002">
        <f>Z157*AB157</f>
        <v/>
      </c>
      <c r="AD157" s="1164">
        <f>AC157-X157</f>
        <v/>
      </c>
      <c r="AE157" s="232" t="n">
        <v>1</v>
      </c>
      <c r="AF157" s="823" t="inlineStr">
        <is>
          <t>개</t>
        </is>
      </c>
      <c r="AG157" s="1001" t="n">
        <v>500000</v>
      </c>
      <c r="AH157" s="1002">
        <f>AE157*AG157</f>
        <v/>
      </c>
      <c r="AI157" s="1164">
        <f>AH157-AC157</f>
        <v/>
      </c>
      <c r="AJ157" s="1165" t="n"/>
      <c r="AK157" s="823" t="n"/>
    </row>
    <row r="158" ht="30.2" customFormat="1" customHeight="1" s="2">
      <c r="B158" s="1005" t="n"/>
      <c r="C158" s="1005" t="n"/>
      <c r="D158" s="16" t="inlineStr">
        <is>
          <t>현장 출력물</t>
        </is>
      </c>
      <c r="E158" s="51" t="inlineStr">
        <is>
          <t>호돌이광장 트러스타워 현수막</t>
        </is>
      </c>
      <c r="F158" s="19" t="inlineStr">
        <is>
          <t>2950*4950</t>
        </is>
      </c>
      <c r="G158" s="194" t="n">
        <v>4</v>
      </c>
      <c r="H158" s="194" t="inlineStr">
        <is>
          <t>개</t>
        </is>
      </c>
      <c r="I158" s="1166" t="n">
        <v>306600</v>
      </c>
      <c r="J158" s="999">
        <f>G158*I158</f>
        <v/>
      </c>
      <c r="K158" s="233" t="n">
        <v>4</v>
      </c>
      <c r="L158" s="20" t="inlineStr">
        <is>
          <t>개</t>
        </is>
      </c>
      <c r="M158" s="1167" t="n">
        <v>306600</v>
      </c>
      <c r="N158" s="1002">
        <f>K158*M158</f>
        <v/>
      </c>
      <c r="O158" s="1164">
        <f>N158-J158</f>
        <v/>
      </c>
      <c r="P158" s="233" t="n">
        <v>4</v>
      </c>
      <c r="Q158" s="20" t="inlineStr">
        <is>
          <t>개</t>
        </is>
      </c>
      <c r="R158" s="1167" t="n">
        <v>306600</v>
      </c>
      <c r="S158" s="1002">
        <f>P158*R158</f>
        <v/>
      </c>
      <c r="T158" s="1003">
        <f>S158-N158</f>
        <v/>
      </c>
      <c r="U158" s="233" t="n">
        <v>4</v>
      </c>
      <c r="V158" s="20" t="inlineStr">
        <is>
          <t>개</t>
        </is>
      </c>
      <c r="W158" s="1167" t="n">
        <v>306600</v>
      </c>
      <c r="X158" s="1002">
        <f>U158*W158</f>
        <v/>
      </c>
      <c r="Y158" s="1164">
        <f>X158-S158</f>
        <v/>
      </c>
      <c r="Z158" s="233" t="n">
        <v>4</v>
      </c>
      <c r="AA158" s="20" t="inlineStr">
        <is>
          <t>개</t>
        </is>
      </c>
      <c r="AB158" s="1167" t="n">
        <v>306600</v>
      </c>
      <c r="AC158" s="1002">
        <f>Z158*AB158</f>
        <v/>
      </c>
      <c r="AD158" s="1164">
        <f>AC158-X158</f>
        <v/>
      </c>
      <c r="AE158" s="233" t="n">
        <v>4</v>
      </c>
      <c r="AF158" s="20" t="inlineStr">
        <is>
          <t>개</t>
        </is>
      </c>
      <c r="AG158" s="1167" t="n">
        <v>306600</v>
      </c>
      <c r="AH158" s="1002">
        <f>AE158*AG158</f>
        <v/>
      </c>
      <c r="AI158" s="1164">
        <f>AH158-AC158</f>
        <v/>
      </c>
      <c r="AJ158" s="1168" t="n"/>
      <c r="AK158" s="823" t="n"/>
    </row>
    <row r="159" ht="30.2" customFormat="1" customHeight="1" s="2">
      <c r="B159" s="1005" t="n"/>
      <c r="C159" s="1005" t="n"/>
      <c r="D159" s="1006" t="n"/>
      <c r="E159" s="19" t="inlineStr">
        <is>
          <t>대형락업로고 현수막</t>
        </is>
      </c>
      <c r="F159" s="19" t="inlineStr">
        <is>
          <t>29,000*8,000</t>
        </is>
      </c>
      <c r="G159" s="194" t="n">
        <v>232</v>
      </c>
      <c r="H159" s="194" t="inlineStr">
        <is>
          <t>㎡</t>
        </is>
      </c>
      <c r="I159" s="1166" t="n">
        <v>21000</v>
      </c>
      <c r="J159" s="999">
        <f>G159*I159</f>
        <v/>
      </c>
      <c r="K159" s="233" t="n">
        <v>232</v>
      </c>
      <c r="L159" s="20" t="inlineStr">
        <is>
          <t>㎡</t>
        </is>
      </c>
      <c r="M159" s="1167" t="n">
        <v>21000</v>
      </c>
      <c r="N159" s="1002">
        <f>K159*M159</f>
        <v/>
      </c>
      <c r="O159" s="1164">
        <f>N159-J159</f>
        <v/>
      </c>
      <c r="P159" s="233" t="n">
        <v>232</v>
      </c>
      <c r="Q159" s="20" t="inlineStr">
        <is>
          <t>㎡</t>
        </is>
      </c>
      <c r="R159" s="1167" t="n">
        <v>21000</v>
      </c>
      <c r="S159" s="1002">
        <f>P159*R159</f>
        <v/>
      </c>
      <c r="T159" s="1003">
        <f>S159-N159</f>
        <v/>
      </c>
      <c r="U159" s="233" t="n">
        <v>232</v>
      </c>
      <c r="V159" s="20" t="inlineStr">
        <is>
          <t>㎡</t>
        </is>
      </c>
      <c r="W159" s="1167" t="n">
        <v>21000</v>
      </c>
      <c r="X159" s="1002">
        <f>U159*W159</f>
        <v/>
      </c>
      <c r="Y159" s="1164">
        <f>X159-S159</f>
        <v/>
      </c>
      <c r="Z159" s="233" t="n">
        <v>232</v>
      </c>
      <c r="AA159" s="20" t="inlineStr">
        <is>
          <t>㎡</t>
        </is>
      </c>
      <c r="AB159" s="1167" t="n">
        <v>21000</v>
      </c>
      <c r="AC159" s="1002">
        <f>Z159*AB159</f>
        <v/>
      </c>
      <c r="AD159" s="1164">
        <f>AC159-X159</f>
        <v/>
      </c>
      <c r="AE159" s="233" t="n">
        <v>232</v>
      </c>
      <c r="AF159" s="20" t="inlineStr">
        <is>
          <t>㎡</t>
        </is>
      </c>
      <c r="AG159" s="1167" t="n">
        <v>21000</v>
      </c>
      <c r="AH159" s="1002">
        <f>AE159*AG159</f>
        <v/>
      </c>
      <c r="AI159" s="1164">
        <f>AH159-AC159</f>
        <v/>
      </c>
      <c r="AJ159" s="1168" t="n"/>
      <c r="AK159" s="823" t="n"/>
    </row>
    <row r="160" ht="30.2" customFormat="1" customHeight="1" s="2">
      <c r="B160" s="1005" t="n"/>
      <c r="C160" s="1005" t="n"/>
      <c r="D160" s="1006" t="n"/>
      <c r="E160" s="405" t="inlineStr">
        <is>
          <t>입장게이트 현수막 앞</t>
        </is>
      </c>
      <c r="F160" s="405" t="inlineStr">
        <is>
          <t>8950*960</t>
        </is>
      </c>
      <c r="G160" s="406" t="n">
        <v>9</v>
      </c>
      <c r="H160" s="406" t="inlineStr">
        <is>
          <t>㎡</t>
        </is>
      </c>
      <c r="I160" s="1169" t="n">
        <v>21000</v>
      </c>
      <c r="J160" s="1170">
        <f>G160*I160</f>
        <v/>
      </c>
      <c r="K160" s="408" t="n">
        <v>9</v>
      </c>
      <c r="L160" s="409" t="inlineStr">
        <is>
          <t>㎡</t>
        </is>
      </c>
      <c r="M160" s="1171" t="n">
        <v>21000</v>
      </c>
      <c r="N160" s="1172" t="n"/>
      <c r="O160" s="1173">
        <f>N160-J160</f>
        <v/>
      </c>
      <c r="P160" s="408" t="n">
        <v>9</v>
      </c>
      <c r="Q160" s="409" t="inlineStr">
        <is>
          <t>㎡</t>
        </is>
      </c>
      <c r="R160" s="1171" t="n">
        <v>21000</v>
      </c>
      <c r="S160" s="1172" t="n"/>
      <c r="T160" s="1144">
        <f>S160-N160</f>
        <v/>
      </c>
      <c r="U160" s="408" t="n">
        <v>9</v>
      </c>
      <c r="V160" s="409" t="inlineStr">
        <is>
          <t>㎡</t>
        </is>
      </c>
      <c r="W160" s="1171" t="n">
        <v>21000</v>
      </c>
      <c r="X160" s="1172" t="n"/>
      <c r="Y160" s="1173">
        <f>X160-T160</f>
        <v/>
      </c>
      <c r="Z160" s="408" t="n">
        <v>9</v>
      </c>
      <c r="AA160" s="409" t="inlineStr">
        <is>
          <t>㎡</t>
        </is>
      </c>
      <c r="AB160" s="1171" t="n">
        <v>21000</v>
      </c>
      <c r="AC160" s="1172" t="n"/>
      <c r="AD160" s="1173">
        <f>AC160-Y160</f>
        <v/>
      </c>
      <c r="AE160" s="408" t="n">
        <v>9</v>
      </c>
      <c r="AF160" s="409" t="inlineStr">
        <is>
          <t>㎡</t>
        </is>
      </c>
      <c r="AG160" s="1171" t="n">
        <v>21000</v>
      </c>
      <c r="AH160" s="1172" t="n"/>
      <c r="AI160" s="1173">
        <f>AH160-AD160</f>
        <v/>
      </c>
      <c r="AJ160" s="1174" t="n"/>
      <c r="AK160" s="383" t="n"/>
    </row>
    <row r="161" ht="30.2" customFormat="1" customHeight="1" s="2">
      <c r="B161" s="1005" t="n"/>
      <c r="C161" s="1005" t="n"/>
      <c r="D161" s="1006" t="n"/>
      <c r="E161" s="405" t="inlineStr">
        <is>
          <t>입장게이트 현수막 뒤</t>
        </is>
      </c>
      <c r="F161" s="405" t="inlineStr">
        <is>
          <t>8950*960</t>
        </is>
      </c>
      <c r="G161" s="406" t="n">
        <v>9</v>
      </c>
      <c r="H161" s="406" t="inlineStr">
        <is>
          <t>㎡</t>
        </is>
      </c>
      <c r="I161" s="1169" t="n">
        <v>21000</v>
      </c>
      <c r="J161" s="1170">
        <f>G161*I161</f>
        <v/>
      </c>
      <c r="K161" s="408" t="n">
        <v>9</v>
      </c>
      <c r="L161" s="409" t="inlineStr">
        <is>
          <t>㎡</t>
        </is>
      </c>
      <c r="M161" s="1171" t="n">
        <v>21000</v>
      </c>
      <c r="N161" s="1172" t="n"/>
      <c r="O161" s="1173">
        <f>N161-J161</f>
        <v/>
      </c>
      <c r="P161" s="408" t="n">
        <v>9</v>
      </c>
      <c r="Q161" s="409" t="inlineStr">
        <is>
          <t>㎡</t>
        </is>
      </c>
      <c r="R161" s="1171" t="n">
        <v>21000</v>
      </c>
      <c r="S161" s="1172" t="n"/>
      <c r="T161" s="1144">
        <f>S161-N161</f>
        <v/>
      </c>
      <c r="U161" s="408" t="n">
        <v>9</v>
      </c>
      <c r="V161" s="409" t="inlineStr">
        <is>
          <t>㎡</t>
        </is>
      </c>
      <c r="W161" s="1171" t="n">
        <v>21000</v>
      </c>
      <c r="X161" s="1172" t="n"/>
      <c r="Y161" s="1173">
        <f>X161-T161</f>
        <v/>
      </c>
      <c r="Z161" s="408" t="n">
        <v>9</v>
      </c>
      <c r="AA161" s="409" t="inlineStr">
        <is>
          <t>㎡</t>
        </is>
      </c>
      <c r="AB161" s="1171" t="n">
        <v>21000</v>
      </c>
      <c r="AC161" s="1172" t="n"/>
      <c r="AD161" s="1173">
        <f>AC161-Y161</f>
        <v/>
      </c>
      <c r="AE161" s="408" t="n">
        <v>9</v>
      </c>
      <c r="AF161" s="409" t="inlineStr">
        <is>
          <t>㎡</t>
        </is>
      </c>
      <c r="AG161" s="1171" t="n">
        <v>21000</v>
      </c>
      <c r="AH161" s="1172" t="n"/>
      <c r="AI161" s="1173">
        <f>AH161-AD161</f>
        <v/>
      </c>
      <c r="AJ161" s="1174" t="n"/>
      <c r="AK161" s="383" t="n"/>
    </row>
    <row r="162" ht="30.2" customFormat="1" customHeight="1" s="2">
      <c r="B162" s="1005" t="n"/>
      <c r="C162" s="1005" t="n"/>
      <c r="D162" s="1006" t="n"/>
      <c r="E162" s="52" t="inlineStr">
        <is>
          <t>자이언트배너 현수막</t>
        </is>
      </c>
      <c r="F162" s="22" t="inlineStr">
        <is>
          <t>1100*3300 [자이언트배너 기둥은 렌탈]</t>
        </is>
      </c>
      <c r="G162" s="196" t="n">
        <v>10</v>
      </c>
      <c r="H162" s="194" t="inlineStr">
        <is>
          <t>개</t>
        </is>
      </c>
      <c r="I162" s="1166" t="n">
        <v>75600</v>
      </c>
      <c r="J162" s="999">
        <f>G162*I162</f>
        <v/>
      </c>
      <c r="K162" s="234" t="n">
        <v>10</v>
      </c>
      <c r="L162" s="20" t="inlineStr">
        <is>
          <t>개</t>
        </is>
      </c>
      <c r="M162" s="1167" t="n">
        <v>75600</v>
      </c>
      <c r="N162" s="1002">
        <f>K162*M162</f>
        <v/>
      </c>
      <c r="O162" s="1164">
        <f>N162-J162</f>
        <v/>
      </c>
      <c r="P162" s="234" t="n">
        <v>10</v>
      </c>
      <c r="Q162" s="20" t="inlineStr">
        <is>
          <t>개</t>
        </is>
      </c>
      <c r="R162" s="1167" t="n">
        <v>75600</v>
      </c>
      <c r="S162" s="1002">
        <f>P162*R162</f>
        <v/>
      </c>
      <c r="T162" s="1003">
        <f>S162-N162</f>
        <v/>
      </c>
      <c r="U162" s="234" t="n">
        <v>10</v>
      </c>
      <c r="V162" s="20" t="inlineStr">
        <is>
          <t>개</t>
        </is>
      </c>
      <c r="W162" s="1167" t="n">
        <v>75600</v>
      </c>
      <c r="X162" s="1002">
        <f>U162*W162</f>
        <v/>
      </c>
      <c r="Y162" s="1164">
        <f>X162-S162</f>
        <v/>
      </c>
      <c r="Z162" s="234" t="n">
        <v>10</v>
      </c>
      <c r="AA162" s="20" t="inlineStr">
        <is>
          <t>개</t>
        </is>
      </c>
      <c r="AB162" s="1167" t="n">
        <v>75600</v>
      </c>
      <c r="AC162" s="1002">
        <f>Z162*AB162</f>
        <v/>
      </c>
      <c r="AD162" s="1164">
        <f>AC162-X162</f>
        <v/>
      </c>
      <c r="AE162" s="234" t="n">
        <v>10</v>
      </c>
      <c r="AF162" s="20" t="inlineStr">
        <is>
          <t>개</t>
        </is>
      </c>
      <c r="AG162" s="1167" t="n">
        <v>75600</v>
      </c>
      <c r="AH162" s="1002">
        <f>AE162*AG162</f>
        <v/>
      </c>
      <c r="AI162" s="1164">
        <f>AH162-AC162</f>
        <v/>
      </c>
      <c r="AJ162" s="1168" t="n"/>
      <c r="AK162" s="823" t="n"/>
    </row>
    <row r="163" ht="30.2" customFormat="1" customHeight="1" s="2">
      <c r="B163" s="1005" t="n"/>
      <c r="C163" s="1005" t="n"/>
      <c r="D163" s="1006" t="n"/>
      <c r="E163" s="53" t="inlineStr">
        <is>
          <t>경량펜스,바리케이트 현수막</t>
        </is>
      </c>
      <c r="F163" s="22" t="inlineStr">
        <is>
          <t>1500*1500</t>
        </is>
      </c>
      <c r="G163" s="196" t="n">
        <v>120</v>
      </c>
      <c r="H163" s="194" t="inlineStr">
        <is>
          <t>개</t>
        </is>
      </c>
      <c r="I163" s="1166" t="n">
        <v>48300</v>
      </c>
      <c r="J163" s="999">
        <f>G163*I163</f>
        <v/>
      </c>
      <c r="K163" s="234" t="n">
        <v>120</v>
      </c>
      <c r="L163" s="20" t="inlineStr">
        <is>
          <t>개</t>
        </is>
      </c>
      <c r="M163" s="1167" t="n">
        <v>48300</v>
      </c>
      <c r="N163" s="1002">
        <f>K163*M163</f>
        <v/>
      </c>
      <c r="O163" s="1164">
        <f>N163-J163</f>
        <v/>
      </c>
      <c r="P163" s="234" t="n">
        <v>120</v>
      </c>
      <c r="Q163" s="20" t="inlineStr">
        <is>
          <t>개</t>
        </is>
      </c>
      <c r="R163" s="1167" t="n">
        <v>48300</v>
      </c>
      <c r="S163" s="1002">
        <f>P163*R163</f>
        <v/>
      </c>
      <c r="T163" s="1003">
        <f>S163-N163</f>
        <v/>
      </c>
      <c r="U163" s="234" t="n">
        <v>120</v>
      </c>
      <c r="V163" s="20" t="inlineStr">
        <is>
          <t>개</t>
        </is>
      </c>
      <c r="W163" s="1167" t="n">
        <v>48300</v>
      </c>
      <c r="X163" s="1002">
        <f>U163*W163</f>
        <v/>
      </c>
      <c r="Y163" s="1164">
        <f>X163-S163</f>
        <v/>
      </c>
      <c r="Z163" s="234" t="n">
        <v>120</v>
      </c>
      <c r="AA163" s="20" t="inlineStr">
        <is>
          <t>개</t>
        </is>
      </c>
      <c r="AB163" s="1167" t="n">
        <v>48300</v>
      </c>
      <c r="AC163" s="1002">
        <f>Z163*AB163</f>
        <v/>
      </c>
      <c r="AD163" s="1164">
        <f>AC163-X163</f>
        <v/>
      </c>
      <c r="AE163" s="234" t="n">
        <v>120</v>
      </c>
      <c r="AF163" s="20" t="inlineStr">
        <is>
          <t>개</t>
        </is>
      </c>
      <c r="AG163" s="1167" t="n">
        <v>48300</v>
      </c>
      <c r="AH163" s="1002">
        <f>AE163*AG163</f>
        <v/>
      </c>
      <c r="AI163" s="1164">
        <f>AH163-AC163</f>
        <v/>
      </c>
      <c r="AJ163" s="1168" t="n"/>
      <c r="AK163" s="823" t="n"/>
    </row>
    <row r="164" ht="30.2" customFormat="1" customHeight="1" s="2">
      <c r="B164" s="1005" t="n"/>
      <c r="C164" s="1005" t="n"/>
      <c r="D164" s="1006" t="n"/>
      <c r="E164" s="616" t="inlineStr">
        <is>
          <t>남직문 좌 상단데크 가림막</t>
        </is>
      </c>
      <c r="F164" s="617" t="inlineStr">
        <is>
          <t>52200*2300</t>
        </is>
      </c>
      <c r="G164" s="601" t="n">
        <v>120</v>
      </c>
      <c r="H164" s="602" t="inlineStr">
        <is>
          <t>㎡</t>
        </is>
      </c>
      <c r="I164" s="1175" t="n">
        <v>21000</v>
      </c>
      <c r="J164" s="1176">
        <f>G164*I164</f>
        <v/>
      </c>
      <c r="K164" s="605" t="n">
        <v>120</v>
      </c>
      <c r="L164" s="602" t="inlineStr">
        <is>
          <t>㎡</t>
        </is>
      </c>
      <c r="M164" s="1175" t="n">
        <v>21000</v>
      </c>
      <c r="N164" s="1177">
        <f>K164*M164</f>
        <v/>
      </c>
      <c r="O164" s="1178">
        <f>N164-J164</f>
        <v/>
      </c>
      <c r="P164" s="605" t="n">
        <v>120</v>
      </c>
      <c r="Q164" s="602" t="inlineStr">
        <is>
          <t>㎡</t>
        </is>
      </c>
      <c r="R164" s="1175" t="n">
        <v>21000</v>
      </c>
      <c r="S164" s="1177">
        <f>P164*R164</f>
        <v/>
      </c>
      <c r="T164" s="1179">
        <f>S164-N164</f>
        <v/>
      </c>
      <c r="U164" s="605" t="n">
        <v>120</v>
      </c>
      <c r="V164" s="602" t="inlineStr">
        <is>
          <t>㎡</t>
        </is>
      </c>
      <c r="W164" s="1175" t="n">
        <v>21000</v>
      </c>
      <c r="X164" s="1177">
        <f>U164*W164</f>
        <v/>
      </c>
      <c r="Y164" s="1178">
        <f>X164-S164</f>
        <v/>
      </c>
      <c r="Z164" s="605" t="n">
        <v>120</v>
      </c>
      <c r="AA164" s="602" t="inlineStr">
        <is>
          <t>㎡</t>
        </is>
      </c>
      <c r="AB164" s="1175" t="n">
        <v>21000</v>
      </c>
      <c r="AC164" s="1177">
        <f>Z164*AB164</f>
        <v/>
      </c>
      <c r="AD164" s="1178">
        <f>AC164-X164</f>
        <v/>
      </c>
      <c r="AE164" s="605" t="n">
        <v>0</v>
      </c>
      <c r="AF164" s="602" t="inlineStr">
        <is>
          <t>㎡</t>
        </is>
      </c>
      <c r="AG164" s="1175" t="n">
        <v>21000</v>
      </c>
      <c r="AH164" s="1177">
        <f>AE164*AG164</f>
        <v/>
      </c>
      <c r="AI164" s="1178">
        <f>AH164-AC164</f>
        <v/>
      </c>
      <c r="AJ164" s="1180" t="n"/>
      <c r="AK164" s="600" t="inlineStr">
        <is>
          <t>동선 변경에 따라 생략 / 펜스 브랜딩 추가항목으로 대체</t>
        </is>
      </c>
    </row>
    <row r="165" ht="30.2" customFormat="1" customHeight="1" s="2">
      <c r="B165" s="1005" t="n"/>
      <c r="C165" s="1005" t="n"/>
      <c r="D165" s="1006" t="n"/>
      <c r="E165" s="616" t="inlineStr">
        <is>
          <t>남직문 입구 KV 현수막</t>
        </is>
      </c>
      <c r="F165" s="617" t="inlineStr">
        <is>
          <t>7500*8500</t>
        </is>
      </c>
      <c r="G165" s="601" t="n">
        <v>2</v>
      </c>
      <c r="H165" s="602" t="inlineStr">
        <is>
          <t>개</t>
        </is>
      </c>
      <c r="I165" s="1175" t="n">
        <v>1344000</v>
      </c>
      <c r="J165" s="1176">
        <f>G165*I165</f>
        <v/>
      </c>
      <c r="K165" s="605" t="n">
        <v>2</v>
      </c>
      <c r="L165" s="602" t="inlineStr">
        <is>
          <t>개</t>
        </is>
      </c>
      <c r="M165" s="1175" t="n">
        <v>1344000</v>
      </c>
      <c r="N165" s="1177">
        <f>K165*M165</f>
        <v/>
      </c>
      <c r="O165" s="1178">
        <f>N165-J165</f>
        <v/>
      </c>
      <c r="P165" s="605" t="n">
        <v>2</v>
      </c>
      <c r="Q165" s="602" t="inlineStr">
        <is>
          <t>개</t>
        </is>
      </c>
      <c r="R165" s="1175" t="n">
        <v>1344000</v>
      </c>
      <c r="S165" s="1177">
        <f>P165*R165</f>
        <v/>
      </c>
      <c r="T165" s="1179">
        <f>S165-N165</f>
        <v/>
      </c>
      <c r="U165" s="605" t="n">
        <v>2</v>
      </c>
      <c r="V165" s="602" t="inlineStr">
        <is>
          <t>개</t>
        </is>
      </c>
      <c r="W165" s="1175" t="n">
        <v>1344000</v>
      </c>
      <c r="X165" s="1177">
        <f>U165*W165</f>
        <v/>
      </c>
      <c r="Y165" s="1178">
        <f>X165-S165</f>
        <v/>
      </c>
      <c r="Z165" s="605" t="n">
        <v>2</v>
      </c>
      <c r="AA165" s="602" t="inlineStr">
        <is>
          <t>개</t>
        </is>
      </c>
      <c r="AB165" s="1175" t="n">
        <v>1344000</v>
      </c>
      <c r="AC165" s="1177">
        <f>Z165*AB165</f>
        <v/>
      </c>
      <c r="AD165" s="1178">
        <f>AC165-X165</f>
        <v/>
      </c>
      <c r="AE165" s="605" t="n">
        <v>0</v>
      </c>
      <c r="AF165" s="602" t="inlineStr">
        <is>
          <t>개</t>
        </is>
      </c>
      <c r="AG165" s="1175" t="n">
        <v>1344000</v>
      </c>
      <c r="AH165" s="1177">
        <f>AE165*AG165</f>
        <v/>
      </c>
      <c r="AI165" s="1178">
        <f>AH165-AC165</f>
        <v/>
      </c>
      <c r="AJ165" s="1180" t="n"/>
      <c r="AK165" s="600" t="inlineStr">
        <is>
          <t>동선 변경에 따라 생략 / 중앙통로 기둥브랜딩 추가항목으로 대체</t>
        </is>
      </c>
    </row>
    <row r="166" ht="30.2" customFormat="1" customHeight="1" s="2">
      <c r="B166" s="1005" t="n"/>
      <c r="C166" s="1005" t="n"/>
      <c r="D166" s="1006" t="n"/>
      <c r="E166" s="52" t="inlineStr">
        <is>
          <t>티켓부스 상단 현수막</t>
        </is>
      </c>
      <c r="F166" s="19" t="inlineStr">
        <is>
          <t>4800*500</t>
        </is>
      </c>
      <c r="G166" s="196" t="n">
        <v>38</v>
      </c>
      <c r="H166" s="194" t="inlineStr">
        <is>
          <t>개</t>
        </is>
      </c>
      <c r="I166" s="1166" t="n">
        <v>50400</v>
      </c>
      <c r="J166" s="999">
        <f>G166*I166</f>
        <v/>
      </c>
      <c r="K166" s="234" t="n">
        <v>38</v>
      </c>
      <c r="L166" s="20" t="inlineStr">
        <is>
          <t>개</t>
        </is>
      </c>
      <c r="M166" s="1167" t="n">
        <v>50400</v>
      </c>
      <c r="N166" s="1002">
        <f>K166*M166</f>
        <v/>
      </c>
      <c r="O166" s="1164">
        <f>N166-J166</f>
        <v/>
      </c>
      <c r="P166" s="234" t="n">
        <v>38</v>
      </c>
      <c r="Q166" s="20" t="inlineStr">
        <is>
          <t>개</t>
        </is>
      </c>
      <c r="R166" s="1167" t="n">
        <v>50400</v>
      </c>
      <c r="S166" s="1002">
        <f>P166*R166</f>
        <v/>
      </c>
      <c r="T166" s="1003">
        <f>S166-N166</f>
        <v/>
      </c>
      <c r="U166" s="234" t="n">
        <v>38</v>
      </c>
      <c r="V166" s="20" t="inlineStr">
        <is>
          <t>개</t>
        </is>
      </c>
      <c r="W166" s="1167" t="n">
        <v>50400</v>
      </c>
      <c r="X166" s="1002">
        <f>U166*W166</f>
        <v/>
      </c>
      <c r="Y166" s="1164">
        <f>X166-S166</f>
        <v/>
      </c>
      <c r="Z166" s="234" t="n">
        <v>38</v>
      </c>
      <c r="AA166" s="20" t="inlineStr">
        <is>
          <t>개</t>
        </is>
      </c>
      <c r="AB166" s="1167" t="n">
        <v>50400</v>
      </c>
      <c r="AC166" s="1002">
        <f>Z166*AB166</f>
        <v/>
      </c>
      <c r="AD166" s="1164">
        <f>AC166-X166</f>
        <v/>
      </c>
      <c r="AE166" s="234" t="n">
        <v>38</v>
      </c>
      <c r="AF166" s="20" t="inlineStr">
        <is>
          <t>개</t>
        </is>
      </c>
      <c r="AG166" s="1167" t="n">
        <v>50400</v>
      </c>
      <c r="AH166" s="1002">
        <f>AE166*AG166</f>
        <v/>
      </c>
      <c r="AI166" s="1164">
        <f>AH166-AC166</f>
        <v/>
      </c>
      <c r="AJ166" s="1168" t="n"/>
      <c r="AK166" s="823" t="n"/>
    </row>
    <row r="167" ht="30.2" customFormat="1" customHeight="1" s="2">
      <c r="B167" s="1005" t="n"/>
      <c r="C167" s="1005" t="n"/>
      <c r="D167" s="1006" t="n"/>
      <c r="E167" s="52" t="inlineStr">
        <is>
          <t>MQ 하단 현수막</t>
        </is>
      </c>
      <c r="F167" s="19" t="inlineStr">
        <is>
          <t>4880*910</t>
        </is>
      </c>
      <c r="G167" s="196" t="n">
        <v>12</v>
      </c>
      <c r="H167" s="194" t="inlineStr">
        <is>
          <t>개</t>
        </is>
      </c>
      <c r="I167" s="1166" t="n">
        <v>92400</v>
      </c>
      <c r="J167" s="999">
        <f>G167*I167</f>
        <v/>
      </c>
      <c r="K167" s="234" t="n">
        <v>12</v>
      </c>
      <c r="L167" s="20" t="inlineStr">
        <is>
          <t>개</t>
        </is>
      </c>
      <c r="M167" s="1167" t="n">
        <v>92400</v>
      </c>
      <c r="N167" s="1002">
        <f>K167*M167</f>
        <v/>
      </c>
      <c r="O167" s="1164">
        <f>N167-J167</f>
        <v/>
      </c>
      <c r="P167" s="234" t="n">
        <v>12</v>
      </c>
      <c r="Q167" s="20" t="inlineStr">
        <is>
          <t>개</t>
        </is>
      </c>
      <c r="R167" s="1167" t="n">
        <v>92400</v>
      </c>
      <c r="S167" s="1002">
        <f>P167*R167</f>
        <v/>
      </c>
      <c r="T167" s="1003">
        <f>S167-N167</f>
        <v/>
      </c>
      <c r="U167" s="234" t="n">
        <v>12</v>
      </c>
      <c r="V167" s="20" t="inlineStr">
        <is>
          <t>개</t>
        </is>
      </c>
      <c r="W167" s="1167" t="n">
        <v>92400</v>
      </c>
      <c r="X167" s="1002">
        <f>U167*W167</f>
        <v/>
      </c>
      <c r="Y167" s="1164">
        <f>X167-S167</f>
        <v/>
      </c>
      <c r="Z167" s="234" t="n">
        <v>12</v>
      </c>
      <c r="AA167" s="20" t="inlineStr">
        <is>
          <t>개</t>
        </is>
      </c>
      <c r="AB167" s="1167" t="n">
        <v>92400</v>
      </c>
      <c r="AC167" s="1002">
        <f>Z167*AB167</f>
        <v/>
      </c>
      <c r="AD167" s="1164">
        <f>AC167-X167</f>
        <v/>
      </c>
      <c r="AE167" s="605" t="n">
        <v>31</v>
      </c>
      <c r="AF167" s="602" t="inlineStr">
        <is>
          <t>개</t>
        </is>
      </c>
      <c r="AG167" s="1175" t="n">
        <v>92400</v>
      </c>
      <c r="AH167" s="1177">
        <f>AE167*AG167</f>
        <v/>
      </c>
      <c r="AI167" s="1178">
        <f>AH167-AC167</f>
        <v/>
      </c>
      <c r="AJ167" s="1181" t="n"/>
      <c r="AK167" s="1182" t="inlineStr">
        <is>
          <t>운영 부스 증가에 따른 수량 변동 / 남직문 브랜딩 비용으로 대체</t>
        </is>
      </c>
    </row>
    <row r="168" ht="30.2" customFormat="1" customHeight="1" s="2">
      <c r="B168" s="1005" t="n"/>
      <c r="C168" s="1005" t="n"/>
      <c r="D168" s="1006" t="n"/>
      <c r="E168" s="52" t="inlineStr">
        <is>
          <t>MQ 하단 목공</t>
        </is>
      </c>
      <c r="F168" s="19" t="inlineStr">
        <is>
          <t>4880*910 / 일반목공</t>
        </is>
      </c>
      <c r="G168" s="196" t="n">
        <v>12</v>
      </c>
      <c r="H168" s="194" t="inlineStr">
        <is>
          <t>개</t>
        </is>
      </c>
      <c r="I168" s="1166" t="n">
        <v>176000</v>
      </c>
      <c r="J168" s="999">
        <f>G168*I168</f>
        <v/>
      </c>
      <c r="K168" s="234" t="n">
        <v>12</v>
      </c>
      <c r="L168" s="20" t="inlineStr">
        <is>
          <t>개</t>
        </is>
      </c>
      <c r="M168" s="1167" t="n">
        <v>176000</v>
      </c>
      <c r="N168" s="1002">
        <f>K168*M168</f>
        <v/>
      </c>
      <c r="O168" s="1164">
        <f>N168-J168</f>
        <v/>
      </c>
      <c r="P168" s="234" t="n">
        <v>12</v>
      </c>
      <c r="Q168" s="20" t="inlineStr">
        <is>
          <t>개</t>
        </is>
      </c>
      <c r="R168" s="1167" t="n">
        <v>176000</v>
      </c>
      <c r="S168" s="1002">
        <f>P168*R168</f>
        <v/>
      </c>
      <c r="T168" s="1003">
        <f>S168-N168</f>
        <v/>
      </c>
      <c r="U168" s="234" t="n">
        <v>12</v>
      </c>
      <c r="V168" s="20" t="inlineStr">
        <is>
          <t>개</t>
        </is>
      </c>
      <c r="W168" s="1167" t="n">
        <v>176000</v>
      </c>
      <c r="X168" s="1002">
        <f>U168*W168</f>
        <v/>
      </c>
      <c r="Y168" s="1164">
        <f>X168-S168</f>
        <v/>
      </c>
      <c r="Z168" s="234" t="n">
        <v>12</v>
      </c>
      <c r="AA168" s="20" t="inlineStr">
        <is>
          <t>개</t>
        </is>
      </c>
      <c r="AB168" s="1167" t="n">
        <v>176000</v>
      </c>
      <c r="AC168" s="1002">
        <f>Z168*AB168</f>
        <v/>
      </c>
      <c r="AD168" s="1164">
        <f>AC168-X168</f>
        <v/>
      </c>
      <c r="AE168" s="605" t="n">
        <v>31</v>
      </c>
      <c r="AF168" s="602" t="inlineStr">
        <is>
          <t>개</t>
        </is>
      </c>
      <c r="AG168" s="1175" t="n">
        <v>176000</v>
      </c>
      <c r="AH168" s="1177">
        <f>AE168*AG168</f>
        <v/>
      </c>
      <c r="AI168" s="1178">
        <f>AH168-AC168</f>
        <v/>
      </c>
      <c r="AJ168" s="1181" t="n"/>
      <c r="AK168" s="1183" t="n"/>
    </row>
    <row r="169" ht="30.2" customFormat="1" customHeight="1" s="2">
      <c r="B169" s="1005" t="n"/>
      <c r="C169" s="1005" t="n"/>
      <c r="D169" s="1006" t="n"/>
      <c r="E169" s="52" t="inlineStr">
        <is>
          <t>MQ텐트 삼각 현수막</t>
        </is>
      </c>
      <c r="F169" s="19" t="inlineStr">
        <is>
          <t>4600*2600</t>
        </is>
      </c>
      <c r="G169" s="196" t="n">
        <v>80</v>
      </c>
      <c r="H169" s="194" t="inlineStr">
        <is>
          <t>개</t>
        </is>
      </c>
      <c r="I169" s="1166" t="n">
        <v>126000</v>
      </c>
      <c r="J169" s="999">
        <f>G169*I169</f>
        <v/>
      </c>
      <c r="K169" s="234" t="n">
        <v>80</v>
      </c>
      <c r="L169" s="20" t="inlineStr">
        <is>
          <t>개</t>
        </is>
      </c>
      <c r="M169" s="1167" t="n">
        <v>126000</v>
      </c>
      <c r="N169" s="1002">
        <f>K169*M169</f>
        <v/>
      </c>
      <c r="O169" s="1164">
        <f>N169-J169</f>
        <v/>
      </c>
      <c r="P169" s="234" t="n">
        <v>80</v>
      </c>
      <c r="Q169" s="20" t="inlineStr">
        <is>
          <t>개</t>
        </is>
      </c>
      <c r="R169" s="1167" t="n">
        <v>126000</v>
      </c>
      <c r="S169" s="1002">
        <f>P169*R169</f>
        <v/>
      </c>
      <c r="T169" s="1003">
        <f>S169-N169</f>
        <v/>
      </c>
      <c r="U169" s="234" t="n">
        <v>80</v>
      </c>
      <c r="V169" s="20" t="inlineStr">
        <is>
          <t>개</t>
        </is>
      </c>
      <c r="W169" s="1167" t="n">
        <v>126000</v>
      </c>
      <c r="X169" s="1002">
        <f>U169*W169</f>
        <v/>
      </c>
      <c r="Y169" s="1164">
        <f>X169-S169</f>
        <v/>
      </c>
      <c r="Z169" s="234" t="n">
        <v>80</v>
      </c>
      <c r="AA169" s="20" t="inlineStr">
        <is>
          <t>개</t>
        </is>
      </c>
      <c r="AB169" s="1167" t="n">
        <v>126000</v>
      </c>
      <c r="AC169" s="1002">
        <f>Z169*AB169</f>
        <v/>
      </c>
      <c r="AD169" s="1164">
        <f>AC169-X169</f>
        <v/>
      </c>
      <c r="AE169" s="234" t="n">
        <v>80</v>
      </c>
      <c r="AF169" s="20" t="inlineStr">
        <is>
          <t>개</t>
        </is>
      </c>
      <c r="AG169" s="1167" t="n">
        <v>126000</v>
      </c>
      <c r="AH169" s="1002">
        <f>AE169*AG169</f>
        <v/>
      </c>
      <c r="AI169" s="1164">
        <f>AH169-AC169</f>
        <v/>
      </c>
      <c r="AJ169" s="1168" t="n"/>
      <c r="AK169" s="823" t="n"/>
    </row>
    <row r="170" ht="30.2" customFormat="1" customHeight="1" s="2">
      <c r="B170" s="1005" t="n"/>
      <c r="C170" s="1005" t="n"/>
      <c r="D170" s="1006" t="n"/>
      <c r="E170" s="52" t="inlineStr">
        <is>
          <t>MQ텐트 옆면 가림 현수막</t>
        </is>
      </c>
      <c r="F170" s="19" t="inlineStr">
        <is>
          <t>4800*2300</t>
        </is>
      </c>
      <c r="G170" s="196" t="n">
        <v>30</v>
      </c>
      <c r="H170" s="194" t="inlineStr">
        <is>
          <t>개</t>
        </is>
      </c>
      <c r="I170" s="1166" t="n">
        <v>231000</v>
      </c>
      <c r="J170" s="999">
        <f>G170*I170</f>
        <v/>
      </c>
      <c r="K170" s="234" t="n">
        <v>30</v>
      </c>
      <c r="L170" s="20" t="inlineStr">
        <is>
          <t>개</t>
        </is>
      </c>
      <c r="M170" s="1167" t="n">
        <v>231000</v>
      </c>
      <c r="N170" s="1002">
        <f>K170*M170</f>
        <v/>
      </c>
      <c r="O170" s="1164">
        <f>N170-J170</f>
        <v/>
      </c>
      <c r="P170" s="234" t="n">
        <v>30</v>
      </c>
      <c r="Q170" s="20" t="inlineStr">
        <is>
          <t>개</t>
        </is>
      </c>
      <c r="R170" s="1167" t="n">
        <v>231000</v>
      </c>
      <c r="S170" s="1002">
        <f>P170*R170</f>
        <v/>
      </c>
      <c r="T170" s="1003">
        <f>S170-N170</f>
        <v/>
      </c>
      <c r="U170" s="234" t="n">
        <v>30</v>
      </c>
      <c r="V170" s="20" t="inlineStr">
        <is>
          <t>개</t>
        </is>
      </c>
      <c r="W170" s="1167" t="n">
        <v>231000</v>
      </c>
      <c r="X170" s="1002">
        <f>U170*W170</f>
        <v/>
      </c>
      <c r="Y170" s="1164">
        <f>X170-S170</f>
        <v/>
      </c>
      <c r="Z170" s="234" t="n">
        <v>30</v>
      </c>
      <c r="AA170" s="20" t="inlineStr">
        <is>
          <t>개</t>
        </is>
      </c>
      <c r="AB170" s="1167" t="n">
        <v>231000</v>
      </c>
      <c r="AC170" s="1002">
        <f>Z170*AB170</f>
        <v/>
      </c>
      <c r="AD170" s="1164">
        <f>AC170-X170</f>
        <v/>
      </c>
      <c r="AE170" s="234" t="n">
        <v>30</v>
      </c>
      <c r="AF170" s="20" t="inlineStr">
        <is>
          <t>개</t>
        </is>
      </c>
      <c r="AG170" s="1167" t="n">
        <v>231000</v>
      </c>
      <c r="AH170" s="1002">
        <f>AE170*AG170</f>
        <v/>
      </c>
      <c r="AI170" s="1164">
        <f>AH170-AC170</f>
        <v/>
      </c>
      <c r="AJ170" s="1168" t="n"/>
      <c r="AK170" s="823" t="n"/>
    </row>
    <row r="171" ht="30.2" customFormat="1" customHeight="1" s="2">
      <c r="B171" s="1005" t="n"/>
      <c r="C171" s="1005" t="n"/>
      <c r="D171" s="1006" t="n"/>
      <c r="E171" s="52" t="inlineStr">
        <is>
          <t>보조경기장 입구상단 현수막</t>
        </is>
      </c>
      <c r="F171" s="19" t="inlineStr">
        <is>
          <t>22000*23002</t>
        </is>
      </c>
      <c r="G171" s="196" t="n">
        <v>51</v>
      </c>
      <c r="H171" s="194" t="inlineStr">
        <is>
          <t>㎡</t>
        </is>
      </c>
      <c r="I171" s="1166" t="n">
        <v>21000</v>
      </c>
      <c r="J171" s="999">
        <f>G171*I171</f>
        <v/>
      </c>
      <c r="K171" s="234" t="n">
        <v>51</v>
      </c>
      <c r="L171" s="20" t="inlineStr">
        <is>
          <t>㎡</t>
        </is>
      </c>
      <c r="M171" s="1167" t="n">
        <v>21000</v>
      </c>
      <c r="N171" s="1002">
        <f>K171*M171</f>
        <v/>
      </c>
      <c r="O171" s="1164">
        <f>N171-J171</f>
        <v/>
      </c>
      <c r="P171" s="234" t="n">
        <v>51</v>
      </c>
      <c r="Q171" s="20" t="inlineStr">
        <is>
          <t>㎡</t>
        </is>
      </c>
      <c r="R171" s="1167" t="n">
        <v>21000</v>
      </c>
      <c r="S171" s="1002">
        <f>P171*R171</f>
        <v/>
      </c>
      <c r="T171" s="1003">
        <f>S171-N171</f>
        <v/>
      </c>
      <c r="U171" s="234" t="n">
        <v>51</v>
      </c>
      <c r="V171" s="20" t="inlineStr">
        <is>
          <t>㎡</t>
        </is>
      </c>
      <c r="W171" s="1167" t="n">
        <v>21000</v>
      </c>
      <c r="X171" s="1002">
        <f>U171*W171</f>
        <v/>
      </c>
      <c r="Y171" s="1164">
        <f>X171-S171</f>
        <v/>
      </c>
      <c r="Z171" s="234" t="n">
        <v>51</v>
      </c>
      <c r="AA171" s="20" t="inlineStr">
        <is>
          <t>㎡</t>
        </is>
      </c>
      <c r="AB171" s="1167" t="n">
        <v>21000</v>
      </c>
      <c r="AC171" s="1002">
        <f>Z171*AB171</f>
        <v/>
      </c>
      <c r="AD171" s="1164">
        <f>AC171-X171</f>
        <v/>
      </c>
      <c r="AE171" s="234" t="n">
        <v>51</v>
      </c>
      <c r="AF171" s="20" t="inlineStr">
        <is>
          <t>㎡</t>
        </is>
      </c>
      <c r="AG171" s="1167" t="n">
        <v>21000</v>
      </c>
      <c r="AH171" s="1002">
        <f>AE171*AG171</f>
        <v/>
      </c>
      <c r="AI171" s="1164">
        <f>AH171-AC171</f>
        <v/>
      </c>
      <c r="AJ171" s="1168" t="n"/>
      <c r="AK171" s="823" t="n"/>
    </row>
    <row r="172" ht="30.2" customFormat="1" customHeight="1" s="2">
      <c r="B172" s="1005" t="n"/>
      <c r="C172" s="1005" t="n"/>
      <c r="D172" s="1006" t="n"/>
      <c r="E172" s="52" t="inlineStr">
        <is>
          <t>중앙통로 상단 현수막</t>
        </is>
      </c>
      <c r="F172" s="19" t="inlineStr">
        <is>
          <t>8000*800</t>
        </is>
      </c>
      <c r="G172" s="196" t="n">
        <v>6</v>
      </c>
      <c r="H172" s="194" t="inlineStr">
        <is>
          <t>개</t>
        </is>
      </c>
      <c r="I172" s="1166" t="n">
        <v>134400</v>
      </c>
      <c r="J172" s="999">
        <f>G172*I172</f>
        <v/>
      </c>
      <c r="K172" s="234" t="n">
        <v>6</v>
      </c>
      <c r="L172" s="20" t="inlineStr">
        <is>
          <t>개</t>
        </is>
      </c>
      <c r="M172" s="1167" t="n">
        <v>134400</v>
      </c>
      <c r="N172" s="1002">
        <f>K172*M172</f>
        <v/>
      </c>
      <c r="O172" s="1164">
        <f>N172-J172</f>
        <v/>
      </c>
      <c r="P172" s="234" t="n">
        <v>6</v>
      </c>
      <c r="Q172" s="20" t="inlineStr">
        <is>
          <t>개</t>
        </is>
      </c>
      <c r="R172" s="1167" t="n">
        <v>134400</v>
      </c>
      <c r="S172" s="1002">
        <f>P172*R172</f>
        <v/>
      </c>
      <c r="T172" s="1003">
        <f>S172-N172</f>
        <v/>
      </c>
      <c r="U172" s="234" t="n">
        <v>6</v>
      </c>
      <c r="V172" s="20" t="inlineStr">
        <is>
          <t>개</t>
        </is>
      </c>
      <c r="W172" s="1167" t="n">
        <v>134400</v>
      </c>
      <c r="X172" s="1002">
        <f>U172*W172</f>
        <v/>
      </c>
      <c r="Y172" s="1164">
        <f>X172-S172</f>
        <v/>
      </c>
      <c r="Z172" s="234" t="n">
        <v>6</v>
      </c>
      <c r="AA172" s="20" t="inlineStr">
        <is>
          <t>개</t>
        </is>
      </c>
      <c r="AB172" s="1167" t="n">
        <v>134400</v>
      </c>
      <c r="AC172" s="1002">
        <f>Z172*AB172</f>
        <v/>
      </c>
      <c r="AD172" s="1164">
        <f>AC172-X172</f>
        <v/>
      </c>
      <c r="AE172" s="234" t="n">
        <v>6</v>
      </c>
      <c r="AF172" s="20" t="inlineStr">
        <is>
          <t>개</t>
        </is>
      </c>
      <c r="AG172" s="1167" t="n">
        <v>134400</v>
      </c>
      <c r="AH172" s="1002">
        <f>AE172*AG172</f>
        <v/>
      </c>
      <c r="AI172" s="1164">
        <f>AH172-AC172</f>
        <v/>
      </c>
      <c r="AJ172" s="1168" t="n"/>
      <c r="AK172" s="823" t="n"/>
    </row>
    <row r="173" ht="30.2" customFormat="1" customHeight="1" s="2">
      <c r="A173" s="2" t="inlineStr">
        <is>
          <t>i</t>
        </is>
      </c>
      <c r="B173" s="1005" t="n"/>
      <c r="C173" s="1005" t="n"/>
      <c r="D173" s="1006" t="n"/>
      <c r="E173" s="52" t="inlineStr">
        <is>
          <t>A보드</t>
        </is>
      </c>
      <c r="F173" s="19" t="inlineStr">
        <is>
          <t>900*1800 [A보드 기본 목공은 렌탈]</t>
        </is>
      </c>
      <c r="G173" s="196" t="n">
        <v>15</v>
      </c>
      <c r="H173" s="194" t="inlineStr">
        <is>
          <t>개</t>
        </is>
      </c>
      <c r="I173" s="1166" t="n">
        <v>33600</v>
      </c>
      <c r="J173" s="999">
        <f>G173*I173</f>
        <v/>
      </c>
      <c r="K173" s="234" t="n">
        <v>15</v>
      </c>
      <c r="L173" s="20" t="inlineStr">
        <is>
          <t>개</t>
        </is>
      </c>
      <c r="M173" s="1167" t="n">
        <v>33600</v>
      </c>
      <c r="N173" s="1002">
        <f>K173*M173</f>
        <v/>
      </c>
      <c r="O173" s="1164">
        <f>N173-J173</f>
        <v/>
      </c>
      <c r="P173" s="234" t="n">
        <v>15</v>
      </c>
      <c r="Q173" s="20" t="inlineStr">
        <is>
          <t>개</t>
        </is>
      </c>
      <c r="R173" s="1167" t="n">
        <v>33600</v>
      </c>
      <c r="S173" s="1002">
        <f>P173*R173</f>
        <v/>
      </c>
      <c r="T173" s="1003">
        <f>S173-N173</f>
        <v/>
      </c>
      <c r="U173" s="234" t="n">
        <v>15</v>
      </c>
      <c r="V173" s="20" t="inlineStr">
        <is>
          <t>개</t>
        </is>
      </c>
      <c r="W173" s="1167" t="n">
        <v>33600</v>
      </c>
      <c r="X173" s="1002">
        <f>U173*W173</f>
        <v/>
      </c>
      <c r="Y173" s="1164">
        <f>X173-S173</f>
        <v/>
      </c>
      <c r="Z173" s="234" t="n">
        <v>15</v>
      </c>
      <c r="AA173" s="20" t="inlineStr">
        <is>
          <t>개</t>
        </is>
      </c>
      <c r="AB173" s="1167" t="n">
        <v>33600</v>
      </c>
      <c r="AC173" s="1002">
        <f>Z173*AB173</f>
        <v/>
      </c>
      <c r="AD173" s="1164">
        <f>AC173-X173</f>
        <v/>
      </c>
      <c r="AE173" s="234" t="n">
        <v>15</v>
      </c>
      <c r="AF173" s="20" t="inlineStr">
        <is>
          <t>개</t>
        </is>
      </c>
      <c r="AG173" s="1167" t="n">
        <v>33600</v>
      </c>
      <c r="AH173" s="1002">
        <f>AE173*AG173</f>
        <v/>
      </c>
      <c r="AI173" s="1164">
        <f>AH173-AC173</f>
        <v/>
      </c>
      <c r="AJ173" s="1168" t="n"/>
      <c r="AK173" s="823" t="n"/>
    </row>
    <row r="174" ht="30.2" customFormat="1" customHeight="1" s="2">
      <c r="B174" s="1005" t="n"/>
      <c r="C174" s="1005" t="n"/>
      <c r="D174" s="1006" t="n"/>
      <c r="E174" s="52" t="inlineStr">
        <is>
          <t>MQ 기타운영텐트</t>
        </is>
      </c>
      <c r="F174" s="19" t="inlineStr">
        <is>
          <t>의료,운영,경호,짐보관소,F&amp;B</t>
        </is>
      </c>
      <c r="G174" s="196" t="n">
        <v>40</v>
      </c>
      <c r="H174" s="194" t="inlineStr">
        <is>
          <t>개</t>
        </is>
      </c>
      <c r="I174" s="1166" t="n">
        <v>50400</v>
      </c>
      <c r="J174" s="999">
        <f>G174*I174</f>
        <v/>
      </c>
      <c r="K174" s="234" t="n">
        <v>40</v>
      </c>
      <c r="L174" s="20" t="inlineStr">
        <is>
          <t>개</t>
        </is>
      </c>
      <c r="M174" s="1167" t="n">
        <v>50400</v>
      </c>
      <c r="N174" s="1002">
        <f>K174*M174</f>
        <v/>
      </c>
      <c r="O174" s="1164">
        <f>N174-J174</f>
        <v/>
      </c>
      <c r="P174" s="234" t="n">
        <v>40</v>
      </c>
      <c r="Q174" s="20" t="inlineStr">
        <is>
          <t>개</t>
        </is>
      </c>
      <c r="R174" s="1167" t="n">
        <v>50400</v>
      </c>
      <c r="S174" s="1002">
        <f>P174*R174</f>
        <v/>
      </c>
      <c r="T174" s="1003">
        <f>S174-N174</f>
        <v/>
      </c>
      <c r="U174" s="234" t="n">
        <v>40</v>
      </c>
      <c r="V174" s="20" t="inlineStr">
        <is>
          <t>개</t>
        </is>
      </c>
      <c r="W174" s="1167" t="n">
        <v>50400</v>
      </c>
      <c r="X174" s="1002">
        <f>U174*W174</f>
        <v/>
      </c>
      <c r="Y174" s="1164">
        <f>X174-S174</f>
        <v/>
      </c>
      <c r="Z174" s="234" t="n">
        <v>40</v>
      </c>
      <c r="AA174" s="20" t="inlineStr">
        <is>
          <t>개</t>
        </is>
      </c>
      <c r="AB174" s="1167" t="n">
        <v>50400</v>
      </c>
      <c r="AC174" s="1002">
        <f>Z174*AB174</f>
        <v/>
      </c>
      <c r="AD174" s="1164">
        <f>AC174-X174</f>
        <v/>
      </c>
      <c r="AE174" s="234" t="n">
        <v>40</v>
      </c>
      <c r="AF174" s="20" t="inlineStr">
        <is>
          <t>개</t>
        </is>
      </c>
      <c r="AG174" s="1167" t="n">
        <v>50400</v>
      </c>
      <c r="AH174" s="1002">
        <f>AE174*AG174</f>
        <v/>
      </c>
      <c r="AI174" s="1164">
        <f>AH174-AC174</f>
        <v/>
      </c>
      <c r="AJ174" s="1168" t="n"/>
      <c r="AK174" s="823" t="n"/>
    </row>
    <row r="175" ht="30.2" customFormat="1" customHeight="1" s="2">
      <c r="B175" s="1005" t="n"/>
      <c r="C175" s="1005" t="n"/>
      <c r="D175" s="1006" t="n"/>
      <c r="E175" s="464" t="inlineStr">
        <is>
          <t>목공</t>
        </is>
      </c>
      <c r="F175" s="464" t="inlineStr">
        <is>
          <t>고급인력 (6인/5일)</t>
        </is>
      </c>
      <c r="G175" s="465" t="n">
        <v>25</v>
      </c>
      <c r="H175" s="465" t="inlineStr">
        <is>
          <t>인/일</t>
        </is>
      </c>
      <c r="I175" s="1184" t="n">
        <v>350000</v>
      </c>
      <c r="J175" s="1160">
        <f>G175*I175</f>
        <v/>
      </c>
      <c r="K175" s="467" t="n">
        <v>30</v>
      </c>
      <c r="L175" s="468" t="inlineStr">
        <is>
          <t>인/일</t>
        </is>
      </c>
      <c r="M175" s="1185" t="n">
        <v>350000</v>
      </c>
      <c r="N175" s="1161">
        <f>K175*M175</f>
        <v/>
      </c>
      <c r="O175" s="1162">
        <f>N175-J175</f>
        <v/>
      </c>
      <c r="P175" s="467" t="n">
        <v>30</v>
      </c>
      <c r="Q175" s="468" t="inlineStr">
        <is>
          <t>인/일</t>
        </is>
      </c>
      <c r="R175" s="1185" t="n">
        <v>350000</v>
      </c>
      <c r="S175" s="1161">
        <f>P175*R175</f>
        <v/>
      </c>
      <c r="T175" s="1075">
        <f>S175-N175</f>
        <v/>
      </c>
      <c r="U175" s="467" t="n">
        <v>30</v>
      </c>
      <c r="V175" s="468" t="inlineStr">
        <is>
          <t>인/일</t>
        </is>
      </c>
      <c r="W175" s="1185" t="n">
        <v>350000</v>
      </c>
      <c r="X175" s="1161">
        <f>U175*W175</f>
        <v/>
      </c>
      <c r="Y175" s="1162">
        <f>X175-S175</f>
        <v/>
      </c>
      <c r="Z175" s="467" t="n">
        <v>30</v>
      </c>
      <c r="AA175" s="468" t="inlineStr">
        <is>
          <t>인/일</t>
        </is>
      </c>
      <c r="AB175" s="1185" t="n">
        <v>350000</v>
      </c>
      <c r="AC175" s="1161">
        <f>Z175*AB175</f>
        <v/>
      </c>
      <c r="AD175" s="1162">
        <f>AC175-X175</f>
        <v/>
      </c>
      <c r="AE175" s="467" t="n">
        <v>30</v>
      </c>
      <c r="AF175" s="468" t="inlineStr">
        <is>
          <t>인/일</t>
        </is>
      </c>
      <c r="AG175" s="1185" t="n">
        <v>350000</v>
      </c>
      <c r="AH175" s="1161">
        <f>AE175*AG175</f>
        <v/>
      </c>
      <c r="AI175" s="1162">
        <f>AH175-AC175</f>
        <v/>
      </c>
      <c r="AJ175" s="1186" t="n"/>
      <c r="AK175" s="438" t="inlineStr">
        <is>
          <t>8/3 견적내 누락항목 / 전체 제작물 증가 및 사전제작기간 감소에 따른 추가 인건비(5인*5일→6인*5일)</t>
        </is>
      </c>
    </row>
    <row r="176" ht="30.2" customFormat="1" customHeight="1" s="2">
      <c r="B176" s="1005" t="n"/>
      <c r="C176" s="1005" t="n"/>
      <c r="D176" s="1006" t="n"/>
      <c r="E176" s="464" t="inlineStr">
        <is>
          <t>목공</t>
        </is>
      </c>
      <c r="F176" s="464" t="inlineStr">
        <is>
          <t>보조인력 (15인/5일)</t>
        </is>
      </c>
      <c r="G176" s="465" t="n">
        <v>40</v>
      </c>
      <c r="H176" s="465" t="inlineStr">
        <is>
          <t>인/일</t>
        </is>
      </c>
      <c r="I176" s="1184" t="n">
        <v>250000</v>
      </c>
      <c r="J176" s="1160">
        <f>G176*I176</f>
        <v/>
      </c>
      <c r="K176" s="467" t="n">
        <v>75</v>
      </c>
      <c r="L176" s="468" t="inlineStr">
        <is>
          <t>인/일</t>
        </is>
      </c>
      <c r="M176" s="1185" t="n">
        <v>250000</v>
      </c>
      <c r="N176" s="1161">
        <f>K176*M176</f>
        <v/>
      </c>
      <c r="O176" s="1162">
        <f>N176-J176</f>
        <v/>
      </c>
      <c r="P176" s="467" t="n">
        <v>75</v>
      </c>
      <c r="Q176" s="468" t="inlineStr">
        <is>
          <t>인/일</t>
        </is>
      </c>
      <c r="R176" s="1185" t="n">
        <v>250000</v>
      </c>
      <c r="S176" s="1161">
        <f>P176*R176</f>
        <v/>
      </c>
      <c r="T176" s="1075">
        <f>S176-N176</f>
        <v/>
      </c>
      <c r="U176" s="467" t="n">
        <v>75</v>
      </c>
      <c r="V176" s="468" t="inlineStr">
        <is>
          <t>인/일</t>
        </is>
      </c>
      <c r="W176" s="1185" t="n">
        <v>250000</v>
      </c>
      <c r="X176" s="1161">
        <f>U176*W176</f>
        <v/>
      </c>
      <c r="Y176" s="1162">
        <f>X176-S176</f>
        <v/>
      </c>
      <c r="Z176" s="467" t="n">
        <v>75</v>
      </c>
      <c r="AA176" s="468" t="inlineStr">
        <is>
          <t>인/일</t>
        </is>
      </c>
      <c r="AB176" s="1185" t="n">
        <v>250000</v>
      </c>
      <c r="AC176" s="1161">
        <f>Z176*AB176</f>
        <v/>
      </c>
      <c r="AD176" s="1162">
        <f>AC176-X176</f>
        <v/>
      </c>
      <c r="AE176" s="467" t="n">
        <v>75</v>
      </c>
      <c r="AF176" s="468" t="inlineStr">
        <is>
          <t>인/일</t>
        </is>
      </c>
      <c r="AG176" s="1185" t="n">
        <v>250000</v>
      </c>
      <c r="AH176" s="1161">
        <f>AE176*AG176</f>
        <v/>
      </c>
      <c r="AI176" s="1162">
        <f>AH176-AC176</f>
        <v/>
      </c>
      <c r="AJ176" s="1186" t="n"/>
      <c r="AK176" s="438" t="inlineStr">
        <is>
          <t>8/3 견적내 누락항목 / 전체 제작물 증가 및 사전제작기간 감소에 따른 추가 인건비(10인*4일→15인*5일)</t>
        </is>
      </c>
    </row>
    <row r="177" ht="30.2" customFormat="1" customHeight="1" s="2">
      <c r="B177" s="1005" t="n"/>
      <c r="C177" s="1005" t="n"/>
      <c r="D177" s="1006" t="n"/>
      <c r="E177" s="464" t="inlineStr">
        <is>
          <t>크레인</t>
        </is>
      </c>
      <c r="F177" s="464" t="inlineStr">
        <is>
          <t>3.5톤 크레인</t>
        </is>
      </c>
      <c r="G177" s="465" t="n">
        <v>2</v>
      </c>
      <c r="H177" s="465" t="inlineStr">
        <is>
          <t>인/일</t>
        </is>
      </c>
      <c r="I177" s="1184" t="n">
        <v>400000</v>
      </c>
      <c r="J177" s="1160">
        <f>G177*I177</f>
        <v/>
      </c>
      <c r="K177" s="467" t="n">
        <v>3</v>
      </c>
      <c r="L177" s="468" t="inlineStr">
        <is>
          <t>인/일</t>
        </is>
      </c>
      <c r="M177" s="1185" t="n">
        <v>400000</v>
      </c>
      <c r="N177" s="1161">
        <f>K177*M177</f>
        <v/>
      </c>
      <c r="O177" s="1162">
        <f>N177-J177</f>
        <v/>
      </c>
      <c r="P177" s="467" t="n">
        <v>3</v>
      </c>
      <c r="Q177" s="468" t="inlineStr">
        <is>
          <t>인/일</t>
        </is>
      </c>
      <c r="R177" s="1185" t="n">
        <v>400000</v>
      </c>
      <c r="S177" s="1161">
        <f>P177*R177</f>
        <v/>
      </c>
      <c r="T177" s="1075">
        <f>S177-N177</f>
        <v/>
      </c>
      <c r="U177" s="467" t="n">
        <v>3</v>
      </c>
      <c r="V177" s="468" t="inlineStr">
        <is>
          <t>인/일</t>
        </is>
      </c>
      <c r="W177" s="1185" t="n">
        <v>400000</v>
      </c>
      <c r="X177" s="1161">
        <f>U177*W177</f>
        <v/>
      </c>
      <c r="Y177" s="1162">
        <f>X177-S177</f>
        <v/>
      </c>
      <c r="Z177" s="467" t="n">
        <v>3</v>
      </c>
      <c r="AA177" s="468" t="inlineStr">
        <is>
          <t>인/일</t>
        </is>
      </c>
      <c r="AB177" s="1185" t="n">
        <v>400000</v>
      </c>
      <c r="AC177" s="1161">
        <f>Z177*AB177</f>
        <v/>
      </c>
      <c r="AD177" s="1162">
        <f>AC177-X177</f>
        <v/>
      </c>
      <c r="AE177" s="467" t="n">
        <v>3</v>
      </c>
      <c r="AF177" s="468" t="inlineStr">
        <is>
          <t>인/일</t>
        </is>
      </c>
      <c r="AG177" s="1185" t="n">
        <v>400000</v>
      </c>
      <c r="AH177" s="1161">
        <f>AE177*AG177</f>
        <v/>
      </c>
      <c r="AI177" s="1162">
        <f>AH177-AC177</f>
        <v/>
      </c>
      <c r="AJ177" s="1186" t="n"/>
      <c r="AK177" s="438" t="inlineStr">
        <is>
          <t>8/3 견적내 누락항목 / 전체 제작물 증가에 따른 추가 (2대→3대)</t>
        </is>
      </c>
    </row>
    <row r="178" ht="30.2" customFormat="1" customHeight="1" s="2">
      <c r="B178" s="1005" t="n"/>
      <c r="C178" s="1005" t="n"/>
      <c r="D178" s="1006" t="n"/>
      <c r="E178" s="471" t="inlineStr">
        <is>
          <t>브랜딩</t>
        </is>
      </c>
      <c r="F178" s="471" t="inlineStr">
        <is>
          <t>브랜딩 설치 철수</t>
        </is>
      </c>
      <c r="G178" s="472" t="n">
        <v>12</v>
      </c>
      <c r="H178" s="472" t="inlineStr">
        <is>
          <t>인/일</t>
        </is>
      </c>
      <c r="I178" s="1187" t="n">
        <v>250000</v>
      </c>
      <c r="J178" s="1160">
        <f>G178*I178</f>
        <v/>
      </c>
      <c r="K178" s="474" t="n">
        <v>30</v>
      </c>
      <c r="L178" s="475" t="inlineStr">
        <is>
          <t>인/일</t>
        </is>
      </c>
      <c r="M178" s="1188" t="n">
        <v>250000</v>
      </c>
      <c r="N178" s="1161">
        <f>K178*M178</f>
        <v/>
      </c>
      <c r="O178" s="1162">
        <f>N178-J178</f>
        <v/>
      </c>
      <c r="P178" s="474" t="n">
        <v>30</v>
      </c>
      <c r="Q178" s="475" t="inlineStr">
        <is>
          <t>인/일</t>
        </is>
      </c>
      <c r="R178" s="1188" t="n">
        <v>250000</v>
      </c>
      <c r="S178" s="1161">
        <f>P178*R178</f>
        <v/>
      </c>
      <c r="T178" s="1075">
        <f>S178-N178</f>
        <v/>
      </c>
      <c r="U178" s="474" t="n">
        <v>30</v>
      </c>
      <c r="V178" s="475" t="inlineStr">
        <is>
          <t>인/일</t>
        </is>
      </c>
      <c r="W178" s="1188" t="n">
        <v>250000</v>
      </c>
      <c r="X178" s="1161">
        <f>U178*W178</f>
        <v/>
      </c>
      <c r="Y178" s="1162">
        <f>X178-S178</f>
        <v/>
      </c>
      <c r="Z178" s="474" t="n">
        <v>30</v>
      </c>
      <c r="AA178" s="475" t="inlineStr">
        <is>
          <t>인/일</t>
        </is>
      </c>
      <c r="AB178" s="1188" t="n">
        <v>250000</v>
      </c>
      <c r="AC178" s="1161">
        <f>Z178*AB178</f>
        <v/>
      </c>
      <c r="AD178" s="1162">
        <f>AC178-X178</f>
        <v/>
      </c>
      <c r="AE178" s="474" t="n">
        <v>30</v>
      </c>
      <c r="AF178" s="475" t="inlineStr">
        <is>
          <t>인/일</t>
        </is>
      </c>
      <c r="AG178" s="1188" t="n">
        <v>250000</v>
      </c>
      <c r="AH178" s="1161">
        <f>AE178*AG178</f>
        <v/>
      </c>
      <c r="AI178" s="1162">
        <f>AH178-AC178</f>
        <v/>
      </c>
      <c r="AJ178" s="1189" t="n"/>
      <c r="AK178" s="438" t="inlineStr">
        <is>
          <t>8/3 견적내 누락항목 / 전체 브랜딩 물량 증가및 제작 기간 감소에 따른 인력 증가 (12인/일→30인/일)</t>
        </is>
      </c>
    </row>
    <row r="179" ht="30.2" customFormat="1" customHeight="1" s="2">
      <c r="B179" s="1005" t="n"/>
      <c r="C179" s="1005" t="n"/>
      <c r="D179" s="1006" t="n"/>
      <c r="E179" s="433" t="inlineStr">
        <is>
          <t>운송비</t>
        </is>
      </c>
      <c r="F179" s="433" t="inlineStr">
        <is>
          <t>2.5Ton 트럭(왕복, 기사 포함)</t>
        </is>
      </c>
      <c r="G179" s="434" t="n">
        <v>2</v>
      </c>
      <c r="H179" s="434" t="inlineStr">
        <is>
          <t>대/일</t>
        </is>
      </c>
      <c r="I179" s="1069" t="n">
        <v>250000</v>
      </c>
      <c r="J179" s="1160">
        <f>G179*I179</f>
        <v/>
      </c>
      <c r="K179" s="451" t="n">
        <v>4</v>
      </c>
      <c r="L179" s="438" t="inlineStr">
        <is>
          <t>대/일</t>
        </is>
      </c>
      <c r="M179" s="1072" t="n">
        <v>250000</v>
      </c>
      <c r="N179" s="1161">
        <f>K179*M179</f>
        <v/>
      </c>
      <c r="O179" s="1162">
        <f>N179-J179</f>
        <v/>
      </c>
      <c r="P179" s="451" t="n">
        <v>4</v>
      </c>
      <c r="Q179" s="438" t="inlineStr">
        <is>
          <t>대/일</t>
        </is>
      </c>
      <c r="R179" s="1072" t="n">
        <v>250000</v>
      </c>
      <c r="S179" s="1161">
        <f>P179*R179</f>
        <v/>
      </c>
      <c r="T179" s="1075">
        <f>S179-N179</f>
        <v/>
      </c>
      <c r="U179" s="451" t="n">
        <v>4</v>
      </c>
      <c r="V179" s="438" t="inlineStr">
        <is>
          <t>대/일</t>
        </is>
      </c>
      <c r="W179" s="1072" t="n">
        <v>250000</v>
      </c>
      <c r="X179" s="1161">
        <f>U179*W179</f>
        <v/>
      </c>
      <c r="Y179" s="1162">
        <f>X179-S179</f>
        <v/>
      </c>
      <c r="Z179" s="451" t="n">
        <v>4</v>
      </c>
      <c r="AA179" s="438" t="inlineStr">
        <is>
          <t>대/일</t>
        </is>
      </c>
      <c r="AB179" s="1072" t="n">
        <v>250000</v>
      </c>
      <c r="AC179" s="1161">
        <f>Z179*AB179</f>
        <v/>
      </c>
      <c r="AD179" s="1162">
        <f>AC179-X179</f>
        <v/>
      </c>
      <c r="AE179" s="451" t="n">
        <v>4</v>
      </c>
      <c r="AF179" s="438" t="inlineStr">
        <is>
          <t>대/일</t>
        </is>
      </c>
      <c r="AG179" s="1072" t="n">
        <v>250000</v>
      </c>
      <c r="AH179" s="1161">
        <f>AE179*AG179</f>
        <v/>
      </c>
      <c r="AI179" s="1162">
        <f>AH179-AC179</f>
        <v/>
      </c>
      <c r="AJ179" s="1150" t="n"/>
      <c r="AK179" s="438" t="inlineStr">
        <is>
          <t>8/3 견적내 누락항목  / 전체 제작물 증가에 따른 추가 (2대→4대)</t>
        </is>
      </c>
    </row>
    <row r="180" ht="30.2" customFormat="1" customHeight="1" s="2">
      <c r="B180" s="1005" t="n"/>
      <c r="C180" s="1005" t="n"/>
      <c r="D180" s="1006" t="n"/>
      <c r="E180" s="23" t="inlineStr">
        <is>
          <t>운송비</t>
        </is>
      </c>
      <c r="F180" s="23" t="inlineStr">
        <is>
          <t>1.5Ton 트럭(왕복, 기사 포함)</t>
        </is>
      </c>
      <c r="G180" s="113" t="n"/>
      <c r="H180" s="113" t="n"/>
      <c r="I180" s="998" t="n"/>
      <c r="J180" s="999">
        <f>G180*I180</f>
        <v/>
      </c>
      <c r="K180" s="232" t="n"/>
      <c r="L180" s="823" t="n"/>
      <c r="M180" s="1001" t="n"/>
      <c r="N180" s="1002">
        <f>K180*M180</f>
        <v/>
      </c>
      <c r="O180" s="1164">
        <f>N180-J180</f>
        <v/>
      </c>
      <c r="P180" s="232" t="n"/>
      <c r="Q180" s="823" t="n"/>
      <c r="R180" s="1001" t="n"/>
      <c r="S180" s="1002">
        <f>P180*R180</f>
        <v/>
      </c>
      <c r="T180" s="1003">
        <f>S180-N180</f>
        <v/>
      </c>
      <c r="U180" s="232" t="n"/>
      <c r="V180" s="823" t="n"/>
      <c r="W180" s="1001" t="n"/>
      <c r="X180" s="1002">
        <f>U180*W180</f>
        <v/>
      </c>
      <c r="Y180" s="1164">
        <f>X180-T180</f>
        <v/>
      </c>
      <c r="Z180" s="232" t="n"/>
      <c r="AA180" s="823" t="n"/>
      <c r="AB180" s="1001" t="n"/>
      <c r="AC180" s="1002">
        <f>Z180*AB180</f>
        <v/>
      </c>
      <c r="AD180" s="1164">
        <f>AC180-Y180</f>
        <v/>
      </c>
      <c r="AE180" s="232" t="n"/>
      <c r="AF180" s="823" t="n"/>
      <c r="AG180" s="1001" t="n"/>
      <c r="AH180" s="1002">
        <f>AE180*AG180</f>
        <v/>
      </c>
      <c r="AI180" s="1164">
        <f>AH180-AD180</f>
        <v/>
      </c>
      <c r="AJ180" s="1004" t="n"/>
      <c r="AK180" s="823" t="n"/>
    </row>
    <row r="181" ht="30.2" customFormat="1" customHeight="1" s="2">
      <c r="B181" s="1005" t="n"/>
      <c r="C181" s="1005" t="n"/>
      <c r="D181" s="1008" t="n"/>
      <c r="E181" s="433" t="inlineStr">
        <is>
          <t>폐기물처리비용</t>
        </is>
      </c>
      <c r="F181" s="449" t="inlineStr">
        <is>
          <t>출력물 폐기물 처리 비용</t>
        </is>
      </c>
      <c r="G181" s="434" t="n">
        <v>1</v>
      </c>
      <c r="H181" s="434" t="inlineStr">
        <is>
          <t>set</t>
        </is>
      </c>
      <c r="I181" s="1069" t="n">
        <v>500000</v>
      </c>
      <c r="J181" s="1160">
        <f>G181*I181</f>
        <v/>
      </c>
      <c r="K181" s="451" t="n">
        <v>2</v>
      </c>
      <c r="L181" s="438" t="inlineStr">
        <is>
          <t>set</t>
        </is>
      </c>
      <c r="M181" s="1072" t="n">
        <v>500000</v>
      </c>
      <c r="N181" s="1161">
        <f>K181*M181</f>
        <v/>
      </c>
      <c r="O181" s="1162">
        <f>N181-J181</f>
        <v/>
      </c>
      <c r="P181" s="451" t="n">
        <v>2</v>
      </c>
      <c r="Q181" s="438" t="inlineStr">
        <is>
          <t>set</t>
        </is>
      </c>
      <c r="R181" s="1072" t="n">
        <v>500000</v>
      </c>
      <c r="S181" s="1161">
        <f>P181*R181</f>
        <v/>
      </c>
      <c r="T181" s="1075">
        <f>S181-N181</f>
        <v/>
      </c>
      <c r="U181" s="451" t="n">
        <v>2</v>
      </c>
      <c r="V181" s="438" t="inlineStr">
        <is>
          <t>set</t>
        </is>
      </c>
      <c r="W181" s="1072" t="n">
        <v>500000</v>
      </c>
      <c r="X181" s="1161">
        <f>U181*W181</f>
        <v/>
      </c>
      <c r="Y181" s="1162">
        <f>X181-S181</f>
        <v/>
      </c>
      <c r="Z181" s="451" t="n">
        <v>2</v>
      </c>
      <c r="AA181" s="438" t="inlineStr">
        <is>
          <t>set</t>
        </is>
      </c>
      <c r="AB181" s="1072" t="n">
        <v>500000</v>
      </c>
      <c r="AC181" s="1161">
        <f>Z181*AB181</f>
        <v/>
      </c>
      <c r="AD181" s="1162">
        <f>AC181-X181</f>
        <v/>
      </c>
      <c r="AE181" s="451" t="n">
        <v>2</v>
      </c>
      <c r="AF181" s="438" t="inlineStr">
        <is>
          <t>set</t>
        </is>
      </c>
      <c r="AG181" s="1072" t="n">
        <v>500000</v>
      </c>
      <c r="AH181" s="1161">
        <f>AE181*AG181</f>
        <v/>
      </c>
      <c r="AI181" s="1162">
        <f>AH181-AC181</f>
        <v/>
      </c>
      <c r="AJ181" s="1150" t="n"/>
      <c r="AK181" s="438" t="inlineStr">
        <is>
          <t>전체 제작물 증가에 따른 추가</t>
        </is>
      </c>
    </row>
    <row r="182" ht="32.25" customFormat="1" customHeight="1" s="2">
      <c r="B182" s="981" t="n"/>
      <c r="C182" s="1064" t="inlineStr">
        <is>
          <t>소계</t>
        </is>
      </c>
      <c r="D182" s="1053" t="n"/>
      <c r="E182" s="1053" t="n"/>
      <c r="F182" s="1053" t="n"/>
      <c r="G182" s="1053" t="n"/>
      <c r="H182" s="1053" t="n"/>
      <c r="I182" s="997" t="n"/>
      <c r="J182" s="1114">
        <f>SUM(J149:J181)</f>
        <v/>
      </c>
      <c r="K182" s="1151" t="n"/>
      <c r="L182" s="1152" t="n"/>
      <c r="M182" s="1153" t="n"/>
      <c r="N182" s="1116">
        <f>SUM(N149:N181)</f>
        <v/>
      </c>
      <c r="O182" s="1117">
        <f>SUM(O149:O181)</f>
        <v/>
      </c>
      <c r="P182" s="1151" t="n"/>
      <c r="Q182" s="1152" t="n"/>
      <c r="R182" s="1153" t="n"/>
      <c r="S182" s="1116">
        <f>SUM(S149:S181)</f>
        <v/>
      </c>
      <c r="T182" s="1093">
        <f>S182-N182</f>
        <v/>
      </c>
      <c r="U182" s="1151" t="n"/>
      <c r="V182" s="1152" t="n"/>
      <c r="W182" s="1153" t="n"/>
      <c r="X182" s="1116">
        <f>SUM(X149:X181)</f>
        <v/>
      </c>
      <c r="Y182" s="1117">
        <f>SUM(Y149:Y181)</f>
        <v/>
      </c>
      <c r="Z182" s="1151" t="n"/>
      <c r="AA182" s="1152" t="n"/>
      <c r="AB182" s="1153" t="n"/>
      <c r="AC182" s="1116">
        <f>SUM(AC149:AC181)</f>
        <v/>
      </c>
      <c r="AD182" s="1117">
        <f>SUM(AD149:AD181)</f>
        <v/>
      </c>
      <c r="AE182" s="1151" t="n"/>
      <c r="AF182" s="1152" t="n"/>
      <c r="AG182" s="1153" t="n"/>
      <c r="AH182" s="1116">
        <f>SUM(AH149:AH181)</f>
        <v/>
      </c>
      <c r="AI182" s="1117">
        <f>SUM(AI149:AI181)</f>
        <v/>
      </c>
      <c r="AJ182" s="1118" t="n"/>
      <c r="AK182" s="33" t="n"/>
    </row>
    <row r="183" ht="30.2" customHeight="1" s="972">
      <c r="B183" s="875" t="inlineStr">
        <is>
          <t>4. 브랜딩 소계</t>
        </is>
      </c>
      <c r="C183" s="955" t="n"/>
      <c r="D183" s="955" t="n"/>
      <c r="E183" s="955" t="n"/>
      <c r="F183" s="955" t="n"/>
      <c r="G183" s="955" t="n"/>
      <c r="H183" s="955" t="n"/>
      <c r="I183" s="949" t="n"/>
      <c r="J183" s="1009">
        <f>SUM(J148,J182)</f>
        <v/>
      </c>
      <c r="K183" s="1190" t="n"/>
      <c r="L183" s="1191" t="n"/>
      <c r="M183" s="1192" t="n"/>
      <c r="N183" s="1011">
        <f>N148+N182</f>
        <v/>
      </c>
      <c r="O183" s="1138">
        <f>O148+O182</f>
        <v/>
      </c>
      <c r="P183" s="1190" t="n"/>
      <c r="Q183" s="1191" t="n"/>
      <c r="R183" s="1192" t="n"/>
      <c r="S183" s="1011">
        <f>S148+S182</f>
        <v/>
      </c>
      <c r="T183" s="1012">
        <f>S183-N183</f>
        <v/>
      </c>
      <c r="U183" s="1190" t="n"/>
      <c r="V183" s="1191" t="n"/>
      <c r="W183" s="1192" t="n"/>
      <c r="X183" s="1011">
        <f>X148+X182</f>
        <v/>
      </c>
      <c r="Y183" s="1138">
        <f>Y148+Y182</f>
        <v/>
      </c>
      <c r="Z183" s="1190" t="n"/>
      <c r="AA183" s="1191" t="n"/>
      <c r="AB183" s="1192" t="n"/>
      <c r="AC183" s="1011">
        <f>AC148+AC182</f>
        <v/>
      </c>
      <c r="AD183" s="1138">
        <f>AD148+AD182</f>
        <v/>
      </c>
      <c r="AE183" s="1190" t="n"/>
      <c r="AF183" s="1191" t="n"/>
      <c r="AG183" s="1192" t="n"/>
      <c r="AH183" s="1011">
        <f>AH148+AH182</f>
        <v/>
      </c>
      <c r="AI183" s="1138">
        <f>AI148+AI182</f>
        <v/>
      </c>
      <c r="AJ183" s="1097" t="n"/>
      <c r="AK183" s="57" t="n"/>
    </row>
    <row r="184" ht="30.2" customHeight="1" s="972">
      <c r="B184" s="86" t="inlineStr">
        <is>
          <t>5.컨텐츠 프로그램</t>
        </is>
      </c>
      <c r="C184" s="825" t="inlineStr">
        <is>
          <t>사전 운영</t>
        </is>
      </c>
      <c r="D184" s="823" t="inlineStr">
        <is>
          <t>cs 운영</t>
        </is>
      </c>
      <c r="E184" s="43" t="inlineStr">
        <is>
          <t>티켓 구매 관련 사전 cs 운영</t>
        </is>
      </c>
      <c r="F184" s="45" t="inlineStr">
        <is>
          <t>약 3주 운영 기준</t>
        </is>
      </c>
      <c r="G184" s="162" t="n">
        <v>1</v>
      </c>
      <c r="H184" s="164" t="inlineStr">
        <is>
          <t>set</t>
        </is>
      </c>
      <c r="I184" s="1193" t="n">
        <v>1500000</v>
      </c>
      <c r="J184" s="999">
        <f>G184*I184</f>
        <v/>
      </c>
      <c r="K184" s="1194" t="n">
        <v>1</v>
      </c>
      <c r="L184" s="46" t="inlineStr">
        <is>
          <t>set</t>
        </is>
      </c>
      <c r="M184" s="1195" t="n">
        <v>1500000</v>
      </c>
      <c r="N184" s="1002">
        <f>K184*M184</f>
        <v/>
      </c>
      <c r="O184" s="1164">
        <f>N184-J184</f>
        <v/>
      </c>
      <c r="P184" s="1194" t="n">
        <v>1</v>
      </c>
      <c r="Q184" s="46" t="inlineStr">
        <is>
          <t>set</t>
        </is>
      </c>
      <c r="R184" s="1195" t="n">
        <v>1500000</v>
      </c>
      <c r="S184" s="1002">
        <f>P184*R184</f>
        <v/>
      </c>
      <c r="T184" s="1003">
        <f>S184-N184</f>
        <v/>
      </c>
      <c r="U184" s="1194" t="n">
        <v>1</v>
      </c>
      <c r="V184" s="46" t="inlineStr">
        <is>
          <t>set</t>
        </is>
      </c>
      <c r="W184" s="1195" t="n">
        <v>1500000</v>
      </c>
      <c r="X184" s="1002">
        <f>U184*W184</f>
        <v/>
      </c>
      <c r="Y184" s="1164">
        <f>X184-S184</f>
        <v/>
      </c>
      <c r="Z184" s="1194" t="n">
        <v>1</v>
      </c>
      <c r="AA184" s="46" t="inlineStr">
        <is>
          <t>set</t>
        </is>
      </c>
      <c r="AB184" s="1195" t="n">
        <v>1500000</v>
      </c>
      <c r="AC184" s="1002">
        <f>Z184*AB184</f>
        <v/>
      </c>
      <c r="AD184" s="1164">
        <f>AC184-X184</f>
        <v/>
      </c>
      <c r="AE184" s="1194" t="n">
        <v>1</v>
      </c>
      <c r="AF184" s="46" t="inlineStr">
        <is>
          <t>set</t>
        </is>
      </c>
      <c r="AG184" s="1195" t="n">
        <v>1500000</v>
      </c>
      <c r="AH184" s="1002">
        <f>AE184*AG184</f>
        <v/>
      </c>
      <c r="AI184" s="1164">
        <f>AH184-AC184</f>
        <v/>
      </c>
      <c r="AJ184" s="1004" t="n"/>
      <c r="AK184" s="23" t="n"/>
    </row>
    <row r="185" ht="30.2" customHeight="1" s="972">
      <c r="B185" s="86" t="n"/>
      <c r="C185" s="1064" t="inlineStr">
        <is>
          <t>소계</t>
        </is>
      </c>
      <c r="D185" s="1053" t="n"/>
      <c r="E185" s="1053" t="n"/>
      <c r="F185" s="1053" t="n"/>
      <c r="G185" s="1053" t="n"/>
      <c r="H185" s="1053" t="n"/>
      <c r="I185" s="997" t="n"/>
      <c r="J185" s="1114">
        <f>SUM(J184:J184)</f>
        <v/>
      </c>
      <c r="K185" s="1135" t="n"/>
      <c r="L185" s="955" t="n"/>
      <c r="M185" s="949" t="n"/>
      <c r="N185" s="1116">
        <f>SUM(N184)</f>
        <v/>
      </c>
      <c r="O185" s="1196">
        <f>SUM(O184)</f>
        <v/>
      </c>
      <c r="P185" s="1135" t="n"/>
      <c r="Q185" s="955" t="n"/>
      <c r="R185" s="949" t="n"/>
      <c r="S185" s="1116">
        <f>SUM(S184)</f>
        <v/>
      </c>
      <c r="T185" s="1093">
        <f>S185-N185</f>
        <v/>
      </c>
      <c r="U185" s="1135" t="n"/>
      <c r="V185" s="955" t="n"/>
      <c r="W185" s="949" t="n"/>
      <c r="X185" s="1116">
        <f>SUM(X184)</f>
        <v/>
      </c>
      <c r="Y185" s="1196">
        <f>SUM(Y184)</f>
        <v/>
      </c>
      <c r="Z185" s="1135" t="n"/>
      <c r="AA185" s="955" t="n"/>
      <c r="AB185" s="949" t="n"/>
      <c r="AC185" s="1116">
        <f>SUM(AC184)</f>
        <v/>
      </c>
      <c r="AD185" s="1196">
        <f>SUM(AD184)</f>
        <v/>
      </c>
      <c r="AE185" s="1135" t="n"/>
      <c r="AF185" s="955" t="n"/>
      <c r="AG185" s="949" t="n"/>
      <c r="AH185" s="1116">
        <f>SUM(AH184)</f>
        <v/>
      </c>
      <c r="AI185" s="1196">
        <f>SUM(AI184)</f>
        <v/>
      </c>
      <c r="AJ185" s="1118" t="n"/>
      <c r="AK185" s="33" t="n"/>
    </row>
    <row r="186" ht="30.2" customHeight="1" s="972">
      <c r="B186" s="86" t="n"/>
      <c r="C186" s="753" t="inlineStr">
        <is>
          <t>컨셉츄얼 게이트</t>
        </is>
      </c>
      <c r="D186" s="753" t="inlineStr">
        <is>
          <t>공간구현</t>
        </is>
      </c>
      <c r="E186" s="753" t="inlineStr">
        <is>
          <t>ID 게이트</t>
        </is>
      </c>
      <c r="F186" s="305" t="inlineStr">
        <is>
          <t>(비딩) 별도 제작 (트러스 + 바코드 인식 구조물)</t>
        </is>
      </c>
      <c r="G186" s="179" t="n">
        <v>1</v>
      </c>
      <c r="H186" s="179" t="inlineStr">
        <is>
          <t>set</t>
        </is>
      </c>
      <c r="I186" s="1098" t="n">
        <v>12000000</v>
      </c>
      <c r="J186" s="1099">
        <f>G186*I186</f>
        <v/>
      </c>
      <c r="K186" s="1109" t="n"/>
      <c r="L186" s="1110" t="n"/>
      <c r="M186" s="1111" t="n"/>
      <c r="N186" s="1112">
        <f>K186*M186</f>
        <v/>
      </c>
      <c r="O186" s="1113">
        <f>N186-J186</f>
        <v/>
      </c>
      <c r="P186" s="1109" t="n"/>
      <c r="Q186" s="1110" t="n"/>
      <c r="R186" s="1111" t="n"/>
      <c r="S186" s="1112">
        <f>P186*R186</f>
        <v/>
      </c>
      <c r="T186" s="1088">
        <f>S186-N186</f>
        <v/>
      </c>
      <c r="U186" s="1109" t="n"/>
      <c r="V186" s="1110" t="n"/>
      <c r="W186" s="1111" t="n"/>
      <c r="X186" s="1112">
        <f>U186*W186</f>
        <v/>
      </c>
      <c r="Y186" s="1113">
        <f>X186-T186</f>
        <v/>
      </c>
      <c r="Z186" s="1109" t="n"/>
      <c r="AA186" s="1110" t="n"/>
      <c r="AB186" s="1111" t="n"/>
      <c r="AC186" s="1112">
        <f>Z186*AB186</f>
        <v/>
      </c>
      <c r="AD186" s="1113">
        <f>AC186-Y186</f>
        <v/>
      </c>
      <c r="AE186" s="1109" t="n"/>
      <c r="AF186" s="1110" t="n"/>
      <c r="AG186" s="1111" t="n"/>
      <c r="AH186" s="1112">
        <f>AE186*AG186</f>
        <v/>
      </c>
      <c r="AI186" s="1113">
        <f>AH186-AD186</f>
        <v/>
      </c>
      <c r="AJ186" s="1105" t="n"/>
      <c r="AK186" s="753" t="n"/>
    </row>
    <row r="187" ht="30.2" customHeight="1" s="972">
      <c r="B187" s="86" t="n"/>
      <c r="C187" s="1005" t="n"/>
      <c r="D187" s="1005" t="n"/>
      <c r="E187" s="1005" t="n"/>
      <c r="F187" s="305" t="inlineStr">
        <is>
          <t>(수정) 별도 제작 (트러스 + 바코드 인식 구조물)</t>
        </is>
      </c>
      <c r="G187" s="179" t="n"/>
      <c r="H187" s="179" t="n"/>
      <c r="I187" s="1098" t="n"/>
      <c r="J187" s="1099">
        <f>G187*I187</f>
        <v/>
      </c>
      <c r="K187" s="1109" t="n">
        <v>1</v>
      </c>
      <c r="L187" s="1110" t="inlineStr">
        <is>
          <t>set</t>
        </is>
      </c>
      <c r="M187" s="1111" t="n">
        <v>13600000</v>
      </c>
      <c r="N187" s="1112">
        <f>K187*M187</f>
        <v/>
      </c>
      <c r="O187" s="1158">
        <f>N187-J187</f>
        <v/>
      </c>
      <c r="P187" s="1109" t="n">
        <v>1</v>
      </c>
      <c r="Q187" s="1110" t="inlineStr">
        <is>
          <t>set</t>
        </is>
      </c>
      <c r="R187" s="1111" t="n">
        <v>13600000</v>
      </c>
      <c r="S187" s="1112">
        <f>P187*R187</f>
        <v/>
      </c>
      <c r="T187" s="1088">
        <f>S187-N187</f>
        <v/>
      </c>
      <c r="U187" s="1109" t="n">
        <v>1</v>
      </c>
      <c r="V187" s="1110" t="inlineStr">
        <is>
          <t>set</t>
        </is>
      </c>
      <c r="W187" s="1111" t="n">
        <v>13600000</v>
      </c>
      <c r="X187" s="1112">
        <f>U187*W187</f>
        <v/>
      </c>
      <c r="Y187" s="1158">
        <f>X187-S187</f>
        <v/>
      </c>
      <c r="Z187" s="1109" t="n">
        <v>1</v>
      </c>
      <c r="AA187" s="1110" t="inlineStr">
        <is>
          <t>set</t>
        </is>
      </c>
      <c r="AB187" s="1111" t="n">
        <v>13600000</v>
      </c>
      <c r="AC187" s="1112">
        <f>Z187*AB187</f>
        <v/>
      </c>
      <c r="AD187" s="1158">
        <f>AC187-X187</f>
        <v/>
      </c>
      <c r="AE187" s="1109" t="n">
        <v>1</v>
      </c>
      <c r="AF187" s="1110" t="inlineStr">
        <is>
          <t>set</t>
        </is>
      </c>
      <c r="AG187" s="1111" t="n">
        <v>13600000</v>
      </c>
      <c r="AH187" s="1112">
        <f>AE187*AG187</f>
        <v/>
      </c>
      <c r="AI187" s="1158">
        <f>AH187-AC187</f>
        <v/>
      </c>
      <c r="AJ187" s="1105" t="n"/>
      <c r="AK187" s="753" t="inlineStr">
        <is>
          <t>상세 제작 시안에 따라 변동이 있을 수 있음</t>
        </is>
      </c>
    </row>
    <row r="188" ht="30.2" customHeight="1" s="972">
      <c r="B188" s="86" t="n"/>
      <c r="C188" s="1005" t="n"/>
      <c r="D188" s="1005" t="n"/>
      <c r="E188" s="1005" t="n"/>
      <c r="F188" s="413" t="inlineStr">
        <is>
          <t>(수정) 위치변경에 따른 규모 확장/구조변경 상승비용</t>
        </is>
      </c>
      <c r="G188" s="385" t="n"/>
      <c r="H188" s="385" t="n"/>
      <c r="I188" s="1139" t="n"/>
      <c r="J188" s="1170" t="n"/>
      <c r="K188" s="1197" t="n">
        <v>1</v>
      </c>
      <c r="L188" s="1198" t="inlineStr">
        <is>
          <t>set</t>
        </is>
      </c>
      <c r="M188" s="1199" t="n">
        <v>7000000</v>
      </c>
      <c r="N188" s="1172">
        <f>K188*M188</f>
        <v/>
      </c>
      <c r="O188" s="1200">
        <f>N188-J188</f>
        <v/>
      </c>
      <c r="P188" s="1197" t="n">
        <v>1</v>
      </c>
      <c r="Q188" s="1198" t="inlineStr">
        <is>
          <t>set</t>
        </is>
      </c>
      <c r="R188" s="1199" t="n">
        <v>7000000</v>
      </c>
      <c r="S188" s="1172">
        <f>P188*R188</f>
        <v/>
      </c>
      <c r="T188" s="1144">
        <f>S188-N188</f>
        <v/>
      </c>
      <c r="U188" s="1197" t="n">
        <v>1</v>
      </c>
      <c r="V188" s="1198" t="inlineStr">
        <is>
          <t>set</t>
        </is>
      </c>
      <c r="W188" s="1199" t="n">
        <v>7000000</v>
      </c>
      <c r="X188" s="1172">
        <f>U188*W188</f>
        <v/>
      </c>
      <c r="Y188" s="1200">
        <f>X188-S188</f>
        <v/>
      </c>
      <c r="Z188" s="1197" t="n">
        <v>1</v>
      </c>
      <c r="AA188" s="1198" t="inlineStr">
        <is>
          <t>set</t>
        </is>
      </c>
      <c r="AB188" s="1199" t="n">
        <v>7000000</v>
      </c>
      <c r="AC188" s="1172">
        <f>Z188*AB188</f>
        <v/>
      </c>
      <c r="AD188" s="1200">
        <f>AC188-X188</f>
        <v/>
      </c>
      <c r="AE188" s="1197" t="n">
        <v>1</v>
      </c>
      <c r="AF188" s="1198" t="inlineStr">
        <is>
          <t>set</t>
        </is>
      </c>
      <c r="AG188" s="1199" t="n">
        <v>7000000</v>
      </c>
      <c r="AH188" s="1172">
        <f>AE188*AG188</f>
        <v/>
      </c>
      <c r="AI188" s="1200">
        <f>AH188-AC188</f>
        <v/>
      </c>
      <c r="AJ188" s="1145" t="n"/>
      <c r="AK188" s="383" t="n"/>
    </row>
    <row r="189" ht="30.2" customHeight="1" s="972">
      <c r="B189" s="86" t="n"/>
      <c r="C189" s="1005" t="n"/>
      <c r="D189" s="1005" t="n"/>
      <c r="E189" s="1005" t="n"/>
      <c r="F189" s="482" t="inlineStr">
        <is>
          <t>바코드 스캐너 추가 (바코드 스캐너 + 목구조 + 브랜딩)</t>
        </is>
      </c>
      <c r="G189" s="457" t="n"/>
      <c r="H189" s="457" t="n"/>
      <c r="I189" s="1147" t="n"/>
      <c r="J189" s="1160" t="n"/>
      <c r="K189" s="1201" t="n">
        <v>6</v>
      </c>
      <c r="L189" s="1202" t="inlineStr">
        <is>
          <t>set</t>
        </is>
      </c>
      <c r="M189" s="1203" t="n">
        <v>1000000</v>
      </c>
      <c r="N189" s="1161">
        <f>K189*M189</f>
        <v/>
      </c>
      <c r="O189" s="1204">
        <f>N189-J189</f>
        <v/>
      </c>
      <c r="P189" s="1205" t="n">
        <v>6</v>
      </c>
      <c r="Q189" s="1206" t="inlineStr">
        <is>
          <t>set</t>
        </is>
      </c>
      <c r="R189" s="1207" t="n">
        <v>1000000</v>
      </c>
      <c r="S189" s="1133" t="n">
        <v>550000</v>
      </c>
      <c r="T189" s="1081">
        <f>S189-N189</f>
        <v/>
      </c>
      <c r="U189" s="1205" t="n">
        <v>6</v>
      </c>
      <c r="V189" s="1206" t="inlineStr">
        <is>
          <t>set</t>
        </is>
      </c>
      <c r="W189" s="1207" t="n">
        <v>1000000</v>
      </c>
      <c r="X189" s="1133" t="n">
        <v>550000</v>
      </c>
      <c r="Y189" s="1208">
        <f>X189-S189</f>
        <v/>
      </c>
      <c r="Z189" s="1205" t="n">
        <v>6</v>
      </c>
      <c r="AA189" s="1206" t="inlineStr">
        <is>
          <t>set</t>
        </is>
      </c>
      <c r="AB189" s="1207" t="n">
        <v>1000000</v>
      </c>
      <c r="AC189" s="1133" t="n">
        <v>550000</v>
      </c>
      <c r="AD189" s="1208">
        <f>AC189-X189</f>
        <v/>
      </c>
      <c r="AE189" s="1205" t="n">
        <v>6</v>
      </c>
      <c r="AF189" s="1206" t="inlineStr">
        <is>
          <t>set</t>
        </is>
      </c>
      <c r="AG189" s="1207" t="n">
        <v>1000000</v>
      </c>
      <c r="AH189" s="1133" t="n">
        <v>550000</v>
      </c>
      <c r="AI189" s="1208">
        <f>AH189-AC189</f>
        <v/>
      </c>
      <c r="AJ189" s="1209" t="n"/>
      <c r="AK189" s="520" t="inlineStr">
        <is>
          <t xml:space="preserve">바코드 스캐너구입에 따른 비용 발생 </t>
        </is>
      </c>
    </row>
    <row r="190" ht="30.2" customHeight="1" s="972">
      <c r="B190" s="86" t="n"/>
      <c r="C190" s="1005" t="n"/>
      <c r="D190" s="1005" t="n"/>
      <c r="E190" s="1005" t="n"/>
      <c r="F190" s="482" t="inlineStr">
        <is>
          <t>BGM (블루모지송) 사전 믹싱</t>
        </is>
      </c>
      <c r="G190" s="457" t="n"/>
      <c r="H190" s="457" t="n"/>
      <c r="I190" s="1147" t="n"/>
      <c r="J190" s="1160" t="n"/>
      <c r="K190" s="1201" t="n">
        <v>1</v>
      </c>
      <c r="L190" s="1202" t="inlineStr">
        <is>
          <t>set</t>
        </is>
      </c>
      <c r="M190" s="1203" t="n">
        <v>1000000</v>
      </c>
      <c r="N190" s="1161">
        <f>K190*M190</f>
        <v/>
      </c>
      <c r="O190" s="1204">
        <f>N190-J190</f>
        <v/>
      </c>
      <c r="P190" s="1205" t="n">
        <v>1</v>
      </c>
      <c r="Q190" s="1206" t="inlineStr">
        <is>
          <t>set</t>
        </is>
      </c>
      <c r="R190" s="1207" t="n">
        <v>1000000</v>
      </c>
      <c r="S190" s="1133" t="n"/>
      <c r="T190" s="1081">
        <f>S190-N190</f>
        <v/>
      </c>
      <c r="U190" s="1205" t="n">
        <v>1</v>
      </c>
      <c r="V190" s="1206" t="inlineStr">
        <is>
          <t>set</t>
        </is>
      </c>
      <c r="W190" s="1207" t="n">
        <v>1000000</v>
      </c>
      <c r="X190" s="1133" t="n"/>
      <c r="Y190" s="1208">
        <f>X190-S190</f>
        <v/>
      </c>
      <c r="Z190" s="1205" t="n">
        <v>1</v>
      </c>
      <c r="AA190" s="1206" t="inlineStr">
        <is>
          <t>set</t>
        </is>
      </c>
      <c r="AB190" s="1207" t="n">
        <v>1000000</v>
      </c>
      <c r="AC190" s="1133" t="n"/>
      <c r="AD190" s="1208">
        <f>AC190-X190</f>
        <v/>
      </c>
      <c r="AE190" s="1205" t="n">
        <v>1</v>
      </c>
      <c r="AF190" s="1206" t="inlineStr">
        <is>
          <t>set</t>
        </is>
      </c>
      <c r="AG190" s="1207" t="n">
        <v>1000000</v>
      </c>
      <c r="AH190" s="1133" t="n"/>
      <c r="AI190" s="1208">
        <f>AH190-AC190</f>
        <v/>
      </c>
      <c r="AJ190" s="1209" t="n"/>
      <c r="AK190" s="520" t="n"/>
    </row>
    <row r="191" ht="30.2" customHeight="1" s="972">
      <c r="B191" s="86" t="n"/>
      <c r="C191" s="981" t="n"/>
      <c r="D191" s="981" t="n"/>
      <c r="E191" s="981" t="n"/>
      <c r="F191" s="482" t="inlineStr">
        <is>
          <t>프로모터</t>
        </is>
      </c>
      <c r="G191" s="457" t="n">
        <v>12</v>
      </c>
      <c r="H191" s="457" t="n"/>
      <c r="I191" s="1147" t="n">
        <v>150000</v>
      </c>
      <c r="J191" s="1160">
        <f>G191*I191</f>
        <v/>
      </c>
      <c r="K191" s="1201" t="n">
        <v>10</v>
      </c>
      <c r="L191" s="1210" t="inlineStr">
        <is>
          <t>인</t>
        </is>
      </c>
      <c r="M191" s="1211" t="n">
        <v>150000</v>
      </c>
      <c r="N191" s="1161">
        <f>K191*M191</f>
        <v/>
      </c>
      <c r="O191" s="1212">
        <f>N191-J191</f>
        <v/>
      </c>
      <c r="P191" s="1205" t="n">
        <v>4</v>
      </c>
      <c r="Q191" s="1213" t="inlineStr">
        <is>
          <t>인</t>
        </is>
      </c>
      <c r="R191" s="1214" t="n">
        <v>150000</v>
      </c>
      <c r="S191" s="1133">
        <f>P191*R191</f>
        <v/>
      </c>
      <c r="T191" s="1081">
        <f>S191-N191</f>
        <v/>
      </c>
      <c r="U191" s="1205" t="n">
        <v>4</v>
      </c>
      <c r="V191" s="1213" t="inlineStr">
        <is>
          <t>인</t>
        </is>
      </c>
      <c r="W191" s="1214" t="n">
        <v>150000</v>
      </c>
      <c r="X191" s="1133">
        <f>U191*W191</f>
        <v/>
      </c>
      <c r="Y191" s="1208">
        <f>X191-S191</f>
        <v/>
      </c>
      <c r="Z191" s="1205" t="n">
        <v>4</v>
      </c>
      <c r="AA191" s="1213" t="inlineStr">
        <is>
          <t>인</t>
        </is>
      </c>
      <c r="AB191" s="1214" t="n">
        <v>150000</v>
      </c>
      <c r="AC191" s="1133">
        <f>Z191*AB191</f>
        <v/>
      </c>
      <c r="AD191" s="1208">
        <f>AC191-X191</f>
        <v/>
      </c>
      <c r="AE191" s="1205" t="n">
        <v>4</v>
      </c>
      <c r="AF191" s="1213" t="inlineStr">
        <is>
          <t>인</t>
        </is>
      </c>
      <c r="AG191" s="1214" t="n">
        <v>150000</v>
      </c>
      <c r="AH191" s="1133">
        <f>AE191*AG191</f>
        <v/>
      </c>
      <c r="AI191" s="1208">
        <f>AH191-AC191</f>
        <v/>
      </c>
      <c r="AJ191" s="1209" t="n"/>
      <c r="AK191" s="520" t="inlineStr">
        <is>
          <t>운영방식 변경에 따라 프로모터 재운영/인원수 조정</t>
        </is>
      </c>
    </row>
    <row r="192" ht="30.2" customHeight="1" s="972">
      <c r="B192" s="86" t="n"/>
      <c r="C192" s="707" t="inlineStr">
        <is>
          <t>소계</t>
        </is>
      </c>
      <c r="D192" s="1053" t="n"/>
      <c r="E192" s="1053" t="n"/>
      <c r="F192" s="1053" t="n"/>
      <c r="G192" s="1053" t="n"/>
      <c r="H192" s="1053" t="n"/>
      <c r="I192" s="1053" t="n"/>
      <c r="J192" s="1114">
        <f>SUM(J186:J191)</f>
        <v/>
      </c>
      <c r="K192" s="1135" t="n"/>
      <c r="L192" s="955" t="n"/>
      <c r="M192" s="949" t="n"/>
      <c r="N192" s="1116">
        <f>SUM(N186:N191)</f>
        <v/>
      </c>
      <c r="O192" s="1196">
        <f>SUM(O186:O191)</f>
        <v/>
      </c>
      <c r="P192" s="1135" t="n"/>
      <c r="Q192" s="955" t="n"/>
      <c r="R192" s="949" t="n"/>
      <c r="S192" s="1116">
        <f>SUM(S186:S191)</f>
        <v/>
      </c>
      <c r="T192" s="1093">
        <f>S192-N192</f>
        <v/>
      </c>
      <c r="U192" s="1135" t="n"/>
      <c r="V192" s="955" t="n"/>
      <c r="W192" s="949" t="n"/>
      <c r="X192" s="1116">
        <f>SUM(X186:X191)</f>
        <v/>
      </c>
      <c r="Y192" s="1196">
        <f>SUM(Y186:Y191)</f>
        <v/>
      </c>
      <c r="Z192" s="1135" t="n"/>
      <c r="AA192" s="955" t="n"/>
      <c r="AB192" s="949" t="n"/>
      <c r="AC192" s="1116">
        <f>SUM(AC186:AC191)</f>
        <v/>
      </c>
      <c r="AD192" s="1196">
        <f>SUM(AD186:AD191)</f>
        <v/>
      </c>
      <c r="AE192" s="1135" t="n"/>
      <c r="AF192" s="955" t="n"/>
      <c r="AG192" s="949" t="n"/>
      <c r="AH192" s="1116">
        <f>SUM(AH186:AH191)</f>
        <v/>
      </c>
      <c r="AI192" s="1196">
        <f>SUM(AI186:AI191)</f>
        <v/>
      </c>
      <c r="AJ192" s="1118" t="n"/>
      <c r="AK192" s="33" t="n"/>
    </row>
    <row r="193" ht="30.2" customHeight="1" s="972">
      <c r="B193" s="86" t="n"/>
      <c r="C193" s="753" t="inlineStr">
        <is>
          <t>빔프로젝트 포토월</t>
        </is>
      </c>
      <c r="D193" s="753" t="inlineStr">
        <is>
          <t>공간구현</t>
        </is>
      </c>
      <c r="E193" s="173" t="inlineStr">
        <is>
          <t>고보조명 포토월</t>
        </is>
      </c>
      <c r="F193" s="174" t="inlineStr">
        <is>
          <t>고보 조명 + 백월</t>
        </is>
      </c>
      <c r="G193" s="179" t="n">
        <v>1</v>
      </c>
      <c r="H193" s="180" t="inlineStr">
        <is>
          <t>set</t>
        </is>
      </c>
      <c r="I193" s="1108" t="n">
        <v>3500000</v>
      </c>
      <c r="J193" s="1099">
        <f>G193*I193</f>
        <v/>
      </c>
      <c r="K193" s="1109" t="n"/>
      <c r="L193" s="1110" t="n"/>
      <c r="M193" s="1111" t="n"/>
      <c r="N193" s="1112">
        <f>K193*M193</f>
        <v/>
      </c>
      <c r="O193" s="1113">
        <f>N193-J193</f>
        <v/>
      </c>
      <c r="P193" s="1109" t="n"/>
      <c r="Q193" s="1110" t="n"/>
      <c r="R193" s="1111" t="n"/>
      <c r="S193" s="1112">
        <f>P193*R193</f>
        <v/>
      </c>
      <c r="T193" s="1088">
        <f>S193-N193</f>
        <v/>
      </c>
      <c r="U193" s="1109" t="n"/>
      <c r="V193" s="1110" t="n"/>
      <c r="W193" s="1111" t="n"/>
      <c r="X193" s="1112">
        <f>U193*W193</f>
        <v/>
      </c>
      <c r="Y193" s="1113">
        <f>X193-S193</f>
        <v/>
      </c>
      <c r="Z193" s="1109" t="n"/>
      <c r="AA193" s="1110" t="n"/>
      <c r="AB193" s="1111" t="n"/>
      <c r="AC193" s="1112">
        <f>Z193*AB193</f>
        <v/>
      </c>
      <c r="AD193" s="1113">
        <f>AC193-X193</f>
        <v/>
      </c>
      <c r="AE193" s="1109" t="n"/>
      <c r="AF193" s="1110" t="n"/>
      <c r="AG193" s="1111" t="n"/>
      <c r="AH193" s="1112">
        <f>AE193*AG193</f>
        <v/>
      </c>
      <c r="AI193" s="1113">
        <f>AH193-AC193</f>
        <v/>
      </c>
      <c r="AJ193" s="1105" t="n"/>
      <c r="AK193" s="753" t="inlineStr">
        <is>
          <t>운영방식 변경</t>
        </is>
      </c>
    </row>
    <row r="194" ht="30.2" customHeight="1" s="972">
      <c r="B194" s="86" t="n"/>
      <c r="C194" s="1005" t="n"/>
      <c r="D194" s="981" t="n"/>
      <c r="E194" s="173" t="inlineStr">
        <is>
          <t>빔프로젝트 포토월</t>
        </is>
      </c>
      <c r="F194" s="174" t="inlineStr">
        <is>
          <t>빔프로젝트 + 백월</t>
        </is>
      </c>
      <c r="G194" s="179" t="n"/>
      <c r="H194" s="180" t="n"/>
      <c r="I194" s="1108" t="n"/>
      <c r="J194" s="1099">
        <f>G194*I194</f>
        <v/>
      </c>
      <c r="K194" s="1109" t="n">
        <v>3</v>
      </c>
      <c r="L194" s="175" t="inlineStr">
        <is>
          <t>set</t>
        </is>
      </c>
      <c r="M194" s="1146" t="n">
        <v>2950000</v>
      </c>
      <c r="N194" s="1112">
        <f>K194*M194</f>
        <v/>
      </c>
      <c r="O194" s="1158">
        <f>N194-J194</f>
        <v/>
      </c>
      <c r="P194" s="1109" t="n">
        <v>3</v>
      </c>
      <c r="Q194" s="175" t="inlineStr">
        <is>
          <t>set</t>
        </is>
      </c>
      <c r="R194" s="1146" t="n">
        <v>2950000</v>
      </c>
      <c r="S194" s="1112">
        <f>P194*R194</f>
        <v/>
      </c>
      <c r="T194" s="1088">
        <f>S194-N194</f>
        <v/>
      </c>
      <c r="U194" s="1109" t="n">
        <v>3</v>
      </c>
      <c r="V194" s="175" t="inlineStr">
        <is>
          <t>set</t>
        </is>
      </c>
      <c r="W194" s="1146" t="n">
        <v>2950000</v>
      </c>
      <c r="X194" s="1112">
        <f>U194*W194</f>
        <v/>
      </c>
      <c r="Y194" s="1158">
        <f>X194-S194</f>
        <v/>
      </c>
      <c r="Z194" s="1109" t="n">
        <v>3</v>
      </c>
      <c r="AA194" s="175" t="inlineStr">
        <is>
          <t>set</t>
        </is>
      </c>
      <c r="AB194" s="1146" t="n">
        <v>2950000</v>
      </c>
      <c r="AC194" s="1112">
        <f>Z194*AB194</f>
        <v/>
      </c>
      <c r="AD194" s="1158">
        <f>AC194-X194</f>
        <v/>
      </c>
      <c r="AE194" s="1109" t="n">
        <v>3</v>
      </c>
      <c r="AF194" s="175" t="inlineStr">
        <is>
          <t>set</t>
        </is>
      </c>
      <c r="AG194" s="1146" t="n">
        <v>2950000</v>
      </c>
      <c r="AH194" s="1112">
        <f>AE194*AG194</f>
        <v/>
      </c>
      <c r="AI194" s="1158">
        <f>AH194-AC194</f>
        <v/>
      </c>
      <c r="AJ194" s="1105" t="n"/>
      <c r="AK194" s="981" t="n"/>
    </row>
    <row r="195" ht="50.25" customHeight="1" s="972">
      <c r="B195" s="86" t="n"/>
      <c r="C195" s="1005" t="n"/>
      <c r="D195" s="705" t="n"/>
      <c r="E195" s="173" t="n"/>
      <c r="F195" s="428" t="inlineStr">
        <is>
          <t>근접프로그램과 균형을 위해 구조 시스템 변경
빔프로젝터 거치용 구조물 제작</t>
        </is>
      </c>
      <c r="G195" s="385" t="n"/>
      <c r="H195" s="417" t="n"/>
      <c r="I195" s="1215" t="n"/>
      <c r="J195" s="1170" t="n"/>
      <c r="K195" s="1197" t="n">
        <v>1</v>
      </c>
      <c r="L195" s="429" t="inlineStr">
        <is>
          <t>set</t>
        </is>
      </c>
      <c r="M195" s="1216" t="n">
        <v>6000000</v>
      </c>
      <c r="N195" s="1172">
        <f>K195*M195</f>
        <v/>
      </c>
      <c r="O195" s="1200">
        <f>N195-J195</f>
        <v/>
      </c>
      <c r="P195" s="1197" t="n">
        <v>1</v>
      </c>
      <c r="Q195" s="429" t="inlineStr">
        <is>
          <t>set</t>
        </is>
      </c>
      <c r="R195" s="1216" t="n">
        <v>6000000</v>
      </c>
      <c r="S195" s="1172">
        <f>P195*R195</f>
        <v/>
      </c>
      <c r="T195" s="1144">
        <f>S195-N195</f>
        <v/>
      </c>
      <c r="U195" s="1197" t="n">
        <v>1</v>
      </c>
      <c r="V195" s="429" t="inlineStr">
        <is>
          <t>set</t>
        </is>
      </c>
      <c r="W195" s="1216" t="n">
        <v>6000000</v>
      </c>
      <c r="X195" s="1172">
        <f>U195*W195</f>
        <v/>
      </c>
      <c r="Y195" s="1200">
        <f>X195-S195</f>
        <v/>
      </c>
      <c r="Z195" s="1197" t="n">
        <v>1</v>
      </c>
      <c r="AA195" s="429" t="inlineStr">
        <is>
          <t>set</t>
        </is>
      </c>
      <c r="AB195" s="1216" t="n">
        <v>6000000</v>
      </c>
      <c r="AC195" s="1172">
        <f>Z195*AB195</f>
        <v/>
      </c>
      <c r="AD195" s="1200">
        <f>AC195-X195</f>
        <v/>
      </c>
      <c r="AE195" s="1197" t="n">
        <v>1</v>
      </c>
      <c r="AF195" s="429" t="inlineStr">
        <is>
          <t>set</t>
        </is>
      </c>
      <c r="AG195" s="1216" t="n">
        <v>6000000</v>
      </c>
      <c r="AH195" s="1172">
        <f>AE195*AG195</f>
        <v/>
      </c>
      <c r="AI195" s="1200">
        <f>AH195-AC195</f>
        <v/>
      </c>
      <c r="AJ195" s="1145" t="n"/>
      <c r="AK195" s="430" t="n"/>
    </row>
    <row r="196" ht="30.2" customHeight="1" s="972">
      <c r="B196" s="86" t="n"/>
      <c r="C196" s="1005" t="n"/>
      <c r="D196" s="703" t="inlineStr">
        <is>
          <t>운영 소품</t>
        </is>
      </c>
      <c r="E196" s="173" t="inlineStr">
        <is>
          <t>폴라로이드 촬영 제공</t>
        </is>
      </c>
      <c r="F196" s="330" t="inlineStr">
        <is>
          <t>폴라로이드 카메라 / 폴라로이드 필름(2000장기준)</t>
        </is>
      </c>
      <c r="G196" s="315" t="n">
        <v>1</v>
      </c>
      <c r="H196" s="331" t="inlineStr">
        <is>
          <t>set</t>
        </is>
      </c>
      <c r="I196" s="1217" t="n">
        <v>5000000</v>
      </c>
      <c r="J196" s="1218">
        <f>G196*I196</f>
        <v/>
      </c>
      <c r="K196" s="1219" t="n">
        <v>1</v>
      </c>
      <c r="L196" s="1220" t="inlineStr">
        <is>
          <t>set</t>
        </is>
      </c>
      <c r="M196" s="1221" t="n">
        <v>5000000</v>
      </c>
      <c r="N196" s="1222">
        <f>K196*M196</f>
        <v/>
      </c>
      <c r="O196" s="1223">
        <f>N196-J196</f>
        <v/>
      </c>
      <c r="P196" s="1205" t="n">
        <v>1</v>
      </c>
      <c r="Q196" s="1206" t="inlineStr">
        <is>
          <t>set</t>
        </is>
      </c>
      <c r="R196" s="1207" t="n">
        <v>27000000</v>
      </c>
      <c r="S196" s="1133" t="n">
        <v>2700000</v>
      </c>
      <c r="T196" s="1081">
        <f>S196-N196</f>
        <v/>
      </c>
      <c r="U196" s="1205" t="n">
        <v>1</v>
      </c>
      <c r="V196" s="1206" t="inlineStr">
        <is>
          <t>set</t>
        </is>
      </c>
      <c r="W196" s="1207" t="n">
        <v>27000000</v>
      </c>
      <c r="X196" s="1133" t="n">
        <v>2700000</v>
      </c>
      <c r="Y196" s="1208">
        <f>X196-S196</f>
        <v/>
      </c>
      <c r="Z196" s="1205" t="n">
        <v>1</v>
      </c>
      <c r="AA196" s="1206" t="inlineStr">
        <is>
          <t>set</t>
        </is>
      </c>
      <c r="AB196" s="1207" t="n">
        <v>27000000</v>
      </c>
      <c r="AC196" s="1133" t="n">
        <v>2700000</v>
      </c>
      <c r="AD196" s="1208">
        <f>AC196-X196</f>
        <v/>
      </c>
      <c r="AE196" s="1205" t="n">
        <v>1</v>
      </c>
      <c r="AF196" s="1206" t="inlineStr">
        <is>
          <t>set</t>
        </is>
      </c>
      <c r="AG196" s="1207" t="n">
        <v>27000000</v>
      </c>
      <c r="AH196" s="1133" t="n">
        <v>2700000</v>
      </c>
      <c r="AI196" s="1208">
        <f>AH196-AC196</f>
        <v/>
      </c>
      <c r="AJ196" s="1209" t="n"/>
      <c r="AK196" s="520" t="n"/>
    </row>
    <row r="197" ht="30.2" customHeight="1" s="972">
      <c r="B197" s="86" t="n"/>
      <c r="C197" s="1005" t="n"/>
      <c r="D197" s="753" t="inlineStr">
        <is>
          <t>운영인력</t>
        </is>
      </c>
      <c r="E197" s="173" t="inlineStr">
        <is>
          <t>VJ</t>
        </is>
      </c>
      <c r="F197" s="174" t="inlineStr">
        <is>
          <t>현장 영상 관리 VJ  / 사전 소스 제작</t>
        </is>
      </c>
      <c r="G197" s="179" t="n"/>
      <c r="H197" s="180" t="n"/>
      <c r="I197" s="1108" t="n"/>
      <c r="J197" s="1099">
        <f>G197*I197</f>
        <v/>
      </c>
      <c r="K197" s="1109" t="n">
        <v>1</v>
      </c>
      <c r="L197" s="175" t="inlineStr">
        <is>
          <t>set</t>
        </is>
      </c>
      <c r="M197" s="1130" t="n">
        <v>250000</v>
      </c>
      <c r="N197" s="1112">
        <f>K197*M197</f>
        <v/>
      </c>
      <c r="O197" s="1158">
        <f>N197-J197</f>
        <v/>
      </c>
      <c r="P197" s="1109" t="n">
        <v>1</v>
      </c>
      <c r="Q197" s="175" t="inlineStr">
        <is>
          <t>set</t>
        </is>
      </c>
      <c r="R197" s="1130" t="n">
        <v>250000</v>
      </c>
      <c r="S197" s="1112">
        <f>P197*R197</f>
        <v/>
      </c>
      <c r="T197" s="1088">
        <f>S197-N197</f>
        <v/>
      </c>
      <c r="U197" s="1109" t="n">
        <v>1</v>
      </c>
      <c r="V197" s="175" t="inlineStr">
        <is>
          <t>set</t>
        </is>
      </c>
      <c r="W197" s="1130" t="n">
        <v>250000</v>
      </c>
      <c r="X197" s="1112">
        <f>U197*W197</f>
        <v/>
      </c>
      <c r="Y197" s="1158">
        <f>X197-S197</f>
        <v/>
      </c>
      <c r="Z197" s="1109" t="n">
        <v>1</v>
      </c>
      <c r="AA197" s="175" t="inlineStr">
        <is>
          <t>set</t>
        </is>
      </c>
      <c r="AB197" s="1130" t="n">
        <v>250000</v>
      </c>
      <c r="AC197" s="1112">
        <f>Z197*AB197</f>
        <v/>
      </c>
      <c r="AD197" s="1158">
        <f>AC197-X197</f>
        <v/>
      </c>
      <c r="AE197" s="1109" t="n">
        <v>1</v>
      </c>
      <c r="AF197" s="175" t="inlineStr">
        <is>
          <t>set</t>
        </is>
      </c>
      <c r="AG197" s="1130" t="n">
        <v>250000</v>
      </c>
      <c r="AH197" s="1112">
        <f>AE197*AG197</f>
        <v/>
      </c>
      <c r="AI197" s="1158">
        <f>AH197-AC197</f>
        <v/>
      </c>
      <c r="AJ197" s="1105" t="n"/>
      <c r="AK197" s="753" t="n"/>
    </row>
    <row r="198" ht="30.2" customHeight="1" s="972">
      <c r="B198" s="86" t="n"/>
      <c r="C198" s="981" t="n"/>
      <c r="D198" s="981" t="n"/>
      <c r="E198" s="173" t="inlineStr">
        <is>
          <t>프로모터</t>
        </is>
      </c>
      <c r="F198" s="174" t="inlineStr">
        <is>
          <t>포토월  안내 및 폴라로이드 촬영</t>
        </is>
      </c>
      <c r="G198" s="179" t="n">
        <v>6</v>
      </c>
      <c r="H198" s="180" t="inlineStr">
        <is>
          <t>인</t>
        </is>
      </c>
      <c r="I198" s="1108" t="n">
        <v>150000</v>
      </c>
      <c r="J198" s="1099">
        <f>G198*I198</f>
        <v/>
      </c>
      <c r="K198" s="1109" t="n">
        <v>2</v>
      </c>
      <c r="L198" s="1110" t="inlineStr">
        <is>
          <t>인</t>
        </is>
      </c>
      <c r="M198" s="1111" t="n">
        <v>150000</v>
      </c>
      <c r="N198" s="1112">
        <f>K198*M198</f>
        <v/>
      </c>
      <c r="O198" s="1113">
        <f>N198-J198</f>
        <v/>
      </c>
      <c r="P198" s="1205" t="n">
        <v>4</v>
      </c>
      <c r="Q198" s="1206" t="inlineStr">
        <is>
          <t>인</t>
        </is>
      </c>
      <c r="R198" s="1207" t="n">
        <v>150000</v>
      </c>
      <c r="S198" s="1133">
        <f>P198*R198</f>
        <v/>
      </c>
      <c r="T198" s="1045">
        <f>S198-N198</f>
        <v/>
      </c>
      <c r="U198" s="1205" t="n">
        <v>4</v>
      </c>
      <c r="V198" s="1206" t="inlineStr">
        <is>
          <t>인</t>
        </is>
      </c>
      <c r="W198" s="1207" t="n">
        <v>150000</v>
      </c>
      <c r="X198" s="1133">
        <f>U198*W198</f>
        <v/>
      </c>
      <c r="Y198" s="1224">
        <f>X198-S198</f>
        <v/>
      </c>
      <c r="Z198" s="1205" t="n">
        <v>4</v>
      </c>
      <c r="AA198" s="1206" t="inlineStr">
        <is>
          <t>인</t>
        </is>
      </c>
      <c r="AB198" s="1207" t="n">
        <v>150000</v>
      </c>
      <c r="AC198" s="1133">
        <f>Z198*AB198</f>
        <v/>
      </c>
      <c r="AD198" s="1224">
        <f>AC198-X198</f>
        <v/>
      </c>
      <c r="AE198" s="1205" t="n">
        <v>4</v>
      </c>
      <c r="AF198" s="1206" t="inlineStr">
        <is>
          <t>인</t>
        </is>
      </c>
      <c r="AG198" s="1207" t="n">
        <v>150000</v>
      </c>
      <c r="AH198" s="1133">
        <f>AE198*AG198</f>
        <v/>
      </c>
      <c r="AI198" s="1224">
        <f>AH198-AC198</f>
        <v/>
      </c>
      <c r="AJ198" s="1209" t="n"/>
      <c r="AK198" s="520" t="inlineStr">
        <is>
          <t>폴라로이드 인원 포함 프로모터 인원수 변경</t>
        </is>
      </c>
    </row>
    <row r="199" ht="30.2" customHeight="1" s="972">
      <c r="B199" s="86" t="n"/>
      <c r="C199" s="1064" t="inlineStr">
        <is>
          <t>소계</t>
        </is>
      </c>
      <c r="D199" s="1053" t="n"/>
      <c r="E199" s="1053" t="n"/>
      <c r="F199" s="1053" t="n"/>
      <c r="G199" s="1053" t="n"/>
      <c r="H199" s="1053" t="n"/>
      <c r="I199" s="997" t="n"/>
      <c r="J199" s="1114">
        <f>SUM(J193:J198)</f>
        <v/>
      </c>
      <c r="K199" s="1135" t="n"/>
      <c r="L199" s="955" t="n"/>
      <c r="M199" s="949" t="n"/>
      <c r="N199" s="1116">
        <f>SUM(N193:N198)</f>
        <v/>
      </c>
      <c r="O199" s="1196">
        <f>SUM(O193:O198)</f>
        <v/>
      </c>
      <c r="P199" s="1135" t="n"/>
      <c r="Q199" s="955" t="n"/>
      <c r="R199" s="949" t="n"/>
      <c r="S199" s="1116">
        <f>SUM(S193:S198)</f>
        <v/>
      </c>
      <c r="T199" s="1093">
        <f>S199-N199</f>
        <v/>
      </c>
      <c r="U199" s="1135" t="n"/>
      <c r="V199" s="955" t="n"/>
      <c r="W199" s="949" t="n"/>
      <c r="X199" s="1116">
        <f>SUM(X193:X198)</f>
        <v/>
      </c>
      <c r="Y199" s="1196">
        <f>SUM(Y193:Y198)</f>
        <v/>
      </c>
      <c r="Z199" s="1135" t="n"/>
      <c r="AA199" s="955" t="n"/>
      <c r="AB199" s="949" t="n"/>
      <c r="AC199" s="1116">
        <f>SUM(AC193:AC198)</f>
        <v/>
      </c>
      <c r="AD199" s="1196">
        <f>SUM(AD193:AD198)</f>
        <v/>
      </c>
      <c r="AE199" s="1135" t="n"/>
      <c r="AF199" s="955" t="n"/>
      <c r="AG199" s="949" t="n"/>
      <c r="AH199" s="1116">
        <f>SUM(AH193:AH198)</f>
        <v/>
      </c>
      <c r="AI199" s="1196">
        <f>SUM(AI193:AI198)</f>
        <v/>
      </c>
      <c r="AJ199" s="1118" t="n"/>
      <c r="AK199" s="33" t="n"/>
    </row>
    <row r="200" ht="30.2" customHeight="1" s="972">
      <c r="B200" s="86" t="n"/>
      <c r="C200" s="752" t="inlineStr">
        <is>
          <t>블루모지 마스크 
포토월</t>
        </is>
      </c>
      <c r="D200" s="753" t="inlineStr">
        <is>
          <t>공간구현</t>
        </is>
      </c>
      <c r="E200" s="173" t="inlineStr">
        <is>
          <t>포토월 구성</t>
        </is>
      </c>
      <c r="F200" s="174" t="inlineStr">
        <is>
          <t xml:space="preserve">백월 / 블루모지 8종 (2D) </t>
        </is>
      </c>
      <c r="G200" s="179" t="n"/>
      <c r="H200" s="180" t="n"/>
      <c r="I200" s="1108" t="n"/>
      <c r="J200" s="1099">
        <f>G200*I200</f>
        <v/>
      </c>
      <c r="K200" s="1109" t="n">
        <v>1</v>
      </c>
      <c r="L200" s="175" t="inlineStr">
        <is>
          <t>set</t>
        </is>
      </c>
      <c r="M200" s="1130" t="n">
        <v>12700000</v>
      </c>
      <c r="N200" s="1112">
        <f>K200*M200</f>
        <v/>
      </c>
      <c r="O200" s="1158">
        <f>N200-J200</f>
        <v/>
      </c>
      <c r="P200" s="1109" t="n">
        <v>1</v>
      </c>
      <c r="Q200" s="175" t="inlineStr">
        <is>
          <t>set</t>
        </is>
      </c>
      <c r="R200" s="1130" t="n">
        <v>12700000</v>
      </c>
      <c r="S200" s="1112">
        <f>P200*R200</f>
        <v/>
      </c>
      <c r="T200" s="1088">
        <f>S200-N200</f>
        <v/>
      </c>
      <c r="U200" s="1109" t="n">
        <v>1</v>
      </c>
      <c r="V200" s="175" t="inlineStr">
        <is>
          <t>set</t>
        </is>
      </c>
      <c r="W200" s="1130" t="n">
        <v>12700000</v>
      </c>
      <c r="X200" s="1112">
        <f>U200*W200</f>
        <v/>
      </c>
      <c r="Y200" s="1158">
        <f>X200-S200</f>
        <v/>
      </c>
      <c r="Z200" s="1109" t="n">
        <v>1</v>
      </c>
      <c r="AA200" s="175" t="inlineStr">
        <is>
          <t>set</t>
        </is>
      </c>
      <c r="AB200" s="1130" t="n">
        <v>12700000</v>
      </c>
      <c r="AC200" s="1112">
        <f>Z200*AB200</f>
        <v/>
      </c>
      <c r="AD200" s="1158">
        <f>AC200-X200</f>
        <v/>
      </c>
      <c r="AE200" s="1109" t="n">
        <v>1</v>
      </c>
      <c r="AF200" s="175" t="inlineStr">
        <is>
          <t>set</t>
        </is>
      </c>
      <c r="AG200" s="1130" t="n">
        <v>12700000</v>
      </c>
      <c r="AH200" s="1112">
        <f>AE200*AG200</f>
        <v/>
      </c>
      <c r="AI200" s="1158">
        <f>AH200-AC200</f>
        <v/>
      </c>
      <c r="AJ200" s="1105" t="n"/>
      <c r="AK200" s="420" t="inlineStr">
        <is>
          <t>추가항목</t>
        </is>
      </c>
    </row>
    <row r="201" ht="30.2" customHeight="1" s="972">
      <c r="B201" s="86" t="n"/>
      <c r="C201" s="1005" t="n"/>
      <c r="D201" s="704" t="n"/>
      <c r="E201" s="173" t="n"/>
      <c r="F201" s="416" t="inlineStr">
        <is>
          <t>안전이슈로 소재변경(포맥스→EVA)/ 옆면 월 추가</t>
        </is>
      </c>
      <c r="G201" s="385" t="n"/>
      <c r="H201" s="417" t="n"/>
      <c r="I201" s="1215" t="n"/>
      <c r="J201" s="1170" t="n"/>
      <c r="K201" s="1197" t="n">
        <v>1</v>
      </c>
      <c r="L201" s="389" t="inlineStr">
        <is>
          <t>set</t>
        </is>
      </c>
      <c r="M201" s="1216" t="n">
        <v>1500000</v>
      </c>
      <c r="N201" s="1172">
        <f>K201*M201</f>
        <v/>
      </c>
      <c r="O201" s="1200">
        <f>N201-J201</f>
        <v/>
      </c>
      <c r="P201" s="1197" t="n">
        <v>1</v>
      </c>
      <c r="Q201" s="389" t="inlineStr">
        <is>
          <t>set</t>
        </is>
      </c>
      <c r="R201" s="1216" t="n">
        <v>1500000</v>
      </c>
      <c r="S201" s="1172">
        <f>P201*R201</f>
        <v/>
      </c>
      <c r="T201" s="1144">
        <f>S201-N201</f>
        <v/>
      </c>
      <c r="U201" s="1197" t="n">
        <v>1</v>
      </c>
      <c r="V201" s="389" t="inlineStr">
        <is>
          <t>set</t>
        </is>
      </c>
      <c r="W201" s="1216" t="n">
        <v>1500000</v>
      </c>
      <c r="X201" s="1172">
        <f>U201*W201</f>
        <v/>
      </c>
      <c r="Y201" s="1200">
        <f>X201-S201</f>
        <v/>
      </c>
      <c r="Z201" s="1197" t="n">
        <v>1</v>
      </c>
      <c r="AA201" s="389" t="inlineStr">
        <is>
          <t>set</t>
        </is>
      </c>
      <c r="AB201" s="1216" t="n">
        <v>1500000</v>
      </c>
      <c r="AC201" s="1172">
        <f>Z201*AB201</f>
        <v/>
      </c>
      <c r="AD201" s="1200">
        <f>AC201-X201</f>
        <v/>
      </c>
      <c r="AE201" s="1197" t="n">
        <v>1</v>
      </c>
      <c r="AF201" s="389" t="inlineStr">
        <is>
          <t>set</t>
        </is>
      </c>
      <c r="AG201" s="1216" t="n">
        <v>1500000</v>
      </c>
      <c r="AH201" s="1172">
        <f>AE201*AG201</f>
        <v/>
      </c>
      <c r="AI201" s="1200">
        <f>AH201-AC201</f>
        <v/>
      </c>
      <c r="AJ201" s="1145" t="n"/>
      <c r="AK201" s="423" t="n"/>
    </row>
    <row r="202" ht="30.2" customHeight="1" s="972">
      <c r="B202" s="86" t="n"/>
      <c r="C202" s="981" t="n"/>
      <c r="D202" s="704" t="inlineStr">
        <is>
          <t>운영인력</t>
        </is>
      </c>
      <c r="E202" s="173" t="inlineStr">
        <is>
          <t>프로모터</t>
        </is>
      </c>
      <c r="F202" s="174" t="inlineStr">
        <is>
          <t>프로그램 안내 및 참여 유도</t>
        </is>
      </c>
      <c r="G202" s="179" t="n"/>
      <c r="H202" s="180" t="n"/>
      <c r="I202" s="1108" t="n"/>
      <c r="J202" s="1099">
        <f>G202*I202</f>
        <v/>
      </c>
      <c r="K202" s="1109" t="n">
        <v>2</v>
      </c>
      <c r="L202" s="175" t="inlineStr">
        <is>
          <t>인</t>
        </is>
      </c>
      <c r="M202" s="1130" t="n">
        <v>150000</v>
      </c>
      <c r="N202" s="1112">
        <f>K202*M202</f>
        <v/>
      </c>
      <c r="O202" s="1158">
        <f>N202-J202</f>
        <v/>
      </c>
      <c r="P202" s="1109" t="n">
        <v>2</v>
      </c>
      <c r="Q202" s="175" t="inlineStr">
        <is>
          <t>인</t>
        </is>
      </c>
      <c r="R202" s="1130" t="n">
        <v>150000</v>
      </c>
      <c r="S202" s="1112">
        <f>P202*R202</f>
        <v/>
      </c>
      <c r="T202" s="1088">
        <f>S202-N202</f>
        <v/>
      </c>
      <c r="U202" s="1109" t="n">
        <v>2</v>
      </c>
      <c r="V202" s="175" t="inlineStr">
        <is>
          <t>인</t>
        </is>
      </c>
      <c r="W202" s="1130" t="n">
        <v>150000</v>
      </c>
      <c r="X202" s="1112">
        <f>U202*W202</f>
        <v/>
      </c>
      <c r="Y202" s="1158">
        <f>X202-S202</f>
        <v/>
      </c>
      <c r="Z202" s="1109" t="n">
        <v>2</v>
      </c>
      <c r="AA202" s="175" t="inlineStr">
        <is>
          <t>인</t>
        </is>
      </c>
      <c r="AB202" s="1130" t="n">
        <v>150000</v>
      </c>
      <c r="AC202" s="1112">
        <f>Z202*AB202</f>
        <v/>
      </c>
      <c r="AD202" s="1158">
        <f>AC202-X202</f>
        <v/>
      </c>
      <c r="AE202" s="1109" t="n">
        <v>2</v>
      </c>
      <c r="AF202" s="175" t="inlineStr">
        <is>
          <t>인</t>
        </is>
      </c>
      <c r="AG202" s="1130" t="n">
        <v>150000</v>
      </c>
      <c r="AH202" s="1112">
        <f>AE202*AG202</f>
        <v/>
      </c>
      <c r="AI202" s="1158">
        <f>AH202-AC202</f>
        <v/>
      </c>
      <c r="AJ202" s="1105" t="n"/>
      <c r="AK202" s="422" t="n"/>
    </row>
    <row r="203" ht="30.2" customHeight="1" s="972">
      <c r="B203" s="86" t="n"/>
      <c r="C203" s="1064" t="inlineStr">
        <is>
          <t>소계</t>
        </is>
      </c>
      <c r="D203" s="1053" t="n"/>
      <c r="E203" s="1053" t="n"/>
      <c r="F203" s="1053" t="n"/>
      <c r="G203" s="1053" t="n"/>
      <c r="H203" s="1053" t="n"/>
      <c r="I203" s="997" t="n"/>
      <c r="J203" s="1114">
        <f>SUM(J200:J202)</f>
        <v/>
      </c>
      <c r="K203" s="1135" t="n"/>
      <c r="L203" s="955" t="n"/>
      <c r="M203" s="949" t="n"/>
      <c r="N203" s="1116">
        <f>SUM(N200:N202)</f>
        <v/>
      </c>
      <c r="O203" s="1117">
        <f>SUM(O200:O202)</f>
        <v/>
      </c>
      <c r="P203" s="1135" t="n"/>
      <c r="Q203" s="955" t="n"/>
      <c r="R203" s="949" t="n"/>
      <c r="S203" s="1116">
        <f>SUM(S200:S202)</f>
        <v/>
      </c>
      <c r="T203" s="1093">
        <f>S203-N203</f>
        <v/>
      </c>
      <c r="U203" s="1135" t="n"/>
      <c r="V203" s="955" t="n"/>
      <c r="W203" s="949" t="n"/>
      <c r="X203" s="1116">
        <f>SUM(X200:X202)</f>
        <v/>
      </c>
      <c r="Y203" s="1117">
        <f>SUM(Y200:Y202)</f>
        <v/>
      </c>
      <c r="Z203" s="1135" t="n"/>
      <c r="AA203" s="955" t="n"/>
      <c r="AB203" s="949" t="n"/>
      <c r="AC203" s="1116">
        <f>SUM(AC200:AC202)</f>
        <v/>
      </c>
      <c r="AD203" s="1117">
        <f>SUM(AD200:AD202)</f>
        <v/>
      </c>
      <c r="AE203" s="1135" t="n"/>
      <c r="AF203" s="955" t="n"/>
      <c r="AG203" s="949" t="n"/>
      <c r="AH203" s="1116">
        <f>SUM(AH200:AH202)</f>
        <v/>
      </c>
      <c r="AI203" s="1117">
        <f>SUM(AI200:AI202)</f>
        <v/>
      </c>
      <c r="AJ203" s="1118" t="n"/>
      <c r="AK203" s="33" t="n"/>
    </row>
    <row r="204" ht="30.2" customHeight="1" s="972">
      <c r="B204" s="86" t="n"/>
      <c r="C204" s="752" t="inlineStr">
        <is>
          <t>인스타월</t>
        </is>
      </c>
      <c r="D204" s="753" t="inlineStr">
        <is>
          <t>공간구현</t>
        </is>
      </c>
      <c r="E204" s="193" t="inlineStr">
        <is>
          <t>로고 스카시</t>
        </is>
      </c>
      <c r="F204" s="191" t="inlineStr">
        <is>
          <t>로고 스카시 / 단 포함</t>
        </is>
      </c>
      <c r="G204" s="179" t="n"/>
      <c r="H204" s="179" t="n"/>
      <c r="I204" s="1098" t="n"/>
      <c r="J204" s="1099">
        <f>I204*G204</f>
        <v/>
      </c>
      <c r="K204" s="1109" t="n">
        <v>1</v>
      </c>
      <c r="L204" s="175" t="inlineStr">
        <is>
          <t>set</t>
        </is>
      </c>
      <c r="M204" s="1130" t="n">
        <v>11500000</v>
      </c>
      <c r="N204" s="1112">
        <f>K204*M204</f>
        <v/>
      </c>
      <c r="O204" s="1158">
        <f>N204-J204</f>
        <v/>
      </c>
      <c r="P204" s="1109" t="n">
        <v>1</v>
      </c>
      <c r="Q204" s="175" t="inlineStr">
        <is>
          <t>set</t>
        </is>
      </c>
      <c r="R204" s="1130" t="n">
        <v>11500000</v>
      </c>
      <c r="S204" s="1112">
        <f>P204*R204</f>
        <v/>
      </c>
      <c r="T204" s="1088">
        <f>S204-N204</f>
        <v/>
      </c>
      <c r="U204" s="1109" t="n">
        <v>1</v>
      </c>
      <c r="V204" s="175" t="inlineStr">
        <is>
          <t>set</t>
        </is>
      </c>
      <c r="W204" s="1130" t="n">
        <v>11500000</v>
      </c>
      <c r="X204" s="1112">
        <f>U204*W204</f>
        <v/>
      </c>
      <c r="Y204" s="1158">
        <f>X204-S204</f>
        <v/>
      </c>
      <c r="Z204" s="1109" t="n">
        <v>1</v>
      </c>
      <c r="AA204" s="175" t="inlineStr">
        <is>
          <t>set</t>
        </is>
      </c>
      <c r="AB204" s="1130" t="n">
        <v>11500000</v>
      </c>
      <c r="AC204" s="1112">
        <f>Z204*AB204</f>
        <v/>
      </c>
      <c r="AD204" s="1158">
        <f>AC204-X204</f>
        <v/>
      </c>
      <c r="AE204" s="1109" t="n">
        <v>1</v>
      </c>
      <c r="AF204" s="175" t="inlineStr">
        <is>
          <t>set</t>
        </is>
      </c>
      <c r="AG204" s="1130" t="n">
        <v>11500000</v>
      </c>
      <c r="AH204" s="1112">
        <f>AE204*AG204</f>
        <v/>
      </c>
      <c r="AI204" s="1158">
        <f>AH204-AC204</f>
        <v/>
      </c>
      <c r="AJ204" s="1105" t="n"/>
      <c r="AK204" s="554" t="inlineStr">
        <is>
          <t>추가항목
전년도 규모와 동일 / 블루모지 적용</t>
        </is>
      </c>
    </row>
    <row r="205" ht="30.2" customHeight="1" s="972">
      <c r="B205" s="86" t="n"/>
      <c r="C205" s="1005" t="n"/>
      <c r="D205" s="1005" t="n"/>
      <c r="E205" s="1005" t="n"/>
      <c r="F205" s="314" t="inlineStr">
        <is>
          <t>수정사항 적용 (포인트 라이팅/배경 등)</t>
        </is>
      </c>
      <c r="G205" s="315" t="n"/>
      <c r="H205" s="315" t="n"/>
      <c r="I205" s="1225" t="n"/>
      <c r="J205" s="1218" t="n"/>
      <c r="K205" s="1219" t="n">
        <v>1</v>
      </c>
      <c r="L205" s="319" t="inlineStr">
        <is>
          <t>set</t>
        </is>
      </c>
      <c r="M205" s="1226" t="n">
        <v>2000000</v>
      </c>
      <c r="N205" s="1222">
        <f>K205*M205</f>
        <v/>
      </c>
      <c r="O205" s="1223">
        <f>N205-J205</f>
        <v/>
      </c>
      <c r="P205" s="1219" t="n">
        <v>1</v>
      </c>
      <c r="Q205" s="319" t="inlineStr">
        <is>
          <t>set</t>
        </is>
      </c>
      <c r="R205" s="1226" t="n">
        <v>2000000</v>
      </c>
      <c r="S205" s="1222">
        <f>P205*R205</f>
        <v/>
      </c>
      <c r="T205" s="1227">
        <f>S205-N205</f>
        <v/>
      </c>
      <c r="U205" s="1219" t="n">
        <v>1</v>
      </c>
      <c r="V205" s="319" t="inlineStr">
        <is>
          <t>set</t>
        </is>
      </c>
      <c r="W205" s="1226" t="n">
        <v>2000000</v>
      </c>
      <c r="X205" s="1222">
        <f>U205*W205</f>
        <v/>
      </c>
      <c r="Y205" s="1223">
        <f>X205-S205</f>
        <v/>
      </c>
      <c r="Z205" s="1219" t="n">
        <v>1</v>
      </c>
      <c r="AA205" s="319" t="inlineStr">
        <is>
          <t>set</t>
        </is>
      </c>
      <c r="AB205" s="1226" t="n">
        <v>2000000</v>
      </c>
      <c r="AC205" s="1222">
        <f>Z205*AB205</f>
        <v/>
      </c>
      <c r="AD205" s="1223">
        <f>AC205-X205</f>
        <v/>
      </c>
      <c r="AE205" s="1219" t="n">
        <v>1</v>
      </c>
      <c r="AF205" s="319" t="inlineStr">
        <is>
          <t>set</t>
        </is>
      </c>
      <c r="AG205" s="1226" t="n">
        <v>2000000</v>
      </c>
      <c r="AH205" s="1222">
        <f>AE205*AG205</f>
        <v/>
      </c>
      <c r="AI205" s="1223">
        <f>AH205-AC205</f>
        <v/>
      </c>
      <c r="AJ205" s="1228" t="n"/>
      <c r="AK205" s="555" t="n"/>
    </row>
    <row r="206" ht="30.2" customHeight="1" s="972">
      <c r="B206" s="86" t="n"/>
      <c r="C206" s="1005" t="n"/>
      <c r="D206" s="1005" t="n"/>
      <c r="E206" s="1005" t="n"/>
      <c r="F206" s="456" t="inlineStr">
        <is>
          <t>블루모지 마스크 제작</t>
        </is>
      </c>
      <c r="G206" s="457" t="n"/>
      <c r="H206" s="457" t="n"/>
      <c r="I206" s="1147" t="n"/>
      <c r="J206" s="1160" t="n"/>
      <c r="K206" s="1201" t="n">
        <v>1</v>
      </c>
      <c r="L206" s="460" t="inlineStr">
        <is>
          <t>set</t>
        </is>
      </c>
      <c r="M206" s="1229" t="n">
        <v>900000</v>
      </c>
      <c r="N206" s="1161">
        <f>K206*M206</f>
        <v/>
      </c>
      <c r="O206" s="1204">
        <f>N206-J206</f>
        <v/>
      </c>
      <c r="P206" s="1201" t="n">
        <v>1</v>
      </c>
      <c r="Q206" s="460" t="inlineStr">
        <is>
          <t>set</t>
        </is>
      </c>
      <c r="R206" s="1229" t="n">
        <v>900000</v>
      </c>
      <c r="S206" s="1161">
        <f>P206*R206</f>
        <v/>
      </c>
      <c r="T206" s="1075">
        <f>S206-N206</f>
        <v/>
      </c>
      <c r="U206" s="1201" t="n">
        <v>1</v>
      </c>
      <c r="V206" s="460" t="inlineStr">
        <is>
          <t>set</t>
        </is>
      </c>
      <c r="W206" s="1229" t="n">
        <v>900000</v>
      </c>
      <c r="X206" s="1161">
        <f>U206*W206</f>
        <v/>
      </c>
      <c r="Y206" s="1204">
        <f>X206-S206</f>
        <v/>
      </c>
      <c r="Z206" s="1201" t="n">
        <v>1</v>
      </c>
      <c r="AA206" s="460" t="inlineStr">
        <is>
          <t>set</t>
        </is>
      </c>
      <c r="AB206" s="1229" t="n">
        <v>900000</v>
      </c>
      <c r="AC206" s="1161">
        <f>Z206*AB206</f>
        <v/>
      </c>
      <c r="AD206" s="1204">
        <f>AC206-X206</f>
        <v/>
      </c>
      <c r="AE206" s="1201" t="n">
        <v>1</v>
      </c>
      <c r="AF206" s="460" t="inlineStr">
        <is>
          <t>set</t>
        </is>
      </c>
      <c r="AG206" s="1229" t="n">
        <v>900000</v>
      </c>
      <c r="AH206" s="1161">
        <f>AE206*AG206</f>
        <v/>
      </c>
      <c r="AI206" s="1204">
        <f>AH206-AC206</f>
        <v/>
      </c>
      <c r="AJ206" s="1150" t="n"/>
      <c r="AK206" s="555" t="n"/>
    </row>
    <row r="207" ht="58.5" customHeight="1" s="972">
      <c r="B207" s="86" t="n"/>
      <c r="C207" s="1005" t="n"/>
      <c r="D207" s="1005" t="n"/>
      <c r="E207" s="981" t="n"/>
      <c r="F207" s="490" t="inlineStr">
        <is>
          <t>블루모지 마네킹 구매 및 착석용 단상 제작 
(마네킹 도색포함)</t>
        </is>
      </c>
      <c r="G207" s="457" t="n"/>
      <c r="H207" s="457" t="n"/>
      <c r="I207" s="1147" t="n"/>
      <c r="J207" s="1160" t="n"/>
      <c r="K207" s="1201" t="n">
        <v>1</v>
      </c>
      <c r="L207" s="460" t="inlineStr">
        <is>
          <t>set</t>
        </is>
      </c>
      <c r="M207" s="1229" t="n">
        <v>1200000</v>
      </c>
      <c r="N207" s="1161">
        <f>K207*M207</f>
        <v/>
      </c>
      <c r="O207" s="1204">
        <f>N207-J207</f>
        <v/>
      </c>
      <c r="P207" s="1205" t="n">
        <v>1</v>
      </c>
      <c r="Q207" s="536" t="inlineStr">
        <is>
          <t>set</t>
        </is>
      </c>
      <c r="R207" s="1132" t="n"/>
      <c r="S207" s="1133">
        <f>P207*R207</f>
        <v/>
      </c>
      <c r="T207" s="1081">
        <f>S207-N207</f>
        <v/>
      </c>
      <c r="U207" s="1205" t="n">
        <v>1</v>
      </c>
      <c r="V207" s="536" t="inlineStr">
        <is>
          <t>set</t>
        </is>
      </c>
      <c r="W207" s="1132" t="n"/>
      <c r="X207" s="1133">
        <f>U207*W207</f>
        <v/>
      </c>
      <c r="Y207" s="1208">
        <f>X207-S207</f>
        <v/>
      </c>
      <c r="Z207" s="1205" t="n">
        <v>1</v>
      </c>
      <c r="AA207" s="536" t="inlineStr">
        <is>
          <t>set</t>
        </is>
      </c>
      <c r="AB207" s="1132" t="n"/>
      <c r="AC207" s="1133">
        <f>Z207*AB207</f>
        <v/>
      </c>
      <c r="AD207" s="1208">
        <f>AC207-X207</f>
        <v/>
      </c>
      <c r="AE207" s="1205" t="n">
        <v>1</v>
      </c>
      <c r="AF207" s="536" t="inlineStr">
        <is>
          <t>set</t>
        </is>
      </c>
      <c r="AG207" s="1132" t="n"/>
      <c r="AH207" s="1133">
        <f>AE207*AG207</f>
        <v/>
      </c>
      <c r="AI207" s="1208">
        <f>AH207-AC207</f>
        <v/>
      </c>
      <c r="AJ207" s="1209" t="n"/>
      <c r="AK207" s="556" t="n"/>
    </row>
    <row r="208" ht="30.2" customHeight="1" s="972">
      <c r="B208" s="86" t="n"/>
      <c r="C208" s="1005" t="n"/>
      <c r="D208" s="1005" t="n"/>
      <c r="E208" s="105" t="inlineStr">
        <is>
          <t>중앙 LED</t>
        </is>
      </c>
      <c r="F208" s="191" t="inlineStr">
        <is>
          <t>6mm LED</t>
        </is>
      </c>
      <c r="G208" s="179" t="n"/>
      <c r="H208" s="179" t="n"/>
      <c r="I208" s="1098" t="n"/>
      <c r="J208" s="1099">
        <f>I208*G208</f>
        <v/>
      </c>
      <c r="K208" s="1109" t="n">
        <v>1</v>
      </c>
      <c r="L208" s="175" t="inlineStr">
        <is>
          <t>set</t>
        </is>
      </c>
      <c r="M208" s="1130" t="n">
        <v>7000000</v>
      </c>
      <c r="N208" s="1112">
        <f>K208*M208</f>
        <v/>
      </c>
      <c r="O208" s="1158">
        <f>N208-J208</f>
        <v/>
      </c>
      <c r="P208" s="1109" t="n">
        <v>1</v>
      </c>
      <c r="Q208" s="175" t="inlineStr">
        <is>
          <t>set</t>
        </is>
      </c>
      <c r="R208" s="1130" t="n">
        <v>7000000</v>
      </c>
      <c r="S208" s="1112">
        <f>P208*R208</f>
        <v/>
      </c>
      <c r="T208" s="1088">
        <f>S208-N208</f>
        <v/>
      </c>
      <c r="U208" s="1109" t="n">
        <v>1</v>
      </c>
      <c r="V208" s="175" t="inlineStr">
        <is>
          <t>set</t>
        </is>
      </c>
      <c r="W208" s="1130" t="n">
        <v>7000000</v>
      </c>
      <c r="X208" s="1112">
        <f>U208*W208</f>
        <v/>
      </c>
      <c r="Y208" s="1158">
        <f>X208-S208</f>
        <v/>
      </c>
      <c r="Z208" s="1109" t="n">
        <v>1</v>
      </c>
      <c r="AA208" s="175" t="inlineStr">
        <is>
          <t>set</t>
        </is>
      </c>
      <c r="AB208" s="1130" t="n">
        <v>7000000</v>
      </c>
      <c r="AC208" s="1112">
        <f>Z208*AB208</f>
        <v/>
      </c>
      <c r="AD208" s="1158">
        <f>AC208-X208</f>
        <v/>
      </c>
      <c r="AE208" s="1109" t="n">
        <v>1</v>
      </c>
      <c r="AF208" s="175" t="inlineStr">
        <is>
          <t>set</t>
        </is>
      </c>
      <c r="AG208" s="1130" t="n">
        <v>7000000</v>
      </c>
      <c r="AH208" s="1112">
        <f>AE208*AG208</f>
        <v/>
      </c>
      <c r="AI208" s="1158">
        <f>AH208-AC208</f>
        <v/>
      </c>
      <c r="AJ208" s="1105" t="n"/>
      <c r="AK208" s="421" t="n"/>
    </row>
    <row r="209" ht="30.2" customHeight="1" s="972">
      <c r="B209" s="86" t="n"/>
      <c r="C209" s="1005" t="n"/>
      <c r="D209" s="1005" t="n"/>
      <c r="E209" s="105" t="inlineStr">
        <is>
          <t>사이드 LED</t>
        </is>
      </c>
      <c r="F209" s="191" t="n"/>
      <c r="G209" s="179" t="n"/>
      <c r="H209" s="179" t="n"/>
      <c r="I209" s="1098" t="n"/>
      <c r="J209" s="1099">
        <f>I209*G209</f>
        <v/>
      </c>
      <c r="K209" s="1109" t="n">
        <v>1</v>
      </c>
      <c r="L209" s="175" t="inlineStr">
        <is>
          <t>set</t>
        </is>
      </c>
      <c r="M209" s="1130" t="n">
        <v>3500000</v>
      </c>
      <c r="N209" s="1112">
        <f>K209*M209</f>
        <v/>
      </c>
      <c r="O209" s="1158">
        <f>N209-J209</f>
        <v/>
      </c>
      <c r="P209" s="1109" t="n">
        <v>1</v>
      </c>
      <c r="Q209" s="175" t="inlineStr">
        <is>
          <t>set</t>
        </is>
      </c>
      <c r="R209" s="1130" t="n">
        <v>3500000</v>
      </c>
      <c r="S209" s="1112">
        <f>P209*R209</f>
        <v/>
      </c>
      <c r="T209" s="1088">
        <f>S209-N209</f>
        <v/>
      </c>
      <c r="U209" s="1109" t="n">
        <v>1</v>
      </c>
      <c r="V209" s="175" t="inlineStr">
        <is>
          <t>set</t>
        </is>
      </c>
      <c r="W209" s="1130" t="n">
        <v>3500000</v>
      </c>
      <c r="X209" s="1112">
        <f>U209*W209</f>
        <v/>
      </c>
      <c r="Y209" s="1158">
        <f>X209-S209</f>
        <v/>
      </c>
      <c r="Z209" s="1109" t="n">
        <v>1</v>
      </c>
      <c r="AA209" s="175" t="inlineStr">
        <is>
          <t>set</t>
        </is>
      </c>
      <c r="AB209" s="1130" t="n">
        <v>3500000</v>
      </c>
      <c r="AC209" s="1112">
        <f>Z209*AB209</f>
        <v/>
      </c>
      <c r="AD209" s="1158">
        <f>AC209-X209</f>
        <v/>
      </c>
      <c r="AE209" s="1109" t="n">
        <v>1</v>
      </c>
      <c r="AF209" s="175" t="inlineStr">
        <is>
          <t>set</t>
        </is>
      </c>
      <c r="AG209" s="1130" t="n">
        <v>3500000</v>
      </c>
      <c r="AH209" s="1112">
        <f>AE209*AG209</f>
        <v/>
      </c>
      <c r="AI209" s="1158">
        <f>AH209-AC209</f>
        <v/>
      </c>
      <c r="AJ209" s="1105" t="n"/>
      <c r="AK209" s="421" t="n"/>
    </row>
    <row r="210" ht="30.2" customHeight="1" s="972">
      <c r="B210" s="86" t="n"/>
      <c r="C210" s="1005" t="n"/>
      <c r="D210" s="1005" t="n"/>
      <c r="E210" s="105" t="inlineStr">
        <is>
          <t>구조물+트러스</t>
        </is>
      </c>
      <c r="F210" s="191" t="inlineStr">
        <is>
          <t>LED 거치용 트러스</t>
        </is>
      </c>
      <c r="G210" s="179" t="n"/>
      <c r="H210" s="179" t="n"/>
      <c r="I210" s="1098" t="n"/>
      <c r="J210" s="1099">
        <f>I210*G210</f>
        <v/>
      </c>
      <c r="K210" s="1109" t="n">
        <v>1</v>
      </c>
      <c r="L210" s="175" t="inlineStr">
        <is>
          <t>set</t>
        </is>
      </c>
      <c r="M210" s="1130" t="n">
        <v>8000000</v>
      </c>
      <c r="N210" s="1112">
        <f>K210*M210</f>
        <v/>
      </c>
      <c r="O210" s="1158">
        <f>N210-J210</f>
        <v/>
      </c>
      <c r="P210" s="1109" t="n">
        <v>1</v>
      </c>
      <c r="Q210" s="175" t="inlineStr">
        <is>
          <t>set</t>
        </is>
      </c>
      <c r="R210" s="1130" t="n">
        <v>8000000</v>
      </c>
      <c r="S210" s="1112">
        <f>P210*R210</f>
        <v/>
      </c>
      <c r="T210" s="1088">
        <f>S210-N210</f>
        <v/>
      </c>
      <c r="U210" s="1109" t="n">
        <v>1</v>
      </c>
      <c r="V210" s="175" t="inlineStr">
        <is>
          <t>set</t>
        </is>
      </c>
      <c r="W210" s="1130" t="n">
        <v>8000000</v>
      </c>
      <c r="X210" s="1112">
        <f>U210*W210</f>
        <v/>
      </c>
      <c r="Y210" s="1158">
        <f>X210-S210</f>
        <v/>
      </c>
      <c r="Z210" s="1109" t="n">
        <v>1</v>
      </c>
      <c r="AA210" s="175" t="inlineStr">
        <is>
          <t>set</t>
        </is>
      </c>
      <c r="AB210" s="1130" t="n">
        <v>8000000</v>
      </c>
      <c r="AC210" s="1112">
        <f>Z210*AB210</f>
        <v/>
      </c>
      <c r="AD210" s="1158">
        <f>AC210-X210</f>
        <v/>
      </c>
      <c r="AE210" s="1109" t="n">
        <v>1</v>
      </c>
      <c r="AF210" s="175" t="inlineStr">
        <is>
          <t>set</t>
        </is>
      </c>
      <c r="AG210" s="1130" t="n">
        <v>8000000</v>
      </c>
      <c r="AH210" s="1112">
        <f>AE210*AG210</f>
        <v/>
      </c>
      <c r="AI210" s="1158">
        <f>AH210-AC210</f>
        <v/>
      </c>
      <c r="AJ210" s="1105" t="n"/>
      <c r="AK210" s="421" t="n"/>
    </row>
    <row r="211" ht="30.2" customHeight="1" s="972">
      <c r="B211" s="86" t="n"/>
      <c r="C211" s="1005" t="n"/>
      <c r="D211" s="1005" t="n"/>
      <c r="E211" s="105" t="inlineStr">
        <is>
          <t>소프트웨어 개발</t>
        </is>
      </c>
      <c r="F211" s="191" t="inlineStr">
        <is>
          <t>프로그램 개발 및 현장 모니터링 운영인력</t>
        </is>
      </c>
      <c r="G211" s="179" t="n"/>
      <c r="H211" s="179" t="n"/>
      <c r="I211" s="1098" t="n"/>
      <c r="J211" s="1099">
        <f>I211*G211</f>
        <v/>
      </c>
      <c r="K211" s="1109" t="n">
        <v>1</v>
      </c>
      <c r="L211" s="175" t="inlineStr">
        <is>
          <t>set</t>
        </is>
      </c>
      <c r="M211" s="1130" t="n">
        <v>7500000</v>
      </c>
      <c r="N211" s="1112">
        <f>K211*M211</f>
        <v/>
      </c>
      <c r="O211" s="1158">
        <f>N211-J211</f>
        <v/>
      </c>
      <c r="P211" s="1109" t="n">
        <v>1</v>
      </c>
      <c r="Q211" s="175" t="inlineStr">
        <is>
          <t>set</t>
        </is>
      </c>
      <c r="R211" s="1130" t="n">
        <v>7500000</v>
      </c>
      <c r="S211" s="1112">
        <f>P211*R211</f>
        <v/>
      </c>
      <c r="T211" s="1088">
        <f>S211-N211</f>
        <v/>
      </c>
      <c r="U211" s="1109" t="n">
        <v>1</v>
      </c>
      <c r="V211" s="175" t="inlineStr">
        <is>
          <t>set</t>
        </is>
      </c>
      <c r="W211" s="1130" t="n">
        <v>7500000</v>
      </c>
      <c r="X211" s="1112" t="n"/>
      <c r="Y211" s="1158">
        <f>X211-S211</f>
        <v/>
      </c>
      <c r="Z211" s="1109" t="n">
        <v>1</v>
      </c>
      <c r="AA211" s="175" t="inlineStr">
        <is>
          <t>set</t>
        </is>
      </c>
      <c r="AB211" s="1130" t="n">
        <v>7500000</v>
      </c>
      <c r="AC211" s="1112" t="n"/>
      <c r="AD211" s="1158">
        <f>AC211-X211</f>
        <v/>
      </c>
      <c r="AE211" s="1109" t="n">
        <v>1</v>
      </c>
      <c r="AF211" s="175" t="inlineStr">
        <is>
          <t>set</t>
        </is>
      </c>
      <c r="AG211" s="1130" t="n">
        <v>7500000</v>
      </c>
      <c r="AH211" s="1112" t="n"/>
      <c r="AI211" s="1158">
        <f>AH211-AC211</f>
        <v/>
      </c>
      <c r="AJ211" s="1105" t="n"/>
      <c r="AK211" s="421" t="n"/>
    </row>
    <row r="212" ht="30.2" customHeight="1" s="972">
      <c r="B212" s="86" t="n"/>
      <c r="C212" s="981" t="n"/>
      <c r="D212" s="981" t="n"/>
      <c r="E212" s="105" t="inlineStr">
        <is>
          <t>프로모터</t>
        </is>
      </c>
      <c r="F212" s="191" t="inlineStr">
        <is>
          <t>프로그램 안내 및 참여 유도</t>
        </is>
      </c>
      <c r="G212" s="179" t="n"/>
      <c r="H212" s="179" t="n"/>
      <c r="I212" s="1098" t="n"/>
      <c r="J212" s="1099" t="n"/>
      <c r="K212" s="1109" t="n">
        <v>2</v>
      </c>
      <c r="L212" s="288" t="inlineStr">
        <is>
          <t>인</t>
        </is>
      </c>
      <c r="M212" s="1130" t="n">
        <v>150000</v>
      </c>
      <c r="N212" s="1112">
        <f>K212*M212</f>
        <v/>
      </c>
      <c r="O212" s="1158">
        <f>N212-J212</f>
        <v/>
      </c>
      <c r="P212" s="1109" t="n">
        <v>2</v>
      </c>
      <c r="Q212" s="288" t="inlineStr">
        <is>
          <t>인</t>
        </is>
      </c>
      <c r="R212" s="1130" t="n">
        <v>150000</v>
      </c>
      <c r="S212" s="1112">
        <f>P212*R212</f>
        <v/>
      </c>
      <c r="T212" s="1088">
        <f>S212-N212</f>
        <v/>
      </c>
      <c r="U212" s="1109" t="n">
        <v>2</v>
      </c>
      <c r="V212" s="288" t="inlineStr">
        <is>
          <t>인</t>
        </is>
      </c>
      <c r="W212" s="1130" t="n">
        <v>150000</v>
      </c>
      <c r="X212" s="1112">
        <f>U212*W212</f>
        <v/>
      </c>
      <c r="Y212" s="1158">
        <f>X212-S212</f>
        <v/>
      </c>
      <c r="Z212" s="1109" t="n">
        <v>2</v>
      </c>
      <c r="AA212" s="288" t="inlineStr">
        <is>
          <t>인</t>
        </is>
      </c>
      <c r="AB212" s="1130" t="n">
        <v>150000</v>
      </c>
      <c r="AC212" s="1112">
        <f>Z212*AB212</f>
        <v/>
      </c>
      <c r="AD212" s="1158">
        <f>AC212-X212</f>
        <v/>
      </c>
      <c r="AE212" s="1109" t="n">
        <v>2</v>
      </c>
      <c r="AF212" s="288" t="inlineStr">
        <is>
          <t>인</t>
        </is>
      </c>
      <c r="AG212" s="1130" t="n">
        <v>150000</v>
      </c>
      <c r="AH212" s="1112">
        <f>AE212*AG212</f>
        <v/>
      </c>
      <c r="AI212" s="1158">
        <f>AH212-AC212</f>
        <v/>
      </c>
      <c r="AJ212" s="1105" t="n"/>
      <c r="AK212" s="422" t="n"/>
    </row>
    <row r="213" ht="30.2" customHeight="1" s="972">
      <c r="B213" s="86" t="n"/>
      <c r="C213" s="1064" t="inlineStr">
        <is>
          <t>소계</t>
        </is>
      </c>
      <c r="D213" s="1053" t="n"/>
      <c r="E213" s="1053" t="n"/>
      <c r="F213" s="1053" t="n"/>
      <c r="G213" s="1053" t="n"/>
      <c r="H213" s="1053" t="n"/>
      <c r="I213" s="997" t="n"/>
      <c r="J213" s="1114">
        <f>SUM(J204:J212)</f>
        <v/>
      </c>
      <c r="K213" s="1135" t="n"/>
      <c r="L213" s="955" t="n"/>
      <c r="M213" s="949" t="n"/>
      <c r="N213" s="1116">
        <f>SUM(N204:N212)</f>
        <v/>
      </c>
      <c r="O213" s="1230">
        <f>SUM(O204:O212)</f>
        <v/>
      </c>
      <c r="P213" s="1135" t="n"/>
      <c r="Q213" s="955" t="n"/>
      <c r="R213" s="949" t="n"/>
      <c r="S213" s="1116">
        <f>SUM(S204:S212)</f>
        <v/>
      </c>
      <c r="T213" s="1093">
        <f>S213-N213</f>
        <v/>
      </c>
      <c r="U213" s="1135" t="n"/>
      <c r="V213" s="955" t="n"/>
      <c r="W213" s="949" t="n"/>
      <c r="X213" s="1116">
        <f>SUM(X204:X212)</f>
        <v/>
      </c>
      <c r="Y213" s="1230">
        <f>SUM(Y204:Y212)</f>
        <v/>
      </c>
      <c r="Z213" s="1135" t="n"/>
      <c r="AA213" s="955" t="n"/>
      <c r="AB213" s="949" t="n"/>
      <c r="AC213" s="1116">
        <f>SUM(AC204:AC212)</f>
        <v/>
      </c>
      <c r="AD213" s="1230">
        <f>SUM(AD204:AD212)</f>
        <v/>
      </c>
      <c r="AE213" s="1135" t="n"/>
      <c r="AF213" s="955" t="n"/>
      <c r="AG213" s="949" t="n"/>
      <c r="AH213" s="1116">
        <f>SUM(AH204:AH212)</f>
        <v/>
      </c>
      <c r="AI213" s="1230">
        <f>SUM(AI204:AI212)</f>
        <v/>
      </c>
      <c r="AJ213" s="1118" t="n"/>
      <c r="AK213" s="33" t="n"/>
    </row>
    <row r="214" ht="30.2" customHeight="1" s="972">
      <c r="B214" s="86" t="n"/>
      <c r="C214" s="753" t="inlineStr">
        <is>
          <t>NAME FLAG KIOSK</t>
        </is>
      </c>
      <c r="D214" s="753" t="inlineStr">
        <is>
          <t>키오스크</t>
        </is>
      </c>
      <c r="E214" s="105" t="inlineStr">
        <is>
          <t>프로그램 개발</t>
        </is>
      </c>
      <c r="F214" s="191" t="inlineStr">
        <is>
          <t>네임플래그 출력 프로그램 개발</t>
        </is>
      </c>
      <c r="G214" s="179" t="n">
        <v>1</v>
      </c>
      <c r="H214" s="179" t="inlineStr">
        <is>
          <t>set</t>
        </is>
      </c>
      <c r="I214" s="1098" t="n">
        <v>2500000</v>
      </c>
      <c r="J214" s="1099">
        <f>G214*I214</f>
        <v/>
      </c>
      <c r="K214" s="1109" t="n">
        <v>1</v>
      </c>
      <c r="L214" s="175" t="inlineStr">
        <is>
          <t>set</t>
        </is>
      </c>
      <c r="M214" s="1146" t="n">
        <v>2500000</v>
      </c>
      <c r="N214" s="1112">
        <f>K214*M214</f>
        <v/>
      </c>
      <c r="O214" s="1231">
        <f>N214-J214</f>
        <v/>
      </c>
      <c r="P214" s="1109" t="n">
        <v>1</v>
      </c>
      <c r="Q214" s="175" t="inlineStr">
        <is>
          <t>set</t>
        </is>
      </c>
      <c r="R214" s="1146" t="n">
        <v>2500000</v>
      </c>
      <c r="S214" s="1112">
        <f>P214*R214</f>
        <v/>
      </c>
      <c r="T214" s="1088">
        <f>S214-N214</f>
        <v/>
      </c>
      <c r="U214" s="1109" t="n">
        <v>1</v>
      </c>
      <c r="V214" s="175" t="inlineStr">
        <is>
          <t>set</t>
        </is>
      </c>
      <c r="W214" s="1146" t="n">
        <v>2500000</v>
      </c>
      <c r="X214" s="1112">
        <f>U214*W214</f>
        <v/>
      </c>
      <c r="Y214" s="1158">
        <f>X214-S214</f>
        <v/>
      </c>
      <c r="Z214" s="1109" t="n">
        <v>1</v>
      </c>
      <c r="AA214" s="175" t="inlineStr">
        <is>
          <t>set</t>
        </is>
      </c>
      <c r="AB214" s="1146" t="n">
        <v>2500000</v>
      </c>
      <c r="AC214" s="1112">
        <f>Z214*AB214</f>
        <v/>
      </c>
      <c r="AD214" s="1158">
        <f>AC214-X214</f>
        <v/>
      </c>
      <c r="AE214" s="1109" t="n">
        <v>1</v>
      </c>
      <c r="AF214" s="175" t="inlineStr">
        <is>
          <t>set</t>
        </is>
      </c>
      <c r="AG214" s="1146" t="n">
        <v>2500000</v>
      </c>
      <c r="AH214" s="1112">
        <f>AE214*AG214</f>
        <v/>
      </c>
      <c r="AI214" s="1158">
        <f>AH214-AC214</f>
        <v/>
      </c>
      <c r="AJ214" s="1105" t="n"/>
      <c r="AK214" s="290" t="n"/>
    </row>
    <row r="215" ht="30.2" customHeight="1" s="972">
      <c r="B215" s="86" t="n"/>
      <c r="C215" s="1005" t="n"/>
      <c r="D215" s="981" t="n"/>
      <c r="E215" s="105" t="inlineStr">
        <is>
          <t>기기 렌탈</t>
        </is>
      </c>
      <c r="F215" s="191" t="inlineStr">
        <is>
          <t>설치&amp;철수 포함 약 2.5일 렌탈 기준</t>
        </is>
      </c>
      <c r="G215" s="179" t="n">
        <v>10</v>
      </c>
      <c r="H215" s="179" t="inlineStr">
        <is>
          <t>EA</t>
        </is>
      </c>
      <c r="I215" s="1098" t="n">
        <v>1000000</v>
      </c>
      <c r="J215" s="1099">
        <f>G215*I215</f>
        <v/>
      </c>
      <c r="K215" s="1109" t="n">
        <v>10</v>
      </c>
      <c r="L215" s="175" t="inlineStr">
        <is>
          <t>EA</t>
        </is>
      </c>
      <c r="M215" s="1146" t="n">
        <v>1000000</v>
      </c>
      <c r="N215" s="1112">
        <f>K215*M215</f>
        <v/>
      </c>
      <c r="O215" s="1231">
        <f>N215-J215</f>
        <v/>
      </c>
      <c r="P215" s="1109" t="n">
        <v>10</v>
      </c>
      <c r="Q215" s="175" t="inlineStr">
        <is>
          <t>EA</t>
        </is>
      </c>
      <c r="R215" s="1146" t="n">
        <v>1000000</v>
      </c>
      <c r="S215" s="1112">
        <f>P215*R215</f>
        <v/>
      </c>
      <c r="T215" s="1088">
        <f>S215-N215</f>
        <v/>
      </c>
      <c r="U215" s="1109" t="n">
        <v>10</v>
      </c>
      <c r="V215" s="175" t="inlineStr">
        <is>
          <t>EA</t>
        </is>
      </c>
      <c r="W215" s="1146" t="n">
        <v>1000000</v>
      </c>
      <c r="X215" s="1112">
        <f>U215*W215</f>
        <v/>
      </c>
      <c r="Y215" s="1158">
        <f>X215-S215</f>
        <v/>
      </c>
      <c r="Z215" s="1109" t="n">
        <v>10</v>
      </c>
      <c r="AA215" s="175" t="inlineStr">
        <is>
          <t>EA</t>
        </is>
      </c>
      <c r="AB215" s="1146" t="n">
        <v>1000000</v>
      </c>
      <c r="AC215" s="1112">
        <f>Z215*AB215</f>
        <v/>
      </c>
      <c r="AD215" s="1158">
        <f>AC215-X215</f>
        <v/>
      </c>
      <c r="AE215" s="1109" t="n">
        <v>10</v>
      </c>
      <c r="AF215" s="175" t="inlineStr">
        <is>
          <t>EA</t>
        </is>
      </c>
      <c r="AG215" s="1146" t="n">
        <v>1000000</v>
      </c>
      <c r="AH215" s="1112">
        <f>AE215*AG215</f>
        <v/>
      </c>
      <c r="AI215" s="1158">
        <f>AH215-AC215</f>
        <v/>
      </c>
      <c r="AJ215" s="1105" t="n"/>
      <c r="AK215" s="290" t="inlineStr">
        <is>
          <t>라벨지 사전제작 비용 포함</t>
        </is>
      </c>
    </row>
    <row r="216" ht="25.5" customHeight="1" s="972">
      <c r="B216" s="86" t="n"/>
      <c r="C216" s="1005" t="n"/>
      <c r="D216" s="753" t="inlineStr">
        <is>
          <t>운영인력</t>
        </is>
      </c>
      <c r="E216" s="105" t="inlineStr">
        <is>
          <t>프로모터</t>
        </is>
      </c>
      <c r="F216" s="456" t="inlineStr">
        <is>
          <t>프로그램 안내 및 참여 유도</t>
        </is>
      </c>
      <c r="G216" s="457" t="n">
        <v>6</v>
      </c>
      <c r="H216" s="457" t="inlineStr">
        <is>
          <t>인</t>
        </is>
      </c>
      <c r="I216" s="1147" t="n">
        <v>150000</v>
      </c>
      <c r="J216" s="1160">
        <f>G216*I216</f>
        <v/>
      </c>
      <c r="K216" s="1201" t="n">
        <v>8</v>
      </c>
      <c r="L216" s="1202" t="inlineStr">
        <is>
          <t>인</t>
        </is>
      </c>
      <c r="M216" s="1203" t="n">
        <v>150000</v>
      </c>
      <c r="N216" s="1161">
        <f>K216*M216</f>
        <v/>
      </c>
      <c r="O216" s="1204">
        <f>N216-J216</f>
        <v/>
      </c>
      <c r="P216" s="1201" t="n">
        <v>8</v>
      </c>
      <c r="Q216" s="1202" t="inlineStr">
        <is>
          <t>인</t>
        </is>
      </c>
      <c r="R216" s="1203" t="n">
        <v>150000</v>
      </c>
      <c r="S216" s="1161">
        <f>P216*R216</f>
        <v/>
      </c>
      <c r="T216" s="1075">
        <f>S216-N216</f>
        <v/>
      </c>
      <c r="U216" s="1201" t="n">
        <v>8</v>
      </c>
      <c r="V216" s="1202" t="inlineStr">
        <is>
          <t>인</t>
        </is>
      </c>
      <c r="W216" s="1203" t="n">
        <v>150000</v>
      </c>
      <c r="X216" s="1161">
        <f>U216*W216</f>
        <v/>
      </c>
      <c r="Y216" s="1204">
        <f>X216-T216</f>
        <v/>
      </c>
      <c r="Z216" s="1201" t="n">
        <v>8</v>
      </c>
      <c r="AA216" s="1202" t="inlineStr">
        <is>
          <t>인</t>
        </is>
      </c>
      <c r="AB216" s="1203" t="n">
        <v>150000</v>
      </c>
      <c r="AC216" s="1161">
        <f>Z216*AB216</f>
        <v/>
      </c>
      <c r="AD216" s="1204">
        <f>AC216-Y216</f>
        <v/>
      </c>
      <c r="AE216" s="1201" t="n">
        <v>8</v>
      </c>
      <c r="AF216" s="1202" t="inlineStr">
        <is>
          <t>인</t>
        </is>
      </c>
      <c r="AG216" s="1203" t="n">
        <v>150000</v>
      </c>
      <c r="AH216" s="1161">
        <f>AE216*AG216</f>
        <v/>
      </c>
      <c r="AI216" s="1204">
        <f>AH216-AD216</f>
        <v/>
      </c>
      <c r="AJ216" s="1150" t="n"/>
      <c r="AK216" s="491" t="inlineStr">
        <is>
          <t>프로모터 인원 변경</t>
        </is>
      </c>
    </row>
    <row r="217" ht="30.2" customHeight="1" s="972">
      <c r="B217" s="86" t="n"/>
      <c r="C217" s="1005" t="n"/>
      <c r="D217" s="753" t="inlineStr">
        <is>
          <t>공간 구현</t>
        </is>
      </c>
      <c r="E217" s="753" t="inlineStr">
        <is>
          <t>대규모 하우징 및 구조물</t>
        </is>
      </c>
      <c r="F217" s="191" t="inlineStr">
        <is>
          <t>하우징 및 야외 배치로 인한 구조물 추가</t>
        </is>
      </c>
      <c r="G217" s="179" t="n"/>
      <c r="H217" s="179" t="n"/>
      <c r="I217" s="1098" t="n"/>
      <c r="J217" s="1099">
        <f>G217*I217</f>
        <v/>
      </c>
      <c r="K217" s="1109" t="n">
        <v>1</v>
      </c>
      <c r="L217" s="175" t="inlineStr">
        <is>
          <t>set</t>
        </is>
      </c>
      <c r="M217" s="1146" t="n">
        <v>9500000</v>
      </c>
      <c r="N217" s="1112">
        <f>K217*M217</f>
        <v/>
      </c>
      <c r="O217" s="1158">
        <f>N217-J217</f>
        <v/>
      </c>
      <c r="P217" s="1109" t="n">
        <v>1</v>
      </c>
      <c r="Q217" s="175" t="inlineStr">
        <is>
          <t>set</t>
        </is>
      </c>
      <c r="R217" s="1146" t="n">
        <v>9500000</v>
      </c>
      <c r="S217" s="1112">
        <f>P217*R217</f>
        <v/>
      </c>
      <c r="T217" s="1088">
        <f>S217-N217</f>
        <v/>
      </c>
      <c r="U217" s="1109" t="n">
        <v>1</v>
      </c>
      <c r="V217" s="175" t="inlineStr">
        <is>
          <t>set</t>
        </is>
      </c>
      <c r="W217" s="1146" t="n">
        <v>9500000</v>
      </c>
      <c r="X217" s="1112">
        <f>U217*W217</f>
        <v/>
      </c>
      <c r="Y217" s="1158">
        <f>X217-S217</f>
        <v/>
      </c>
      <c r="Z217" s="1109" t="n">
        <v>1</v>
      </c>
      <c r="AA217" s="175" t="inlineStr">
        <is>
          <t>set</t>
        </is>
      </c>
      <c r="AB217" s="1146" t="n">
        <v>9500000</v>
      </c>
      <c r="AC217" s="1112">
        <f>Z217*AB217</f>
        <v/>
      </c>
      <c r="AD217" s="1158">
        <f>AC217-X217</f>
        <v/>
      </c>
      <c r="AE217" s="1109" t="n">
        <v>1</v>
      </c>
      <c r="AF217" s="175" t="inlineStr">
        <is>
          <t>set</t>
        </is>
      </c>
      <c r="AG217" s="1146" t="n">
        <v>9500000</v>
      </c>
      <c r="AH217" s="1112">
        <f>AE217*AG217</f>
        <v/>
      </c>
      <c r="AI217" s="1158">
        <f>AH217-AC217</f>
        <v/>
      </c>
      <c r="AJ217" s="1105" t="n"/>
      <c r="AK217" s="105" t="n"/>
    </row>
    <row r="218" ht="30.2" customHeight="1" s="972">
      <c r="B218" s="86" t="n"/>
      <c r="C218" s="1005" t="n"/>
      <c r="D218" s="1005" t="n"/>
      <c r="E218" s="1005" t="n"/>
      <c r="F218" s="314" t="inlineStr">
        <is>
          <t>정면 상부 간판 추가 (스카시)</t>
        </is>
      </c>
      <c r="G218" s="315" t="n"/>
      <c r="H218" s="315" t="n"/>
      <c r="I218" s="1225" t="n"/>
      <c r="J218" s="1218" t="n"/>
      <c r="K218" s="1219" t="n">
        <v>1</v>
      </c>
      <c r="L218" s="319" t="inlineStr">
        <is>
          <t>set</t>
        </is>
      </c>
      <c r="M218" s="1232" t="n">
        <v>2000000</v>
      </c>
      <c r="N218" s="1222">
        <f>K218*M218</f>
        <v/>
      </c>
      <c r="O218" s="1223">
        <f>N218-J218</f>
        <v/>
      </c>
      <c r="P218" s="1219" t="n">
        <v>1</v>
      </c>
      <c r="Q218" s="319" t="inlineStr">
        <is>
          <t>set</t>
        </is>
      </c>
      <c r="R218" s="1232" t="n">
        <v>2000000</v>
      </c>
      <c r="S218" s="1222">
        <f>P218*R218</f>
        <v/>
      </c>
      <c r="T218" s="1227">
        <f>S218-N218</f>
        <v/>
      </c>
      <c r="U218" s="1219" t="n">
        <v>1</v>
      </c>
      <c r="V218" s="319" t="inlineStr">
        <is>
          <t>set</t>
        </is>
      </c>
      <c r="W218" s="1232" t="n">
        <v>2000000</v>
      </c>
      <c r="X218" s="1222">
        <f>U218*W218</f>
        <v/>
      </c>
      <c r="Y218" s="1223">
        <f>X218-S218</f>
        <v/>
      </c>
      <c r="Z218" s="1219" t="n">
        <v>1</v>
      </c>
      <c r="AA218" s="319" t="inlineStr">
        <is>
          <t>set</t>
        </is>
      </c>
      <c r="AB218" s="1232" t="n">
        <v>2000000</v>
      </c>
      <c r="AC218" s="1222">
        <f>Z218*AB218</f>
        <v/>
      </c>
      <c r="AD218" s="1223">
        <f>AC218-X218</f>
        <v/>
      </c>
      <c r="AE218" s="1219" t="n">
        <v>1</v>
      </c>
      <c r="AF218" s="319" t="inlineStr">
        <is>
          <t>set</t>
        </is>
      </c>
      <c r="AG218" s="1232" t="n">
        <v>2000000</v>
      </c>
      <c r="AH218" s="1222">
        <f>AE218*AG218</f>
        <v/>
      </c>
      <c r="AI218" s="1223">
        <f>AH218-AC218</f>
        <v/>
      </c>
      <c r="AJ218" s="1228" t="n"/>
      <c r="AK218" s="105" t="n"/>
    </row>
    <row r="219" ht="30.2" customHeight="1" s="972">
      <c r="B219" s="86" t="n"/>
      <c r="C219" s="981" t="n"/>
      <c r="D219" s="981" t="n"/>
      <c r="E219" s="981" t="n"/>
      <c r="F219" s="314" t="inlineStr">
        <is>
          <t>정면 측면부 MD B 브랜딩 추가 (스카시)</t>
        </is>
      </c>
      <c r="G219" s="315" t="n"/>
      <c r="H219" s="315" t="n"/>
      <c r="I219" s="1225" t="n"/>
      <c r="J219" s="1218" t="n"/>
      <c r="K219" s="1219" t="n">
        <v>1</v>
      </c>
      <c r="L219" s="319" t="inlineStr">
        <is>
          <t>set</t>
        </is>
      </c>
      <c r="M219" s="1232" t="n">
        <v>2500000</v>
      </c>
      <c r="N219" s="1222">
        <f>K219*M219</f>
        <v/>
      </c>
      <c r="O219" s="1223">
        <f>N219-J219</f>
        <v/>
      </c>
      <c r="P219" s="1219" t="n">
        <v>1</v>
      </c>
      <c r="Q219" s="319" t="inlineStr">
        <is>
          <t>set</t>
        </is>
      </c>
      <c r="R219" s="1232" t="n">
        <v>2500000</v>
      </c>
      <c r="S219" s="1222">
        <f>P219*R219</f>
        <v/>
      </c>
      <c r="T219" s="1227">
        <f>S219-N219</f>
        <v/>
      </c>
      <c r="U219" s="1219" t="n">
        <v>1</v>
      </c>
      <c r="V219" s="319" t="inlineStr">
        <is>
          <t>set</t>
        </is>
      </c>
      <c r="W219" s="1232" t="n">
        <v>2500000</v>
      </c>
      <c r="X219" s="1222">
        <f>U219*W219</f>
        <v/>
      </c>
      <c r="Y219" s="1223">
        <f>X219-S219</f>
        <v/>
      </c>
      <c r="Z219" s="1219" t="n">
        <v>1</v>
      </c>
      <c r="AA219" s="319" t="inlineStr">
        <is>
          <t>set</t>
        </is>
      </c>
      <c r="AB219" s="1232" t="n">
        <v>2500000</v>
      </c>
      <c r="AC219" s="1222">
        <f>Z219*AB219</f>
        <v/>
      </c>
      <c r="AD219" s="1223">
        <f>AC219-X219</f>
        <v/>
      </c>
      <c r="AE219" s="1219" t="n">
        <v>1</v>
      </c>
      <c r="AF219" s="319" t="inlineStr">
        <is>
          <t>set</t>
        </is>
      </c>
      <c r="AG219" s="1232" t="n">
        <v>2500000</v>
      </c>
      <c r="AH219" s="1222">
        <f>AE219*AG219</f>
        <v/>
      </c>
      <c r="AI219" s="1223">
        <f>AH219-AC219</f>
        <v/>
      </c>
      <c r="AJ219" s="1228" t="n"/>
      <c r="AK219" s="105" t="n"/>
    </row>
    <row r="220" ht="30.2" customHeight="1" s="972">
      <c r="B220" s="86" t="n"/>
      <c r="C220" s="874" t="inlineStr">
        <is>
          <t>소계</t>
        </is>
      </c>
      <c r="D220" s="955" t="n"/>
      <c r="E220" s="955" t="n"/>
      <c r="F220" s="955" t="n"/>
      <c r="G220" s="955" t="n"/>
      <c r="H220" s="955" t="n"/>
      <c r="I220" s="949" t="n"/>
      <c r="J220" s="1114">
        <f>SUM(J214:J217)</f>
        <v/>
      </c>
      <c r="K220" s="1135" t="n"/>
      <c r="L220" s="955" t="n"/>
      <c r="M220" s="949" t="n"/>
      <c r="N220" s="1116">
        <f>SUM(N214:N219)</f>
        <v/>
      </c>
      <c r="O220" s="1196">
        <f>SUM(O214:O219)</f>
        <v/>
      </c>
      <c r="P220" s="1135" t="n"/>
      <c r="Q220" s="955" t="n"/>
      <c r="R220" s="949" t="n"/>
      <c r="S220" s="1116">
        <f>SUM(S214:S219)</f>
        <v/>
      </c>
      <c r="T220" s="1093">
        <f>S220-N220</f>
        <v/>
      </c>
      <c r="U220" s="1135" t="n"/>
      <c r="V220" s="955" t="n"/>
      <c r="W220" s="949" t="n"/>
      <c r="X220" s="1116">
        <f>SUM(X214:X219)</f>
        <v/>
      </c>
      <c r="Y220" s="1196">
        <f>SUM(Y214:Y219)</f>
        <v/>
      </c>
      <c r="Z220" s="1135" t="n"/>
      <c r="AA220" s="955" t="n"/>
      <c r="AB220" s="949" t="n"/>
      <c r="AC220" s="1116">
        <f>SUM(AC214:AC219)</f>
        <v/>
      </c>
      <c r="AD220" s="1196">
        <f>SUM(AD214:AD219)</f>
        <v/>
      </c>
      <c r="AE220" s="1135" t="n"/>
      <c r="AF220" s="955" t="n"/>
      <c r="AG220" s="949" t="n"/>
      <c r="AH220" s="1116">
        <f>SUM(AH214:AH219)</f>
        <v/>
      </c>
      <c r="AI220" s="1196">
        <f>SUM(AI214:AI219)</f>
        <v/>
      </c>
      <c r="AJ220" s="1118" t="n"/>
      <c r="AK220" s="60" t="n"/>
    </row>
    <row r="221" ht="30.2" customHeight="1" s="972">
      <c r="B221" s="86" t="n"/>
      <c r="C221" s="703" t="inlineStr">
        <is>
          <t>오피셜 마켓</t>
        </is>
      </c>
      <c r="D221" s="752" t="inlineStr">
        <is>
          <t>블루에너지
보틀</t>
        </is>
      </c>
      <c r="E221" s="173" t="inlineStr">
        <is>
          <t>샐러드 인 보틀</t>
        </is>
      </c>
      <c r="F221" s="174" t="inlineStr">
        <is>
          <t>샐러드 및 포장용기 포함</t>
        </is>
      </c>
      <c r="G221" s="179" t="n">
        <v>2000</v>
      </c>
      <c r="H221" s="180" t="inlineStr">
        <is>
          <t>EA</t>
        </is>
      </c>
      <c r="I221" s="1108" t="n">
        <v>4000</v>
      </c>
      <c r="J221" s="1233">
        <f>G221*I221</f>
        <v/>
      </c>
      <c r="K221" s="1109" t="n"/>
      <c r="L221" s="1110" t="n"/>
      <c r="M221" s="1111" t="n"/>
      <c r="N221" s="1112">
        <f>K221*M221</f>
        <v/>
      </c>
      <c r="O221" s="1113">
        <f>N221-J221</f>
        <v/>
      </c>
      <c r="P221" s="1109" t="n"/>
      <c r="Q221" s="1110" t="n"/>
      <c r="R221" s="1111" t="n"/>
      <c r="S221" s="1112">
        <f>P221*R221</f>
        <v/>
      </c>
      <c r="T221" s="1088">
        <f>S221-N221</f>
        <v/>
      </c>
      <c r="U221" s="1109" t="n"/>
      <c r="V221" s="1110" t="n"/>
      <c r="W221" s="1111" t="n"/>
      <c r="X221" s="1112">
        <f>U221*W221</f>
        <v/>
      </c>
      <c r="Y221" s="1113">
        <f>X221-S221</f>
        <v/>
      </c>
      <c r="Z221" s="1109" t="n"/>
      <c r="AA221" s="1110" t="n"/>
      <c r="AB221" s="1111" t="n"/>
      <c r="AC221" s="1112">
        <f>Z221*AB221</f>
        <v/>
      </c>
      <c r="AD221" s="1113">
        <f>AC221-X221</f>
        <v/>
      </c>
      <c r="AE221" s="1109" t="n"/>
      <c r="AF221" s="1110" t="n"/>
      <c r="AG221" s="1111" t="n"/>
      <c r="AH221" s="1112">
        <f>AE221*AG221</f>
        <v/>
      </c>
      <c r="AI221" s="1113">
        <f>AH221-AC221</f>
        <v/>
      </c>
      <c r="AJ221" s="1121" t="n"/>
      <c r="AK221" s="1122" t="inlineStr">
        <is>
          <t>삭제 항목</t>
        </is>
      </c>
    </row>
    <row r="222" ht="30.2" customHeight="1" s="972">
      <c r="B222" s="86" t="n"/>
      <c r="C222" s="1005" t="n"/>
      <c r="D222" s="1005" t="n"/>
      <c r="E222" s="173" t="inlineStr">
        <is>
          <t>브랜딩</t>
        </is>
      </c>
      <c r="F222" s="174" t="inlineStr">
        <is>
          <t>브랜딩 스티커 제작</t>
        </is>
      </c>
      <c r="G222" s="179" t="n">
        <v>6</v>
      </c>
      <c r="H222" s="180" t="inlineStr">
        <is>
          <t>set</t>
        </is>
      </c>
      <c r="I222" s="1108" t="n">
        <v>300000</v>
      </c>
      <c r="J222" s="1233">
        <f>G222*I222</f>
        <v/>
      </c>
      <c r="K222" s="1109" t="n"/>
      <c r="L222" s="1110" t="n"/>
      <c r="M222" s="1111" t="n"/>
      <c r="N222" s="1112">
        <f>K222*M222</f>
        <v/>
      </c>
      <c r="O222" s="1113">
        <f>N222-J222</f>
        <v/>
      </c>
      <c r="P222" s="1109" t="n"/>
      <c r="Q222" s="1110" t="n"/>
      <c r="R222" s="1111" t="n"/>
      <c r="S222" s="1112">
        <f>P222*R222</f>
        <v/>
      </c>
      <c r="T222" s="1088">
        <f>S222-N222</f>
        <v/>
      </c>
      <c r="U222" s="1109" t="n"/>
      <c r="V222" s="1110" t="n"/>
      <c r="W222" s="1111" t="n"/>
      <c r="X222" s="1112">
        <f>U222*W222</f>
        <v/>
      </c>
      <c r="Y222" s="1113">
        <f>X222-S222</f>
        <v/>
      </c>
      <c r="Z222" s="1109" t="n"/>
      <c r="AA222" s="1110" t="n"/>
      <c r="AB222" s="1111" t="n"/>
      <c r="AC222" s="1112">
        <f>Z222*AB222</f>
        <v/>
      </c>
      <c r="AD222" s="1113">
        <f>AC222-X222</f>
        <v/>
      </c>
      <c r="AE222" s="1109" t="n"/>
      <c r="AF222" s="1110" t="n"/>
      <c r="AG222" s="1111" t="n"/>
      <c r="AH222" s="1112">
        <f>AE222*AG222</f>
        <v/>
      </c>
      <c r="AI222" s="1113">
        <f>AH222-AC222</f>
        <v/>
      </c>
      <c r="AJ222" s="1121" t="n"/>
      <c r="AK222" s="1005" t="n"/>
    </row>
    <row r="223" ht="30.2" customHeight="1" s="972">
      <c r="B223" s="86" t="n"/>
      <c r="C223" s="1005" t="n"/>
      <c r="D223" s="981" t="n"/>
      <c r="E223" s="173" t="inlineStr">
        <is>
          <t>운영집기</t>
        </is>
      </c>
      <c r="F223" s="174" t="inlineStr">
        <is>
          <t>쇼케이스 냉장고 포함</t>
        </is>
      </c>
      <c r="G223" s="179" t="n">
        <v>1</v>
      </c>
      <c r="H223" s="180" t="inlineStr">
        <is>
          <t>set</t>
        </is>
      </c>
      <c r="I223" s="1108" t="n">
        <v>2500000</v>
      </c>
      <c r="J223" s="1233">
        <f>G223*I223</f>
        <v/>
      </c>
      <c r="K223" s="1109" t="n"/>
      <c r="L223" s="1110" t="n"/>
      <c r="M223" s="1111" t="n"/>
      <c r="N223" s="1112">
        <f>K223*M223</f>
        <v/>
      </c>
      <c r="O223" s="1113">
        <f>N223-J223</f>
        <v/>
      </c>
      <c r="P223" s="1109" t="n"/>
      <c r="Q223" s="1110" t="n"/>
      <c r="R223" s="1111" t="n"/>
      <c r="S223" s="1112">
        <f>P223*R223</f>
        <v/>
      </c>
      <c r="T223" s="1088">
        <f>S223-N223</f>
        <v/>
      </c>
      <c r="U223" s="1109" t="n"/>
      <c r="V223" s="1110" t="n"/>
      <c r="W223" s="1111" t="n"/>
      <c r="X223" s="1112">
        <f>U223*W223</f>
        <v/>
      </c>
      <c r="Y223" s="1113">
        <f>X223-S223</f>
        <v/>
      </c>
      <c r="Z223" s="1109" t="n"/>
      <c r="AA223" s="1110" t="n"/>
      <c r="AB223" s="1111" t="n"/>
      <c r="AC223" s="1112">
        <f>Z223*AB223</f>
        <v/>
      </c>
      <c r="AD223" s="1113">
        <f>AC223-X223</f>
        <v/>
      </c>
      <c r="AE223" s="1109" t="n"/>
      <c r="AF223" s="1110" t="n"/>
      <c r="AG223" s="1111" t="n"/>
      <c r="AH223" s="1112">
        <f>AE223*AG223</f>
        <v/>
      </c>
      <c r="AI223" s="1113">
        <f>AH223-AC223</f>
        <v/>
      </c>
      <c r="AJ223" s="1121" t="n"/>
      <c r="AK223" s="1005" t="n"/>
    </row>
    <row r="224" ht="30.2" customHeight="1" s="972">
      <c r="B224" s="86" t="n"/>
      <c r="C224" s="1005" t="n"/>
      <c r="D224" s="753" t="inlineStr">
        <is>
          <t>블루에너지 캔디</t>
        </is>
      </c>
      <c r="E224" s="173" t="inlineStr">
        <is>
          <t>브랜딩 캔디 제작</t>
        </is>
      </c>
      <c r="F224" s="174" t="inlineStr">
        <is>
          <t>브랜딩 포장재 포함 (1PACK당 20g)</t>
        </is>
      </c>
      <c r="G224" s="179" t="n">
        <v>1</v>
      </c>
      <c r="H224" s="180" t="inlineStr">
        <is>
          <t>set</t>
        </is>
      </c>
      <c r="I224" s="1108" t="n">
        <v>5000000</v>
      </c>
      <c r="J224" s="1233">
        <f>G224*I224</f>
        <v/>
      </c>
      <c r="K224" s="1109" t="n"/>
      <c r="L224" s="1110" t="n"/>
      <c r="M224" s="1111" t="n"/>
      <c r="N224" s="1112">
        <f>K224*M224</f>
        <v/>
      </c>
      <c r="O224" s="1113">
        <f>N224-J224</f>
        <v/>
      </c>
      <c r="P224" s="1109" t="n"/>
      <c r="Q224" s="1110" t="n"/>
      <c r="R224" s="1111" t="n"/>
      <c r="S224" s="1112">
        <f>P224*R224</f>
        <v/>
      </c>
      <c r="T224" s="1088">
        <f>S224-N224</f>
        <v/>
      </c>
      <c r="U224" s="1109" t="n"/>
      <c r="V224" s="1110" t="n"/>
      <c r="W224" s="1111" t="n"/>
      <c r="X224" s="1112">
        <f>U224*W224</f>
        <v/>
      </c>
      <c r="Y224" s="1113">
        <f>X224-S224</f>
        <v/>
      </c>
      <c r="Z224" s="1109" t="n"/>
      <c r="AA224" s="1110" t="n"/>
      <c r="AB224" s="1111" t="n"/>
      <c r="AC224" s="1112">
        <f>Z224*AB224</f>
        <v/>
      </c>
      <c r="AD224" s="1113">
        <f>AC224-X224</f>
        <v/>
      </c>
      <c r="AE224" s="1109" t="n"/>
      <c r="AF224" s="1110" t="n"/>
      <c r="AG224" s="1111" t="n"/>
      <c r="AH224" s="1112">
        <f>AE224*AG224</f>
        <v/>
      </c>
      <c r="AI224" s="1113">
        <f>AH224-AC224</f>
        <v/>
      </c>
      <c r="AJ224" s="1121" t="n"/>
      <c r="AK224" s="1005" t="n"/>
    </row>
    <row r="225" ht="30.2" customHeight="1" s="972">
      <c r="B225" s="86" t="n"/>
      <c r="C225" s="1005" t="n"/>
      <c r="D225" s="753" t="inlineStr">
        <is>
          <t>공간구현</t>
        </is>
      </c>
      <c r="E225" s="173" t="inlineStr">
        <is>
          <t>공간구현 제작물</t>
        </is>
      </c>
      <c r="F225" s="174" t="inlineStr">
        <is>
          <t>판매대 및 디스플레이 제작물</t>
        </is>
      </c>
      <c r="G225" s="179" t="n">
        <v>1</v>
      </c>
      <c r="H225" s="180" t="inlineStr">
        <is>
          <t>set</t>
        </is>
      </c>
      <c r="I225" s="1108" t="n">
        <v>8000000</v>
      </c>
      <c r="J225" s="1233">
        <f>G225*I225</f>
        <v/>
      </c>
      <c r="K225" s="1109" t="n"/>
      <c r="L225" s="1110" t="n"/>
      <c r="M225" s="1111" t="n"/>
      <c r="N225" s="1112">
        <f>K225*M225</f>
        <v/>
      </c>
      <c r="O225" s="1113">
        <f>N225-J225</f>
        <v/>
      </c>
      <c r="P225" s="1109" t="n"/>
      <c r="Q225" s="1110" t="n"/>
      <c r="R225" s="1111" t="n"/>
      <c r="S225" s="1112">
        <f>P225*R225</f>
        <v/>
      </c>
      <c r="T225" s="1088">
        <f>S225-N225</f>
        <v/>
      </c>
      <c r="U225" s="1109" t="n"/>
      <c r="V225" s="1110" t="n"/>
      <c r="W225" s="1111" t="n"/>
      <c r="X225" s="1112">
        <f>U225*W225</f>
        <v/>
      </c>
      <c r="Y225" s="1113">
        <f>X225-S225</f>
        <v/>
      </c>
      <c r="Z225" s="1109" t="n"/>
      <c r="AA225" s="1110" t="n"/>
      <c r="AB225" s="1111" t="n"/>
      <c r="AC225" s="1112">
        <f>Z225*AB225</f>
        <v/>
      </c>
      <c r="AD225" s="1113">
        <f>AC225-X225</f>
        <v/>
      </c>
      <c r="AE225" s="1109" t="n"/>
      <c r="AF225" s="1110" t="n"/>
      <c r="AG225" s="1111" t="n"/>
      <c r="AH225" s="1112">
        <f>AE225*AG225</f>
        <v/>
      </c>
      <c r="AI225" s="1113">
        <f>AH225-AC225</f>
        <v/>
      </c>
      <c r="AJ225" s="1121" t="n"/>
      <c r="AK225" s="1005" t="n"/>
    </row>
    <row r="226" ht="30.2" customHeight="1" s="972">
      <c r="B226" s="86" t="n"/>
      <c r="C226" s="1005" t="n"/>
      <c r="D226" s="753" t="inlineStr">
        <is>
          <t>운영인력</t>
        </is>
      </c>
      <c r="E226" s="173" t="inlineStr">
        <is>
          <t>프로모터</t>
        </is>
      </c>
      <c r="F226" s="174" t="inlineStr">
        <is>
          <t>메뉴 판매 및 메뉴 안내 프로모터</t>
        </is>
      </c>
      <c r="G226" s="179" t="n">
        <v>8</v>
      </c>
      <c r="H226" s="180" t="inlineStr">
        <is>
          <t>인</t>
        </is>
      </c>
      <c r="I226" s="1108" t="n">
        <v>150000</v>
      </c>
      <c r="J226" s="1233">
        <f>G226*I226</f>
        <v/>
      </c>
      <c r="K226" s="1109" t="n"/>
      <c r="L226" s="1110" t="n"/>
      <c r="M226" s="1111" t="n"/>
      <c r="N226" s="1112">
        <f>K226*M226</f>
        <v/>
      </c>
      <c r="O226" s="1113">
        <f>N226-J226</f>
        <v/>
      </c>
      <c r="P226" s="1109" t="n"/>
      <c r="Q226" s="1110" t="n"/>
      <c r="R226" s="1111" t="n"/>
      <c r="S226" s="1112">
        <f>P226*R226</f>
        <v/>
      </c>
      <c r="T226" s="1088">
        <f>S226-N226</f>
        <v/>
      </c>
      <c r="U226" s="1109" t="n"/>
      <c r="V226" s="1110" t="n"/>
      <c r="W226" s="1111" t="n"/>
      <c r="X226" s="1112">
        <f>U226*W226</f>
        <v/>
      </c>
      <c r="Y226" s="1113">
        <f>X226-S226</f>
        <v/>
      </c>
      <c r="Z226" s="1109" t="n"/>
      <c r="AA226" s="1110" t="n"/>
      <c r="AB226" s="1111" t="n"/>
      <c r="AC226" s="1112">
        <f>Z226*AB226</f>
        <v/>
      </c>
      <c r="AD226" s="1113">
        <f>AC226-X226</f>
        <v/>
      </c>
      <c r="AE226" s="1109" t="n"/>
      <c r="AF226" s="1110" t="n"/>
      <c r="AG226" s="1111" t="n"/>
      <c r="AH226" s="1112">
        <f>AE226*AG226</f>
        <v/>
      </c>
      <c r="AI226" s="1113">
        <f>AH226-AC226</f>
        <v/>
      </c>
      <c r="AJ226" s="1121" t="n"/>
      <c r="AK226" s="981" t="n"/>
    </row>
    <row r="227" ht="30.2" customHeight="1" s="972">
      <c r="B227" s="86" t="n"/>
      <c r="C227" s="1064" t="inlineStr">
        <is>
          <t>소계</t>
        </is>
      </c>
      <c r="D227" s="1053" t="n"/>
      <c r="E227" s="1053" t="n"/>
      <c r="F227" s="1053" t="n"/>
      <c r="G227" s="1053" t="n"/>
      <c r="H227" s="1053" t="n"/>
      <c r="I227" s="997" t="n"/>
      <c r="J227" s="1234">
        <f>SUM(J221:J226)</f>
        <v/>
      </c>
      <c r="K227" s="1135" t="n"/>
      <c r="L227" s="955" t="n"/>
      <c r="M227" s="949" t="n"/>
      <c r="N227" s="1116">
        <f>SUM(N221:N226)</f>
        <v/>
      </c>
      <c r="O227" s="1136">
        <f>SUM(O221:O226)</f>
        <v/>
      </c>
      <c r="P227" s="1135" t="n"/>
      <c r="Q227" s="955" t="n"/>
      <c r="R227" s="949" t="n"/>
      <c r="S227" s="1116">
        <f>SUM(S221:S226)</f>
        <v/>
      </c>
      <c r="T227" s="1093">
        <f>S227-N227</f>
        <v/>
      </c>
      <c r="U227" s="1135" t="n"/>
      <c r="V227" s="955" t="n"/>
      <c r="W227" s="949" t="n"/>
      <c r="X227" s="1116">
        <f>SUM(X221:X226)</f>
        <v/>
      </c>
      <c r="Y227" s="1136">
        <f>X227-S227</f>
        <v/>
      </c>
      <c r="Z227" s="1135" t="n"/>
      <c r="AA227" s="955" t="n"/>
      <c r="AB227" s="949" t="n"/>
      <c r="AC227" s="1116">
        <f>SUM(AC221:AC226)</f>
        <v/>
      </c>
      <c r="AD227" s="1136">
        <f>AC227-X227</f>
        <v/>
      </c>
      <c r="AE227" s="1135" t="n"/>
      <c r="AF227" s="955" t="n"/>
      <c r="AG227" s="949" t="n"/>
      <c r="AH227" s="1116">
        <f>SUM(AH221:AH226)</f>
        <v/>
      </c>
      <c r="AI227" s="1136">
        <f>AH227-AC227</f>
        <v/>
      </c>
      <c r="AJ227" s="1118" t="n"/>
      <c r="AK227" s="60" t="n"/>
    </row>
    <row r="228" ht="30.2" customHeight="1" s="972">
      <c r="B228" s="86" t="n"/>
      <c r="C228" s="753" t="inlineStr">
        <is>
          <t>스타일링 라운지</t>
        </is>
      </c>
      <c r="D228" s="753" t="inlineStr">
        <is>
          <t>공간구현</t>
        </is>
      </c>
      <c r="E228" s="105" t="inlineStr">
        <is>
          <t>공간구현</t>
        </is>
      </c>
      <c r="F228" s="191" t="inlineStr">
        <is>
          <t>백월 / 거울 화장대 포함 제작물 / 렌탈 포함</t>
        </is>
      </c>
      <c r="G228" s="179" t="n">
        <v>1</v>
      </c>
      <c r="H228" s="179" t="inlineStr">
        <is>
          <t>set</t>
        </is>
      </c>
      <c r="I228" s="1098" t="n">
        <v>7500000</v>
      </c>
      <c r="J228" s="1099">
        <f>G228*I228</f>
        <v/>
      </c>
      <c r="K228" s="1109" t="n">
        <v>1</v>
      </c>
      <c r="L228" s="175" t="inlineStr">
        <is>
          <t>set</t>
        </is>
      </c>
      <c r="M228" s="1146" t="n">
        <v>12500000</v>
      </c>
      <c r="N228" s="1112">
        <f>K228*M228</f>
        <v/>
      </c>
      <c r="O228" s="1158">
        <f>N228-J228</f>
        <v/>
      </c>
      <c r="P228" s="1109" t="n">
        <v>1</v>
      </c>
      <c r="Q228" s="175" t="inlineStr">
        <is>
          <t>set</t>
        </is>
      </c>
      <c r="R228" s="1146" t="n">
        <v>12500000</v>
      </c>
      <c r="S228" s="1112">
        <f>P228*R228</f>
        <v/>
      </c>
      <c r="T228" s="1088">
        <f>S228-N228</f>
        <v/>
      </c>
      <c r="U228" s="1109" t="n">
        <v>1</v>
      </c>
      <c r="V228" s="175" t="inlineStr">
        <is>
          <t>set</t>
        </is>
      </c>
      <c r="W228" s="1146" t="n">
        <v>12500000</v>
      </c>
      <c r="X228" s="1112">
        <f>U228*W228</f>
        <v/>
      </c>
      <c r="Y228" s="1158">
        <f>X228-S228</f>
        <v/>
      </c>
      <c r="Z228" s="1109" t="n">
        <v>1</v>
      </c>
      <c r="AA228" s="175" t="inlineStr">
        <is>
          <t>set</t>
        </is>
      </c>
      <c r="AB228" s="1146" t="n">
        <v>12500000</v>
      </c>
      <c r="AC228" s="1112">
        <f>Z228*AB228</f>
        <v/>
      </c>
      <c r="AD228" s="1158">
        <f>AC228-X228</f>
        <v/>
      </c>
      <c r="AE228" s="1109" t="n">
        <v>1</v>
      </c>
      <c r="AF228" s="175" t="inlineStr">
        <is>
          <t>set</t>
        </is>
      </c>
      <c r="AG228" s="1146" t="n">
        <v>12500000</v>
      </c>
      <c r="AH228" s="1112">
        <f>AE228*AG228</f>
        <v/>
      </c>
      <c r="AI228" s="1158">
        <f>AH228-AC228</f>
        <v/>
      </c>
      <c r="AJ228" s="1105" t="n"/>
      <c r="AK228" s="753" t="inlineStr">
        <is>
          <t>공간 구성 변경에 따른 비용 변동</t>
        </is>
      </c>
    </row>
    <row r="229" ht="30.2" customHeight="1" s="972">
      <c r="B229" s="86" t="n"/>
      <c r="C229" s="1005" t="n"/>
      <c r="D229" s="753" t="inlineStr">
        <is>
          <t>스타일링 아이템</t>
        </is>
      </c>
      <c r="E229" s="1119" t="inlineStr">
        <is>
          <t>관객 제공용 아이템</t>
        </is>
      </c>
      <c r="F229" s="174" t="inlineStr">
        <is>
          <t>무상 제공용 아이템</t>
        </is>
      </c>
      <c r="G229" s="179" t="n">
        <v>1</v>
      </c>
      <c r="H229" s="180" t="inlineStr">
        <is>
          <t>set</t>
        </is>
      </c>
      <c r="I229" s="1098" t="n">
        <v>2000000</v>
      </c>
      <c r="J229" s="1099">
        <f>G229*I229</f>
        <v/>
      </c>
      <c r="K229" s="1109" t="n"/>
      <c r="L229" s="175" t="n"/>
      <c r="M229" s="1146" t="n"/>
      <c r="N229" s="1112">
        <f>K229*M229</f>
        <v/>
      </c>
      <c r="O229" s="1113">
        <f>N229-J229</f>
        <v/>
      </c>
      <c r="P229" s="1109" t="n"/>
      <c r="Q229" s="175" t="n"/>
      <c r="R229" s="1146" t="n"/>
      <c r="S229" s="1112">
        <f>P229*R229</f>
        <v/>
      </c>
      <c r="T229" s="1088">
        <f>S229-N229</f>
        <v/>
      </c>
      <c r="U229" s="1109" t="n"/>
      <c r="V229" s="175" t="n"/>
      <c r="W229" s="1146" t="n"/>
      <c r="X229" s="1112">
        <f>U229*W229</f>
        <v/>
      </c>
      <c r="Y229" s="1158">
        <f>X229-S229</f>
        <v/>
      </c>
      <c r="Z229" s="1109" t="n"/>
      <c r="AA229" s="175" t="n"/>
      <c r="AB229" s="1146" t="n"/>
      <c r="AC229" s="1112">
        <f>Z229*AB229</f>
        <v/>
      </c>
      <c r="AD229" s="1158">
        <f>AC229-X229</f>
        <v/>
      </c>
      <c r="AE229" s="1109" t="n"/>
      <c r="AF229" s="175" t="n"/>
      <c r="AG229" s="1146" t="n"/>
      <c r="AH229" s="1112">
        <f>AE229*AG229</f>
        <v/>
      </c>
      <c r="AI229" s="1158">
        <f>AH229-AC229</f>
        <v/>
      </c>
      <c r="AJ229" s="1105" t="n"/>
      <c r="AK229" s="753" t="inlineStr">
        <is>
          <t>운영방식 변동으로 생략</t>
        </is>
      </c>
    </row>
    <row r="230" ht="30.2" customHeight="1" s="972">
      <c r="B230" s="86" t="n"/>
      <c r="C230" s="1005" t="n"/>
      <c r="D230" s="981" t="n"/>
      <c r="E230" s="1124" t="n"/>
      <c r="F230" s="174" t="inlineStr">
        <is>
          <t>판매용 아이텐</t>
        </is>
      </c>
      <c r="G230" s="179" t="n">
        <v>1</v>
      </c>
      <c r="H230" s="180" t="inlineStr">
        <is>
          <t>set</t>
        </is>
      </c>
      <c r="I230" s="1098" t="n">
        <v>3000000</v>
      </c>
      <c r="J230" s="1099">
        <f>G230*I230</f>
        <v/>
      </c>
      <c r="K230" s="1109" t="n"/>
      <c r="L230" s="175" t="n"/>
      <c r="M230" s="1146" t="n"/>
      <c r="N230" s="1112">
        <f>K230*M230</f>
        <v/>
      </c>
      <c r="O230" s="1113">
        <f>N230-J230</f>
        <v/>
      </c>
      <c r="P230" s="1109" t="n"/>
      <c r="Q230" s="175" t="n"/>
      <c r="R230" s="1146" t="n"/>
      <c r="S230" s="1112">
        <f>P230*R230</f>
        <v/>
      </c>
      <c r="T230" s="1088">
        <f>S230-N230</f>
        <v/>
      </c>
      <c r="U230" s="1109" t="n"/>
      <c r="V230" s="175" t="n"/>
      <c r="W230" s="1146" t="n"/>
      <c r="X230" s="1112">
        <f>U230*W230</f>
        <v/>
      </c>
      <c r="Y230" s="1158">
        <f>X230-S230</f>
        <v/>
      </c>
      <c r="Z230" s="1109" t="n"/>
      <c r="AA230" s="175" t="n"/>
      <c r="AB230" s="1146" t="n"/>
      <c r="AC230" s="1112">
        <f>Z230*AB230</f>
        <v/>
      </c>
      <c r="AD230" s="1158">
        <f>AC230-X230</f>
        <v/>
      </c>
      <c r="AE230" s="1109" t="n"/>
      <c r="AF230" s="175" t="n"/>
      <c r="AG230" s="1146" t="n"/>
      <c r="AH230" s="1112">
        <f>AE230*AG230</f>
        <v/>
      </c>
      <c r="AI230" s="1158">
        <f>AH230-AC230</f>
        <v/>
      </c>
      <c r="AJ230" s="1105" t="n"/>
      <c r="AK230" s="981" t="n"/>
    </row>
    <row r="231" ht="58.5" customHeight="1" s="972">
      <c r="B231" s="86" t="n"/>
      <c r="C231" s="1005" t="n"/>
      <c r="D231" s="753" t="inlineStr">
        <is>
          <t>현장 운영</t>
        </is>
      </c>
      <c r="E231" s="105" t="inlineStr">
        <is>
          <t>전문인력</t>
        </is>
      </c>
      <c r="F231" s="191" t="inlineStr">
        <is>
          <t>메이크업 아티스트 / 헤어 아티스트 등</t>
        </is>
      </c>
      <c r="G231" s="179" t="n">
        <v>8</v>
      </c>
      <c r="H231" s="179" t="inlineStr">
        <is>
          <t>인</t>
        </is>
      </c>
      <c r="I231" s="1098" t="n">
        <v>500000</v>
      </c>
      <c r="J231" s="1099">
        <f>G231*I231</f>
        <v/>
      </c>
      <c r="K231" s="1109" t="n">
        <v>16</v>
      </c>
      <c r="L231" s="175" t="inlineStr">
        <is>
          <t>인</t>
        </is>
      </c>
      <c r="M231" s="1146" t="n">
        <v>250000</v>
      </c>
      <c r="N231" s="1112">
        <f>K231*M231</f>
        <v/>
      </c>
      <c r="O231" s="1231">
        <f>N231-J231</f>
        <v/>
      </c>
      <c r="P231" s="1109" t="n">
        <v>16</v>
      </c>
      <c r="Q231" s="175" t="inlineStr">
        <is>
          <t>인</t>
        </is>
      </c>
      <c r="R231" s="1146" t="n">
        <v>250000</v>
      </c>
      <c r="S231" s="1112">
        <f>P231*R231</f>
        <v/>
      </c>
      <c r="T231" s="1088">
        <f>S231-N231</f>
        <v/>
      </c>
      <c r="U231" s="1109" t="n">
        <v>16</v>
      </c>
      <c r="V231" s="175" t="inlineStr">
        <is>
          <t>인</t>
        </is>
      </c>
      <c r="W231" s="1146" t="n">
        <v>250000</v>
      </c>
      <c r="X231" s="1112">
        <f>U231*W231</f>
        <v/>
      </c>
      <c r="Y231" s="1158">
        <f>X231-S231</f>
        <v/>
      </c>
      <c r="Z231" s="1109" t="n">
        <v>16</v>
      </c>
      <c r="AA231" s="175" t="inlineStr">
        <is>
          <t>인</t>
        </is>
      </c>
      <c r="AB231" s="1146" t="n">
        <v>250000</v>
      </c>
      <c r="AC231" s="1112">
        <f>Z231*AB231</f>
        <v/>
      </c>
      <c r="AD231" s="1158">
        <f>AC231-X231</f>
        <v/>
      </c>
      <c r="AE231" s="1109" t="n">
        <v>16</v>
      </c>
      <c r="AF231" s="175" t="inlineStr">
        <is>
          <t>인</t>
        </is>
      </c>
      <c r="AG231" s="1146" t="n">
        <v>250000</v>
      </c>
      <c r="AH231" s="1112">
        <f>AE231*AG231</f>
        <v/>
      </c>
      <c r="AI231" s="1158">
        <f>AH231-AC231</f>
        <v/>
      </c>
      <c r="AJ231" s="1105" t="n"/>
      <c r="AK231" s="752" t="inlineStr">
        <is>
          <t>준프로 아티스트로 변경및 일괄섭외를 통한 
단가조정 (SBS 뷰티 아카데미)</t>
        </is>
      </c>
    </row>
    <row r="232" ht="35.25" customHeight="1" s="972">
      <c r="B232" s="86" t="n"/>
      <c r="C232" s="1005" t="n"/>
      <c r="D232" s="1005" t="n"/>
      <c r="E232" s="433" t="inlineStr">
        <is>
          <t>재료비</t>
        </is>
      </c>
      <c r="F232" s="456" t="inlineStr">
        <is>
          <t>스타일링 재료비 (파츠/글리터/헤어피스/타투스티커 등)</t>
        </is>
      </c>
      <c r="G232" s="457" t="n"/>
      <c r="H232" s="457" t="n"/>
      <c r="I232" s="1147" t="n"/>
      <c r="J232" s="1160" t="n"/>
      <c r="K232" s="1201" t="n">
        <v>1</v>
      </c>
      <c r="L232" s="460" t="inlineStr">
        <is>
          <t>set</t>
        </is>
      </c>
      <c r="M232" s="1148" t="n">
        <v>2500000</v>
      </c>
      <c r="N232" s="1161">
        <f>K232*M232</f>
        <v/>
      </c>
      <c r="O232" s="1162">
        <f>N232-J232</f>
        <v/>
      </c>
      <c r="P232" s="1201" t="n">
        <v>1</v>
      </c>
      <c r="Q232" s="460" t="inlineStr">
        <is>
          <t>set</t>
        </is>
      </c>
      <c r="R232" s="1148" t="n">
        <v>2500000</v>
      </c>
      <c r="S232" s="1161">
        <f>P232*R232</f>
        <v/>
      </c>
      <c r="T232" s="1075">
        <f>S232-N232</f>
        <v/>
      </c>
      <c r="U232" s="1201" t="n">
        <v>1</v>
      </c>
      <c r="V232" s="460" t="inlineStr">
        <is>
          <t>set</t>
        </is>
      </c>
      <c r="W232" s="1148" t="n">
        <v>2500000</v>
      </c>
      <c r="X232" s="1161">
        <f>U232*W232</f>
        <v/>
      </c>
      <c r="Y232" s="1162">
        <f>X232-S232</f>
        <v/>
      </c>
      <c r="Z232" s="1201" t="n">
        <v>1</v>
      </c>
      <c r="AA232" s="460" t="inlineStr">
        <is>
          <t>set</t>
        </is>
      </c>
      <c r="AB232" s="1148" t="n">
        <v>2500000</v>
      </c>
      <c r="AC232" s="1161">
        <f>Z232*AB232</f>
        <v/>
      </c>
      <c r="AD232" s="1162">
        <f>AC232-X232</f>
        <v/>
      </c>
      <c r="AE232" s="1201" t="n">
        <v>1</v>
      </c>
      <c r="AF232" s="460" t="inlineStr">
        <is>
          <t>set</t>
        </is>
      </c>
      <c r="AG232" s="1148" t="n">
        <v>2500000</v>
      </c>
      <c r="AH232" s="1161">
        <f>AE232*AG232</f>
        <v/>
      </c>
      <c r="AI232" s="1162">
        <f>AH232-AC232</f>
        <v/>
      </c>
      <c r="AJ232" s="1150" t="n"/>
      <c r="AK232" s="481" t="inlineStr">
        <is>
          <t>8/3 누락항목 (메뉴 개발에 따른 재료비 *메뉴 확정에 따라 변동이 있을 수 있음)</t>
        </is>
      </c>
    </row>
    <row r="233" ht="30.2" customHeight="1" s="972">
      <c r="B233" s="86" t="n"/>
      <c r="C233" s="981" t="n"/>
      <c r="D233" s="981" t="n"/>
      <c r="E233" s="105" t="inlineStr">
        <is>
          <t>프로모터</t>
        </is>
      </c>
      <c r="F233" s="191" t="inlineStr">
        <is>
          <t>프로그램 안내 및 참여 유도</t>
        </is>
      </c>
      <c r="G233" s="179" t="n">
        <v>6</v>
      </c>
      <c r="H233" s="179" t="inlineStr">
        <is>
          <t>인</t>
        </is>
      </c>
      <c r="I233" s="1098" t="n">
        <v>150000</v>
      </c>
      <c r="J233" s="1099">
        <f>G233*I233</f>
        <v/>
      </c>
      <c r="K233" s="1109" t="n">
        <v>6</v>
      </c>
      <c r="L233" s="175" t="inlineStr">
        <is>
          <t>인</t>
        </is>
      </c>
      <c r="M233" s="1146" t="n">
        <v>150000</v>
      </c>
      <c r="N233" s="1112">
        <f>K233*M233</f>
        <v/>
      </c>
      <c r="O233" s="1231">
        <f>N233-J233</f>
        <v/>
      </c>
      <c r="P233" s="1109" t="n">
        <v>6</v>
      </c>
      <c r="Q233" s="175" t="inlineStr">
        <is>
          <t>인</t>
        </is>
      </c>
      <c r="R233" s="1146" t="n">
        <v>150000</v>
      </c>
      <c r="S233" s="1112">
        <f>P233*R233</f>
        <v/>
      </c>
      <c r="T233" s="1088">
        <f>S233-N233</f>
        <v/>
      </c>
      <c r="U233" s="1109" t="n">
        <v>6</v>
      </c>
      <c r="V233" s="175" t="inlineStr">
        <is>
          <t>인</t>
        </is>
      </c>
      <c r="W233" s="1146" t="n">
        <v>150000</v>
      </c>
      <c r="X233" s="1112">
        <f>U233*W233</f>
        <v/>
      </c>
      <c r="Y233" s="1231">
        <f>X233-S233</f>
        <v/>
      </c>
      <c r="Z233" s="1109" t="n">
        <v>6</v>
      </c>
      <c r="AA233" s="175" t="inlineStr">
        <is>
          <t>인</t>
        </is>
      </c>
      <c r="AB233" s="1146" t="n">
        <v>150000</v>
      </c>
      <c r="AC233" s="1112">
        <f>Z233*AB233</f>
        <v/>
      </c>
      <c r="AD233" s="1231">
        <f>AC233-X233</f>
        <v/>
      </c>
      <c r="AE233" s="1109" t="n">
        <v>6</v>
      </c>
      <c r="AF233" s="175" t="inlineStr">
        <is>
          <t>인</t>
        </is>
      </c>
      <c r="AG233" s="1146" t="n">
        <v>150000</v>
      </c>
      <c r="AH233" s="1112">
        <f>AE233*AG233</f>
        <v/>
      </c>
      <c r="AI233" s="1231">
        <f>AH233-AC233</f>
        <v/>
      </c>
      <c r="AJ233" s="1105" t="n"/>
      <c r="AK233" s="105" t="n"/>
    </row>
    <row r="234" ht="30.2" customHeight="1" s="972">
      <c r="B234" s="86" t="n"/>
      <c r="C234" s="1064" t="inlineStr">
        <is>
          <t>소계</t>
        </is>
      </c>
      <c r="D234" s="1053" t="n"/>
      <c r="E234" s="1053" t="n"/>
      <c r="F234" s="1053" t="n"/>
      <c r="G234" s="1053" t="n"/>
      <c r="H234" s="1053" t="n"/>
      <c r="I234" s="997" t="n"/>
      <c r="J234" s="1114">
        <f>SUM(J228:J233)</f>
        <v/>
      </c>
      <c r="K234" s="1135" t="n"/>
      <c r="L234" s="955" t="n"/>
      <c r="M234" s="949" t="n"/>
      <c r="N234" s="1116">
        <f>SUM(N228:N233)</f>
        <v/>
      </c>
      <c r="O234" s="1196">
        <f>SUM(O228:O233)</f>
        <v/>
      </c>
      <c r="P234" s="1135" t="n"/>
      <c r="Q234" s="955" t="n"/>
      <c r="R234" s="949" t="n"/>
      <c r="S234" s="1116">
        <f>SUM(S228:S233)</f>
        <v/>
      </c>
      <c r="T234" s="1093">
        <f>S234-N234</f>
        <v/>
      </c>
      <c r="U234" s="1135" t="n"/>
      <c r="V234" s="955" t="n"/>
      <c r="W234" s="949" t="n"/>
      <c r="X234" s="1116">
        <f>SUM(X228:X233)</f>
        <v/>
      </c>
      <c r="Y234" s="1196">
        <f>SUM(Y228:Y233)</f>
        <v/>
      </c>
      <c r="Z234" s="1135" t="n"/>
      <c r="AA234" s="955" t="n"/>
      <c r="AB234" s="949" t="n"/>
      <c r="AC234" s="1116">
        <f>SUM(AC228:AC233)</f>
        <v/>
      </c>
      <c r="AD234" s="1196">
        <f>SUM(AD228:AD233)</f>
        <v/>
      </c>
      <c r="AE234" s="1135" t="n"/>
      <c r="AF234" s="955" t="n"/>
      <c r="AG234" s="949" t="n"/>
      <c r="AH234" s="1116">
        <f>SUM(AH228:AH233)</f>
        <v/>
      </c>
      <c r="AI234" s="1196">
        <f>SUM(AI228:AI233)</f>
        <v/>
      </c>
      <c r="AJ234" s="1118" t="n"/>
      <c r="AK234" s="60" t="n"/>
    </row>
    <row r="235" ht="30.2" customHeight="1" s="972">
      <c r="B235" s="86" t="n"/>
      <c r="C235" s="753" t="inlineStr">
        <is>
          <t>LIGHTING POOL</t>
        </is>
      </c>
      <c r="D235" s="291" t="inlineStr">
        <is>
          <t>렌탈</t>
        </is>
      </c>
      <c r="E235" s="173" t="inlineStr">
        <is>
          <t>모바일 수영장 렌탈</t>
        </is>
      </c>
      <c r="F235" s="174" t="inlineStr">
        <is>
          <t>20m*10m / 프레임풀장</t>
        </is>
      </c>
      <c r="G235" s="179" t="n">
        <v>2</v>
      </c>
      <c r="H235" s="180" t="inlineStr">
        <is>
          <t>set</t>
        </is>
      </c>
      <c r="I235" s="1108" t="n">
        <v>4000000</v>
      </c>
      <c r="J235" s="1099">
        <f>G235*I235</f>
        <v/>
      </c>
      <c r="K235" s="1109" t="n"/>
      <c r="L235" s="1110" t="n"/>
      <c r="M235" s="1111" t="n"/>
      <c r="N235" s="1112">
        <f>K235*M235</f>
        <v/>
      </c>
      <c r="O235" s="1113">
        <f>N235-J235</f>
        <v/>
      </c>
      <c r="P235" s="1109" t="n"/>
      <c r="Q235" s="1110" t="n"/>
      <c r="R235" s="1111" t="n"/>
      <c r="S235" s="1112">
        <f>P235*R235</f>
        <v/>
      </c>
      <c r="T235" s="1088">
        <f>S235-N235</f>
        <v/>
      </c>
      <c r="U235" s="1109" t="n"/>
      <c r="V235" s="1110" t="n"/>
      <c r="W235" s="1111" t="n"/>
      <c r="X235" s="1112">
        <f>U235*W235</f>
        <v/>
      </c>
      <c r="Y235" s="1158">
        <f>X235-S235</f>
        <v/>
      </c>
      <c r="Z235" s="1109" t="n"/>
      <c r="AA235" s="1110" t="n"/>
      <c r="AB235" s="1111" t="n"/>
      <c r="AC235" s="1112">
        <f>Z235*AB235</f>
        <v/>
      </c>
      <c r="AD235" s="1158">
        <f>AC235-X235</f>
        <v/>
      </c>
      <c r="AE235" s="1109" t="n"/>
      <c r="AF235" s="1110" t="n"/>
      <c r="AG235" s="1111" t="n"/>
      <c r="AH235" s="1112">
        <f>AE235*AG235</f>
        <v/>
      </c>
      <c r="AI235" s="1158">
        <f>AH235-AC235</f>
        <v/>
      </c>
      <c r="AJ235" s="1121" t="n"/>
      <c r="AK235" s="1122" t="inlineStr">
        <is>
          <t>삭제 항목</t>
        </is>
      </c>
    </row>
    <row r="236" ht="30.2" customHeight="1" s="972">
      <c r="B236" s="86" t="n"/>
      <c r="C236" s="1005" t="n"/>
      <c r="D236" s="753" t="inlineStr">
        <is>
          <t>공간구현</t>
        </is>
      </c>
      <c r="E236" s="173" t="inlineStr">
        <is>
          <t>탁구공 맵핑</t>
        </is>
      </c>
      <c r="F236" s="174" t="inlineStr">
        <is>
          <t>탁구공 + 조명</t>
        </is>
      </c>
      <c r="G236" s="179" t="n">
        <v>2</v>
      </c>
      <c r="H236" s="180" t="inlineStr">
        <is>
          <t>set</t>
        </is>
      </c>
      <c r="I236" s="1108" t="n">
        <v>2500000</v>
      </c>
      <c r="J236" s="1099">
        <f>G236*I236</f>
        <v/>
      </c>
      <c r="K236" s="1109" t="n"/>
      <c r="L236" s="1110" t="n"/>
      <c r="M236" s="1111" t="n"/>
      <c r="N236" s="1112">
        <f>K236*M236</f>
        <v/>
      </c>
      <c r="O236" s="1113">
        <f>N236-J236</f>
        <v/>
      </c>
      <c r="P236" s="1109" t="n"/>
      <c r="Q236" s="1110" t="n"/>
      <c r="R236" s="1111" t="n"/>
      <c r="S236" s="1112">
        <f>P236*R236</f>
        <v/>
      </c>
      <c r="T236" s="1088">
        <f>S236-N236</f>
        <v/>
      </c>
      <c r="U236" s="1109" t="n"/>
      <c r="V236" s="1110" t="n"/>
      <c r="W236" s="1111" t="n"/>
      <c r="X236" s="1112">
        <f>U236*W236</f>
        <v/>
      </c>
      <c r="Y236" s="1158">
        <f>X236-S236</f>
        <v/>
      </c>
      <c r="Z236" s="1109" t="n"/>
      <c r="AA236" s="1110" t="n"/>
      <c r="AB236" s="1111" t="n"/>
      <c r="AC236" s="1112">
        <f>Z236*AB236</f>
        <v/>
      </c>
      <c r="AD236" s="1158">
        <f>AC236-X236</f>
        <v/>
      </c>
      <c r="AE236" s="1109" t="n"/>
      <c r="AF236" s="1110" t="n"/>
      <c r="AG236" s="1111" t="n"/>
      <c r="AH236" s="1112">
        <f>AE236*AG236</f>
        <v/>
      </c>
      <c r="AI236" s="1158">
        <f>AH236-AC236</f>
        <v/>
      </c>
      <c r="AJ236" s="1121" t="n"/>
      <c r="AK236" s="1005" t="n"/>
    </row>
    <row r="237" ht="30.2" customHeight="1" s="972">
      <c r="B237" s="86" t="n"/>
      <c r="C237" s="1005" t="n"/>
      <c r="D237" s="981" t="n"/>
      <c r="E237" s="173" t="inlineStr">
        <is>
          <t>급수</t>
        </is>
      </c>
      <c r="F237" s="174" t="inlineStr">
        <is>
          <t>수영장 급수</t>
        </is>
      </c>
      <c r="G237" s="179" t="n">
        <v>2</v>
      </c>
      <c r="H237" s="180" t="inlineStr">
        <is>
          <t>set</t>
        </is>
      </c>
      <c r="I237" s="1108" t="n">
        <v>1000000</v>
      </c>
      <c r="J237" s="1099">
        <f>G237*I237</f>
        <v/>
      </c>
      <c r="K237" s="1109" t="n"/>
      <c r="L237" s="1110" t="n"/>
      <c r="M237" s="1111" t="n"/>
      <c r="N237" s="1112">
        <f>K237*M237</f>
        <v/>
      </c>
      <c r="O237" s="1113">
        <f>N237-J237</f>
        <v/>
      </c>
      <c r="P237" s="1109" t="n"/>
      <c r="Q237" s="1110" t="n"/>
      <c r="R237" s="1111" t="n"/>
      <c r="S237" s="1112">
        <f>P237*R237</f>
        <v/>
      </c>
      <c r="T237" s="1088">
        <f>S237-N237</f>
        <v/>
      </c>
      <c r="U237" s="1109" t="n"/>
      <c r="V237" s="1110" t="n"/>
      <c r="W237" s="1111" t="n"/>
      <c r="X237" s="1112">
        <f>U237*W237</f>
        <v/>
      </c>
      <c r="Y237" s="1158">
        <f>X237-S237</f>
        <v/>
      </c>
      <c r="Z237" s="1109" t="n"/>
      <c r="AA237" s="1110" t="n"/>
      <c r="AB237" s="1111" t="n"/>
      <c r="AC237" s="1112">
        <f>Z237*AB237</f>
        <v/>
      </c>
      <c r="AD237" s="1158">
        <f>AC237-X237</f>
        <v/>
      </c>
      <c r="AE237" s="1109" t="n"/>
      <c r="AF237" s="1110" t="n"/>
      <c r="AG237" s="1111" t="n"/>
      <c r="AH237" s="1112">
        <f>AE237*AG237</f>
        <v/>
      </c>
      <c r="AI237" s="1158">
        <f>AH237-AC237</f>
        <v/>
      </c>
      <c r="AJ237" s="1121" t="n"/>
      <c r="AK237" s="1005" t="n"/>
    </row>
    <row r="238" ht="30.2" customHeight="1" s="972">
      <c r="B238" s="86" t="n"/>
      <c r="C238" s="1005" t="n"/>
      <c r="D238" s="753" t="inlineStr">
        <is>
          <t>운영인력</t>
        </is>
      </c>
      <c r="E238" s="173" t="inlineStr">
        <is>
          <t>프로모터</t>
        </is>
      </c>
      <c r="F238" s="174" t="inlineStr">
        <is>
          <t>스팟당 4인 운영 * 총 2개스팟</t>
        </is>
      </c>
      <c r="G238" s="179" t="n">
        <v>8</v>
      </c>
      <c r="H238" s="180" t="inlineStr">
        <is>
          <t>인</t>
        </is>
      </c>
      <c r="I238" s="1108" t="n">
        <v>150000</v>
      </c>
      <c r="J238" s="1099">
        <f>G238*I238</f>
        <v/>
      </c>
      <c r="K238" s="1109" t="n"/>
      <c r="L238" s="1110" t="n"/>
      <c r="M238" s="1111" t="n"/>
      <c r="N238" s="1112">
        <f>K238*M238</f>
        <v/>
      </c>
      <c r="O238" s="1113">
        <f>N238-J238</f>
        <v/>
      </c>
      <c r="P238" s="1109" t="n"/>
      <c r="Q238" s="1110" t="n"/>
      <c r="R238" s="1111" t="n"/>
      <c r="S238" s="1112">
        <f>P238*R238</f>
        <v/>
      </c>
      <c r="T238" s="1088">
        <f>S238-N238</f>
        <v/>
      </c>
      <c r="U238" s="1109" t="n"/>
      <c r="V238" s="1110" t="n"/>
      <c r="W238" s="1111" t="n"/>
      <c r="X238" s="1112">
        <f>U238*W238</f>
        <v/>
      </c>
      <c r="Y238" s="1158">
        <f>X238-S238</f>
        <v/>
      </c>
      <c r="Z238" s="1109" t="n"/>
      <c r="AA238" s="1110" t="n"/>
      <c r="AB238" s="1111" t="n"/>
      <c r="AC238" s="1112">
        <f>Z238*AB238</f>
        <v/>
      </c>
      <c r="AD238" s="1158">
        <f>AC238-X238</f>
        <v/>
      </c>
      <c r="AE238" s="1109" t="n"/>
      <c r="AF238" s="1110" t="n"/>
      <c r="AG238" s="1111" t="n"/>
      <c r="AH238" s="1112">
        <f>AE238*AG238</f>
        <v/>
      </c>
      <c r="AI238" s="1158">
        <f>AH238-AC238</f>
        <v/>
      </c>
      <c r="AJ238" s="1121" t="n"/>
      <c r="AK238" s="1005" t="n"/>
    </row>
    <row r="239" ht="30.2" customHeight="1" s="972">
      <c r="B239" s="86" t="n"/>
      <c r="C239" s="981" t="n"/>
      <c r="D239" s="981" t="n"/>
      <c r="E239" s="105" t="inlineStr">
        <is>
          <t>안전요원</t>
        </is>
      </c>
      <c r="F239" s="191" t="inlineStr">
        <is>
          <t>수상 전문 안전요원(스팟당 2인 운영*총 2개스팟)</t>
        </is>
      </c>
      <c r="G239" s="179" t="n">
        <v>4</v>
      </c>
      <c r="H239" s="179" t="inlineStr">
        <is>
          <t>인</t>
        </is>
      </c>
      <c r="I239" s="1108" t="n">
        <v>300000</v>
      </c>
      <c r="J239" s="1099">
        <f>G239*I239</f>
        <v/>
      </c>
      <c r="K239" s="1109" t="n"/>
      <c r="L239" s="1110" t="n"/>
      <c r="M239" s="1111" t="n"/>
      <c r="N239" s="1112">
        <f>K239*M239</f>
        <v/>
      </c>
      <c r="O239" s="1113">
        <f>N239-J239</f>
        <v/>
      </c>
      <c r="P239" s="1109" t="n"/>
      <c r="Q239" s="1110" t="n"/>
      <c r="R239" s="1111" t="n"/>
      <c r="S239" s="1112">
        <f>P239*R239</f>
        <v/>
      </c>
      <c r="T239" s="1088">
        <f>S239-N239</f>
        <v/>
      </c>
      <c r="U239" s="1109" t="n"/>
      <c r="V239" s="1110" t="n"/>
      <c r="W239" s="1111" t="n"/>
      <c r="X239" s="1112">
        <f>U239*W239</f>
        <v/>
      </c>
      <c r="Y239" s="1158">
        <f>X239-S239</f>
        <v/>
      </c>
      <c r="Z239" s="1109" t="n"/>
      <c r="AA239" s="1110" t="n"/>
      <c r="AB239" s="1111" t="n"/>
      <c r="AC239" s="1112">
        <f>Z239*AB239</f>
        <v/>
      </c>
      <c r="AD239" s="1158">
        <f>AC239-X239</f>
        <v/>
      </c>
      <c r="AE239" s="1109" t="n"/>
      <c r="AF239" s="1110" t="n"/>
      <c r="AG239" s="1111" t="n"/>
      <c r="AH239" s="1112">
        <f>AE239*AG239</f>
        <v/>
      </c>
      <c r="AI239" s="1158">
        <f>AH239-AC239</f>
        <v/>
      </c>
      <c r="AJ239" s="1121" t="n"/>
      <c r="AK239" s="981" t="n"/>
    </row>
    <row r="240" ht="30.2" customHeight="1" s="972">
      <c r="B240" s="86" t="n"/>
      <c r="C240" s="1064" t="inlineStr">
        <is>
          <t>소계</t>
        </is>
      </c>
      <c r="D240" s="1053" t="n"/>
      <c r="E240" s="1053" t="n"/>
      <c r="F240" s="1053" t="n"/>
      <c r="G240" s="1053" t="n"/>
      <c r="H240" s="1053" t="n"/>
      <c r="I240" s="997" t="n"/>
      <c r="J240" s="1114">
        <f>SUM(J235:J239)</f>
        <v/>
      </c>
      <c r="K240" s="1135" t="n"/>
      <c r="L240" s="955" t="n"/>
      <c r="M240" s="949" t="n"/>
      <c r="N240" s="1116">
        <f>SUM(N235:N239)</f>
        <v/>
      </c>
      <c r="O240" s="1136">
        <f>SUM(O235:O239)</f>
        <v/>
      </c>
      <c r="P240" s="1135" t="n"/>
      <c r="Q240" s="955" t="n"/>
      <c r="R240" s="949" t="n"/>
      <c r="S240" s="1116">
        <f>SUM(S235:S239)</f>
        <v/>
      </c>
      <c r="T240" s="1093">
        <f>S240-N240</f>
        <v/>
      </c>
      <c r="U240" s="1135" t="n"/>
      <c r="V240" s="955" t="n"/>
      <c r="W240" s="949" t="n"/>
      <c r="X240" s="1116">
        <f>SUM(X235:X239)</f>
        <v/>
      </c>
      <c r="Y240" s="1136">
        <f>SUM(Y235:Y239)</f>
        <v/>
      </c>
      <c r="Z240" s="1135" t="n"/>
      <c r="AA240" s="955" t="n"/>
      <c r="AB240" s="949" t="n"/>
      <c r="AC240" s="1116">
        <f>SUM(AC235:AC239)</f>
        <v/>
      </c>
      <c r="AD240" s="1136">
        <f>SUM(AD235:AD239)</f>
        <v/>
      </c>
      <c r="AE240" s="1135" t="n"/>
      <c r="AF240" s="955" t="n"/>
      <c r="AG240" s="949" t="n"/>
      <c r="AH240" s="1116">
        <f>SUM(AH235:AH239)</f>
        <v/>
      </c>
      <c r="AI240" s="1136">
        <f>SUM(AI235:AI239)</f>
        <v/>
      </c>
      <c r="AJ240" s="1118" t="n"/>
      <c r="AK240" s="289" t="n"/>
    </row>
    <row r="241" ht="30.2" customFormat="1" customHeight="1" s="2">
      <c r="B241" s="86" t="n"/>
      <c r="C241" s="753" t="inlineStr">
        <is>
          <t>워터림보</t>
        </is>
      </c>
      <c r="D241" s="753" t="inlineStr">
        <is>
          <t>공간구현</t>
        </is>
      </c>
      <c r="E241" s="105" t="inlineStr">
        <is>
          <t>풀장 제작 및 브랜딩</t>
        </is>
      </c>
      <c r="F241" s="191" t="inlineStr">
        <is>
          <t>6*6 풀장 제작 및 브랜딩 /급수 포함</t>
        </is>
      </c>
      <c r="G241" s="175" t="n"/>
      <c r="H241" s="175" t="n"/>
      <c r="I241" s="1146" t="n"/>
      <c r="J241" s="1099">
        <f>G241*I241</f>
        <v/>
      </c>
      <c r="K241" s="1109" t="n">
        <v>1</v>
      </c>
      <c r="L241" s="175" t="inlineStr">
        <is>
          <t>set</t>
        </is>
      </c>
      <c r="M241" s="1146" t="n">
        <v>3900000</v>
      </c>
      <c r="N241" s="1112">
        <f>K241*M241</f>
        <v/>
      </c>
      <c r="O241" s="1158">
        <f>N241-J241</f>
        <v/>
      </c>
      <c r="P241" s="1109" t="n">
        <v>1</v>
      </c>
      <c r="Q241" s="175" t="inlineStr">
        <is>
          <t>set</t>
        </is>
      </c>
      <c r="R241" s="1146" t="n">
        <v>3900000</v>
      </c>
      <c r="S241" s="1112">
        <f>P241*R241</f>
        <v/>
      </c>
      <c r="T241" s="1088">
        <f>S241-N241</f>
        <v/>
      </c>
      <c r="U241" s="1109" t="n">
        <v>1</v>
      </c>
      <c r="V241" s="175" t="inlineStr">
        <is>
          <t>set</t>
        </is>
      </c>
      <c r="W241" s="1146" t="n">
        <v>3900000</v>
      </c>
      <c r="X241" s="1112">
        <f>U241*W241</f>
        <v/>
      </c>
      <c r="Y241" s="1158">
        <f>X241-S241</f>
        <v/>
      </c>
      <c r="Z241" s="1109" t="n">
        <v>1</v>
      </c>
      <c r="AA241" s="175" t="inlineStr">
        <is>
          <t>set</t>
        </is>
      </c>
      <c r="AB241" s="1146" t="n">
        <v>3900000</v>
      </c>
      <c r="AC241" s="1112">
        <f>Z241*AB241</f>
        <v/>
      </c>
      <c r="AD241" s="1158">
        <f>AC241-X241</f>
        <v/>
      </c>
      <c r="AE241" s="1109" t="n">
        <v>1</v>
      </c>
      <c r="AF241" s="175" t="inlineStr">
        <is>
          <t>set</t>
        </is>
      </c>
      <c r="AG241" s="1146" t="n">
        <v>3900000</v>
      </c>
      <c r="AH241" s="1112">
        <f>AE241*AG241</f>
        <v/>
      </c>
      <c r="AI241" s="1158">
        <f>AH241-AC241</f>
        <v/>
      </c>
      <c r="AJ241" s="1105" t="n"/>
      <c r="AK241" s="753" t="inlineStr">
        <is>
          <t>추가항목</t>
        </is>
      </c>
    </row>
    <row r="242" ht="27.75" customFormat="1" customHeight="1" s="2">
      <c r="B242" s="86" t="n"/>
      <c r="C242" s="1005" t="n"/>
      <c r="D242" s="753" t="inlineStr">
        <is>
          <t>현장 운영</t>
        </is>
      </c>
      <c r="E242" s="105" t="inlineStr">
        <is>
          <t>전문 인력</t>
        </is>
      </c>
      <c r="F242" s="191" t="inlineStr">
        <is>
          <t>행사 MC</t>
        </is>
      </c>
      <c r="G242" s="175" t="n"/>
      <c r="H242" s="175" t="n"/>
      <c r="I242" s="1146" t="n"/>
      <c r="J242" s="1099">
        <f>G242*I242</f>
        <v/>
      </c>
      <c r="K242" s="1109" t="n">
        <v>1</v>
      </c>
      <c r="L242" s="175" t="inlineStr">
        <is>
          <t>인</t>
        </is>
      </c>
      <c r="M242" s="1146" t="n">
        <v>500000</v>
      </c>
      <c r="N242" s="1112">
        <f>K242*M242</f>
        <v/>
      </c>
      <c r="O242" s="1158">
        <f>N242-J242</f>
        <v/>
      </c>
      <c r="P242" s="1109" t="n">
        <v>1</v>
      </c>
      <c r="Q242" s="175" t="inlineStr">
        <is>
          <t>인</t>
        </is>
      </c>
      <c r="R242" s="1146" t="n">
        <v>500000</v>
      </c>
      <c r="S242" s="1112">
        <f>P242*R242</f>
        <v/>
      </c>
      <c r="T242" s="1088">
        <f>S242-N242</f>
        <v/>
      </c>
      <c r="U242" s="1109" t="n">
        <v>1</v>
      </c>
      <c r="V242" s="175" t="inlineStr">
        <is>
          <t>인</t>
        </is>
      </c>
      <c r="W242" s="1146" t="n">
        <v>500000</v>
      </c>
      <c r="X242" s="1112">
        <f>U242*W242</f>
        <v/>
      </c>
      <c r="Y242" s="1158">
        <f>X242-S242</f>
        <v/>
      </c>
      <c r="Z242" s="1109" t="n">
        <v>1</v>
      </c>
      <c r="AA242" s="175" t="inlineStr">
        <is>
          <t>인</t>
        </is>
      </c>
      <c r="AB242" s="1146" t="n">
        <v>500000</v>
      </c>
      <c r="AC242" s="1112">
        <f>Z242*AB242</f>
        <v/>
      </c>
      <c r="AD242" s="1158">
        <f>AC242-X242</f>
        <v/>
      </c>
      <c r="AE242" s="1109" t="n">
        <v>1</v>
      </c>
      <c r="AF242" s="175" t="inlineStr">
        <is>
          <t>인</t>
        </is>
      </c>
      <c r="AG242" s="1146" t="n">
        <v>500000</v>
      </c>
      <c r="AH242" s="1112">
        <f>AE242*AG242</f>
        <v/>
      </c>
      <c r="AI242" s="1158">
        <f>AH242-AC242</f>
        <v/>
      </c>
      <c r="AJ242" s="1105" t="n"/>
      <c r="AK242" s="1005" t="n"/>
    </row>
    <row r="243" ht="29.25" customFormat="1" customHeight="1" s="2">
      <c r="B243" s="86" t="n"/>
      <c r="C243" s="981" t="n"/>
      <c r="D243" s="981" t="n"/>
      <c r="E243" s="105" t="inlineStr">
        <is>
          <t>프로모터</t>
        </is>
      </c>
      <c r="F243" s="191" t="inlineStr">
        <is>
          <t>프로그램 안내 및 참여 유도</t>
        </is>
      </c>
      <c r="G243" s="175" t="n"/>
      <c r="H243" s="175" t="n"/>
      <c r="I243" s="1146" t="n"/>
      <c r="J243" s="1099">
        <f>G243*I243</f>
        <v/>
      </c>
      <c r="K243" s="1109" t="n">
        <v>4</v>
      </c>
      <c r="L243" s="175" t="inlineStr">
        <is>
          <t>인</t>
        </is>
      </c>
      <c r="M243" s="1146" t="n">
        <v>150000</v>
      </c>
      <c r="N243" s="1112">
        <f>K243*M243</f>
        <v/>
      </c>
      <c r="O243" s="1158">
        <f>N243-J243</f>
        <v/>
      </c>
      <c r="P243" s="1109" t="n">
        <v>4</v>
      </c>
      <c r="Q243" s="175" t="inlineStr">
        <is>
          <t>인</t>
        </is>
      </c>
      <c r="R243" s="1146" t="n">
        <v>150000</v>
      </c>
      <c r="S243" s="1112">
        <f>P243*R243</f>
        <v/>
      </c>
      <c r="T243" s="1088">
        <f>S243-N243</f>
        <v/>
      </c>
      <c r="U243" s="1109" t="n">
        <v>4</v>
      </c>
      <c r="V243" s="175" t="inlineStr">
        <is>
          <t>인</t>
        </is>
      </c>
      <c r="W243" s="1146" t="n">
        <v>150000</v>
      </c>
      <c r="X243" s="1112">
        <f>U243*W243</f>
        <v/>
      </c>
      <c r="Y243" s="1158">
        <f>X243-S243</f>
        <v/>
      </c>
      <c r="Z243" s="1109" t="n">
        <v>4</v>
      </c>
      <c r="AA243" s="175" t="inlineStr">
        <is>
          <t>인</t>
        </is>
      </c>
      <c r="AB243" s="1146" t="n">
        <v>150000</v>
      </c>
      <c r="AC243" s="1112">
        <f>Z243*AB243</f>
        <v/>
      </c>
      <c r="AD243" s="1158">
        <f>AC243-X243</f>
        <v/>
      </c>
      <c r="AE243" s="1109" t="n">
        <v>4</v>
      </c>
      <c r="AF243" s="175" t="inlineStr">
        <is>
          <t>인</t>
        </is>
      </c>
      <c r="AG243" s="1146" t="n">
        <v>150000</v>
      </c>
      <c r="AH243" s="1112">
        <f>AE243*AG243</f>
        <v/>
      </c>
      <c r="AI243" s="1158">
        <f>AH243-AC243</f>
        <v/>
      </c>
      <c r="AJ243" s="1105" t="n"/>
      <c r="AK243" s="981" t="n"/>
    </row>
    <row r="244" ht="30" customFormat="1" customHeight="1" s="2">
      <c r="B244" s="86" t="n"/>
      <c r="C244" s="1064" t="inlineStr">
        <is>
          <t>소계</t>
        </is>
      </c>
      <c r="D244" s="1053" t="n"/>
      <c r="E244" s="1053" t="n"/>
      <c r="F244" s="1053" t="n"/>
      <c r="G244" s="1053" t="n"/>
      <c r="H244" s="1053" t="n"/>
      <c r="I244" s="997" t="n"/>
      <c r="J244" s="1114">
        <f>SUM(J241:J243)</f>
        <v/>
      </c>
      <c r="K244" s="1135" t="n"/>
      <c r="L244" s="955" t="n"/>
      <c r="M244" s="949" t="n"/>
      <c r="N244" s="1116">
        <f>SUM(N241:N243)</f>
        <v/>
      </c>
      <c r="O244" s="1117">
        <f>SUM(O241:O243)</f>
        <v/>
      </c>
      <c r="P244" s="1135" t="n"/>
      <c r="Q244" s="955" t="n"/>
      <c r="R244" s="949" t="n"/>
      <c r="S244" s="1116">
        <f>SUM(S241:S243)</f>
        <v/>
      </c>
      <c r="T244" s="1093">
        <f>S244-N244</f>
        <v/>
      </c>
      <c r="U244" s="1135" t="n"/>
      <c r="V244" s="955" t="n"/>
      <c r="W244" s="949" t="n"/>
      <c r="X244" s="1116">
        <f>SUM(X241:X243)</f>
        <v/>
      </c>
      <c r="Y244" s="1117">
        <f>SUM(Y241:Y243)</f>
        <v/>
      </c>
      <c r="Z244" s="1135" t="n"/>
      <c r="AA244" s="955" t="n"/>
      <c r="AB244" s="949" t="n"/>
      <c r="AC244" s="1116">
        <f>SUM(AC241:AC243)</f>
        <v/>
      </c>
      <c r="AD244" s="1117">
        <f>SUM(AD241:AD243)</f>
        <v/>
      </c>
      <c r="AE244" s="1135" t="n"/>
      <c r="AF244" s="955" t="n"/>
      <c r="AG244" s="949" t="n"/>
      <c r="AH244" s="1116">
        <f>SUM(AH241:AH243)</f>
        <v/>
      </c>
      <c r="AI244" s="1117">
        <f>SUM(AI241:AI243)</f>
        <v/>
      </c>
      <c r="AJ244" s="1118" t="n"/>
      <c r="AK244" s="60" t="n"/>
    </row>
    <row r="245" ht="30" customFormat="1" customHeight="1" s="2">
      <c r="B245" s="86" t="n"/>
      <c r="C245" s="753" t="inlineStr">
        <is>
          <t>슬링샷</t>
        </is>
      </c>
      <c r="D245" s="753" t="inlineStr">
        <is>
          <t>공간구현</t>
        </is>
      </c>
      <c r="E245" s="105" t="inlineStr">
        <is>
          <t>브랜딩</t>
        </is>
      </c>
      <c r="F245" s="191" t="inlineStr">
        <is>
          <t>기존 제품 브랜딩</t>
        </is>
      </c>
      <c r="G245" s="175" t="n"/>
      <c r="H245" s="175" t="n"/>
      <c r="I245" s="1146" t="n"/>
      <c r="J245" s="1099">
        <f>G245*I245</f>
        <v/>
      </c>
      <c r="K245" s="1109" t="n">
        <v>1</v>
      </c>
      <c r="L245" s="175" t="inlineStr">
        <is>
          <t>set</t>
        </is>
      </c>
      <c r="M245" s="1146" t="n">
        <v>200000</v>
      </c>
      <c r="N245" s="1112">
        <f>K245*M245</f>
        <v/>
      </c>
      <c r="O245" s="1158">
        <f>N245-J245</f>
        <v/>
      </c>
      <c r="P245" s="1109" t="n">
        <v>1</v>
      </c>
      <c r="Q245" s="175" t="inlineStr">
        <is>
          <t>set</t>
        </is>
      </c>
      <c r="R245" s="1146" t="n">
        <v>200000</v>
      </c>
      <c r="S245" s="1112">
        <f>P245*R245</f>
        <v/>
      </c>
      <c r="T245" s="1088">
        <f>S245-N245</f>
        <v/>
      </c>
      <c r="U245" s="1109" t="n">
        <v>1</v>
      </c>
      <c r="V245" s="175" t="inlineStr">
        <is>
          <t>set</t>
        </is>
      </c>
      <c r="W245" s="1146" t="n">
        <v>200000</v>
      </c>
      <c r="X245" s="1112">
        <f>U245*W245</f>
        <v/>
      </c>
      <c r="Y245" s="1158">
        <f>W245-S245</f>
        <v/>
      </c>
      <c r="Z245" s="1109" t="n">
        <v>1</v>
      </c>
      <c r="AA245" s="175" t="inlineStr">
        <is>
          <t>set</t>
        </is>
      </c>
      <c r="AB245" s="1146" t="n">
        <v>200000</v>
      </c>
      <c r="AC245" s="1112">
        <f>Z245*AB245</f>
        <v/>
      </c>
      <c r="AD245" s="1158">
        <f>AB245-X245</f>
        <v/>
      </c>
      <c r="AE245" s="1109" t="n">
        <v>1</v>
      </c>
      <c r="AF245" s="175" t="inlineStr">
        <is>
          <t>set</t>
        </is>
      </c>
      <c r="AG245" s="1146" t="n">
        <v>200000</v>
      </c>
      <c r="AH245" s="1112">
        <f>AE245*AG245</f>
        <v/>
      </c>
      <c r="AI245" s="1158">
        <f>AG245-AC245</f>
        <v/>
      </c>
      <c r="AJ245" s="1105" t="n"/>
      <c r="AK245" s="757" t="n"/>
    </row>
    <row r="246" ht="30" customFormat="1" customHeight="1" s="2">
      <c r="B246" s="86" t="n"/>
      <c r="C246" s="1005" t="n"/>
      <c r="D246" s="753" t="inlineStr">
        <is>
          <t>현장 운영</t>
        </is>
      </c>
      <c r="E246" s="105" t="inlineStr">
        <is>
          <t>전문 인력</t>
        </is>
      </c>
      <c r="F246" s="191" t="inlineStr">
        <is>
          <t>행사 MC</t>
        </is>
      </c>
      <c r="G246" s="175" t="n"/>
      <c r="H246" s="175" t="n"/>
      <c r="I246" s="1146" t="n"/>
      <c r="J246" s="1099">
        <f>G246*I246</f>
        <v/>
      </c>
      <c r="K246" s="1109" t="n">
        <v>1</v>
      </c>
      <c r="L246" s="175" t="inlineStr">
        <is>
          <t>인</t>
        </is>
      </c>
      <c r="M246" s="1146" t="n">
        <v>500000</v>
      </c>
      <c r="N246" s="1112">
        <f>K246*M246</f>
        <v/>
      </c>
      <c r="O246" s="1158">
        <f>N246-J246</f>
        <v/>
      </c>
      <c r="P246" s="1109" t="n">
        <v>1</v>
      </c>
      <c r="Q246" s="175" t="inlineStr">
        <is>
          <t>인</t>
        </is>
      </c>
      <c r="R246" s="1146" t="n">
        <v>500000</v>
      </c>
      <c r="S246" s="1112">
        <f>P246*R246</f>
        <v/>
      </c>
      <c r="T246" s="1088">
        <f>S246-N246</f>
        <v/>
      </c>
      <c r="U246" s="1109" t="n">
        <v>1</v>
      </c>
      <c r="V246" s="175" t="inlineStr">
        <is>
          <t>인</t>
        </is>
      </c>
      <c r="W246" s="1146" t="n">
        <v>500000</v>
      </c>
      <c r="X246" s="1112">
        <f>U246*W246</f>
        <v/>
      </c>
      <c r="Y246" s="1158">
        <f>W246-S246</f>
        <v/>
      </c>
      <c r="Z246" s="1109" t="n">
        <v>1</v>
      </c>
      <c r="AA246" s="175" t="inlineStr">
        <is>
          <t>인</t>
        </is>
      </c>
      <c r="AB246" s="1146" t="n">
        <v>500000</v>
      </c>
      <c r="AC246" s="1112">
        <f>Z246*AB246</f>
        <v/>
      </c>
      <c r="AD246" s="1158">
        <f>AB246-X246</f>
        <v/>
      </c>
      <c r="AE246" s="1109" t="n">
        <v>1</v>
      </c>
      <c r="AF246" s="175" t="inlineStr">
        <is>
          <t>인</t>
        </is>
      </c>
      <c r="AG246" s="1146" t="n">
        <v>500000</v>
      </c>
      <c r="AH246" s="1112">
        <f>AE246*AG246</f>
        <v/>
      </c>
      <c r="AI246" s="1158">
        <f>AG246-AC246</f>
        <v/>
      </c>
      <c r="AJ246" s="1105" t="n"/>
      <c r="AK246" s="1005" t="n"/>
    </row>
    <row r="247" ht="32.25" customFormat="1" customHeight="1" s="2">
      <c r="B247" s="86" t="n"/>
      <c r="C247" s="981" t="n"/>
      <c r="D247" s="981" t="n"/>
      <c r="E247" s="105" t="inlineStr">
        <is>
          <t>프로모터</t>
        </is>
      </c>
      <c r="F247" s="191" t="inlineStr">
        <is>
          <t>프로그램 안내 및 참여 유도</t>
        </is>
      </c>
      <c r="G247" s="175" t="n"/>
      <c r="H247" s="175" t="n"/>
      <c r="I247" s="1146" t="n"/>
      <c r="J247" s="1099">
        <f>G247*I247</f>
        <v/>
      </c>
      <c r="K247" s="1109" t="n">
        <v>2</v>
      </c>
      <c r="L247" s="175" t="inlineStr">
        <is>
          <t>인</t>
        </is>
      </c>
      <c r="M247" s="1146" t="n">
        <v>150000</v>
      </c>
      <c r="N247" s="1112">
        <f>K247*M247</f>
        <v/>
      </c>
      <c r="O247" s="1158">
        <f>N247-J247</f>
        <v/>
      </c>
      <c r="P247" s="1109" t="n">
        <v>2</v>
      </c>
      <c r="Q247" s="175" t="inlineStr">
        <is>
          <t>인</t>
        </is>
      </c>
      <c r="R247" s="1146" t="n">
        <v>150000</v>
      </c>
      <c r="S247" s="1112">
        <f>P247*R247</f>
        <v/>
      </c>
      <c r="T247" s="1088">
        <f>S247-N247</f>
        <v/>
      </c>
      <c r="U247" s="1109" t="n">
        <v>2</v>
      </c>
      <c r="V247" s="175" t="inlineStr">
        <is>
          <t>인</t>
        </is>
      </c>
      <c r="W247" s="1146" t="n">
        <v>150000</v>
      </c>
      <c r="X247" s="1112">
        <f>U247*W247</f>
        <v/>
      </c>
      <c r="Y247" s="1158">
        <f>X247-S247</f>
        <v/>
      </c>
      <c r="Z247" s="1109" t="n">
        <v>2</v>
      </c>
      <c r="AA247" s="175" t="inlineStr">
        <is>
          <t>인</t>
        </is>
      </c>
      <c r="AB247" s="1146" t="n">
        <v>150000</v>
      </c>
      <c r="AC247" s="1112">
        <f>Z247*AB247</f>
        <v/>
      </c>
      <c r="AD247" s="1158">
        <f>AC247-X247</f>
        <v/>
      </c>
      <c r="AE247" s="1109" t="n">
        <v>2</v>
      </c>
      <c r="AF247" s="175" t="inlineStr">
        <is>
          <t>인</t>
        </is>
      </c>
      <c r="AG247" s="1146" t="n">
        <v>150000</v>
      </c>
      <c r="AH247" s="1112">
        <f>AE247*AG247</f>
        <v/>
      </c>
      <c r="AI247" s="1158">
        <f>AH247-AC247</f>
        <v/>
      </c>
      <c r="AJ247" s="1105" t="n"/>
      <c r="AK247" s="981" t="n"/>
    </row>
    <row r="248" ht="30.2" customFormat="1" customHeight="1" s="2">
      <c r="B248" s="86" t="n"/>
      <c r="C248" s="1064" t="inlineStr">
        <is>
          <t>소계</t>
        </is>
      </c>
      <c r="D248" s="1053" t="n"/>
      <c r="E248" s="1053" t="n"/>
      <c r="F248" s="1053" t="n"/>
      <c r="G248" s="1053" t="n"/>
      <c r="H248" s="1053" t="n"/>
      <c r="I248" s="997" t="n"/>
      <c r="J248" s="1114">
        <f>SUM(J245:J247)</f>
        <v/>
      </c>
      <c r="K248" s="1135" t="n"/>
      <c r="L248" s="955" t="n"/>
      <c r="M248" s="949" t="n"/>
      <c r="N248" s="1116">
        <f>SUM(N245:N247)</f>
        <v/>
      </c>
      <c r="O248" s="1117">
        <f>SUM(O245:O247)</f>
        <v/>
      </c>
      <c r="P248" s="1135" t="n"/>
      <c r="Q248" s="955" t="n"/>
      <c r="R248" s="949" t="n"/>
      <c r="S248" s="1116">
        <f>SUM(S245:S247)</f>
        <v/>
      </c>
      <c r="T248" s="1093">
        <f>S248-N248</f>
        <v/>
      </c>
      <c r="U248" s="1135" t="n"/>
      <c r="V248" s="955" t="n"/>
      <c r="W248" s="949" t="n"/>
      <c r="X248" s="1116">
        <f>SUM(X245:X247)</f>
        <v/>
      </c>
      <c r="Y248" s="1117">
        <f>SUM(Y245:Y247)</f>
        <v/>
      </c>
      <c r="Z248" s="1135" t="n"/>
      <c r="AA248" s="955" t="n"/>
      <c r="AB248" s="949" t="n"/>
      <c r="AC248" s="1116">
        <f>SUM(AC245:AC247)</f>
        <v/>
      </c>
      <c r="AD248" s="1117">
        <f>SUM(AD245:AD247)</f>
        <v/>
      </c>
      <c r="AE248" s="1135" t="n"/>
      <c r="AF248" s="955" t="n"/>
      <c r="AG248" s="949" t="n"/>
      <c r="AH248" s="1116">
        <f>SUM(AH245:AH247)</f>
        <v/>
      </c>
      <c r="AI248" s="1117">
        <f>SUM(AI245:AI247)</f>
        <v/>
      </c>
      <c r="AJ248" s="1118" t="n"/>
      <c r="AK248" s="60" t="n"/>
    </row>
    <row r="249" ht="30.2" customFormat="1" customHeight="1" s="2">
      <c r="B249" s="86" t="n"/>
      <c r="C249" s="753" t="inlineStr">
        <is>
          <t>워터드롭 포토존</t>
        </is>
      </c>
      <c r="D249" s="753" t="inlineStr">
        <is>
          <t>공간 구현</t>
        </is>
      </c>
      <c r="E249" s="193" t="inlineStr">
        <is>
          <t>구조물 제작</t>
        </is>
      </c>
      <c r="F249" s="191" t="inlineStr">
        <is>
          <t>트러스 + 워터드롭 제작물 + 현수막 브랜딩</t>
        </is>
      </c>
      <c r="G249" s="175" t="n"/>
      <c r="H249" s="175" t="n"/>
      <c r="I249" s="1146" t="n"/>
      <c r="J249" s="1099">
        <f>G249*I249</f>
        <v/>
      </c>
      <c r="K249" s="1109" t="n">
        <v>1</v>
      </c>
      <c r="L249" s="175" t="inlineStr">
        <is>
          <t>set</t>
        </is>
      </c>
      <c r="M249" s="1146" t="n">
        <v>15000000</v>
      </c>
      <c r="N249" s="1112">
        <f>K249*M249</f>
        <v/>
      </c>
      <c r="O249" s="1158">
        <f>N249-J249</f>
        <v/>
      </c>
      <c r="P249" s="1205" t="n">
        <v>1</v>
      </c>
      <c r="Q249" s="536" t="inlineStr">
        <is>
          <t>set</t>
        </is>
      </c>
      <c r="R249" s="1235" t="n"/>
      <c r="S249" s="1133">
        <f>P249*R249</f>
        <v/>
      </c>
      <c r="T249" s="1081">
        <f>S249-N249</f>
        <v/>
      </c>
      <c r="U249" s="1205" t="n">
        <v>1</v>
      </c>
      <c r="V249" s="536" t="inlineStr">
        <is>
          <t>set</t>
        </is>
      </c>
      <c r="W249" s="1235" t="n"/>
      <c r="X249" s="1133">
        <f>U249*W249</f>
        <v/>
      </c>
      <c r="Y249" s="1208">
        <f>X249-S249</f>
        <v/>
      </c>
      <c r="Z249" s="1205" t="n">
        <v>1</v>
      </c>
      <c r="AA249" s="536" t="inlineStr">
        <is>
          <t>set</t>
        </is>
      </c>
      <c r="AB249" s="1235" t="n"/>
      <c r="AC249" s="1133">
        <f>Z249*AB249</f>
        <v/>
      </c>
      <c r="AD249" s="1208">
        <f>AC249-X249</f>
        <v/>
      </c>
      <c r="AE249" s="1205" t="n">
        <v>1</v>
      </c>
      <c r="AF249" s="536" t="inlineStr">
        <is>
          <t>set</t>
        </is>
      </c>
      <c r="AG249" s="1235" t="n"/>
      <c r="AH249" s="1133">
        <f>AE249*AG249</f>
        <v/>
      </c>
      <c r="AI249" s="1208">
        <f>AH249-AC249</f>
        <v/>
      </c>
      <c r="AJ249" s="1209" t="n"/>
      <c r="AK249" s="561" t="n"/>
    </row>
    <row r="250" ht="30.2" customFormat="1" customHeight="1" s="2">
      <c r="B250" s="86" t="n"/>
      <c r="C250" s="1005" t="n"/>
      <c r="D250" s="981" t="n"/>
      <c r="E250" s="981" t="n"/>
      <c r="F250" s="314" t="inlineStr">
        <is>
          <t>MD B 브랜딩 추가 (스카시)</t>
        </is>
      </c>
      <c r="G250" s="319" t="n"/>
      <c r="H250" s="319" t="n"/>
      <c r="I250" s="1232" t="n"/>
      <c r="J250" s="1218" t="n"/>
      <c r="K250" s="1219" t="n">
        <v>1</v>
      </c>
      <c r="L250" s="319" t="inlineStr">
        <is>
          <t>set</t>
        </is>
      </c>
      <c r="M250" s="1232" t="n">
        <v>2000000</v>
      </c>
      <c r="N250" s="1222">
        <f>K250*M250</f>
        <v/>
      </c>
      <c r="O250" s="1223">
        <f>N250-J250</f>
        <v/>
      </c>
      <c r="P250" s="1205" t="n">
        <v>1</v>
      </c>
      <c r="Q250" s="536" t="inlineStr">
        <is>
          <t>set</t>
        </is>
      </c>
      <c r="R250" s="1235" t="n"/>
      <c r="S250" s="1133">
        <f>P250*R250</f>
        <v/>
      </c>
      <c r="T250" s="1081">
        <f>S250-N250</f>
        <v/>
      </c>
      <c r="U250" s="1205" t="n">
        <v>1</v>
      </c>
      <c r="V250" s="536" t="inlineStr">
        <is>
          <t>set</t>
        </is>
      </c>
      <c r="W250" s="1235" t="n"/>
      <c r="X250" s="1133">
        <f>U250*W250</f>
        <v/>
      </c>
      <c r="Y250" s="1208">
        <f>X250-S250</f>
        <v/>
      </c>
      <c r="Z250" s="1205" t="n">
        <v>1</v>
      </c>
      <c r="AA250" s="536" t="inlineStr">
        <is>
          <t>set</t>
        </is>
      </c>
      <c r="AB250" s="1235" t="n"/>
      <c r="AC250" s="1133">
        <f>Z250*AB250</f>
        <v/>
      </c>
      <c r="AD250" s="1208">
        <f>AC250-X250</f>
        <v/>
      </c>
      <c r="AE250" s="1205" t="n">
        <v>1</v>
      </c>
      <c r="AF250" s="536" t="inlineStr">
        <is>
          <t>set</t>
        </is>
      </c>
      <c r="AG250" s="1235" t="n"/>
      <c r="AH250" s="1133">
        <f>AE250*AG250</f>
        <v/>
      </c>
      <c r="AI250" s="1208">
        <f>AH250-AC250</f>
        <v/>
      </c>
      <c r="AJ250" s="1209" t="n"/>
      <c r="AK250" s="562" t="n"/>
    </row>
    <row r="251" ht="30.2" customFormat="1" customHeight="1" s="2">
      <c r="B251" s="86" t="n"/>
      <c r="C251" s="1005" t="n"/>
      <c r="D251" s="704" t="n"/>
      <c r="E251" s="757" t="n"/>
      <c r="F251" s="400" t="inlineStr">
        <is>
          <t>폭염대비 그늘 운영공간 조성(카메라 컨트롱 등)</t>
        </is>
      </c>
      <c r="G251" s="389" t="n"/>
      <c r="H251" s="389" t="n"/>
      <c r="I251" s="1141" t="n"/>
      <c r="J251" s="1170" t="n"/>
      <c r="K251" s="1197" t="n">
        <v>1</v>
      </c>
      <c r="L251" s="389" t="inlineStr">
        <is>
          <t>set</t>
        </is>
      </c>
      <c r="M251" s="1141" t="n">
        <v>3500000</v>
      </c>
      <c r="N251" s="1172">
        <f>K251*M251</f>
        <v/>
      </c>
      <c r="O251" s="1200">
        <f>N251-J251</f>
        <v/>
      </c>
      <c r="P251" s="1205" t="n">
        <v>1</v>
      </c>
      <c r="Q251" s="536" t="inlineStr">
        <is>
          <t>set</t>
        </is>
      </c>
      <c r="R251" s="1235" t="n"/>
      <c r="S251" s="1133">
        <f>P251*R251</f>
        <v/>
      </c>
      <c r="T251" s="1081">
        <f>S251-N251</f>
        <v/>
      </c>
      <c r="U251" s="1205" t="n">
        <v>1</v>
      </c>
      <c r="V251" s="536" t="inlineStr">
        <is>
          <t>set</t>
        </is>
      </c>
      <c r="W251" s="1235" t="n"/>
      <c r="X251" s="1133">
        <f>U251*W251</f>
        <v/>
      </c>
      <c r="Y251" s="1208">
        <f>X251-S251</f>
        <v/>
      </c>
      <c r="Z251" s="1205" t="n">
        <v>1</v>
      </c>
      <c r="AA251" s="536" t="inlineStr">
        <is>
          <t>set</t>
        </is>
      </c>
      <c r="AB251" s="1235" t="n"/>
      <c r="AC251" s="1133">
        <f>Z251*AB251</f>
        <v/>
      </c>
      <c r="AD251" s="1208">
        <f>AC251-X251</f>
        <v/>
      </c>
      <c r="AE251" s="1205" t="n">
        <v>1</v>
      </c>
      <c r="AF251" s="536" t="inlineStr">
        <is>
          <t>set</t>
        </is>
      </c>
      <c r="AG251" s="1235" t="n"/>
      <c r="AH251" s="1133">
        <f>AE251*AG251</f>
        <v/>
      </c>
      <c r="AI251" s="1208">
        <f>AH251-AC251</f>
        <v/>
      </c>
      <c r="AJ251" s="1209" t="n"/>
      <c r="AK251" s="562" t="n"/>
    </row>
    <row r="252" ht="49.5" customFormat="1" customHeight="1" s="2">
      <c r="B252" s="86" t="n"/>
      <c r="C252" s="1005" t="n"/>
      <c r="D252" s="753" t="inlineStr">
        <is>
          <t>현장 운영</t>
        </is>
      </c>
      <c r="E252" s="105" t="inlineStr">
        <is>
          <t>타임 슬라이스</t>
        </is>
      </c>
      <c r="F252" s="191" t="inlineStr">
        <is>
          <t>기기 렌탈 및 현장 운영 (120도 기준)</t>
        </is>
      </c>
      <c r="G252" s="175" t="n"/>
      <c r="H252" s="175" t="n"/>
      <c r="I252" s="1146" t="n"/>
      <c r="J252" s="1099">
        <f>G252*I252</f>
        <v/>
      </c>
      <c r="K252" s="1109" t="n">
        <v>1</v>
      </c>
      <c r="L252" s="175" t="inlineStr">
        <is>
          <t>set</t>
        </is>
      </c>
      <c r="M252" s="1146" t="n">
        <v>30000000</v>
      </c>
      <c r="N252" s="1112">
        <f>K252*M252</f>
        <v/>
      </c>
      <c r="O252" s="1158">
        <f>N252-J252</f>
        <v/>
      </c>
      <c r="P252" s="1205" t="n">
        <v>1</v>
      </c>
      <c r="Q252" s="536" t="inlineStr">
        <is>
          <t>set</t>
        </is>
      </c>
      <c r="R252" s="1235" t="n">
        <v>6000000</v>
      </c>
      <c r="S252" s="1133">
        <f>P252*R252</f>
        <v/>
      </c>
      <c r="T252" s="1081">
        <f>S252-N252</f>
        <v/>
      </c>
      <c r="U252" s="1205" t="n">
        <v>1</v>
      </c>
      <c r="V252" s="536" t="inlineStr">
        <is>
          <t>set</t>
        </is>
      </c>
      <c r="W252" s="1235" t="n">
        <v>6000000</v>
      </c>
      <c r="X252" s="1133">
        <f>U252*W252</f>
        <v/>
      </c>
      <c r="Y252" s="1208">
        <f>X252-S252</f>
        <v/>
      </c>
      <c r="Z252" s="1205" t="n">
        <v>1</v>
      </c>
      <c r="AA252" s="536" t="inlineStr">
        <is>
          <t>set</t>
        </is>
      </c>
      <c r="AB252" s="1235" t="n">
        <v>6000000</v>
      </c>
      <c r="AC252" s="1133">
        <f>Z252*AB252</f>
        <v/>
      </c>
      <c r="AD252" s="1208">
        <f>AC252-X252</f>
        <v/>
      </c>
      <c r="AE252" s="1205" t="n">
        <v>1</v>
      </c>
      <c r="AF252" s="536" t="inlineStr">
        <is>
          <t>set</t>
        </is>
      </c>
      <c r="AG252" s="1235" t="n">
        <v>6000000</v>
      </c>
      <c r="AH252" s="1133">
        <f>AE252*AG252</f>
        <v/>
      </c>
      <c r="AI252" s="1208">
        <f>AH252-AC252</f>
        <v/>
      </c>
      <c r="AJ252" s="1209" t="n"/>
      <c r="AK252" s="562" t="inlineStr">
        <is>
          <t>계약금</t>
        </is>
      </c>
    </row>
    <row r="253" ht="30.2" customFormat="1" customHeight="1" s="2">
      <c r="B253" s="86" t="n"/>
      <c r="C253" s="981" t="n"/>
      <c r="D253" s="981" t="n"/>
      <c r="E253" s="105" t="inlineStr">
        <is>
          <t>프로모터</t>
        </is>
      </c>
      <c r="F253" s="191" t="inlineStr">
        <is>
          <t>프로그램 안내 및 참여 유도</t>
        </is>
      </c>
      <c r="G253" s="175" t="n"/>
      <c r="H253" s="175" t="n"/>
      <c r="I253" s="1146" t="n"/>
      <c r="J253" s="1099">
        <f>G253*I253</f>
        <v/>
      </c>
      <c r="K253" s="1109" t="n">
        <v>4</v>
      </c>
      <c r="L253" s="175" t="inlineStr">
        <is>
          <t>인</t>
        </is>
      </c>
      <c r="M253" s="1146" t="n">
        <v>150000</v>
      </c>
      <c r="N253" s="1112">
        <f>K253*M253</f>
        <v/>
      </c>
      <c r="O253" s="1158">
        <f>N253-J253</f>
        <v/>
      </c>
      <c r="P253" s="1205" t="n">
        <v>4</v>
      </c>
      <c r="Q253" s="536" t="inlineStr">
        <is>
          <t>인</t>
        </is>
      </c>
      <c r="R253" s="1235" t="n"/>
      <c r="S253" s="1133">
        <f>P253*R253</f>
        <v/>
      </c>
      <c r="T253" s="1081">
        <f>S253-N253</f>
        <v/>
      </c>
      <c r="U253" s="1205" t="n">
        <v>4</v>
      </c>
      <c r="V253" s="536" t="inlineStr">
        <is>
          <t>인</t>
        </is>
      </c>
      <c r="W253" s="1235" t="n"/>
      <c r="X253" s="1133">
        <f>U253*W253</f>
        <v/>
      </c>
      <c r="Y253" s="1208">
        <f>X253-S253</f>
        <v/>
      </c>
      <c r="Z253" s="1205" t="n">
        <v>4</v>
      </c>
      <c r="AA253" s="536" t="inlineStr">
        <is>
          <t>인</t>
        </is>
      </c>
      <c r="AB253" s="1235" t="n"/>
      <c r="AC253" s="1133">
        <f>Z253*AB253</f>
        <v/>
      </c>
      <c r="AD253" s="1208">
        <f>AC253-X253</f>
        <v/>
      </c>
      <c r="AE253" s="1205" t="n">
        <v>4</v>
      </c>
      <c r="AF253" s="536" t="inlineStr">
        <is>
          <t>인</t>
        </is>
      </c>
      <c r="AG253" s="1235" t="n"/>
      <c r="AH253" s="1133">
        <f>AE253*AG253</f>
        <v/>
      </c>
      <c r="AI253" s="1208">
        <f>AH253-AC253</f>
        <v/>
      </c>
      <c r="AJ253" s="1209" t="n"/>
      <c r="AK253" s="557" t="n"/>
    </row>
    <row r="254" ht="30.2" customFormat="1" customHeight="1" s="2">
      <c r="B254" s="86" t="n"/>
      <c r="C254" s="917" t="inlineStr">
        <is>
          <t xml:space="preserve">대체 게임기 </t>
        </is>
      </c>
      <c r="D254" s="955" t="n"/>
      <c r="E254" s="955" t="n"/>
      <c r="F254" s="546" t="inlineStr">
        <is>
          <t xml:space="preserve">해머 이벤트 3대 </t>
        </is>
      </c>
      <c r="G254" s="536" t="n"/>
      <c r="H254" s="536" t="n"/>
      <c r="I254" s="1235" t="n"/>
      <c r="J254" s="1236">
        <f>G254*I254</f>
        <v/>
      </c>
      <c r="K254" s="1205" t="n"/>
      <c r="L254" s="538" t="n"/>
      <c r="M254" s="1237" t="n"/>
      <c r="N254" s="1236">
        <f>K254*M254</f>
        <v/>
      </c>
      <c r="O254" s="1208" t="n"/>
      <c r="P254" s="1205" t="n">
        <v>1</v>
      </c>
      <c r="Q254" s="536" t="inlineStr">
        <is>
          <t>인</t>
        </is>
      </c>
      <c r="R254" s="1235" t="n">
        <v>8600000</v>
      </c>
      <c r="S254" s="1133">
        <f>P254*R254</f>
        <v/>
      </c>
      <c r="T254" s="1045">
        <f>S254-N254</f>
        <v/>
      </c>
      <c r="U254" s="1205" t="n">
        <v>1</v>
      </c>
      <c r="V254" s="536" t="inlineStr">
        <is>
          <t>인</t>
        </is>
      </c>
      <c r="W254" s="1235" t="n">
        <v>8600000</v>
      </c>
      <c r="X254" s="1133" t="n">
        <v>8600000</v>
      </c>
      <c r="Y254" s="1208">
        <f>X254-S254</f>
        <v/>
      </c>
      <c r="Z254" s="1205" t="n">
        <v>1</v>
      </c>
      <c r="AA254" s="536" t="inlineStr">
        <is>
          <t>인</t>
        </is>
      </c>
      <c r="AB254" s="1235" t="n">
        <v>8600000</v>
      </c>
      <c r="AC254" s="1133" t="n">
        <v>8600000</v>
      </c>
      <c r="AD254" s="1208">
        <f>AC254-X254</f>
        <v/>
      </c>
      <c r="AE254" s="1205" t="n">
        <v>1</v>
      </c>
      <c r="AF254" s="536" t="inlineStr">
        <is>
          <t>인</t>
        </is>
      </c>
      <c r="AG254" s="1235" t="n">
        <v>8600000</v>
      </c>
      <c r="AH254" s="1133" t="n">
        <v>8600000</v>
      </c>
      <c r="AI254" s="1208">
        <f>AH254-AC254</f>
        <v/>
      </c>
      <c r="AJ254" s="1209" t="n"/>
      <c r="AK254" s="557" t="inlineStr">
        <is>
          <t>트러스, 게임기 렌탈, 래핑 비용 8000000  인건비 60만원</t>
        </is>
      </c>
    </row>
    <row r="255" ht="32.25" customFormat="1" customHeight="1" s="2">
      <c r="B255" s="86" t="n"/>
      <c r="C255" s="1064" t="inlineStr">
        <is>
          <t>소계</t>
        </is>
      </c>
      <c r="D255" s="1053" t="n"/>
      <c r="E255" s="1053" t="n"/>
      <c r="F255" s="1053" t="n"/>
      <c r="G255" s="1053" t="n"/>
      <c r="H255" s="1053" t="n"/>
      <c r="I255" s="997" t="n"/>
      <c r="J255" s="1114">
        <f>SUM(J249:J253)</f>
        <v/>
      </c>
      <c r="K255" s="1135" t="n"/>
      <c r="L255" s="955" t="n"/>
      <c r="M255" s="949" t="n"/>
      <c r="N255" s="1116">
        <f>SUM(N249:N253)</f>
        <v/>
      </c>
      <c r="O255" s="1117">
        <f>SUM(O249:O253)</f>
        <v/>
      </c>
      <c r="P255" s="1135" t="n"/>
      <c r="Q255" s="955" t="n"/>
      <c r="R255" s="949" t="n"/>
      <c r="S255" s="1116">
        <f>SUM(S249:S254)</f>
        <v/>
      </c>
      <c r="T255" s="1093">
        <f>S255-N255</f>
        <v/>
      </c>
      <c r="U255" s="1135" t="n"/>
      <c r="V255" s="955" t="n"/>
      <c r="W255" s="949" t="n"/>
      <c r="X255" s="1116">
        <f>SUM(X249:X254)</f>
        <v/>
      </c>
      <c r="Y255" s="1117">
        <f>SUM(Y249:Y253)</f>
        <v/>
      </c>
      <c r="Z255" s="1135" t="n"/>
      <c r="AA255" s="955" t="n"/>
      <c r="AB255" s="949" t="n"/>
      <c r="AC255" s="1116">
        <f>SUM(AC249:AC254)</f>
        <v/>
      </c>
      <c r="AD255" s="1117">
        <f>SUM(AD249:AD253)</f>
        <v/>
      </c>
      <c r="AE255" s="1135" t="n"/>
      <c r="AF255" s="955" t="n"/>
      <c r="AG255" s="949" t="n"/>
      <c r="AH255" s="1116">
        <f>SUM(AH249:AH254)</f>
        <v/>
      </c>
      <c r="AI255" s="1117">
        <f>SUM(AI249:AI253)</f>
        <v/>
      </c>
      <c r="AJ255" s="1118" t="n"/>
      <c r="AK255" s="60" t="n"/>
    </row>
    <row r="256" ht="30.2" customHeight="1" s="972">
      <c r="B256" s="86" t="n"/>
      <c r="C256" s="752" t="inlineStr">
        <is>
          <t>바
**바텐더 미포함</t>
        </is>
      </c>
      <c r="D256" s="753" t="inlineStr">
        <is>
          <t>메인바</t>
        </is>
      </c>
      <c r="E256" s="753" t="inlineStr">
        <is>
          <t>컨테이너바</t>
        </is>
      </c>
      <c r="F256" s="191" t="inlineStr">
        <is>
          <t>6m X 3m 컨테이너</t>
        </is>
      </c>
      <c r="G256" s="179" t="n">
        <v>6</v>
      </c>
      <c r="H256" s="179" t="inlineStr">
        <is>
          <t>set</t>
        </is>
      </c>
      <c r="I256" s="1098" t="n">
        <v>3000000</v>
      </c>
      <c r="J256" s="1084">
        <f>G256*I256</f>
        <v/>
      </c>
      <c r="K256" s="230" t="n">
        <v>4</v>
      </c>
      <c r="L256" s="175" t="inlineStr">
        <is>
          <t>set</t>
        </is>
      </c>
      <c r="M256" s="1146" t="n">
        <v>3000000</v>
      </c>
      <c r="N256" s="1062">
        <f>K256*M256</f>
        <v/>
      </c>
      <c r="O256" s="1238">
        <f>N256-J256</f>
        <v/>
      </c>
      <c r="P256" s="230" t="n">
        <v>4</v>
      </c>
      <c r="Q256" s="175" t="inlineStr">
        <is>
          <t>set</t>
        </is>
      </c>
      <c r="R256" s="1146" t="n">
        <v>3000000</v>
      </c>
      <c r="S256" s="1062">
        <f>P256*R256</f>
        <v/>
      </c>
      <c r="T256" s="1088">
        <f>S256-N256</f>
        <v/>
      </c>
      <c r="U256" s="230" t="n">
        <v>4</v>
      </c>
      <c r="V256" s="175" t="inlineStr">
        <is>
          <t>set</t>
        </is>
      </c>
      <c r="W256" s="1146" t="n">
        <v>3000000</v>
      </c>
      <c r="X256" s="1062">
        <f>U256*W256</f>
        <v/>
      </c>
      <c r="Y256" s="1238">
        <f>X256-S256</f>
        <v/>
      </c>
      <c r="Z256" s="230" t="n">
        <v>4</v>
      </c>
      <c r="AA256" s="175" t="inlineStr">
        <is>
          <t>set</t>
        </is>
      </c>
      <c r="AB256" s="1146" t="n">
        <v>3000000</v>
      </c>
      <c r="AC256" s="1062">
        <f>Z256*AB256</f>
        <v/>
      </c>
      <c r="AD256" s="1238">
        <f>AC256-X256</f>
        <v/>
      </c>
      <c r="AE256" s="230" t="n">
        <v>4</v>
      </c>
      <c r="AF256" s="175" t="inlineStr">
        <is>
          <t>set</t>
        </is>
      </c>
      <c r="AG256" s="1146" t="n">
        <v>3000000</v>
      </c>
      <c r="AH256" s="1062">
        <f>AE256*AG256</f>
        <v/>
      </c>
      <c r="AI256" s="1238">
        <f>AH256-AC256</f>
        <v/>
      </c>
      <c r="AJ256" s="1105" t="n"/>
      <c r="AK256" s="753" t="n"/>
    </row>
    <row r="257" ht="30.2" customFormat="1" customHeight="1" s="2">
      <c r="B257" s="86" t="n"/>
      <c r="C257" s="1005" t="n"/>
      <c r="D257" s="1005" t="n"/>
      <c r="E257" s="981" t="n"/>
      <c r="F257" s="191" t="inlineStr">
        <is>
          <t>상부 LED</t>
        </is>
      </c>
      <c r="G257" s="179" t="n"/>
      <c r="H257" s="179" t="n"/>
      <c r="I257" s="1098" t="n"/>
      <c r="J257" s="1084">
        <f>G257*I257</f>
        <v/>
      </c>
      <c r="K257" s="230" t="n">
        <v>4</v>
      </c>
      <c r="L257" s="175" t="inlineStr">
        <is>
          <t>set</t>
        </is>
      </c>
      <c r="M257" s="1146" t="n">
        <v>1000000</v>
      </c>
      <c r="N257" s="1062">
        <f>K257*M257</f>
        <v/>
      </c>
      <c r="O257" s="1063">
        <f>N257-J257</f>
        <v/>
      </c>
      <c r="P257" s="230" t="n">
        <v>4</v>
      </c>
      <c r="Q257" s="175" t="inlineStr">
        <is>
          <t>set</t>
        </is>
      </c>
      <c r="R257" s="1146" t="n">
        <v>1000000</v>
      </c>
      <c r="S257" s="1062">
        <f>P257*R257</f>
        <v/>
      </c>
      <c r="T257" s="1088">
        <f>S257-N257</f>
        <v/>
      </c>
      <c r="U257" s="230" t="n">
        <v>4</v>
      </c>
      <c r="V257" s="175" t="inlineStr">
        <is>
          <t>set</t>
        </is>
      </c>
      <c r="W257" s="1146" t="n">
        <v>1000000</v>
      </c>
      <c r="X257" s="1062">
        <f>U257*W257</f>
        <v/>
      </c>
      <c r="Y257" s="1238">
        <f>X257-S257</f>
        <v/>
      </c>
      <c r="Z257" s="230" t="n">
        <v>4</v>
      </c>
      <c r="AA257" s="175" t="inlineStr">
        <is>
          <t>set</t>
        </is>
      </c>
      <c r="AB257" s="1146" t="n">
        <v>1000000</v>
      </c>
      <c r="AC257" s="1062">
        <f>Z257*AB257</f>
        <v/>
      </c>
      <c r="AD257" s="1238">
        <f>AC257-X257</f>
        <v/>
      </c>
      <c r="AE257" s="230" t="n">
        <v>4</v>
      </c>
      <c r="AF257" s="175" t="inlineStr">
        <is>
          <t>set</t>
        </is>
      </c>
      <c r="AG257" s="1146" t="n">
        <v>1000000</v>
      </c>
      <c r="AH257" s="1062">
        <f>AE257*AG257</f>
        <v/>
      </c>
      <c r="AI257" s="1238">
        <f>AH257-AC257</f>
        <v/>
      </c>
      <c r="AJ257" s="1105" t="n"/>
      <c r="AK257" s="753" t="inlineStr">
        <is>
          <t>추가항목</t>
        </is>
      </c>
    </row>
    <row r="258" ht="30.2" customFormat="1" customHeight="1" s="2">
      <c r="B258" s="86" t="n"/>
      <c r="C258" s="1005" t="n"/>
      <c r="D258" s="1005" t="n"/>
      <c r="E258" s="753" t="inlineStr">
        <is>
          <t>블루모지바(탭바)</t>
        </is>
      </c>
      <c r="F258" s="191" t="inlineStr">
        <is>
          <t>DKS 구조물</t>
        </is>
      </c>
      <c r="G258" s="179" t="n"/>
      <c r="H258" s="179" t="n"/>
      <c r="I258" s="1098" t="n"/>
      <c r="J258" s="1084">
        <f>G258*I258</f>
        <v/>
      </c>
      <c r="K258" s="230" t="n">
        <v>1</v>
      </c>
      <c r="L258" s="175" t="inlineStr">
        <is>
          <t>set</t>
        </is>
      </c>
      <c r="M258" s="1146" t="n">
        <v>4500000</v>
      </c>
      <c r="N258" s="1062">
        <f>K258*M258</f>
        <v/>
      </c>
      <c r="O258" s="1063">
        <f>N258-J258</f>
        <v/>
      </c>
      <c r="P258" s="230" t="n">
        <v>1</v>
      </c>
      <c r="Q258" s="175" t="inlineStr">
        <is>
          <t>set</t>
        </is>
      </c>
      <c r="R258" s="1146" t="n">
        <v>4500000</v>
      </c>
      <c r="S258" s="1062">
        <f>P258*R258</f>
        <v/>
      </c>
      <c r="T258" s="1088">
        <f>S258-N258</f>
        <v/>
      </c>
      <c r="U258" s="230" t="n">
        <v>1</v>
      </c>
      <c r="V258" s="175" t="inlineStr">
        <is>
          <t>set</t>
        </is>
      </c>
      <c r="W258" s="1146" t="n">
        <v>4500000</v>
      </c>
      <c r="X258" s="1062">
        <f>U258*W258</f>
        <v/>
      </c>
      <c r="Y258" s="1238">
        <f>X258-S258</f>
        <v/>
      </c>
      <c r="Z258" s="230" t="n">
        <v>1</v>
      </c>
      <c r="AA258" s="175" t="inlineStr">
        <is>
          <t>set</t>
        </is>
      </c>
      <c r="AB258" s="1146" t="n">
        <v>4500000</v>
      </c>
      <c r="AC258" s="1062">
        <f>Z258*AB258</f>
        <v/>
      </c>
      <c r="AD258" s="1238">
        <f>AC258-X258</f>
        <v/>
      </c>
      <c r="AE258" s="230" t="n">
        <v>1</v>
      </c>
      <c r="AF258" s="175" t="inlineStr">
        <is>
          <t>set</t>
        </is>
      </c>
      <c r="AG258" s="1146" t="n">
        <v>4500000</v>
      </c>
      <c r="AH258" s="1062">
        <f>AE258*AG258</f>
        <v/>
      </c>
      <c r="AI258" s="1238">
        <f>AH258-AC258</f>
        <v/>
      </c>
      <c r="AJ258" s="1105" t="n"/>
      <c r="AK258" s="1005" t="n"/>
    </row>
    <row r="259" ht="30.2" customFormat="1" customHeight="1" s="2">
      <c r="B259" s="86" t="n"/>
      <c r="C259" s="1005" t="n"/>
      <c r="D259" s="1005" t="n"/>
      <c r="E259" s="1005" t="n"/>
      <c r="F259" s="191" t="inlineStr">
        <is>
          <t>트러스 (천장 포함)</t>
        </is>
      </c>
      <c r="G259" s="179" t="n"/>
      <c r="H259" s="179" t="n"/>
      <c r="I259" s="1098" t="n"/>
      <c r="J259" s="1084">
        <f>G259*I259</f>
        <v/>
      </c>
      <c r="K259" s="230" t="n">
        <v>1</v>
      </c>
      <c r="L259" s="175" t="inlineStr">
        <is>
          <t>set</t>
        </is>
      </c>
      <c r="M259" s="1146" t="n">
        <v>2000000</v>
      </c>
      <c r="N259" s="1062">
        <f>K259*M259</f>
        <v/>
      </c>
      <c r="O259" s="1063">
        <f>N259-J259</f>
        <v/>
      </c>
      <c r="P259" s="230" t="n">
        <v>1</v>
      </c>
      <c r="Q259" s="175" t="inlineStr">
        <is>
          <t>set</t>
        </is>
      </c>
      <c r="R259" s="1146" t="n">
        <v>2000000</v>
      </c>
      <c r="S259" s="1062">
        <f>P259*R259</f>
        <v/>
      </c>
      <c r="T259" s="1088">
        <f>S259-N259</f>
        <v/>
      </c>
      <c r="U259" s="230" t="n">
        <v>1</v>
      </c>
      <c r="V259" s="175" t="inlineStr">
        <is>
          <t>set</t>
        </is>
      </c>
      <c r="W259" s="1146" t="n">
        <v>2000000</v>
      </c>
      <c r="X259" s="1062">
        <f>U259*W259</f>
        <v/>
      </c>
      <c r="Y259" s="1238">
        <f>X259-S259</f>
        <v/>
      </c>
      <c r="Z259" s="230" t="n">
        <v>1</v>
      </c>
      <c r="AA259" s="175" t="inlineStr">
        <is>
          <t>set</t>
        </is>
      </c>
      <c r="AB259" s="1146" t="n">
        <v>2000000</v>
      </c>
      <c r="AC259" s="1062">
        <f>Z259*AB259</f>
        <v/>
      </c>
      <c r="AD259" s="1238">
        <f>AC259-X259</f>
        <v/>
      </c>
      <c r="AE259" s="230" t="n">
        <v>1</v>
      </c>
      <c r="AF259" s="175" t="inlineStr">
        <is>
          <t>set</t>
        </is>
      </c>
      <c r="AG259" s="1146" t="n">
        <v>2000000</v>
      </c>
      <c r="AH259" s="1062">
        <f>AE259*AG259</f>
        <v/>
      </c>
      <c r="AI259" s="1238">
        <f>AH259-AC259</f>
        <v/>
      </c>
      <c r="AJ259" s="1105" t="n"/>
      <c r="AK259" s="1005" t="n"/>
    </row>
    <row r="260" ht="30.2" customFormat="1" customHeight="1" s="2">
      <c r="B260" s="86" t="n"/>
      <c r="C260" s="1005" t="n"/>
      <c r="D260" s="1005" t="n"/>
      <c r="E260" s="1005" t="n"/>
      <c r="F260" s="191" t="inlineStr">
        <is>
          <t>목공+ 시트</t>
        </is>
      </c>
      <c r="G260" s="179" t="n"/>
      <c r="H260" s="179" t="n"/>
      <c r="I260" s="1098" t="n"/>
      <c r="J260" s="1084">
        <f>G260*I260</f>
        <v/>
      </c>
      <c r="K260" s="230" t="n">
        <v>1</v>
      </c>
      <c r="L260" s="175" t="inlineStr">
        <is>
          <t>set</t>
        </is>
      </c>
      <c r="M260" s="1146" t="n">
        <v>6600000</v>
      </c>
      <c r="N260" s="1062">
        <f>K260*M260</f>
        <v/>
      </c>
      <c r="O260" s="1063">
        <f>N260-J260</f>
        <v/>
      </c>
      <c r="P260" s="230" t="n">
        <v>1</v>
      </c>
      <c r="Q260" s="175" t="inlineStr">
        <is>
          <t>set</t>
        </is>
      </c>
      <c r="R260" s="1146" t="n">
        <v>6600000</v>
      </c>
      <c r="S260" s="1062">
        <f>P260*R260</f>
        <v/>
      </c>
      <c r="T260" s="1088">
        <f>S260-N260</f>
        <v/>
      </c>
      <c r="U260" s="230" t="n">
        <v>1</v>
      </c>
      <c r="V260" s="175" t="inlineStr">
        <is>
          <t>set</t>
        </is>
      </c>
      <c r="W260" s="1146" t="n">
        <v>6600000</v>
      </c>
      <c r="X260" s="1062">
        <f>U260*W260</f>
        <v/>
      </c>
      <c r="Y260" s="1238">
        <f>X260-S260</f>
        <v/>
      </c>
      <c r="Z260" s="230" t="n">
        <v>1</v>
      </c>
      <c r="AA260" s="175" t="inlineStr">
        <is>
          <t>set</t>
        </is>
      </c>
      <c r="AB260" s="1146" t="n">
        <v>6600000</v>
      </c>
      <c r="AC260" s="1062">
        <f>Z260*AB260</f>
        <v/>
      </c>
      <c r="AD260" s="1238">
        <f>AC260-X260</f>
        <v/>
      </c>
      <c r="AE260" s="230" t="n">
        <v>1</v>
      </c>
      <c r="AF260" s="175" t="inlineStr">
        <is>
          <t>set</t>
        </is>
      </c>
      <c r="AG260" s="1146" t="n">
        <v>6600000</v>
      </c>
      <c r="AH260" s="1062">
        <f>AE260*AG260</f>
        <v/>
      </c>
      <c r="AI260" s="1238">
        <f>AH260-AC260</f>
        <v/>
      </c>
      <c r="AJ260" s="1105" t="n"/>
      <c r="AK260" s="1005" t="n"/>
    </row>
    <row r="261" ht="30.2" customFormat="1" customHeight="1" s="2">
      <c r="B261" s="86" t="n"/>
      <c r="C261" s="1005" t="n"/>
      <c r="D261" s="1005" t="n"/>
      <c r="E261" s="1005" t="n"/>
      <c r="F261" s="191" t="inlineStr">
        <is>
          <t>스카시 로고</t>
        </is>
      </c>
      <c r="G261" s="179" t="n"/>
      <c r="H261" s="179" t="n"/>
      <c r="I261" s="1098" t="n"/>
      <c r="J261" s="1084">
        <f>G261*I261</f>
        <v/>
      </c>
      <c r="K261" s="230" t="n">
        <v>1</v>
      </c>
      <c r="L261" s="175" t="inlineStr">
        <is>
          <t>set</t>
        </is>
      </c>
      <c r="M261" s="1146" t="n">
        <v>1200000</v>
      </c>
      <c r="N261" s="1062">
        <f>K261*M261</f>
        <v/>
      </c>
      <c r="O261" s="1063">
        <f>N261-J261</f>
        <v/>
      </c>
      <c r="P261" s="230" t="n">
        <v>1</v>
      </c>
      <c r="Q261" s="175" t="inlineStr">
        <is>
          <t>set</t>
        </is>
      </c>
      <c r="R261" s="1146" t="n">
        <v>1200000</v>
      </c>
      <c r="S261" s="1062">
        <f>P261*R261</f>
        <v/>
      </c>
      <c r="T261" s="1088">
        <f>S261-N261</f>
        <v/>
      </c>
      <c r="U261" s="230" t="n">
        <v>1</v>
      </c>
      <c r="V261" s="175" t="inlineStr">
        <is>
          <t>set</t>
        </is>
      </c>
      <c r="W261" s="1146" t="n">
        <v>1200000</v>
      </c>
      <c r="X261" s="1062">
        <f>U261*W261</f>
        <v/>
      </c>
      <c r="Y261" s="1238">
        <f>X261-S261</f>
        <v/>
      </c>
      <c r="Z261" s="230" t="n">
        <v>1</v>
      </c>
      <c r="AA261" s="175" t="inlineStr">
        <is>
          <t>set</t>
        </is>
      </c>
      <c r="AB261" s="1146" t="n">
        <v>1200000</v>
      </c>
      <c r="AC261" s="1062">
        <f>Z261*AB261</f>
        <v/>
      </c>
      <c r="AD261" s="1238">
        <f>AC261-X261</f>
        <v/>
      </c>
      <c r="AE261" s="230" t="n">
        <v>1</v>
      </c>
      <c r="AF261" s="175" t="inlineStr">
        <is>
          <t>set</t>
        </is>
      </c>
      <c r="AG261" s="1146" t="n">
        <v>1200000</v>
      </c>
      <c r="AH261" s="1062">
        <f>AE261*AG261</f>
        <v/>
      </c>
      <c r="AI261" s="1238">
        <f>AH261-AC261</f>
        <v/>
      </c>
      <c r="AJ261" s="1105" t="n"/>
      <c r="AK261" s="1005" t="n"/>
    </row>
    <row r="262" ht="30.2" customFormat="1" customHeight="1" s="2">
      <c r="B262" s="86" t="n"/>
      <c r="C262" s="1005" t="n"/>
      <c r="D262" s="1005" t="n"/>
      <c r="E262" s="1005" t="n"/>
      <c r="F262" s="191" t="inlineStr">
        <is>
          <t>상부 블루모지 (목공/시트/LED/구조보강)</t>
        </is>
      </c>
      <c r="G262" s="179" t="n"/>
      <c r="H262" s="179" t="n"/>
      <c r="I262" s="1098" t="n"/>
      <c r="J262" s="1084">
        <f>G262*I262</f>
        <v/>
      </c>
      <c r="K262" s="230" t="n">
        <v>1</v>
      </c>
      <c r="L262" s="175" t="inlineStr">
        <is>
          <t>set</t>
        </is>
      </c>
      <c r="M262" s="1146" t="n">
        <v>5000000</v>
      </c>
      <c r="N262" s="1062">
        <f>K262*M262</f>
        <v/>
      </c>
      <c r="O262" s="1063">
        <f>N262-J262</f>
        <v/>
      </c>
      <c r="P262" s="230" t="n">
        <v>1</v>
      </c>
      <c r="Q262" s="175" t="inlineStr">
        <is>
          <t>set</t>
        </is>
      </c>
      <c r="R262" s="1146" t="n">
        <v>5000000</v>
      </c>
      <c r="S262" s="1062">
        <f>P262*R262</f>
        <v/>
      </c>
      <c r="T262" s="1088">
        <f>S262-N262</f>
        <v/>
      </c>
      <c r="U262" s="230" t="n">
        <v>1</v>
      </c>
      <c r="V262" s="175" t="inlineStr">
        <is>
          <t>set</t>
        </is>
      </c>
      <c r="W262" s="1146" t="n">
        <v>5000000</v>
      </c>
      <c r="X262" s="1062">
        <f>U262*W262</f>
        <v/>
      </c>
      <c r="Y262" s="1238">
        <f>X262-S262</f>
        <v/>
      </c>
      <c r="Z262" s="230" t="n">
        <v>1</v>
      </c>
      <c r="AA262" s="175" t="inlineStr">
        <is>
          <t>set</t>
        </is>
      </c>
      <c r="AB262" s="1146" t="n">
        <v>5000000</v>
      </c>
      <c r="AC262" s="1062">
        <f>Z262*AB262</f>
        <v/>
      </c>
      <c r="AD262" s="1238">
        <f>AC262-X262</f>
        <v/>
      </c>
      <c r="AE262" s="230" t="n">
        <v>1</v>
      </c>
      <c r="AF262" s="175" t="inlineStr">
        <is>
          <t>set</t>
        </is>
      </c>
      <c r="AG262" s="1146" t="n">
        <v>5000000</v>
      </c>
      <c r="AH262" s="1062">
        <f>AE262*AG262</f>
        <v/>
      </c>
      <c r="AI262" s="1238">
        <f>AH262-AC262</f>
        <v/>
      </c>
      <c r="AJ262" s="1105" t="n"/>
      <c r="AK262" s="1005" t="n"/>
    </row>
    <row r="263" ht="30.2" customFormat="1" customHeight="1" s="2">
      <c r="B263" s="86" t="n"/>
      <c r="C263" s="1005" t="n"/>
      <c r="D263" s="981" t="n"/>
      <c r="E263" s="981" t="n"/>
      <c r="F263" s="314" t="inlineStr">
        <is>
          <t>상부 이모지 확대에 따른 추가비용 (구조보강 포함)</t>
        </is>
      </c>
      <c r="G263" s="315" t="n"/>
      <c r="H263" s="315" t="n"/>
      <c r="I263" s="1225" t="n"/>
      <c r="J263" s="1239" t="n"/>
      <c r="K263" s="326" t="n">
        <v>1</v>
      </c>
      <c r="L263" s="319" t="inlineStr">
        <is>
          <t>set</t>
        </is>
      </c>
      <c r="M263" s="1232" t="n">
        <v>7000000</v>
      </c>
      <c r="N263" s="1240">
        <f>K263*M263</f>
        <v/>
      </c>
      <c r="O263" s="1241">
        <f>N263-J263</f>
        <v/>
      </c>
      <c r="P263" s="326" t="n">
        <v>1</v>
      </c>
      <c r="Q263" s="319" t="inlineStr">
        <is>
          <t>set</t>
        </is>
      </c>
      <c r="R263" s="1232" t="n">
        <v>7000000</v>
      </c>
      <c r="S263" s="1240">
        <f>P263*R263</f>
        <v/>
      </c>
      <c r="T263" s="1227">
        <f>S263-N263</f>
        <v/>
      </c>
      <c r="U263" s="326" t="n">
        <v>1</v>
      </c>
      <c r="V263" s="319" t="inlineStr">
        <is>
          <t>set</t>
        </is>
      </c>
      <c r="W263" s="1232" t="n">
        <v>7000000</v>
      </c>
      <c r="X263" s="1240">
        <f>U263*W263</f>
        <v/>
      </c>
      <c r="Y263" s="1241">
        <f>X263-S263</f>
        <v/>
      </c>
      <c r="Z263" s="326" t="n">
        <v>1</v>
      </c>
      <c r="AA263" s="319" t="inlineStr">
        <is>
          <t>set</t>
        </is>
      </c>
      <c r="AB263" s="1232" t="n">
        <v>7000000</v>
      </c>
      <c r="AC263" s="1240">
        <f>Z263*AB263</f>
        <v/>
      </c>
      <c r="AD263" s="1241">
        <f>AC263-X263</f>
        <v/>
      </c>
      <c r="AE263" s="326" t="n">
        <v>1</v>
      </c>
      <c r="AF263" s="319" t="inlineStr">
        <is>
          <t>set</t>
        </is>
      </c>
      <c r="AG263" s="1232" t="n">
        <v>7000000</v>
      </c>
      <c r="AH263" s="1240">
        <f>AE263*AG263</f>
        <v/>
      </c>
      <c r="AI263" s="1241">
        <f>AH263-AC263</f>
        <v/>
      </c>
      <c r="AJ263" s="1228" t="n"/>
      <c r="AK263" s="1005" t="n"/>
    </row>
    <row r="264" ht="30.2" customFormat="1" customHeight="1" s="2">
      <c r="B264" s="86" t="n"/>
      <c r="C264" s="1005" t="n"/>
      <c r="D264" s="753" t="inlineStr">
        <is>
          <t>중앙통로바</t>
        </is>
      </c>
      <c r="E264" s="753" t="inlineStr">
        <is>
          <t>목구조세트</t>
        </is>
      </c>
      <c r="F264" s="191" t="inlineStr">
        <is>
          <t>바테이블 (15m 기준)</t>
        </is>
      </c>
      <c r="G264" s="179" t="n"/>
      <c r="H264" s="179" t="n"/>
      <c r="I264" s="1098" t="n"/>
      <c r="J264" s="1084">
        <f>G264*I264</f>
        <v/>
      </c>
      <c r="K264" s="230" t="n">
        <v>1</v>
      </c>
      <c r="L264" s="175" t="inlineStr">
        <is>
          <t>set</t>
        </is>
      </c>
      <c r="M264" s="1146" t="n">
        <v>5000000</v>
      </c>
      <c r="N264" s="1062">
        <f>K264*M264</f>
        <v/>
      </c>
      <c r="O264" s="1063">
        <f>N264-J264</f>
        <v/>
      </c>
      <c r="P264" s="230" t="n">
        <v>1</v>
      </c>
      <c r="Q264" s="175" t="inlineStr">
        <is>
          <t>set</t>
        </is>
      </c>
      <c r="R264" s="1146" t="n">
        <v>5000000</v>
      </c>
      <c r="S264" s="1062">
        <f>P264*R264</f>
        <v/>
      </c>
      <c r="T264" s="1088">
        <f>S264-N264</f>
        <v/>
      </c>
      <c r="U264" s="230" t="n">
        <v>1</v>
      </c>
      <c r="V264" s="175" t="inlineStr">
        <is>
          <t>set</t>
        </is>
      </c>
      <c r="W264" s="1146" t="n">
        <v>5000000</v>
      </c>
      <c r="X264" s="1062">
        <f>U264*W264</f>
        <v/>
      </c>
      <c r="Y264" s="1063">
        <f>X264-S264</f>
        <v/>
      </c>
      <c r="Z264" s="230" t="n">
        <v>1</v>
      </c>
      <c r="AA264" s="175" t="inlineStr">
        <is>
          <t>set</t>
        </is>
      </c>
      <c r="AB264" s="1146" t="n">
        <v>5000000</v>
      </c>
      <c r="AC264" s="1062">
        <f>Z264*AB264</f>
        <v/>
      </c>
      <c r="AD264" s="1063">
        <f>AC264-X264</f>
        <v/>
      </c>
      <c r="AE264" s="230" t="n">
        <v>1</v>
      </c>
      <c r="AF264" s="175" t="inlineStr">
        <is>
          <t>set</t>
        </is>
      </c>
      <c r="AG264" s="1146" t="n">
        <v>5000000</v>
      </c>
      <c r="AH264" s="1062">
        <f>AE264*AG264</f>
        <v/>
      </c>
      <c r="AI264" s="1063">
        <f>AH264-AC264</f>
        <v/>
      </c>
      <c r="AJ264" s="1105" t="n"/>
      <c r="AK264" s="1005" t="n"/>
    </row>
    <row r="265" ht="30.2" customFormat="1" customHeight="1" s="2">
      <c r="B265" s="86" t="n"/>
      <c r="C265" s="1005" t="n"/>
      <c r="D265" s="981" t="n"/>
      <c r="E265" s="981" t="n"/>
      <c r="F265" s="191" t="inlineStr">
        <is>
          <t>백월 (구조물 + 조명 + 목공 + 현수막 브랜딩)</t>
        </is>
      </c>
      <c r="G265" s="179" t="n"/>
      <c r="H265" s="179" t="n"/>
      <c r="I265" s="1098" t="n"/>
      <c r="J265" s="1084">
        <f>G265*I265</f>
        <v/>
      </c>
      <c r="K265" s="230" t="n">
        <v>1</v>
      </c>
      <c r="L265" s="175" t="inlineStr">
        <is>
          <t>set</t>
        </is>
      </c>
      <c r="M265" s="1146" t="n">
        <v>11000000</v>
      </c>
      <c r="N265" s="1062">
        <f>K265*M265</f>
        <v/>
      </c>
      <c r="O265" s="1063">
        <f>N265-J265</f>
        <v/>
      </c>
      <c r="P265" s="230" t="n">
        <v>1</v>
      </c>
      <c r="Q265" s="175" t="inlineStr">
        <is>
          <t>set</t>
        </is>
      </c>
      <c r="R265" s="1146" t="n">
        <v>11000000</v>
      </c>
      <c r="S265" s="1062">
        <f>P265*R265</f>
        <v/>
      </c>
      <c r="T265" s="1088">
        <f>S265-N265</f>
        <v/>
      </c>
      <c r="U265" s="230" t="n">
        <v>1</v>
      </c>
      <c r="V265" s="175" t="inlineStr">
        <is>
          <t>set</t>
        </is>
      </c>
      <c r="W265" s="1146" t="n">
        <v>11000000</v>
      </c>
      <c r="X265" s="1062">
        <f>U265*W265</f>
        <v/>
      </c>
      <c r="Y265" s="1063">
        <f>X265-S265</f>
        <v/>
      </c>
      <c r="Z265" s="230" t="n">
        <v>1</v>
      </c>
      <c r="AA265" s="175" t="inlineStr">
        <is>
          <t>set</t>
        </is>
      </c>
      <c r="AB265" s="1146" t="n">
        <v>11000000</v>
      </c>
      <c r="AC265" s="1062">
        <f>Z265*AB265</f>
        <v/>
      </c>
      <c r="AD265" s="1063">
        <f>AC265-X265</f>
        <v/>
      </c>
      <c r="AE265" s="230" t="n">
        <v>1</v>
      </c>
      <c r="AF265" s="175" t="inlineStr">
        <is>
          <t>set</t>
        </is>
      </c>
      <c r="AG265" s="1146" t="n">
        <v>11000000</v>
      </c>
      <c r="AH265" s="1062">
        <f>AE265*AG265</f>
        <v/>
      </c>
      <c r="AI265" s="1063">
        <f>AH265-AC265</f>
        <v/>
      </c>
      <c r="AJ265" s="1105" t="n"/>
      <c r="AK265" s="981" t="n"/>
    </row>
    <row r="266" ht="30.2" customFormat="1" customHeight="1" s="2">
      <c r="B266" s="86" t="n"/>
      <c r="C266" s="1005" t="n"/>
      <c r="D266" s="704" t="n"/>
      <c r="E266" s="704" t="n"/>
      <c r="F266" s="456" t="inlineStr">
        <is>
          <t>케그적재 창고 2SET 추가 (목공 + 현수막 브랜딩)</t>
        </is>
      </c>
      <c r="G266" s="457" t="n"/>
      <c r="H266" s="457" t="n"/>
      <c r="I266" s="1147" t="n"/>
      <c r="J266" s="1070" t="n"/>
      <c r="K266" s="459" t="n">
        <v>2</v>
      </c>
      <c r="L266" s="460" t="inlineStr">
        <is>
          <t>set</t>
        </is>
      </c>
      <c r="M266" s="1148" t="n">
        <v>1000000</v>
      </c>
      <c r="N266" s="1073">
        <f>K266*M266</f>
        <v/>
      </c>
      <c r="O266" s="1149">
        <f>N266-J266</f>
        <v/>
      </c>
      <c r="P266" s="459" t="n">
        <v>2</v>
      </c>
      <c r="Q266" s="460" t="inlineStr">
        <is>
          <t>set</t>
        </is>
      </c>
      <c r="R266" s="1148" t="n">
        <v>1000000</v>
      </c>
      <c r="S266" s="1073">
        <f>P266*R266</f>
        <v/>
      </c>
      <c r="T266" s="1075">
        <f>S266-N266</f>
        <v/>
      </c>
      <c r="U266" s="459" t="n">
        <v>2</v>
      </c>
      <c r="V266" s="460" t="inlineStr">
        <is>
          <t>set</t>
        </is>
      </c>
      <c r="W266" s="1148" t="n">
        <v>1000000</v>
      </c>
      <c r="X266" s="1073">
        <f>U266*W266</f>
        <v/>
      </c>
      <c r="Y266" s="1149">
        <f>X266-S266</f>
        <v/>
      </c>
      <c r="Z266" s="459" t="n">
        <v>2</v>
      </c>
      <c r="AA266" s="460" t="inlineStr">
        <is>
          <t>set</t>
        </is>
      </c>
      <c r="AB266" s="1148" t="n">
        <v>1000000</v>
      </c>
      <c r="AC266" s="1073">
        <f>Z266*AB266</f>
        <v/>
      </c>
      <c r="AD266" s="1149">
        <f>AC266-X266</f>
        <v/>
      </c>
      <c r="AE266" s="459" t="n">
        <v>2</v>
      </c>
      <c r="AF266" s="460" t="inlineStr">
        <is>
          <t>set</t>
        </is>
      </c>
      <c r="AG266" s="1148" t="n">
        <v>1000000</v>
      </c>
      <c r="AH266" s="1073">
        <f>AE266*AG266</f>
        <v/>
      </c>
      <c r="AI266" s="1149">
        <f>AH266-AC266</f>
        <v/>
      </c>
      <c r="AJ266" s="1150" t="n"/>
      <c r="AK266" s="488" t="n"/>
    </row>
    <row r="267" ht="30.2" customFormat="1" customHeight="1" s="2">
      <c r="B267" s="86" t="n"/>
      <c r="C267" s="1005" t="n"/>
      <c r="D267" s="753" t="inlineStr">
        <is>
          <t>MQ바</t>
        </is>
      </c>
      <c r="E267" s="105" t="inlineStr">
        <is>
          <t>목구조</t>
        </is>
      </c>
      <c r="F267" s="191" t="inlineStr">
        <is>
          <t>목공 + 현수막 브랜딩</t>
        </is>
      </c>
      <c r="G267" s="179" t="n"/>
      <c r="H267" s="179" t="n"/>
      <c r="I267" s="1098" t="n"/>
      <c r="J267" s="1084">
        <f>G267*I267</f>
        <v/>
      </c>
      <c r="K267" s="230" t="n">
        <v>6</v>
      </c>
      <c r="L267" s="175" t="inlineStr">
        <is>
          <t>set</t>
        </is>
      </c>
      <c r="M267" s="1146" t="n">
        <v>1100000</v>
      </c>
      <c r="N267" s="1062">
        <f>K267*M267</f>
        <v/>
      </c>
      <c r="O267" s="1063">
        <f>N267-J267</f>
        <v/>
      </c>
      <c r="P267" s="230" t="n">
        <v>6</v>
      </c>
      <c r="Q267" s="175" t="inlineStr">
        <is>
          <t>set</t>
        </is>
      </c>
      <c r="R267" s="1146" t="n">
        <v>1100000</v>
      </c>
      <c r="S267" s="1062">
        <f>P267*R267</f>
        <v/>
      </c>
      <c r="T267" s="1088">
        <f>S267-N267</f>
        <v/>
      </c>
      <c r="U267" s="230" t="n">
        <v>6</v>
      </c>
      <c r="V267" s="175" t="inlineStr">
        <is>
          <t>set</t>
        </is>
      </c>
      <c r="W267" s="1146" t="n">
        <v>1100000</v>
      </c>
      <c r="X267" s="1062">
        <f>U267*W267</f>
        <v/>
      </c>
      <c r="Y267" s="1063">
        <f>X267-S267</f>
        <v/>
      </c>
      <c r="Z267" s="230" t="n">
        <v>6</v>
      </c>
      <c r="AA267" s="175" t="inlineStr">
        <is>
          <t>set</t>
        </is>
      </c>
      <c r="AB267" s="1146" t="n">
        <v>1100000</v>
      </c>
      <c r="AC267" s="1062">
        <f>Z267*AB267</f>
        <v/>
      </c>
      <c r="AD267" s="1063">
        <f>AC267-X267</f>
        <v/>
      </c>
      <c r="AE267" s="230" t="n">
        <v>6</v>
      </c>
      <c r="AF267" s="175" t="inlineStr">
        <is>
          <t>set</t>
        </is>
      </c>
      <c r="AG267" s="1146" t="n">
        <v>1100000</v>
      </c>
      <c r="AH267" s="1062">
        <f>AE267*AG267</f>
        <v/>
      </c>
      <c r="AI267" s="1063">
        <f>AH267-AC267</f>
        <v/>
      </c>
      <c r="AJ267" s="1105" t="n"/>
      <c r="AK267" s="753" t="inlineStr">
        <is>
          <t>MQ텐트 렌탈 비용 별도 항복 (렌탈할목)</t>
        </is>
      </c>
    </row>
    <row r="268" ht="30.2" customFormat="1" customHeight="1" s="2">
      <c r="B268" s="86" t="n"/>
      <c r="C268" s="981" t="n"/>
      <c r="D268" s="753" t="inlineStr">
        <is>
          <t>기념품</t>
        </is>
      </c>
      <c r="E268" s="105" t="inlineStr">
        <is>
          <t>컵 바닥면 스티커</t>
        </is>
      </c>
      <c r="F268" s="191" t="inlineStr">
        <is>
          <t>투명 데드롱 스티커</t>
        </is>
      </c>
      <c r="G268" s="175" t="n"/>
      <c r="H268" s="175" t="n"/>
      <c r="I268" s="1146" t="n"/>
      <c r="J268" s="1099">
        <f>G268*I268</f>
        <v/>
      </c>
      <c r="K268" s="230" t="n">
        <v>1</v>
      </c>
      <c r="L268" s="175" t="inlineStr">
        <is>
          <t>set</t>
        </is>
      </c>
      <c r="M268" s="1146" t="n">
        <v>3000000</v>
      </c>
      <c r="N268" s="1062">
        <f>K268*M268</f>
        <v/>
      </c>
      <c r="O268" s="1063">
        <f>N268-J268</f>
        <v/>
      </c>
      <c r="P268" s="230" t="n">
        <v>1</v>
      </c>
      <c r="Q268" s="175" t="inlineStr">
        <is>
          <t>set</t>
        </is>
      </c>
      <c r="R268" s="1146" t="n">
        <v>3000000</v>
      </c>
      <c r="S268" s="1062">
        <f>P268*R268</f>
        <v/>
      </c>
      <c r="T268" s="1088">
        <f>S268-N268</f>
        <v/>
      </c>
      <c r="U268" s="230" t="n">
        <v>1</v>
      </c>
      <c r="V268" s="175" t="inlineStr">
        <is>
          <t>set</t>
        </is>
      </c>
      <c r="W268" s="1146" t="n">
        <v>3000000</v>
      </c>
      <c r="X268" s="1062">
        <f>U268*W268</f>
        <v/>
      </c>
      <c r="Y268" s="1063">
        <f>X268-S268</f>
        <v/>
      </c>
      <c r="Z268" s="230" t="n">
        <v>1</v>
      </c>
      <c r="AA268" s="175" t="inlineStr">
        <is>
          <t>set</t>
        </is>
      </c>
      <c r="AB268" s="1146" t="n">
        <v>3000000</v>
      </c>
      <c r="AC268" s="1062">
        <f>Z268*AB268</f>
        <v/>
      </c>
      <c r="AD268" s="1063">
        <f>AC268-X268</f>
        <v/>
      </c>
      <c r="AE268" s="230" t="n">
        <v>1</v>
      </c>
      <c r="AF268" s="175" t="inlineStr">
        <is>
          <t>set</t>
        </is>
      </c>
      <c r="AG268" s="1146" t="n">
        <v>3000000</v>
      </c>
      <c r="AH268" s="1062">
        <f>AE268*AG268</f>
        <v/>
      </c>
      <c r="AI268" s="1063">
        <f>AH268-AC268</f>
        <v/>
      </c>
      <c r="AJ268" s="1105" t="n"/>
      <c r="AK268" s="705" t="inlineStr">
        <is>
          <t>추가항목</t>
        </is>
      </c>
    </row>
    <row r="269" ht="32.25" customFormat="1" customHeight="1" s="2">
      <c r="B269" s="86" t="n"/>
      <c r="C269" s="1064" t="inlineStr">
        <is>
          <t>소계</t>
        </is>
      </c>
      <c r="D269" s="1053" t="n"/>
      <c r="E269" s="1053" t="n"/>
      <c r="F269" s="1053" t="n"/>
      <c r="G269" s="1053" t="n"/>
      <c r="H269" s="1053" t="n"/>
      <c r="I269" s="997" t="n"/>
      <c r="J269" s="1114">
        <f>SUM(J256:J268)</f>
        <v/>
      </c>
      <c r="K269" s="1135" t="n"/>
      <c r="L269" s="955" t="n"/>
      <c r="M269" s="949" t="n"/>
      <c r="N269" s="1116">
        <f>SUM(N256:N268)</f>
        <v/>
      </c>
      <c r="O269" s="1117">
        <f>N269-J269</f>
        <v/>
      </c>
      <c r="P269" s="1135" t="n"/>
      <c r="Q269" s="955" t="n"/>
      <c r="R269" s="949" t="n"/>
      <c r="S269" s="1116">
        <f>SUM(S256:S268)</f>
        <v/>
      </c>
      <c r="T269" s="1093">
        <f>S269-N269</f>
        <v/>
      </c>
      <c r="U269" s="1135" t="n"/>
      <c r="V269" s="955" t="n"/>
      <c r="W269" s="949" t="n"/>
      <c r="X269" s="1116">
        <f>SUM(X256:X268)</f>
        <v/>
      </c>
      <c r="Y269" s="1117">
        <f>X269-S269</f>
        <v/>
      </c>
      <c r="Z269" s="1135" t="n"/>
      <c r="AA269" s="955" t="n"/>
      <c r="AB269" s="949" t="n"/>
      <c r="AC269" s="1116">
        <f>SUM(AC256:AC268)</f>
        <v/>
      </c>
      <c r="AD269" s="1117">
        <f>AC269-X269</f>
        <v/>
      </c>
      <c r="AE269" s="1135" t="n"/>
      <c r="AF269" s="955" t="n"/>
      <c r="AG269" s="949" t="n"/>
      <c r="AH269" s="1116">
        <f>SUM(AH256:AH268)</f>
        <v/>
      </c>
      <c r="AI269" s="1117">
        <f>AH269-AC269</f>
        <v/>
      </c>
      <c r="AJ269" s="1118" t="n"/>
      <c r="AK269" s="33" t="n"/>
    </row>
    <row r="270" ht="32.25" customFormat="1" customHeight="1" s="2">
      <c r="B270" s="86" t="n"/>
      <c r="C270" s="742" t="inlineStr">
        <is>
          <t>VIP 라운지 운영</t>
        </is>
      </c>
      <c r="D270" s="753" t="inlineStr">
        <is>
          <t>추가항목</t>
        </is>
      </c>
      <c r="E270" s="433" t="inlineStr">
        <is>
          <t>케이터링</t>
        </is>
      </c>
      <c r="F270" s="456" t="inlineStr">
        <is>
          <t>핫도그 추가</t>
        </is>
      </c>
      <c r="G270" s="460" t="n"/>
      <c r="H270" s="460" t="n"/>
      <c r="I270" s="1148" t="n"/>
      <c r="J270" s="1160">
        <f>G270*I270</f>
        <v/>
      </c>
      <c r="K270" s="1201" t="n">
        <v>200</v>
      </c>
      <c r="L270" s="460" t="inlineStr">
        <is>
          <t>EA</t>
        </is>
      </c>
      <c r="M270" s="1148" t="n">
        <v>5000</v>
      </c>
      <c r="N270" s="1161">
        <f>K270*M270</f>
        <v/>
      </c>
      <c r="O270" s="1204">
        <f>N270-J270</f>
        <v/>
      </c>
      <c r="P270" s="1201" t="n">
        <v>300</v>
      </c>
      <c r="Q270" s="460" t="inlineStr">
        <is>
          <t>EA</t>
        </is>
      </c>
      <c r="R270" s="1148" t="n">
        <v>3000</v>
      </c>
      <c r="S270" s="1073">
        <f>P270*R270</f>
        <v/>
      </c>
      <c r="T270" s="1075">
        <f>S270-N270</f>
        <v/>
      </c>
      <c r="U270" s="1205" t="n">
        <v>300</v>
      </c>
      <c r="V270" s="536" t="inlineStr">
        <is>
          <t>EA</t>
        </is>
      </c>
      <c r="W270" s="1235" t="n">
        <v>3000</v>
      </c>
      <c r="X270" s="1044" t="n">
        <v>900000</v>
      </c>
      <c r="Y270" s="1208">
        <f>X270-S270</f>
        <v/>
      </c>
      <c r="Z270" s="1205" t="n">
        <v>300</v>
      </c>
      <c r="AA270" s="536" t="inlineStr">
        <is>
          <t>EA</t>
        </is>
      </c>
      <c r="AB270" s="1235" t="n">
        <v>3000</v>
      </c>
      <c r="AC270" s="1044" t="n">
        <v>900000</v>
      </c>
      <c r="AD270" s="1208">
        <f>AC270-X270</f>
        <v/>
      </c>
      <c r="AE270" s="1205" t="n">
        <v>300</v>
      </c>
      <c r="AF270" s="536" t="inlineStr">
        <is>
          <t>EA</t>
        </is>
      </c>
      <c r="AG270" s="1235" t="n">
        <v>3000</v>
      </c>
      <c r="AH270" s="1044" t="n">
        <v>900000</v>
      </c>
      <c r="AI270" s="1208">
        <f>AH270-AC270</f>
        <v/>
      </c>
      <c r="AJ270" s="1150" t="n"/>
      <c r="AK270" s="433" t="inlineStr">
        <is>
          <t>200개 기준</t>
        </is>
      </c>
    </row>
    <row r="271" ht="32.25" customFormat="1" customHeight="1" s="2">
      <c r="B271" s="86" t="n"/>
      <c r="C271" s="1006" t="n"/>
      <c r="D271" s="981" t="n"/>
      <c r="E271" s="480" t="inlineStr">
        <is>
          <t>소품 추가</t>
        </is>
      </c>
      <c r="F271" s="456" t="inlineStr">
        <is>
          <t>휴대용 선풍기(테이블 부착용)</t>
        </is>
      </c>
      <c r="G271" s="460" t="n"/>
      <c r="H271" s="460" t="n"/>
      <c r="I271" s="1148" t="n"/>
      <c r="J271" s="1160" t="n"/>
      <c r="K271" s="1201" t="n">
        <v>75</v>
      </c>
      <c r="L271" s="460" t="inlineStr">
        <is>
          <t>EA</t>
        </is>
      </c>
      <c r="M271" s="1148" t="n">
        <v>20000</v>
      </c>
      <c r="N271" s="1161">
        <f>K271*M271</f>
        <v/>
      </c>
      <c r="O271" s="1204">
        <f>N271-J271</f>
        <v/>
      </c>
      <c r="P271" s="1205" t="n">
        <v>75</v>
      </c>
      <c r="Q271" s="536" t="inlineStr">
        <is>
          <t>EA</t>
        </is>
      </c>
      <c r="R271" s="1235" t="n"/>
      <c r="S271" s="1044">
        <f>P271*R271</f>
        <v/>
      </c>
      <c r="T271" s="1081">
        <f>S271-N271</f>
        <v/>
      </c>
      <c r="U271" s="1205" t="n">
        <v>75</v>
      </c>
      <c r="V271" s="536" t="inlineStr">
        <is>
          <t>EA</t>
        </is>
      </c>
      <c r="W271" s="1235" t="n"/>
      <c r="X271" s="1044" t="n"/>
      <c r="Y271" s="1208">
        <f>X271-S271</f>
        <v/>
      </c>
      <c r="Z271" s="1205" t="n">
        <v>75</v>
      </c>
      <c r="AA271" s="536" t="inlineStr">
        <is>
          <t>EA</t>
        </is>
      </c>
      <c r="AB271" s="1235" t="n"/>
      <c r="AC271" s="1044" t="n"/>
      <c r="AD271" s="1208">
        <f>AC271-X271</f>
        <v/>
      </c>
      <c r="AE271" s="1205" t="n">
        <v>75</v>
      </c>
      <c r="AF271" s="536" t="inlineStr">
        <is>
          <t>EA</t>
        </is>
      </c>
      <c r="AG271" s="1235" t="n"/>
      <c r="AH271" s="1044" t="n"/>
      <c r="AI271" s="1208">
        <f>AH271-AC271</f>
        <v/>
      </c>
      <c r="AJ271" s="1209" t="n"/>
      <c r="AK271" s="558" t="inlineStr">
        <is>
          <t>판매용 테이블 25개기준 (테이블당 3개)</t>
        </is>
      </c>
    </row>
    <row r="272" ht="32.25" customFormat="1" customHeight="1" s="2">
      <c r="B272" s="86" t="n"/>
      <c r="C272" s="1064" t="inlineStr">
        <is>
          <t>소계</t>
        </is>
      </c>
      <c r="D272" s="1053" t="n"/>
      <c r="E272" s="1053" t="n"/>
      <c r="F272" s="1053" t="n"/>
      <c r="G272" s="1053" t="n"/>
      <c r="H272" s="1053" t="n"/>
      <c r="I272" s="997" t="n"/>
      <c r="J272" s="1114">
        <f>SUM(J270:J271)</f>
        <v/>
      </c>
      <c r="K272" s="1135" t="n"/>
      <c r="L272" s="955" t="n"/>
      <c r="M272" s="949" t="n"/>
      <c r="N272" s="1116">
        <f>SUM(N270:N271)</f>
        <v/>
      </c>
      <c r="O272" s="1117">
        <f>SUM(O270:O271)</f>
        <v/>
      </c>
      <c r="P272" s="1135" t="n"/>
      <c r="Q272" s="955" t="n"/>
      <c r="R272" s="949" t="n"/>
      <c r="S272" s="1116">
        <f>SUM(S270:S271)</f>
        <v/>
      </c>
      <c r="T272" s="1093">
        <f>S272-N272</f>
        <v/>
      </c>
      <c r="U272" s="1135" t="n"/>
      <c r="V272" s="955" t="n"/>
      <c r="W272" s="949" t="n"/>
      <c r="X272" s="1116">
        <f>SUM(X270:X271)</f>
        <v/>
      </c>
      <c r="Y272" s="1117">
        <f>X272-S272</f>
        <v/>
      </c>
      <c r="Z272" s="1135" t="n"/>
      <c r="AA272" s="955" t="n"/>
      <c r="AB272" s="949" t="n"/>
      <c r="AC272" s="1116">
        <f>SUM(AC270:AC271)</f>
        <v/>
      </c>
      <c r="AD272" s="1117">
        <f>AC272-X272</f>
        <v/>
      </c>
      <c r="AE272" s="1135" t="n"/>
      <c r="AF272" s="955" t="n"/>
      <c r="AG272" s="949" t="n"/>
      <c r="AH272" s="1116">
        <f>SUM(AH270:AH271)</f>
        <v/>
      </c>
      <c r="AI272" s="1117">
        <f>AH272-AC272</f>
        <v/>
      </c>
      <c r="AJ272" s="1118" t="n"/>
      <c r="AK272" s="60" t="n"/>
    </row>
    <row r="273" ht="30.2" customFormat="1" customHeight="1" s="2">
      <c r="B273" s="86" t="n"/>
      <c r="C273" s="753" t="inlineStr">
        <is>
          <t>MD 부스</t>
        </is>
      </c>
      <c r="D273" s="753" t="inlineStr">
        <is>
          <t>공간 구현</t>
        </is>
      </c>
      <c r="E273" s="753" t="inlineStr">
        <is>
          <t>제작물 일제</t>
        </is>
      </c>
      <c r="F273" s="191" t="inlineStr">
        <is>
          <t>구조 / 브랜딩 / 디스플레이 소품 일체</t>
        </is>
      </c>
      <c r="G273" s="175" t="n"/>
      <c r="H273" s="175" t="n"/>
      <c r="I273" s="1146" t="n"/>
      <c r="J273" s="1099">
        <f>G273*I273</f>
        <v/>
      </c>
      <c r="K273" s="1109" t="n">
        <v>1</v>
      </c>
      <c r="L273" s="175" t="inlineStr">
        <is>
          <t>set</t>
        </is>
      </c>
      <c r="M273" s="1146" t="n">
        <v>38000000</v>
      </c>
      <c r="N273" s="1112">
        <f>K273*M273</f>
        <v/>
      </c>
      <c r="O273" s="1158">
        <f>N273-J273</f>
        <v/>
      </c>
      <c r="P273" s="1109" t="n">
        <v>1</v>
      </c>
      <c r="Q273" s="175" t="inlineStr">
        <is>
          <t>set</t>
        </is>
      </c>
      <c r="R273" s="1146" t="n">
        <v>38000000</v>
      </c>
      <c r="S273" s="1112">
        <f>P273*R273</f>
        <v/>
      </c>
      <c r="T273" s="1088">
        <f>S273-N273</f>
        <v/>
      </c>
      <c r="U273" s="1109" t="n">
        <v>1</v>
      </c>
      <c r="V273" s="175" t="inlineStr">
        <is>
          <t>set</t>
        </is>
      </c>
      <c r="W273" s="1146" t="n">
        <v>38000000</v>
      </c>
      <c r="X273" s="1112">
        <f>U273*W273</f>
        <v/>
      </c>
      <c r="Y273" s="1158">
        <f>X273-S273</f>
        <v/>
      </c>
      <c r="Z273" s="1109" t="n">
        <v>1</v>
      </c>
      <c r="AA273" s="175" t="inlineStr">
        <is>
          <t>set</t>
        </is>
      </c>
      <c r="AB273" s="1146" t="n">
        <v>38000000</v>
      </c>
      <c r="AC273" s="1112">
        <f>Z273*AB273</f>
        <v/>
      </c>
      <c r="AD273" s="1158">
        <f>AC273-X273</f>
        <v/>
      </c>
      <c r="AE273" s="1109" t="n">
        <v>1</v>
      </c>
      <c r="AF273" s="175" t="inlineStr">
        <is>
          <t>set</t>
        </is>
      </c>
      <c r="AG273" s="1146" t="n">
        <v>38000000</v>
      </c>
      <c r="AH273" s="1112">
        <f>AE273*AG273</f>
        <v/>
      </c>
      <c r="AI273" s="1158">
        <f>AH273-AC273</f>
        <v/>
      </c>
      <c r="AJ273" s="1105" t="n"/>
      <c r="AK273" s="105" t="inlineStr">
        <is>
          <t>5*10기준</t>
        </is>
      </c>
    </row>
    <row r="274" ht="30.2" customFormat="1" customHeight="1" s="2">
      <c r="B274" s="86" t="n"/>
      <c r="C274" s="1005" t="n"/>
      <c r="D274" s="981" t="n"/>
      <c r="E274" s="981" t="n"/>
      <c r="F274" s="456" t="inlineStr">
        <is>
          <t>블루모지 마스크 제작</t>
        </is>
      </c>
      <c r="G274" s="460" t="n"/>
      <c r="H274" s="460" t="n"/>
      <c r="I274" s="1148" t="n"/>
      <c r="J274" s="1160" t="n"/>
      <c r="K274" s="1201" t="n">
        <v>2</v>
      </c>
      <c r="L274" s="460" t="inlineStr">
        <is>
          <t>set</t>
        </is>
      </c>
      <c r="M274" s="1148" t="n">
        <v>900000</v>
      </c>
      <c r="N274" s="1161">
        <f>K274*M274</f>
        <v/>
      </c>
      <c r="O274" s="1204">
        <f>N274-J274</f>
        <v/>
      </c>
      <c r="P274" s="1201" t="n">
        <v>2</v>
      </c>
      <c r="Q274" s="460" t="inlineStr">
        <is>
          <t>set</t>
        </is>
      </c>
      <c r="R274" s="1148" t="n">
        <v>900000</v>
      </c>
      <c r="S274" s="1161">
        <f>P274*R274</f>
        <v/>
      </c>
      <c r="T274" s="1075">
        <f>S274-N274</f>
        <v/>
      </c>
      <c r="U274" s="1201" t="n">
        <v>2</v>
      </c>
      <c r="V274" s="460" t="inlineStr">
        <is>
          <t>set</t>
        </is>
      </c>
      <c r="W274" s="1148" t="n">
        <v>900000</v>
      </c>
      <c r="X274" s="1161">
        <f>U274*W274</f>
        <v/>
      </c>
      <c r="Y274" s="1204">
        <f>X274-S274</f>
        <v/>
      </c>
      <c r="Z274" s="1201" t="n">
        <v>2</v>
      </c>
      <c r="AA274" s="460" t="inlineStr">
        <is>
          <t>set</t>
        </is>
      </c>
      <c r="AB274" s="1148" t="n">
        <v>900000</v>
      </c>
      <c r="AC274" s="1161">
        <f>Z274*AB274</f>
        <v/>
      </c>
      <c r="AD274" s="1204">
        <f>AC274-X274</f>
        <v/>
      </c>
      <c r="AE274" s="1201" t="n">
        <v>2</v>
      </c>
      <c r="AF274" s="460" t="inlineStr">
        <is>
          <t>set</t>
        </is>
      </c>
      <c r="AG274" s="1148" t="n">
        <v>900000</v>
      </c>
      <c r="AH274" s="1161">
        <f>AE274*AG274</f>
        <v/>
      </c>
      <c r="AI274" s="1204">
        <f>AH274-AC274</f>
        <v/>
      </c>
      <c r="AJ274" s="1150" t="n"/>
      <c r="AK274" s="433" t="n"/>
    </row>
    <row r="275" ht="30.2" customFormat="1" customHeight="1" s="2">
      <c r="B275" s="86" t="n"/>
      <c r="C275" s="981" t="n"/>
      <c r="D275" s="753" t="inlineStr">
        <is>
          <t>현장 운영</t>
        </is>
      </c>
      <c r="E275" s="105" t="inlineStr">
        <is>
          <t>프로모터</t>
        </is>
      </c>
      <c r="F275" s="191" t="inlineStr">
        <is>
          <t>프로그램 안내 및 참여 유도</t>
        </is>
      </c>
      <c r="G275" s="175" t="n"/>
      <c r="H275" s="175" t="n"/>
      <c r="I275" s="1146" t="n"/>
      <c r="J275" s="1099">
        <f>G275*I275</f>
        <v/>
      </c>
      <c r="K275" s="1109" t="n">
        <v>8</v>
      </c>
      <c r="L275" s="175" t="inlineStr">
        <is>
          <t>인</t>
        </is>
      </c>
      <c r="M275" s="1146" t="n">
        <v>150000</v>
      </c>
      <c r="N275" s="1112">
        <f>K275*M275</f>
        <v/>
      </c>
      <c r="O275" s="1158">
        <f>N275-J275</f>
        <v/>
      </c>
      <c r="P275" s="1109" t="n">
        <v>6</v>
      </c>
      <c r="Q275" s="175" t="inlineStr">
        <is>
          <t>인</t>
        </is>
      </c>
      <c r="R275" s="1146" t="n">
        <v>150000</v>
      </c>
      <c r="S275" s="1133">
        <f>P275*R275</f>
        <v/>
      </c>
      <c r="T275" s="1081">
        <f>S275-N275</f>
        <v/>
      </c>
      <c r="U275" s="1205" t="n">
        <v>6</v>
      </c>
      <c r="V275" s="536" t="inlineStr">
        <is>
          <t>인</t>
        </is>
      </c>
      <c r="W275" s="1235" t="n">
        <v>150000</v>
      </c>
      <c r="X275" s="1133">
        <f>U275*W275</f>
        <v/>
      </c>
      <c r="Y275" s="1208">
        <f>X275-S275</f>
        <v/>
      </c>
      <c r="Z275" s="1205" t="n">
        <v>6</v>
      </c>
      <c r="AA275" s="536" t="inlineStr">
        <is>
          <t>인</t>
        </is>
      </c>
      <c r="AB275" s="1235" t="n">
        <v>150000</v>
      </c>
      <c r="AC275" s="1133">
        <f>Z275*AB275</f>
        <v/>
      </c>
      <c r="AD275" s="1208">
        <f>AC275-X275</f>
        <v/>
      </c>
      <c r="AE275" s="1205" t="n">
        <v>6</v>
      </c>
      <c r="AF275" s="536" t="inlineStr">
        <is>
          <t>인</t>
        </is>
      </c>
      <c r="AG275" s="1235" t="n">
        <v>150000</v>
      </c>
      <c r="AH275" s="1133">
        <f>AE275*AG275</f>
        <v/>
      </c>
      <c r="AI275" s="1208">
        <f>AH275-AC275</f>
        <v/>
      </c>
      <c r="AJ275" s="1209" t="n"/>
      <c r="AK275" s="558" t="n"/>
    </row>
    <row r="276" ht="30.2" customFormat="1" customHeight="1" s="2">
      <c r="B276" s="86" t="n"/>
      <c r="C276" s="1064" t="inlineStr">
        <is>
          <t>소계</t>
        </is>
      </c>
      <c r="D276" s="1053" t="n"/>
      <c r="E276" s="1053" t="n"/>
      <c r="F276" s="1053" t="n"/>
      <c r="G276" s="1053" t="n"/>
      <c r="H276" s="1053" t="n"/>
      <c r="I276" s="997" t="n"/>
      <c r="J276" s="1114">
        <f>SUM(J273:J275)</f>
        <v/>
      </c>
      <c r="K276" s="1135" t="n"/>
      <c r="L276" s="955" t="n"/>
      <c r="M276" s="949" t="n"/>
      <c r="N276" s="1116">
        <f>SUM(N273:N275)</f>
        <v/>
      </c>
      <c r="O276" s="1117">
        <f>SUM(O273:O275)</f>
        <v/>
      </c>
      <c r="P276" s="1135" t="n"/>
      <c r="Q276" s="955" t="n"/>
      <c r="R276" s="949" t="n"/>
      <c r="S276" s="1116">
        <f>SUM(S273:S275)</f>
        <v/>
      </c>
      <c r="T276" s="1093">
        <f>S276-N276</f>
        <v/>
      </c>
      <c r="U276" s="1135" t="n"/>
      <c r="V276" s="955" t="n"/>
      <c r="W276" s="949" t="n"/>
      <c r="X276" s="1116">
        <f>SUM(X273:X275)</f>
        <v/>
      </c>
      <c r="Y276" s="1117">
        <f>X276-S276</f>
        <v/>
      </c>
      <c r="Z276" s="1135" t="n"/>
      <c r="AA276" s="955" t="n"/>
      <c r="AB276" s="949" t="n"/>
      <c r="AC276" s="1116">
        <f>SUM(AC273:AC275)</f>
        <v/>
      </c>
      <c r="AD276" s="1117">
        <f>AC276-X276</f>
        <v/>
      </c>
      <c r="AE276" s="1135" t="n"/>
      <c r="AF276" s="955" t="n"/>
      <c r="AG276" s="949" t="n"/>
      <c r="AH276" s="1116">
        <f>SUM(AH273:AH275)</f>
        <v/>
      </c>
      <c r="AI276" s="1117">
        <f>AH276-AC276</f>
        <v/>
      </c>
      <c r="AJ276" s="1118" t="n"/>
      <c r="AK276" s="60" t="n"/>
    </row>
    <row r="277" ht="30.2" customFormat="1" customHeight="1" s="2">
      <c r="B277" s="86" t="n"/>
      <c r="C277" s="753" t="inlineStr">
        <is>
          <t>기타</t>
        </is>
      </c>
      <c r="D277" s="753" t="inlineStr">
        <is>
          <t>기념품</t>
        </is>
      </c>
      <c r="E277" s="105" t="inlineStr">
        <is>
          <t>리워드 및 배포용 아이템</t>
        </is>
      </c>
      <c r="F277" s="191" t="inlineStr">
        <is>
          <t>블루모지 부채 및 문구 스티커</t>
        </is>
      </c>
      <c r="G277" s="175" t="n"/>
      <c r="H277" s="175" t="n"/>
      <c r="I277" s="1146" t="n"/>
      <c r="J277" s="1099">
        <f>G277*I277</f>
        <v/>
      </c>
      <c r="K277" s="1109" t="n">
        <v>1</v>
      </c>
      <c r="L277" s="175" t="inlineStr">
        <is>
          <t>set</t>
        </is>
      </c>
      <c r="M277" s="1146" t="n">
        <v>8000000</v>
      </c>
      <c r="N277" s="1112">
        <f>K277*M277</f>
        <v/>
      </c>
      <c r="O277" s="1158">
        <f>N277-J277</f>
        <v/>
      </c>
      <c r="P277" s="1109" t="n">
        <v>1</v>
      </c>
      <c r="Q277" s="175" t="inlineStr">
        <is>
          <t>set</t>
        </is>
      </c>
      <c r="R277" s="1146" t="n">
        <v>8000000</v>
      </c>
      <c r="S277" s="1112">
        <f>P277*R277</f>
        <v/>
      </c>
      <c r="T277" s="1088">
        <f>S277-N277</f>
        <v/>
      </c>
      <c r="U277" s="1109" t="n">
        <v>1</v>
      </c>
      <c r="V277" s="175" t="inlineStr">
        <is>
          <t>set</t>
        </is>
      </c>
      <c r="W277" s="1146" t="n">
        <v>8000000</v>
      </c>
      <c r="X277" s="1112">
        <f>U277*W277</f>
        <v/>
      </c>
      <c r="Y277" s="1158">
        <f>X277-S277</f>
        <v/>
      </c>
      <c r="Z277" s="1109" t="n">
        <v>1</v>
      </c>
      <c r="AA277" s="175" t="inlineStr">
        <is>
          <t>set</t>
        </is>
      </c>
      <c r="AB277" s="1146" t="n">
        <v>8000000</v>
      </c>
      <c r="AC277" s="1112">
        <f>Z277*AB277</f>
        <v/>
      </c>
      <c r="AD277" s="1158">
        <f>AC277-X277</f>
        <v/>
      </c>
      <c r="AE277" s="1109" t="n">
        <v>1</v>
      </c>
      <c r="AF277" s="175" t="inlineStr">
        <is>
          <t>set</t>
        </is>
      </c>
      <c r="AG277" s="1146" t="n">
        <v>8000000</v>
      </c>
      <c r="AH277" s="1112">
        <f>AE277*AG277</f>
        <v/>
      </c>
      <c r="AI277" s="1158">
        <f>AH277-AC277</f>
        <v/>
      </c>
      <c r="AJ277" s="1105" t="n"/>
      <c r="AK277" s="756" t="n"/>
    </row>
    <row r="278" ht="30.2" customFormat="1" customHeight="1" s="2">
      <c r="B278" s="86" t="n"/>
      <c r="C278" s="981" t="n"/>
      <c r="D278" s="438" t="inlineStr">
        <is>
          <t>소품제작</t>
        </is>
      </c>
      <c r="E278" s="433" t="inlineStr">
        <is>
          <t>블루모지 마스크 제작</t>
        </is>
      </c>
      <c r="F278" s="456" t="inlineStr">
        <is>
          <t>게릴라 이벤트(프로모터 착용용) 제작</t>
        </is>
      </c>
      <c r="G278" s="460" t="n"/>
      <c r="H278" s="460" t="n"/>
      <c r="I278" s="1242" t="n"/>
      <c r="J278" s="1160" t="n"/>
      <c r="K278" s="1201" t="n">
        <v>3</v>
      </c>
      <c r="L278" s="460" t="inlineStr">
        <is>
          <t>set</t>
        </is>
      </c>
      <c r="M278" s="1243" t="n">
        <v>900000</v>
      </c>
      <c r="N278" s="1161">
        <f>K278*M278</f>
        <v/>
      </c>
      <c r="O278" s="1204">
        <f>N278-J278</f>
        <v/>
      </c>
      <c r="P278" s="1201" t="n">
        <v>4</v>
      </c>
      <c r="Q278" s="460" t="inlineStr">
        <is>
          <t>set</t>
        </is>
      </c>
      <c r="R278" s="1243" t="n">
        <v>900000</v>
      </c>
      <c r="S278" s="1161">
        <f>P278*R278</f>
        <v/>
      </c>
      <c r="T278" s="1075">
        <f>S278-N278</f>
        <v/>
      </c>
      <c r="U278" s="1201" t="n">
        <v>4</v>
      </c>
      <c r="V278" s="460" t="inlineStr">
        <is>
          <t>set</t>
        </is>
      </c>
      <c r="W278" s="1243" t="n">
        <v>900000</v>
      </c>
      <c r="X278" s="1161">
        <f>U278*W278</f>
        <v/>
      </c>
      <c r="Y278" s="1204">
        <f>X278-S278</f>
        <v/>
      </c>
      <c r="Z278" s="1201" t="n">
        <v>4</v>
      </c>
      <c r="AA278" s="460" t="inlineStr">
        <is>
          <t>set</t>
        </is>
      </c>
      <c r="AB278" s="1243" t="n">
        <v>900000</v>
      </c>
      <c r="AC278" s="1161">
        <f>Z278*AB278</f>
        <v/>
      </c>
      <c r="AD278" s="1204">
        <f>AC278-X278</f>
        <v/>
      </c>
      <c r="AE278" s="1201" t="n">
        <v>4</v>
      </c>
      <c r="AF278" s="460" t="inlineStr">
        <is>
          <t>set</t>
        </is>
      </c>
      <c r="AG278" s="1243" t="n">
        <v>900000</v>
      </c>
      <c r="AH278" s="1161">
        <f>AE278*AG278</f>
        <v/>
      </c>
      <c r="AI278" s="1204">
        <f>AH278-AC278</f>
        <v/>
      </c>
      <c r="AJ278" s="1150" t="n"/>
      <c r="AK278" s="494" t="n"/>
    </row>
    <row r="279" ht="32.25" customFormat="1" customHeight="1" s="2">
      <c r="B279" s="86" t="n"/>
      <c r="C279" s="1064" t="inlineStr">
        <is>
          <t>소계</t>
        </is>
      </c>
      <c r="D279" s="1053" t="n"/>
      <c r="E279" s="1053" t="n"/>
      <c r="F279" s="1053" t="n"/>
      <c r="G279" s="1053" t="n"/>
      <c r="H279" s="1053" t="n"/>
      <c r="I279" s="997" t="n"/>
      <c r="J279" s="1114">
        <f>SUM(J277:J277)</f>
        <v/>
      </c>
      <c r="K279" s="1135" t="n"/>
      <c r="L279" s="955" t="n"/>
      <c r="M279" s="949" t="n"/>
      <c r="N279" s="1116">
        <f>SUM(N277:N278)</f>
        <v/>
      </c>
      <c r="O279" s="1117">
        <f>SUM(O277:O278)</f>
        <v/>
      </c>
      <c r="P279" s="1135" t="n"/>
      <c r="Q279" s="955" t="n"/>
      <c r="R279" s="949" t="n"/>
      <c r="S279" s="1116">
        <f>SUM(S277:S278)</f>
        <v/>
      </c>
      <c r="T279" s="1093">
        <f>S279-N279</f>
        <v/>
      </c>
      <c r="U279" s="1135" t="n"/>
      <c r="V279" s="955" t="n"/>
      <c r="W279" s="949" t="n"/>
      <c r="X279" s="1116">
        <f>SUM(X277:X278)</f>
        <v/>
      </c>
      <c r="Y279" s="1117">
        <f>SUM(Y277:Y278)</f>
        <v/>
      </c>
      <c r="Z279" s="1135" t="n"/>
      <c r="AA279" s="955" t="n"/>
      <c r="AB279" s="949" t="n"/>
      <c r="AC279" s="1116">
        <f>SUM(AC277:AC278)</f>
        <v/>
      </c>
      <c r="AD279" s="1117">
        <f>SUM(AD277:AD278)</f>
        <v/>
      </c>
      <c r="AE279" s="1135" t="n"/>
      <c r="AF279" s="955" t="n"/>
      <c r="AG279" s="949" t="n"/>
      <c r="AH279" s="1116">
        <f>SUM(AH277:AH278)</f>
        <v/>
      </c>
      <c r="AI279" s="1117">
        <f>SUM(AI277:AI278)</f>
        <v/>
      </c>
      <c r="AJ279" s="1118" t="n"/>
      <c r="AK279" s="60" t="n"/>
    </row>
    <row r="280" ht="30.2" customHeight="1" s="972">
      <c r="B280" s="875" t="inlineStr">
        <is>
          <t>5. 프로그램 소계</t>
        </is>
      </c>
      <c r="C280" s="955" t="n"/>
      <c r="D280" s="955" t="n"/>
      <c r="E280" s="955" t="n"/>
      <c r="F280" s="955" t="n"/>
      <c r="G280" s="955" t="n"/>
      <c r="H280" s="955" t="n"/>
      <c r="I280" s="949" t="n"/>
      <c r="J280" s="1009">
        <f>SUM(J279+J276+J269+J255+J248+J244+J240+J234+J227+J220+J213+J203+J199+J192+J185)</f>
        <v/>
      </c>
      <c r="K280" s="1137" t="n"/>
      <c r="L280" s="955" t="n"/>
      <c r="M280" s="949" t="n"/>
      <c r="N280" s="1011">
        <f>N185+N192+N199+N203+N213+N220+N227+N234+N240+N244+N248+N255+N269+N276+N279+N272</f>
        <v/>
      </c>
      <c r="O280" s="1244">
        <f>O185+O192+O199+O203+O213+O220+O227+O234+O240+O244+O248+O255+O269+O276+O279+O272</f>
        <v/>
      </c>
      <c r="P280" s="1137" t="n"/>
      <c r="Q280" s="955" t="n"/>
      <c r="R280" s="949" t="n"/>
      <c r="S280" s="1011">
        <f>S185+S192+S199+S203+S213+S220+S227+S234+S240+S244+S248+S255+S269+S276+S279+S272</f>
        <v/>
      </c>
      <c r="T280" s="1012">
        <f>S280-N280</f>
        <v/>
      </c>
      <c r="U280" s="1137" t="n"/>
      <c r="V280" s="955" t="n"/>
      <c r="W280" s="949" t="n"/>
      <c r="X280" s="1011">
        <f>X185+X192+X199+X203+X213+X220+X227+X234+X240+X244+X248+X255+X269+X276+X279+X272</f>
        <v/>
      </c>
      <c r="Y280" s="1244">
        <f>X280-S280</f>
        <v/>
      </c>
      <c r="Z280" s="1137" t="n"/>
      <c r="AA280" s="955" t="n"/>
      <c r="AB280" s="949" t="n"/>
      <c r="AC280" s="1011">
        <f>AC185+AC192+AC199+AC203+AC213+AC220+AC227+AC234+AC240+AC244+AC248+AC255+AC269+AC276+AC279+AC272</f>
        <v/>
      </c>
      <c r="AD280" s="1244">
        <f>AC280-X280</f>
        <v/>
      </c>
      <c r="AE280" s="1137" t="n"/>
      <c r="AF280" s="955" t="n"/>
      <c r="AG280" s="949" t="n"/>
      <c r="AH280" s="1011">
        <f>AH185+AH192+AH199+AH203+AH213+AH220+AH227+AH234+AH240+AH244+AH248+AH255+AH269+AH276+AH279+AH272</f>
        <v/>
      </c>
      <c r="AI280" s="1244">
        <f>AH280-AC280</f>
        <v/>
      </c>
      <c r="AJ280" s="1097" t="n"/>
      <c r="AK280" s="57" t="n"/>
    </row>
    <row r="281" ht="30.2" customFormat="1" customHeight="1" s="2">
      <c r="B281" s="819" t="inlineStr">
        <is>
          <t>6 운영</t>
        </is>
      </c>
      <c r="C281" s="823" t="inlineStr">
        <is>
          <t>운영 인건비</t>
        </is>
      </c>
      <c r="D281" s="823" t="inlineStr">
        <is>
          <t>사전 운영</t>
        </is>
      </c>
      <c r="E281" s="822" t="inlineStr">
        <is>
          <t>제작물 작업</t>
        </is>
      </c>
      <c r="F281" s="58" t="inlineStr">
        <is>
          <t>티켓 패킹 인건비</t>
        </is>
      </c>
      <c r="G281" s="162" t="n">
        <v>30</v>
      </c>
      <c r="H281" s="162" t="inlineStr">
        <is>
          <t>인</t>
        </is>
      </c>
      <c r="I281" s="1126" t="n">
        <v>150000</v>
      </c>
      <c r="J281" s="999">
        <f>G281*I281</f>
        <v/>
      </c>
      <c r="K281" s="229" t="n">
        <v>30</v>
      </c>
      <c r="L281" s="24" t="inlineStr">
        <is>
          <t>인</t>
        </is>
      </c>
      <c r="M281" s="1128" t="n">
        <v>150000</v>
      </c>
      <c r="N281" s="1002">
        <f>K281*M281</f>
        <v/>
      </c>
      <c r="O281" s="1164">
        <f>N281-J281</f>
        <v/>
      </c>
      <c r="P281" s="229" t="n">
        <v>30</v>
      </c>
      <c r="Q281" s="24" t="inlineStr">
        <is>
          <t>인</t>
        </is>
      </c>
      <c r="R281" s="1128" t="n">
        <v>150000</v>
      </c>
      <c r="S281" s="1002">
        <f>P281*R281</f>
        <v/>
      </c>
      <c r="T281" s="1003">
        <f>S281-N281</f>
        <v/>
      </c>
      <c r="U281" s="229" t="n">
        <v>30</v>
      </c>
      <c r="V281" s="24" t="inlineStr">
        <is>
          <t>인</t>
        </is>
      </c>
      <c r="W281" s="1128" t="n">
        <v>150000</v>
      </c>
      <c r="X281" s="1002">
        <f>U281*W281</f>
        <v/>
      </c>
      <c r="Y281" s="1164">
        <f>X281-S281</f>
        <v/>
      </c>
      <c r="Z281" s="229" t="n">
        <v>30</v>
      </c>
      <c r="AA281" s="24" t="inlineStr">
        <is>
          <t>인</t>
        </is>
      </c>
      <c r="AB281" s="1128" t="n">
        <v>150000</v>
      </c>
      <c r="AC281" s="1002">
        <f>Z281*AB281</f>
        <v/>
      </c>
      <c r="AD281" s="1164">
        <f>AC281-X281</f>
        <v/>
      </c>
      <c r="AE281" s="229" t="n">
        <v>30</v>
      </c>
      <c r="AF281" s="24" t="inlineStr">
        <is>
          <t>인</t>
        </is>
      </c>
      <c r="AG281" s="1128" t="n">
        <v>150000</v>
      </c>
      <c r="AH281" s="1002">
        <f>AE281*AG281</f>
        <v/>
      </c>
      <c r="AI281" s="1164">
        <f>AH281-AC281</f>
        <v/>
      </c>
      <c r="AJ281" s="1004" t="n"/>
      <c r="AK281" s="823" t="n"/>
    </row>
    <row r="282" ht="30.2" customFormat="1" customHeight="1" s="2">
      <c r="B282" s="1005" t="n"/>
      <c r="C282" s="1005" t="n"/>
      <c r="D282" s="981" t="n"/>
      <c r="E282" s="981" t="n"/>
      <c r="F282" s="58" t="inlineStr">
        <is>
          <t>티켓 발송 인건비</t>
        </is>
      </c>
      <c r="G282" s="162" t="n">
        <v>30</v>
      </c>
      <c r="H282" s="162" t="inlineStr">
        <is>
          <t>인</t>
        </is>
      </c>
      <c r="I282" s="1126" t="n">
        <v>150000</v>
      </c>
      <c r="J282" s="999">
        <f>G282*I282</f>
        <v/>
      </c>
      <c r="K282" s="229" t="n">
        <v>30</v>
      </c>
      <c r="L282" s="24" t="inlineStr">
        <is>
          <t>인</t>
        </is>
      </c>
      <c r="M282" s="1128" t="n">
        <v>150000</v>
      </c>
      <c r="N282" s="1002">
        <f>K282*M282</f>
        <v/>
      </c>
      <c r="O282" s="1164">
        <f>N282-J282</f>
        <v/>
      </c>
      <c r="P282" s="229" t="n">
        <v>30</v>
      </c>
      <c r="Q282" s="24" t="inlineStr">
        <is>
          <t>인</t>
        </is>
      </c>
      <c r="R282" s="1128" t="n">
        <v>150000</v>
      </c>
      <c r="S282" s="1002">
        <f>P282*R282</f>
        <v/>
      </c>
      <c r="T282" s="1003">
        <f>S282-N282</f>
        <v/>
      </c>
      <c r="U282" s="229" t="n">
        <v>30</v>
      </c>
      <c r="V282" s="24" t="inlineStr">
        <is>
          <t>인</t>
        </is>
      </c>
      <c r="W282" s="1128" t="n">
        <v>150000</v>
      </c>
      <c r="X282" s="1002">
        <f>U282*W282</f>
        <v/>
      </c>
      <c r="Y282" s="1164">
        <f>X282-S282</f>
        <v/>
      </c>
      <c r="Z282" s="229" t="n">
        <v>30</v>
      </c>
      <c r="AA282" s="24" t="inlineStr">
        <is>
          <t>인</t>
        </is>
      </c>
      <c r="AB282" s="1128" t="n">
        <v>150000</v>
      </c>
      <c r="AC282" s="1002">
        <f>Z282*AB282</f>
        <v/>
      </c>
      <c r="AD282" s="1164">
        <f>AC282-X282</f>
        <v/>
      </c>
      <c r="AE282" s="229" t="n">
        <v>30</v>
      </c>
      <c r="AF282" s="24" t="inlineStr">
        <is>
          <t>인</t>
        </is>
      </c>
      <c r="AG282" s="1128" t="n">
        <v>150000</v>
      </c>
      <c r="AH282" s="1002">
        <f>AE282*AG282</f>
        <v/>
      </c>
      <c r="AI282" s="1164">
        <f>AH282-AC282</f>
        <v/>
      </c>
      <c r="AJ282" s="1004" t="n"/>
      <c r="AK282" s="823" t="n"/>
    </row>
    <row r="283" ht="30.2" customFormat="1" customHeight="1" s="2">
      <c r="B283" s="1005" t="n"/>
      <c r="C283" s="1005" t="n"/>
      <c r="D283" s="823" t="inlineStr">
        <is>
          <t>현장 운영</t>
        </is>
      </c>
      <c r="E283" s="822" t="inlineStr">
        <is>
          <t xml:space="preserve">그라운드 운영 </t>
        </is>
      </c>
      <c r="F283" s="58" t="inlineStr">
        <is>
          <t xml:space="preserve">세팅/진행/철수 운영 인력 </t>
        </is>
      </c>
      <c r="G283" s="162" t="n">
        <v>1</v>
      </c>
      <c r="H283" s="162" t="inlineStr">
        <is>
          <t>set</t>
        </is>
      </c>
      <c r="I283" s="1126" t="n">
        <v>35000000</v>
      </c>
      <c r="J283" s="999">
        <f>G283*I283</f>
        <v/>
      </c>
      <c r="K283" s="229" t="n">
        <v>1</v>
      </c>
      <c r="L283" s="24" t="inlineStr">
        <is>
          <t>set</t>
        </is>
      </c>
      <c r="M283" s="1128" t="n">
        <v>35000000</v>
      </c>
      <c r="N283" s="1002">
        <f>K283*M283</f>
        <v/>
      </c>
      <c r="O283" s="1164">
        <f>N283-J283</f>
        <v/>
      </c>
      <c r="P283" s="229" t="n">
        <v>1</v>
      </c>
      <c r="Q283" s="24" t="inlineStr">
        <is>
          <t>set</t>
        </is>
      </c>
      <c r="R283" s="1128" t="n">
        <v>35000000</v>
      </c>
      <c r="S283" s="1002">
        <f>P283*R283</f>
        <v/>
      </c>
      <c r="T283" s="1003">
        <f>S283-N283</f>
        <v/>
      </c>
      <c r="U283" s="229" t="n">
        <v>1</v>
      </c>
      <c r="V283" s="24" t="inlineStr">
        <is>
          <t>set</t>
        </is>
      </c>
      <c r="W283" s="1128" t="n">
        <v>35000000</v>
      </c>
      <c r="X283" s="1002">
        <f>U283*W283</f>
        <v/>
      </c>
      <c r="Y283" s="1164">
        <f>X283-S283</f>
        <v/>
      </c>
      <c r="Z283" s="229" t="n">
        <v>1</v>
      </c>
      <c r="AA283" s="24" t="inlineStr">
        <is>
          <t>set</t>
        </is>
      </c>
      <c r="AB283" s="1128" t="n">
        <v>35000000</v>
      </c>
      <c r="AC283" s="1002">
        <f>Z283*AB283</f>
        <v/>
      </c>
      <c r="AD283" s="1164">
        <f>AC283-X283</f>
        <v/>
      </c>
      <c r="AE283" s="229" t="n">
        <v>1</v>
      </c>
      <c r="AF283" s="24" t="inlineStr">
        <is>
          <t>set</t>
        </is>
      </c>
      <c r="AG283" s="1128" t="n">
        <v>35000000</v>
      </c>
      <c r="AH283" s="1002">
        <f>AE283*AG283</f>
        <v/>
      </c>
      <c r="AI283" s="1164">
        <f>AH283-AC283</f>
        <v/>
      </c>
      <c r="AJ283" s="1004" t="n"/>
      <c r="AK283" s="823" t="n"/>
    </row>
    <row r="284" ht="26.25" customFormat="1" customHeight="1" s="2">
      <c r="B284" s="1005" t="n"/>
      <c r="C284" s="1005" t="n"/>
      <c r="D284" s="1005" t="n"/>
      <c r="E284" s="822" t="inlineStr">
        <is>
          <t>경호</t>
        </is>
      </c>
      <c r="F284" s="58" t="inlineStr">
        <is>
          <t xml:space="preserve">세팅/진행/철수 경호 인력 </t>
        </is>
      </c>
      <c r="G284" s="162" t="n">
        <v>1</v>
      </c>
      <c r="H284" s="162" t="inlineStr">
        <is>
          <t>set</t>
        </is>
      </c>
      <c r="I284" s="1126" t="n">
        <v>50000000</v>
      </c>
      <c r="J284" s="999">
        <f>G284*I284</f>
        <v/>
      </c>
      <c r="K284" s="229" t="n">
        <v>1</v>
      </c>
      <c r="L284" s="24" t="inlineStr">
        <is>
          <t>set</t>
        </is>
      </c>
      <c r="M284" s="1128" t="n">
        <v>50000000</v>
      </c>
      <c r="N284" s="1002">
        <f>K284*M284</f>
        <v/>
      </c>
      <c r="O284" s="1164">
        <f>N284-J284</f>
        <v/>
      </c>
      <c r="P284" s="229" t="n">
        <v>1</v>
      </c>
      <c r="Q284" s="24" t="inlineStr">
        <is>
          <t>set</t>
        </is>
      </c>
      <c r="R284" s="1128" t="n">
        <v>50000000</v>
      </c>
      <c r="S284" s="1002">
        <f>P284*R284</f>
        <v/>
      </c>
      <c r="T284" s="1003">
        <f>S284-N284</f>
        <v/>
      </c>
      <c r="U284" s="229" t="n">
        <v>1</v>
      </c>
      <c r="V284" s="24" t="inlineStr">
        <is>
          <t>set</t>
        </is>
      </c>
      <c r="W284" s="1128" t="n">
        <v>50000000</v>
      </c>
      <c r="X284" s="1002">
        <f>U284*W284</f>
        <v/>
      </c>
      <c r="Y284" s="1164">
        <f>X284-S284</f>
        <v/>
      </c>
      <c r="Z284" s="229" t="n">
        <v>1</v>
      </c>
      <c r="AA284" s="24" t="inlineStr">
        <is>
          <t>set</t>
        </is>
      </c>
      <c r="AB284" s="1128" t="n">
        <v>50000000</v>
      </c>
      <c r="AC284" s="1002">
        <f>Z284*AB284</f>
        <v/>
      </c>
      <c r="AD284" s="1164">
        <f>AC284-X284</f>
        <v/>
      </c>
      <c r="AE284" s="229" t="n">
        <v>1</v>
      </c>
      <c r="AF284" s="24" t="inlineStr">
        <is>
          <t>set</t>
        </is>
      </c>
      <c r="AG284" s="1128" t="n">
        <v>50000000</v>
      </c>
      <c r="AH284" s="1002">
        <f>AE284*AG284</f>
        <v/>
      </c>
      <c r="AI284" s="1164">
        <f>AH284-AC284</f>
        <v/>
      </c>
      <c r="AJ284" s="1004" t="n"/>
      <c r="AK284" s="823" t="n"/>
    </row>
    <row r="285" customFormat="1" s="40">
      <c r="B285" s="1005" t="n"/>
      <c r="C285" s="1005" t="n"/>
      <c r="D285" s="1005" t="n"/>
      <c r="E285" s="822" t="inlineStr">
        <is>
          <t>청소</t>
        </is>
      </c>
      <c r="F285" s="58" t="inlineStr">
        <is>
          <t>전문 청소 팀</t>
        </is>
      </c>
      <c r="G285" s="162" t="n">
        <v>1</v>
      </c>
      <c r="H285" s="162" t="inlineStr">
        <is>
          <t>set</t>
        </is>
      </c>
      <c r="I285" s="1126" t="n">
        <v>5000000</v>
      </c>
      <c r="J285" s="999">
        <f>G285*I285</f>
        <v/>
      </c>
      <c r="K285" s="229" t="n">
        <v>1</v>
      </c>
      <c r="L285" s="24" t="inlineStr">
        <is>
          <t>set</t>
        </is>
      </c>
      <c r="M285" s="1128" t="n">
        <v>5000000</v>
      </c>
      <c r="N285" s="1002">
        <f>K285*M285</f>
        <v/>
      </c>
      <c r="O285" s="1164">
        <f>N285-J285</f>
        <v/>
      </c>
      <c r="P285" s="229" t="n">
        <v>1</v>
      </c>
      <c r="Q285" s="24" t="inlineStr">
        <is>
          <t>set</t>
        </is>
      </c>
      <c r="R285" s="1128" t="n">
        <v>5000000</v>
      </c>
      <c r="S285" s="1002">
        <f>P285*R285</f>
        <v/>
      </c>
      <c r="T285" s="1003">
        <f>S285-N285</f>
        <v/>
      </c>
      <c r="U285" s="229" t="n">
        <v>1</v>
      </c>
      <c r="V285" s="24" t="inlineStr">
        <is>
          <t>set</t>
        </is>
      </c>
      <c r="W285" s="1128" t="n">
        <v>5000000</v>
      </c>
      <c r="X285" s="1002">
        <f>U285*W285</f>
        <v/>
      </c>
      <c r="Y285" s="1164">
        <f>X285-S285</f>
        <v/>
      </c>
      <c r="Z285" s="229" t="n">
        <v>1</v>
      </c>
      <c r="AA285" s="24" t="inlineStr">
        <is>
          <t>set</t>
        </is>
      </c>
      <c r="AB285" s="1128" t="n">
        <v>5000000</v>
      </c>
      <c r="AC285" s="1002">
        <f>Z285*AB285</f>
        <v/>
      </c>
      <c r="AD285" s="1164">
        <f>AC285-X285</f>
        <v/>
      </c>
      <c r="AE285" s="229" t="n">
        <v>1</v>
      </c>
      <c r="AF285" s="24" t="inlineStr">
        <is>
          <t>set</t>
        </is>
      </c>
      <c r="AG285" s="1128" t="n">
        <v>5000000</v>
      </c>
      <c r="AH285" s="1002">
        <f>AE285*AG285</f>
        <v/>
      </c>
      <c r="AI285" s="1164">
        <f>AH285-AC285</f>
        <v/>
      </c>
      <c r="AJ285" s="1004" t="n"/>
      <c r="AK285" s="823" t="n"/>
    </row>
    <row r="286" ht="30.2" customHeight="1" s="972">
      <c r="B286" s="1005" t="n"/>
      <c r="C286" s="1005" t="n"/>
      <c r="D286" s="1005" t="n"/>
      <c r="E286" s="822" t="inlineStr">
        <is>
          <t>미디어</t>
        </is>
      </c>
      <c r="F286" s="58" t="inlineStr">
        <is>
          <t>포토그래퍼</t>
        </is>
      </c>
      <c r="G286" s="162" t="n">
        <v>5</v>
      </c>
      <c r="H286" s="162" t="inlineStr">
        <is>
          <t>인</t>
        </is>
      </c>
      <c r="I286" s="1126" t="n">
        <v>1500000</v>
      </c>
      <c r="J286" s="999">
        <f>G286*I286</f>
        <v/>
      </c>
      <c r="K286" s="229" t="n">
        <v>5</v>
      </c>
      <c r="L286" s="24" t="inlineStr">
        <is>
          <t>인</t>
        </is>
      </c>
      <c r="M286" s="1128" t="n">
        <v>1500000</v>
      </c>
      <c r="N286" s="1002">
        <f>K286*M286</f>
        <v/>
      </c>
      <c r="O286" s="1164">
        <f>N286-J286</f>
        <v/>
      </c>
      <c r="P286" s="229" t="n">
        <v>5</v>
      </c>
      <c r="Q286" s="24" t="inlineStr">
        <is>
          <t>인</t>
        </is>
      </c>
      <c r="R286" s="1128" t="n">
        <v>1500000</v>
      </c>
      <c r="S286" s="1002">
        <f>P286*R286</f>
        <v/>
      </c>
      <c r="T286" s="1003">
        <f>S286-N286</f>
        <v/>
      </c>
      <c r="U286" s="229" t="n">
        <v>5</v>
      </c>
      <c r="V286" s="24" t="inlineStr">
        <is>
          <t>인</t>
        </is>
      </c>
      <c r="W286" s="1128" t="n">
        <v>1500000</v>
      </c>
      <c r="X286" s="1002">
        <f>U286*W286</f>
        <v/>
      </c>
      <c r="Y286" s="1164">
        <f>X286-S286</f>
        <v/>
      </c>
      <c r="Z286" s="229" t="n">
        <v>5</v>
      </c>
      <c r="AA286" s="24" t="inlineStr">
        <is>
          <t>인</t>
        </is>
      </c>
      <c r="AB286" s="1128" t="n">
        <v>1500000</v>
      </c>
      <c r="AC286" s="1002">
        <f>Z286*AB286</f>
        <v/>
      </c>
      <c r="AD286" s="1164">
        <f>AC286-X286</f>
        <v/>
      </c>
      <c r="AE286" s="229" t="n">
        <v>5</v>
      </c>
      <c r="AF286" s="24" t="inlineStr">
        <is>
          <t>인</t>
        </is>
      </c>
      <c r="AG286" s="1128" t="n">
        <v>1500000</v>
      </c>
      <c r="AH286" s="1002">
        <f>AE286*AG286</f>
        <v/>
      </c>
      <c r="AI286" s="1164">
        <f>AH286-AC286</f>
        <v/>
      </c>
      <c r="AJ286" s="1004" t="n"/>
      <c r="AK286" s="823" t="n"/>
    </row>
    <row r="287" ht="30.2" customHeight="1" s="972">
      <c r="B287" s="1005" t="n"/>
      <c r="C287" s="1005" t="n"/>
      <c r="D287" s="1005" t="n"/>
      <c r="E287" s="981" t="n"/>
      <c r="F287" s="58" t="inlineStr">
        <is>
          <t>에프터무비 영상 팀</t>
        </is>
      </c>
      <c r="G287" s="162" t="n">
        <v>1</v>
      </c>
      <c r="H287" s="162" t="inlineStr">
        <is>
          <t>set</t>
        </is>
      </c>
      <c r="I287" s="1126" t="n">
        <v>20000000</v>
      </c>
      <c r="J287" s="999">
        <f>G287*I287</f>
        <v/>
      </c>
      <c r="K287" s="229" t="n">
        <v>1</v>
      </c>
      <c r="L287" s="24" t="inlineStr">
        <is>
          <t>set</t>
        </is>
      </c>
      <c r="M287" s="1128" t="n">
        <v>20000000</v>
      </c>
      <c r="N287" s="1002">
        <f>K287*M287</f>
        <v/>
      </c>
      <c r="O287" s="1164">
        <f>N287-J287</f>
        <v/>
      </c>
      <c r="P287" s="229" t="n">
        <v>1</v>
      </c>
      <c r="Q287" s="24" t="inlineStr">
        <is>
          <t>set</t>
        </is>
      </c>
      <c r="R287" s="1128" t="n">
        <v>20000000</v>
      </c>
      <c r="S287" s="1002">
        <f>P287*R287</f>
        <v/>
      </c>
      <c r="T287" s="1003">
        <f>S287-N287</f>
        <v/>
      </c>
      <c r="U287" s="229" t="n">
        <v>1</v>
      </c>
      <c r="V287" s="24" t="inlineStr">
        <is>
          <t>set</t>
        </is>
      </c>
      <c r="W287" s="1128" t="n">
        <v>20000000</v>
      </c>
      <c r="X287" s="1002">
        <f>U287*W287</f>
        <v/>
      </c>
      <c r="Y287" s="1164">
        <f>X287-S287</f>
        <v/>
      </c>
      <c r="Z287" s="229" t="n">
        <v>1</v>
      </c>
      <c r="AA287" s="24" t="inlineStr">
        <is>
          <t>set</t>
        </is>
      </c>
      <c r="AB287" s="1128" t="n">
        <v>20000000</v>
      </c>
      <c r="AC287" s="1002">
        <f>Z287*AB287</f>
        <v/>
      </c>
      <c r="AD287" s="1164">
        <f>AC287-X287</f>
        <v/>
      </c>
      <c r="AE287" s="229" t="n">
        <v>1</v>
      </c>
      <c r="AF287" s="24" t="inlineStr">
        <is>
          <t>set</t>
        </is>
      </c>
      <c r="AG287" s="1128" t="n">
        <v>20000000</v>
      </c>
      <c r="AH287" s="1002">
        <f>AE287*AG287</f>
        <v/>
      </c>
      <c r="AI287" s="1164">
        <f>AH287-AC287</f>
        <v/>
      </c>
      <c r="AJ287" s="1004" t="n"/>
      <c r="AK287" s="823" t="n"/>
    </row>
    <row r="288" ht="42.75" customFormat="1" customHeight="1" s="2">
      <c r="B288" s="1005" t="n"/>
      <c r="C288" s="1005" t="n"/>
      <c r="D288" s="1005" t="n"/>
      <c r="E288" s="822" t="inlineStr">
        <is>
          <t>스테이지 크루</t>
        </is>
      </c>
      <c r="F288" s="73" t="inlineStr">
        <is>
          <t>연출 1 무대감독 4  프러덕션 매니져 2 토크백 연출용 무선인터컴 렌탈</t>
        </is>
      </c>
      <c r="G288" s="162" t="n">
        <v>1</v>
      </c>
      <c r="H288" s="162" t="inlineStr">
        <is>
          <t>식</t>
        </is>
      </c>
      <c r="I288" s="1126" t="n">
        <v>10000000</v>
      </c>
      <c r="J288" s="999" t="n">
        <v>10000000</v>
      </c>
      <c r="K288" s="229" t="n">
        <v>1</v>
      </c>
      <c r="L288" s="24" t="inlineStr">
        <is>
          <t>식</t>
        </is>
      </c>
      <c r="M288" s="1128" t="n">
        <v>10000000</v>
      </c>
      <c r="N288" s="1002">
        <f>K288*M288</f>
        <v/>
      </c>
      <c r="O288" s="1164">
        <f>N288-J288</f>
        <v/>
      </c>
      <c r="P288" s="229" t="n">
        <v>1</v>
      </c>
      <c r="Q288" s="24" t="inlineStr">
        <is>
          <t>식</t>
        </is>
      </c>
      <c r="R288" s="1128" t="n">
        <v>10000000</v>
      </c>
      <c r="S288" s="1002">
        <f>P288*R288</f>
        <v/>
      </c>
      <c r="T288" s="1003">
        <f>S288-N288</f>
        <v/>
      </c>
      <c r="U288" s="229" t="n">
        <v>1</v>
      </c>
      <c r="V288" s="24" t="inlineStr">
        <is>
          <t>식</t>
        </is>
      </c>
      <c r="W288" s="1128" t="n">
        <v>10000000</v>
      </c>
      <c r="X288" s="1002">
        <f>U288*W288</f>
        <v/>
      </c>
      <c r="Y288" s="1164">
        <f>X288-S288</f>
        <v/>
      </c>
      <c r="Z288" s="229" t="n">
        <v>1</v>
      </c>
      <c r="AA288" s="24" t="inlineStr">
        <is>
          <t>식</t>
        </is>
      </c>
      <c r="AB288" s="1128" t="n">
        <v>10000000</v>
      </c>
      <c r="AC288" s="1002">
        <f>Z288*AB288</f>
        <v/>
      </c>
      <c r="AD288" s="1164">
        <f>AC288-X288</f>
        <v/>
      </c>
      <c r="AE288" s="229" t="n">
        <v>1</v>
      </c>
      <c r="AF288" s="24" t="inlineStr">
        <is>
          <t>식</t>
        </is>
      </c>
      <c r="AG288" s="1128" t="n">
        <v>10000000</v>
      </c>
      <c r="AH288" s="1002">
        <f>AE288*AG288</f>
        <v/>
      </c>
      <c r="AI288" s="1164">
        <f>AH288-AC288</f>
        <v/>
      </c>
      <c r="AJ288" s="1004" t="n"/>
      <c r="AK288" s="823" t="n"/>
    </row>
    <row r="289" ht="45.75" customFormat="1" customHeight="1" s="2">
      <c r="B289" s="1005" t="n"/>
      <c r="C289" s="1005" t="n"/>
      <c r="D289" s="1005" t="n"/>
      <c r="E289" s="1005" t="n"/>
      <c r="F289" s="72" t="inlineStr">
        <is>
          <t>특수효과 운영 오퍼레이터 /설치 운송인력 / 하론소화기 및 방재인력</t>
        </is>
      </c>
      <c r="G289" s="1030" t="n">
        <v>1</v>
      </c>
      <c r="H289" s="1028" t="inlineStr">
        <is>
          <t>Team</t>
        </is>
      </c>
      <c r="I289" s="1022" t="n">
        <v>5000000</v>
      </c>
      <c r="J289" s="999">
        <f>G289*I289</f>
        <v/>
      </c>
      <c r="K289" s="1031" t="n">
        <v>1</v>
      </c>
      <c r="L289" s="1029" t="inlineStr">
        <is>
          <t>Team</t>
        </is>
      </c>
      <c r="M289" s="1024" t="n">
        <v>5000000</v>
      </c>
      <c r="N289" s="1002">
        <f>K289*M289</f>
        <v/>
      </c>
      <c r="O289" s="1164">
        <f>N289-J289</f>
        <v/>
      </c>
      <c r="P289" s="1031" t="n">
        <v>1</v>
      </c>
      <c r="Q289" s="1029" t="inlineStr">
        <is>
          <t>Team</t>
        </is>
      </c>
      <c r="R289" s="1024" t="n">
        <v>5000000</v>
      </c>
      <c r="S289" s="1002">
        <f>P289*R289</f>
        <v/>
      </c>
      <c r="T289" s="1003">
        <f>S289-N289</f>
        <v/>
      </c>
      <c r="U289" s="1031" t="n">
        <v>1</v>
      </c>
      <c r="V289" s="1029" t="inlineStr">
        <is>
          <t>Team</t>
        </is>
      </c>
      <c r="W289" s="1024" t="n">
        <v>5000000</v>
      </c>
      <c r="X289" s="1002">
        <f>U289*W289</f>
        <v/>
      </c>
      <c r="Y289" s="1164">
        <f>X289-S289</f>
        <v/>
      </c>
      <c r="Z289" s="1031" t="n">
        <v>1</v>
      </c>
      <c r="AA289" s="1029" t="inlineStr">
        <is>
          <t>Team</t>
        </is>
      </c>
      <c r="AB289" s="1024" t="n">
        <v>5000000</v>
      </c>
      <c r="AC289" s="1002">
        <f>Z289*AB289</f>
        <v/>
      </c>
      <c r="AD289" s="1164">
        <f>AC289-X289</f>
        <v/>
      </c>
      <c r="AE289" s="1031" t="n">
        <v>1</v>
      </c>
      <c r="AF289" s="1029" t="inlineStr">
        <is>
          <t>Team</t>
        </is>
      </c>
      <c r="AG289" s="1024" t="n">
        <v>5000000</v>
      </c>
      <c r="AH289" s="1002">
        <f>AE289*AG289</f>
        <v/>
      </c>
      <c r="AI289" s="1164">
        <f>AH289-AC289</f>
        <v/>
      </c>
      <c r="AJ289" s="1004" t="n"/>
      <c r="AK289" s="823" t="n"/>
    </row>
    <row r="290" ht="30.2" customFormat="1" customHeight="1" s="2">
      <c r="B290" s="1005" t="n"/>
      <c r="C290" s="1005" t="n"/>
      <c r="D290" s="1005" t="n"/>
      <c r="E290" s="1005" t="n"/>
      <c r="F290" s="68" t="inlineStr">
        <is>
          <t>중계 프로듀서 , 카메라 감독, 스위쳐, 운영인력 [리허설포함 2일]</t>
        </is>
      </c>
      <c r="G290" s="1020" t="n">
        <v>2</v>
      </c>
      <c r="H290" s="1028" t="inlineStr">
        <is>
          <t>식</t>
        </is>
      </c>
      <c r="I290" s="1022" t="n">
        <v>3000000</v>
      </c>
      <c r="J290" s="999">
        <f>G290*I290</f>
        <v/>
      </c>
      <c r="K290" s="1023" t="n">
        <v>2</v>
      </c>
      <c r="L290" s="1029" t="inlineStr">
        <is>
          <t>식</t>
        </is>
      </c>
      <c r="M290" s="1024" t="n">
        <v>3000000</v>
      </c>
      <c r="N290" s="1002">
        <f>K290*M290</f>
        <v/>
      </c>
      <c r="O290" s="1164">
        <f>N290-J290</f>
        <v/>
      </c>
      <c r="P290" s="1023" t="n">
        <v>2</v>
      </c>
      <c r="Q290" s="1029" t="inlineStr">
        <is>
          <t>식</t>
        </is>
      </c>
      <c r="R290" s="1024" t="n">
        <v>3000000</v>
      </c>
      <c r="S290" s="1002">
        <f>P290*R290</f>
        <v/>
      </c>
      <c r="T290" s="1003">
        <f>S290-N290</f>
        <v/>
      </c>
      <c r="U290" s="1023" t="n">
        <v>2</v>
      </c>
      <c r="V290" s="1029" t="inlineStr">
        <is>
          <t>식</t>
        </is>
      </c>
      <c r="W290" s="1024" t="n">
        <v>3000000</v>
      </c>
      <c r="X290" s="1002">
        <f>U290*W290</f>
        <v/>
      </c>
      <c r="Y290" s="1164">
        <f>X290-S290</f>
        <v/>
      </c>
      <c r="Z290" s="1023" t="n">
        <v>2</v>
      </c>
      <c r="AA290" s="1029" t="inlineStr">
        <is>
          <t>식</t>
        </is>
      </c>
      <c r="AB290" s="1024" t="n">
        <v>3000000</v>
      </c>
      <c r="AC290" s="1002">
        <f>Z290*AB290</f>
        <v/>
      </c>
      <c r="AD290" s="1164">
        <f>AC290-X290</f>
        <v/>
      </c>
      <c r="AE290" s="1023" t="n">
        <v>2</v>
      </c>
      <c r="AF290" s="1029" t="inlineStr">
        <is>
          <t>식</t>
        </is>
      </c>
      <c r="AG290" s="1024" t="n">
        <v>3000000</v>
      </c>
      <c r="AH290" s="1002">
        <f>AE290*AG290</f>
        <v/>
      </c>
      <c r="AI290" s="1164">
        <f>AH290-AC290</f>
        <v/>
      </c>
      <c r="AJ290" s="1004" t="n"/>
      <c r="AK290" s="823" t="n"/>
    </row>
    <row r="291" ht="30.2" customFormat="1" customHeight="1" s="2">
      <c r="B291" s="1005" t="n"/>
      <c r="C291" s="1005" t="n"/>
      <c r="D291" s="1005" t="n"/>
      <c r="E291" s="1005" t="n"/>
      <c r="F291" s="68" t="inlineStr">
        <is>
          <t>영상 운영 오퍼레이터</t>
        </is>
      </c>
      <c r="G291" s="1245" t="n">
        <v>1</v>
      </c>
      <c r="H291" s="1246" t="inlineStr">
        <is>
          <t>ea</t>
        </is>
      </c>
      <c r="I291" s="1022" t="n">
        <v>3000000</v>
      </c>
      <c r="J291" s="999">
        <f>G291*I291</f>
        <v/>
      </c>
      <c r="K291" s="1247" t="n">
        <v>1</v>
      </c>
      <c r="L291" s="1248" t="inlineStr">
        <is>
          <t>ea</t>
        </is>
      </c>
      <c r="M291" s="1024" t="n">
        <v>3000000</v>
      </c>
      <c r="N291" s="1002">
        <f>K291*M291</f>
        <v/>
      </c>
      <c r="O291" s="1164">
        <f>N291-J291</f>
        <v/>
      </c>
      <c r="P291" s="1247" t="n">
        <v>1</v>
      </c>
      <c r="Q291" s="1248" t="inlineStr">
        <is>
          <t>ea</t>
        </is>
      </c>
      <c r="R291" s="1024" t="n">
        <v>3000000</v>
      </c>
      <c r="S291" s="1002">
        <f>P291*R291</f>
        <v/>
      </c>
      <c r="T291" s="1003">
        <f>S291-N291</f>
        <v/>
      </c>
      <c r="U291" s="1247" t="n">
        <v>1</v>
      </c>
      <c r="V291" s="1248" t="inlineStr">
        <is>
          <t>ea</t>
        </is>
      </c>
      <c r="W291" s="1024" t="n">
        <v>3000000</v>
      </c>
      <c r="X291" s="1002">
        <f>U291*W291</f>
        <v/>
      </c>
      <c r="Y291" s="1164">
        <f>X291-S291</f>
        <v/>
      </c>
      <c r="Z291" s="1247" t="n">
        <v>1</v>
      </c>
      <c r="AA291" s="1248" t="inlineStr">
        <is>
          <t>ea</t>
        </is>
      </c>
      <c r="AB291" s="1024" t="n">
        <v>3000000</v>
      </c>
      <c r="AC291" s="1002">
        <f>Z291*AB291</f>
        <v/>
      </c>
      <c r="AD291" s="1164">
        <f>AC291-X291</f>
        <v/>
      </c>
      <c r="AE291" s="1247" t="n">
        <v>1</v>
      </c>
      <c r="AF291" s="1248" t="inlineStr">
        <is>
          <t>ea</t>
        </is>
      </c>
      <c r="AG291" s="1024" t="n">
        <v>3000000</v>
      </c>
      <c r="AH291" s="1002">
        <f>AE291*AG291</f>
        <v/>
      </c>
      <c r="AI291" s="1164">
        <f>AH291-AC291</f>
        <v/>
      </c>
      <c r="AJ291" s="1004" t="n"/>
      <c r="AK291" s="823" t="n"/>
    </row>
    <row r="292" ht="30.2" customFormat="1" customHeight="1" s="2">
      <c r="B292" s="1005" t="n"/>
      <c r="C292" s="981" t="n"/>
      <c r="D292" s="981" t="n"/>
      <c r="E292" s="981" t="n"/>
      <c r="F292" s="68" t="inlineStr">
        <is>
          <t>음향 인건비(오퍼레이팅, 무대 인력)</t>
        </is>
      </c>
      <c r="G292" s="1020" t="n">
        <v>1</v>
      </c>
      <c r="H292" s="141" t="inlineStr">
        <is>
          <t>Team</t>
        </is>
      </c>
      <c r="I292" s="1022" t="n">
        <v>5000000</v>
      </c>
      <c r="J292" s="999">
        <f>G292*I292</f>
        <v/>
      </c>
      <c r="K292" s="1023" t="n">
        <v>1</v>
      </c>
      <c r="L292" s="67" t="inlineStr">
        <is>
          <t>Team</t>
        </is>
      </c>
      <c r="M292" s="1024" t="n">
        <v>5000000</v>
      </c>
      <c r="N292" s="1002">
        <f>K292*M292</f>
        <v/>
      </c>
      <c r="O292" s="1164">
        <f>N292-J292</f>
        <v/>
      </c>
      <c r="P292" s="1023" t="n">
        <v>1</v>
      </c>
      <c r="Q292" s="67" t="inlineStr">
        <is>
          <t>Team</t>
        </is>
      </c>
      <c r="R292" s="1024" t="n">
        <v>5000000</v>
      </c>
      <c r="S292" s="1002">
        <f>P292*R292</f>
        <v/>
      </c>
      <c r="T292" s="1003">
        <f>S292-N292</f>
        <v/>
      </c>
      <c r="U292" s="1023" t="n">
        <v>1</v>
      </c>
      <c r="V292" s="67" t="inlineStr">
        <is>
          <t>Team</t>
        </is>
      </c>
      <c r="W292" s="1024" t="n">
        <v>5000000</v>
      </c>
      <c r="X292" s="1002">
        <f>U292*W292</f>
        <v/>
      </c>
      <c r="Y292" s="1164">
        <f>X292-S292</f>
        <v/>
      </c>
      <c r="Z292" s="1023" t="n">
        <v>1</v>
      </c>
      <c r="AA292" s="67" t="inlineStr">
        <is>
          <t>Team</t>
        </is>
      </c>
      <c r="AB292" s="1024" t="n">
        <v>5000000</v>
      </c>
      <c r="AC292" s="1002">
        <f>Z292*AB292</f>
        <v/>
      </c>
      <c r="AD292" s="1164">
        <f>AC292-X292</f>
        <v/>
      </c>
      <c r="AE292" s="1023" t="n">
        <v>1</v>
      </c>
      <c r="AF292" s="67" t="inlineStr">
        <is>
          <t>Team</t>
        </is>
      </c>
      <c r="AG292" s="1024" t="n">
        <v>5000000</v>
      </c>
      <c r="AH292" s="1002">
        <f>AE292*AG292</f>
        <v/>
      </c>
      <c r="AI292" s="1164">
        <f>AH292-AC292</f>
        <v/>
      </c>
      <c r="AJ292" s="1004" t="n"/>
      <c r="AK292" s="823" t="n"/>
    </row>
    <row r="293" ht="30.2" customFormat="1" customHeight="1" s="2">
      <c r="B293" s="1005" t="n"/>
      <c r="C293" s="874" t="inlineStr">
        <is>
          <t>소계</t>
        </is>
      </c>
      <c r="D293" s="955" t="n"/>
      <c r="E293" s="955" t="n"/>
      <c r="F293" s="955" t="n"/>
      <c r="G293" s="955" t="n"/>
      <c r="H293" s="955" t="n"/>
      <c r="I293" s="949" t="n"/>
      <c r="J293" s="1114">
        <f>SUM(J281:J292)</f>
        <v/>
      </c>
      <c r="K293" s="1135" t="n"/>
      <c r="L293" s="955" t="n"/>
      <c r="M293" s="949" t="n"/>
      <c r="N293" s="1116">
        <f>SUM(N281:N292)</f>
        <v/>
      </c>
      <c r="O293" s="1196">
        <f>SUM(O281:O292)</f>
        <v/>
      </c>
      <c r="P293" s="1135" t="n"/>
      <c r="Q293" s="955" t="n"/>
      <c r="R293" s="949" t="n"/>
      <c r="S293" s="1116">
        <f>SUM(S281:S292)</f>
        <v/>
      </c>
      <c r="T293" s="1093">
        <f>S293-N293</f>
        <v/>
      </c>
      <c r="U293" s="1135" t="n"/>
      <c r="V293" s="955" t="n"/>
      <c r="W293" s="949" t="n"/>
      <c r="X293" s="1116">
        <f>SUM(X281:X292)</f>
        <v/>
      </c>
      <c r="Y293" s="1196">
        <f>SUM(Y281:Y292)</f>
        <v/>
      </c>
      <c r="Z293" s="1135" t="n"/>
      <c r="AA293" s="955" t="n"/>
      <c r="AB293" s="949" t="n"/>
      <c r="AC293" s="1116">
        <f>SUM(AC281:AC292)</f>
        <v/>
      </c>
      <c r="AD293" s="1196">
        <f>SUM(AD281:AD292)</f>
        <v/>
      </c>
      <c r="AE293" s="1135" t="n"/>
      <c r="AF293" s="955" t="n"/>
      <c r="AG293" s="949" t="n"/>
      <c r="AH293" s="1116">
        <f>SUM(AH281:AH292)</f>
        <v/>
      </c>
      <c r="AI293" s="1196">
        <f>SUM(AI281:AI292)</f>
        <v/>
      </c>
      <c r="AJ293" s="1118" t="n"/>
      <c r="AK293" s="33" t="n"/>
    </row>
    <row r="294" ht="30.2" customFormat="1" customHeight="1" s="2">
      <c r="B294" s="1005" t="n"/>
      <c r="C294" s="823" t="inlineStr">
        <is>
          <t>제반 및 렌탈</t>
        </is>
      </c>
      <c r="D294" s="823" t="inlineStr">
        <is>
          <t>제반</t>
        </is>
      </c>
      <c r="E294" s="23" t="inlineStr">
        <is>
          <t>간선</t>
        </is>
      </c>
      <c r="F294" s="58" t="inlineStr">
        <is>
          <t>행사장 전반적인 간선 작업</t>
        </is>
      </c>
      <c r="G294" s="162" t="n">
        <v>1</v>
      </c>
      <c r="H294" s="162" t="inlineStr">
        <is>
          <t>set</t>
        </is>
      </c>
      <c r="I294" s="1126" t="n">
        <v>35000000</v>
      </c>
      <c r="J294" s="999">
        <f>G294*I294</f>
        <v/>
      </c>
      <c r="K294" s="229" t="n">
        <v>1</v>
      </c>
      <c r="L294" s="24" t="inlineStr">
        <is>
          <t>set</t>
        </is>
      </c>
      <c r="M294" s="1128" t="n">
        <v>35000000</v>
      </c>
      <c r="N294" s="1002">
        <f>K294*M294</f>
        <v/>
      </c>
      <c r="O294" s="1164">
        <f>N294-J294</f>
        <v/>
      </c>
      <c r="P294" s="229" t="n">
        <v>1</v>
      </c>
      <c r="Q294" s="24" t="inlineStr">
        <is>
          <t>set</t>
        </is>
      </c>
      <c r="R294" s="1128" t="n">
        <v>35000000</v>
      </c>
      <c r="S294" s="1002">
        <f>P294*R294</f>
        <v/>
      </c>
      <c r="T294" s="1003">
        <f>S294-N294</f>
        <v/>
      </c>
      <c r="U294" s="229" t="n">
        <v>1</v>
      </c>
      <c r="V294" s="24" t="inlineStr">
        <is>
          <t>set</t>
        </is>
      </c>
      <c r="W294" s="1128" t="n">
        <v>35000000</v>
      </c>
      <c r="X294" s="1002">
        <f>U294*W294</f>
        <v/>
      </c>
      <c r="Y294" s="1164">
        <f>X294-S294</f>
        <v/>
      </c>
      <c r="Z294" s="229" t="n">
        <v>1</v>
      </c>
      <c r="AA294" s="24" t="inlineStr">
        <is>
          <t>set</t>
        </is>
      </c>
      <c r="AB294" s="1128" t="n">
        <v>35000000</v>
      </c>
      <c r="AC294" s="1002">
        <f>Z294*AB294</f>
        <v/>
      </c>
      <c r="AD294" s="1164">
        <f>AC294-X294</f>
        <v/>
      </c>
      <c r="AE294" s="229" t="n">
        <v>1</v>
      </c>
      <c r="AF294" s="24" t="inlineStr">
        <is>
          <t>set</t>
        </is>
      </c>
      <c r="AG294" s="1128" t="n">
        <v>35000000</v>
      </c>
      <c r="AH294" s="1002">
        <f>AE294*AG294</f>
        <v/>
      </c>
      <c r="AI294" s="1164">
        <f>AH294-AC294</f>
        <v/>
      </c>
      <c r="AJ294" s="1165" t="n"/>
      <c r="AK294" s="823" t="n"/>
    </row>
    <row r="295" ht="30.2" customFormat="1" customHeight="1" s="2">
      <c r="B295" s="1005" t="n"/>
      <c r="C295" s="1005" t="n"/>
      <c r="D295" s="1005" t="n"/>
      <c r="E295" s="105" t="inlineStr">
        <is>
          <t>간선 추가</t>
        </is>
      </c>
      <c r="F295" s="191" t="inlineStr">
        <is>
          <t>컨텐츠 추가에 따른 추가 간선</t>
        </is>
      </c>
      <c r="G295" s="179" t="n"/>
      <c r="H295" s="179" t="n"/>
      <c r="I295" s="1098" t="n"/>
      <c r="J295" s="1099">
        <f>G295*I295</f>
        <v/>
      </c>
      <c r="K295" s="230" t="n">
        <v>1</v>
      </c>
      <c r="L295" s="175" t="inlineStr">
        <is>
          <t>set</t>
        </is>
      </c>
      <c r="M295" s="1146" t="n">
        <v>5000000</v>
      </c>
      <c r="N295" s="1112">
        <f>K295*M295</f>
        <v/>
      </c>
      <c r="O295" s="1158">
        <f>N295-J295</f>
        <v/>
      </c>
      <c r="P295" s="230" t="n">
        <v>1</v>
      </c>
      <c r="Q295" s="175" t="inlineStr">
        <is>
          <t>set</t>
        </is>
      </c>
      <c r="R295" s="1146" t="n">
        <v>5000000</v>
      </c>
      <c r="S295" s="1112">
        <f>P295*R295</f>
        <v/>
      </c>
      <c r="T295" s="1088">
        <f>S295-N295</f>
        <v/>
      </c>
      <c r="U295" s="230" t="n">
        <v>1</v>
      </c>
      <c r="V295" s="175" t="inlineStr">
        <is>
          <t>set</t>
        </is>
      </c>
      <c r="W295" s="1146" t="n">
        <v>5000000</v>
      </c>
      <c r="X295" s="1112">
        <f>U295*W295</f>
        <v/>
      </c>
      <c r="Y295" s="1158">
        <f>X295-T295</f>
        <v/>
      </c>
      <c r="Z295" s="230" t="n">
        <v>1</v>
      </c>
      <c r="AA295" s="175" t="inlineStr">
        <is>
          <t>set</t>
        </is>
      </c>
      <c r="AB295" s="1146" t="n">
        <v>5000000</v>
      </c>
      <c r="AC295" s="1112">
        <f>Z295*AB295</f>
        <v/>
      </c>
      <c r="AD295" s="1158">
        <f>AC295-Y295</f>
        <v/>
      </c>
      <c r="AE295" s="230" t="n">
        <v>1</v>
      </c>
      <c r="AF295" s="175" t="inlineStr">
        <is>
          <t>set</t>
        </is>
      </c>
      <c r="AG295" s="1146" t="n">
        <v>5000000</v>
      </c>
      <c r="AH295" s="1112">
        <f>AE295*AG295</f>
        <v/>
      </c>
      <c r="AI295" s="1158">
        <f>AH295-AD295</f>
        <v/>
      </c>
      <c r="AJ295" s="1159" t="n"/>
      <c r="AK295" s="753" t="inlineStr">
        <is>
          <t>추가항목</t>
        </is>
      </c>
    </row>
    <row r="296" ht="30.2" customFormat="1" customHeight="1" s="2">
      <c r="B296" s="1005" t="n"/>
      <c r="C296" s="1005" t="n"/>
      <c r="D296" s="1005" t="n"/>
      <c r="E296" s="23" t="inlineStr">
        <is>
          <t>포스 및 인터넷</t>
        </is>
      </c>
      <c r="F296" s="58" t="inlineStr">
        <is>
          <t>포스 및 인터넷</t>
        </is>
      </c>
      <c r="G296" s="162" t="n">
        <v>1</v>
      </c>
      <c r="H296" s="162" t="inlineStr">
        <is>
          <t>set</t>
        </is>
      </c>
      <c r="I296" s="1126" t="n">
        <v>25000000</v>
      </c>
      <c r="J296" s="999">
        <f>G296*I296</f>
        <v/>
      </c>
      <c r="K296" s="229" t="n">
        <v>1</v>
      </c>
      <c r="L296" s="24" t="inlineStr">
        <is>
          <t>set</t>
        </is>
      </c>
      <c r="M296" s="1128" t="n">
        <v>25000000</v>
      </c>
      <c r="N296" s="1002">
        <f>K296*M296</f>
        <v/>
      </c>
      <c r="O296" s="1164">
        <f>N296-J296</f>
        <v/>
      </c>
      <c r="P296" s="229" t="n">
        <v>1</v>
      </c>
      <c r="Q296" s="24" t="inlineStr">
        <is>
          <t>set</t>
        </is>
      </c>
      <c r="R296" s="1128" t="n">
        <v>25000000</v>
      </c>
      <c r="S296" s="1002">
        <f>P296*R296</f>
        <v/>
      </c>
      <c r="T296" s="1003">
        <f>S296-N296</f>
        <v/>
      </c>
      <c r="U296" s="229" t="n">
        <v>1</v>
      </c>
      <c r="V296" s="24" t="inlineStr">
        <is>
          <t>set</t>
        </is>
      </c>
      <c r="W296" s="1128" t="n">
        <v>25000000</v>
      </c>
      <c r="X296" s="1002">
        <f>U296*W296</f>
        <v/>
      </c>
      <c r="Y296" s="1164">
        <f>X296-S296</f>
        <v/>
      </c>
      <c r="Z296" s="229" t="n">
        <v>1</v>
      </c>
      <c r="AA296" s="24" t="inlineStr">
        <is>
          <t>set</t>
        </is>
      </c>
      <c r="AB296" s="1128" t="n">
        <v>25000000</v>
      </c>
      <c r="AC296" s="1002">
        <f>Z296*AB296</f>
        <v/>
      </c>
      <c r="AD296" s="1164">
        <f>AC296-X296</f>
        <v/>
      </c>
      <c r="AE296" s="229" t="n">
        <v>1</v>
      </c>
      <c r="AF296" s="24" t="inlineStr">
        <is>
          <t>set</t>
        </is>
      </c>
      <c r="AG296" s="1128" t="n">
        <v>25000000</v>
      </c>
      <c r="AH296" s="1002">
        <f>AE296*AG296</f>
        <v/>
      </c>
      <c r="AI296" s="1164">
        <f>AH296-AC296</f>
        <v/>
      </c>
      <c r="AJ296" s="1165" t="n"/>
      <c r="AK296" s="823" t="n"/>
    </row>
    <row r="297" ht="38.25" customFormat="1" customHeight="1" s="2">
      <c r="B297" s="1005" t="n"/>
      <c r="C297" s="1005" t="n"/>
      <c r="D297" s="1005" t="n"/>
      <c r="E297" s="23" t="inlineStr">
        <is>
          <t>발전차</t>
        </is>
      </c>
      <c r="F297" s="73" t="inlineStr">
        <is>
          <t>셋팅 / 리허설 / 본공연 /  철수 / 유류비 포함  300kw</t>
        </is>
      </c>
      <c r="G297" s="1249" t="n">
        <v>16</v>
      </c>
      <c r="H297" s="1028" t="inlineStr">
        <is>
          <t>ea</t>
        </is>
      </c>
      <c r="I297" s="1014" t="n">
        <v>1500000</v>
      </c>
      <c r="J297" s="999">
        <f>G297*I297</f>
        <v/>
      </c>
      <c r="K297" s="1250" t="n">
        <v>16</v>
      </c>
      <c r="L297" s="1029" t="inlineStr">
        <is>
          <t>ea</t>
        </is>
      </c>
      <c r="M297" s="1017" t="n">
        <v>1500000</v>
      </c>
      <c r="N297" s="1002">
        <f>K297*M297</f>
        <v/>
      </c>
      <c r="O297" s="1164">
        <f>N297-J297</f>
        <v/>
      </c>
      <c r="P297" s="1250" t="n">
        <v>16</v>
      </c>
      <c r="Q297" s="1029" t="inlineStr">
        <is>
          <t>ea</t>
        </is>
      </c>
      <c r="R297" s="1017" t="n">
        <v>1500000</v>
      </c>
      <c r="S297" s="1002">
        <f>P297*R297</f>
        <v/>
      </c>
      <c r="T297" s="1003">
        <f>S297-N297</f>
        <v/>
      </c>
      <c r="U297" s="1250" t="n">
        <v>16</v>
      </c>
      <c r="V297" s="1029" t="inlineStr">
        <is>
          <t>ea</t>
        </is>
      </c>
      <c r="W297" s="1017" t="n">
        <v>1500000</v>
      </c>
      <c r="X297" s="1002">
        <f>U297*W297</f>
        <v/>
      </c>
      <c r="Y297" s="1164">
        <f>X297-S297</f>
        <v/>
      </c>
      <c r="Z297" s="1250" t="n">
        <v>16</v>
      </c>
      <c r="AA297" s="1029" t="inlineStr">
        <is>
          <t>ea</t>
        </is>
      </c>
      <c r="AB297" s="1017" t="n">
        <v>1500000</v>
      </c>
      <c r="AC297" s="1002">
        <f>Z297*AB297</f>
        <v/>
      </c>
      <c r="AD297" s="1164">
        <f>AC297-X297</f>
        <v/>
      </c>
      <c r="AE297" s="1250" t="n">
        <v>16</v>
      </c>
      <c r="AF297" s="1029" t="inlineStr">
        <is>
          <t>ea</t>
        </is>
      </c>
      <c r="AG297" s="1017" t="n">
        <v>1500000</v>
      </c>
      <c r="AH297" s="1002">
        <f>AE297*AG297</f>
        <v/>
      </c>
      <c r="AI297" s="1164">
        <f>AH297-AC297</f>
        <v/>
      </c>
      <c r="AJ297" s="1165" t="n"/>
      <c r="AK297" s="823" t="n"/>
    </row>
    <row r="298" ht="38.25" customFormat="1" customHeight="1" s="2">
      <c r="B298" s="1005" t="n"/>
      <c r="C298" s="1005" t="n"/>
      <c r="D298" s="981" t="n"/>
      <c r="E298" s="105" t="inlineStr">
        <is>
          <t>발전차 추가</t>
        </is>
      </c>
      <c r="F298" s="201" t="inlineStr">
        <is>
          <t>컨텐츠 추가에 따른 발전차 추가</t>
        </is>
      </c>
      <c r="G298" s="1251" t="n"/>
      <c r="H298" s="1252" t="n"/>
      <c r="I298" s="1253" t="n"/>
      <c r="J298" s="1099">
        <f>G298*I298</f>
        <v/>
      </c>
      <c r="K298" s="1254" t="n">
        <v>1</v>
      </c>
      <c r="L298" s="1255" t="inlineStr">
        <is>
          <t>EA</t>
        </is>
      </c>
      <c r="M298" s="1256" t="n">
        <v>1500000</v>
      </c>
      <c r="N298" s="1112">
        <f>K298*M298</f>
        <v/>
      </c>
      <c r="O298" s="1158">
        <f>N298-J298</f>
        <v/>
      </c>
      <c r="P298" s="1254" t="n">
        <v>1</v>
      </c>
      <c r="Q298" s="1255" t="inlineStr">
        <is>
          <t>EA</t>
        </is>
      </c>
      <c r="R298" s="1256" t="n">
        <v>1500000</v>
      </c>
      <c r="S298" s="1112">
        <f>P298*R298</f>
        <v/>
      </c>
      <c r="T298" s="1088">
        <f>S298-N298</f>
        <v/>
      </c>
      <c r="U298" s="1254" t="n">
        <v>1</v>
      </c>
      <c r="V298" s="1255" t="inlineStr">
        <is>
          <t>EA</t>
        </is>
      </c>
      <c r="W298" s="1256" t="n">
        <v>1500000</v>
      </c>
      <c r="X298" s="1112">
        <f>U298*W298</f>
        <v/>
      </c>
      <c r="Y298" s="1158">
        <f>X298-S298</f>
        <v/>
      </c>
      <c r="Z298" s="1254" t="n">
        <v>1</v>
      </c>
      <c r="AA298" s="1255" t="inlineStr">
        <is>
          <t>EA</t>
        </is>
      </c>
      <c r="AB298" s="1256" t="n">
        <v>1500000</v>
      </c>
      <c r="AC298" s="1112">
        <f>Z298*AB298</f>
        <v/>
      </c>
      <c r="AD298" s="1158">
        <f>AC298-X298</f>
        <v/>
      </c>
      <c r="AE298" s="1254" t="n">
        <v>1</v>
      </c>
      <c r="AF298" s="1255" t="inlineStr">
        <is>
          <t>EA</t>
        </is>
      </c>
      <c r="AG298" s="1256" t="n">
        <v>1500000</v>
      </c>
      <c r="AH298" s="1112">
        <f>AE298*AG298</f>
        <v/>
      </c>
      <c r="AI298" s="1158">
        <f>AH298-AC298</f>
        <v/>
      </c>
      <c r="AJ298" s="1159" t="n"/>
      <c r="AK298" s="753" t="inlineStr">
        <is>
          <t>추가항목</t>
        </is>
      </c>
    </row>
    <row r="299" ht="30.2" customFormat="1" customHeight="1" s="2">
      <c r="B299" s="1005" t="n"/>
      <c r="C299" s="1005" t="n"/>
      <c r="D299" s="823" t="inlineStr">
        <is>
          <t>렌탈</t>
        </is>
      </c>
      <c r="E299" s="822" t="inlineStr">
        <is>
          <t>현장 운영 렌탈</t>
        </is>
      </c>
      <c r="F299" s="58" t="inlineStr">
        <is>
          <t>테이블, 가드봉, MQ텐트, 모바일 화장실 등 현장 렌탈품</t>
        </is>
      </c>
      <c r="G299" s="162" t="n">
        <v>1</v>
      </c>
      <c r="H299" s="162" t="inlineStr">
        <is>
          <t>set</t>
        </is>
      </c>
      <c r="I299" s="1126" t="n">
        <v>80000000</v>
      </c>
      <c r="J299" s="999">
        <f>G299*I299</f>
        <v/>
      </c>
      <c r="K299" s="229" t="n">
        <v>1</v>
      </c>
      <c r="L299" s="24" t="inlineStr">
        <is>
          <t>set</t>
        </is>
      </c>
      <c r="M299" s="1128" t="n">
        <v>80000000</v>
      </c>
      <c r="N299" s="1002">
        <f>K299*M299</f>
        <v/>
      </c>
      <c r="O299" s="1164">
        <f>N299-J299</f>
        <v/>
      </c>
      <c r="P299" s="229" t="n">
        <v>1</v>
      </c>
      <c r="Q299" s="24" t="inlineStr">
        <is>
          <t>set</t>
        </is>
      </c>
      <c r="R299" s="1128" t="n">
        <v>80000000</v>
      </c>
      <c r="S299" s="1002">
        <f>P299*R299</f>
        <v/>
      </c>
      <c r="T299" s="1003">
        <f>S299-N299</f>
        <v/>
      </c>
      <c r="U299" s="229" t="n">
        <v>1</v>
      </c>
      <c r="V299" s="24" t="inlineStr">
        <is>
          <t>set</t>
        </is>
      </c>
      <c r="W299" s="1128" t="n">
        <v>80000000</v>
      </c>
      <c r="X299" s="1002">
        <f>U299*W299</f>
        <v/>
      </c>
      <c r="Y299" s="1164">
        <f>X299-S299</f>
        <v/>
      </c>
      <c r="Z299" s="229" t="n">
        <v>1</v>
      </c>
      <c r="AA299" s="24" t="inlineStr">
        <is>
          <t>set</t>
        </is>
      </c>
      <c r="AB299" s="1128" t="n">
        <v>80000000</v>
      </c>
      <c r="AC299" s="1002">
        <f>Z299*AB299</f>
        <v/>
      </c>
      <c r="AD299" s="1164">
        <f>AC299-X299</f>
        <v/>
      </c>
      <c r="AE299" s="229" t="n">
        <v>1</v>
      </c>
      <c r="AF299" s="24" t="inlineStr">
        <is>
          <t>set</t>
        </is>
      </c>
      <c r="AG299" s="1128" t="n">
        <v>80000000</v>
      </c>
      <c r="AH299" s="1002">
        <f>AE299*AG299</f>
        <v/>
      </c>
      <c r="AI299" s="1164">
        <f>AH299-AC299</f>
        <v/>
      </c>
      <c r="AJ299" s="1165" t="n"/>
      <c r="AK299" s="600" t="inlineStr">
        <is>
          <t>운영 및 안전 대비 물량 증대 / 모바일 화장실, 펜스 및 MQ 추가 | 미청구 / 약 5,000만원 가량</t>
        </is>
      </c>
    </row>
    <row r="300" ht="30.2" customFormat="1" customHeight="1" s="2">
      <c r="B300" s="1005" t="n"/>
      <c r="C300" s="981" t="n"/>
      <c r="D300" s="981" t="n"/>
      <c r="E300" s="981" t="n"/>
      <c r="F300" s="456" t="inlineStr">
        <is>
          <t>컨텐츠 추가에 따른 렌탈물품 추가</t>
        </is>
      </c>
      <c r="G300" s="457" t="n"/>
      <c r="H300" s="457" t="n"/>
      <c r="I300" s="1257" t="n"/>
      <c r="J300" s="1160" t="n"/>
      <c r="K300" s="496" t="n">
        <v>1</v>
      </c>
      <c r="L300" s="460" t="inlineStr">
        <is>
          <t>set</t>
        </is>
      </c>
      <c r="M300" s="1243" t="n">
        <v>12000000</v>
      </c>
      <c r="N300" s="1161">
        <f>K300*M300</f>
        <v/>
      </c>
      <c r="O300" s="1162">
        <f>N300-J300</f>
        <v/>
      </c>
      <c r="P300" s="496" t="n">
        <v>1</v>
      </c>
      <c r="Q300" s="460" t="inlineStr">
        <is>
          <t>set</t>
        </is>
      </c>
      <c r="R300" s="1243" t="n">
        <v>12000000</v>
      </c>
      <c r="S300" s="1161">
        <f>P300*R300</f>
        <v/>
      </c>
      <c r="T300" s="1075">
        <f>S300-N300</f>
        <v/>
      </c>
      <c r="U300" s="496" t="n">
        <v>1</v>
      </c>
      <c r="V300" s="460" t="inlineStr">
        <is>
          <t>set</t>
        </is>
      </c>
      <c r="W300" s="1243" t="n">
        <v>12000000</v>
      </c>
      <c r="X300" s="1161">
        <f>U300*W300</f>
        <v/>
      </c>
      <c r="Y300" s="1162">
        <f>X300-S300</f>
        <v/>
      </c>
      <c r="Z300" s="496" t="n">
        <v>1</v>
      </c>
      <c r="AA300" s="460" t="inlineStr">
        <is>
          <t>set</t>
        </is>
      </c>
      <c r="AB300" s="1243" t="n">
        <v>12000000</v>
      </c>
      <c r="AC300" s="1161">
        <f>Z300*AB300</f>
        <v/>
      </c>
      <c r="AD300" s="1162">
        <f>AC300-X300</f>
        <v/>
      </c>
      <c r="AE300" s="496" t="n">
        <v>1</v>
      </c>
      <c r="AF300" s="460" t="inlineStr">
        <is>
          <t>set</t>
        </is>
      </c>
      <c r="AG300" s="1243" t="n">
        <v>12000000</v>
      </c>
      <c r="AH300" s="1161">
        <f>AE300*AG300</f>
        <v/>
      </c>
      <c r="AI300" s="1162">
        <f>AH300-AC300</f>
        <v/>
      </c>
      <c r="AJ300" s="1258" t="n"/>
      <c r="AK300" s="438" t="inlineStr">
        <is>
          <t xml:space="preserve">8/3 견적 내 누락항목 반영 / 컨텐츠 증가에 따라 운영공간 구축 규모 증가 </t>
        </is>
      </c>
    </row>
    <row r="301" ht="30.2" customHeight="1" s="972">
      <c r="B301" s="1005" t="n"/>
      <c r="C301" s="424" t="inlineStr">
        <is>
          <t>추가제안</t>
        </is>
      </c>
      <c r="D301" s="396" t="inlineStr">
        <is>
          <t>폭염대비</t>
        </is>
      </c>
      <c r="E301" s="384" t="inlineStr">
        <is>
          <t>미스트쿨러</t>
        </is>
      </c>
      <c r="F301" s="384" t="inlineStr">
        <is>
          <t>미스트 에어쿨러 렌탈 (보조경기장 입구 / VIP라운지)</t>
        </is>
      </c>
      <c r="G301" s="396" t="n"/>
      <c r="H301" s="396" t="n"/>
      <c r="I301" s="396" t="n"/>
      <c r="J301" s="1170" t="n"/>
      <c r="K301" s="1259" t="n">
        <v>20</v>
      </c>
      <c r="L301" s="1260" t="inlineStr">
        <is>
          <t>EA</t>
        </is>
      </c>
      <c r="M301" s="1260" t="n">
        <v>400000</v>
      </c>
      <c r="N301" s="1172">
        <f>K301*M301</f>
        <v/>
      </c>
      <c r="O301" s="1261">
        <f>N301-J301</f>
        <v/>
      </c>
      <c r="P301" s="1262" t="n">
        <v>8</v>
      </c>
      <c r="Q301" s="1263" t="inlineStr">
        <is>
          <t>EA</t>
        </is>
      </c>
      <c r="R301" s="1263" t="n">
        <v>400000</v>
      </c>
      <c r="S301" s="1133">
        <f>P301*R301</f>
        <v/>
      </c>
      <c r="T301" s="1081">
        <f>S301-N301</f>
        <v/>
      </c>
      <c r="U301" s="1262" t="n">
        <v>8</v>
      </c>
      <c r="V301" s="1263" t="inlineStr">
        <is>
          <t>EA</t>
        </is>
      </c>
      <c r="W301" s="1263" t="n">
        <v>400000</v>
      </c>
      <c r="X301" s="1133">
        <f>U301*W301</f>
        <v/>
      </c>
      <c r="Y301" s="1264">
        <f>X301-S301</f>
        <v/>
      </c>
      <c r="Z301" s="1262" t="n">
        <v>8</v>
      </c>
      <c r="AA301" s="1263" t="inlineStr">
        <is>
          <t>EA</t>
        </is>
      </c>
      <c r="AB301" s="1263" t="n">
        <v>400000</v>
      </c>
      <c r="AC301" s="1133">
        <f>Z301*AB301</f>
        <v/>
      </c>
      <c r="AD301" s="1264">
        <f>AC301-X301</f>
        <v/>
      </c>
      <c r="AE301" s="1262" t="n">
        <v>8</v>
      </c>
      <c r="AF301" s="1263" t="inlineStr">
        <is>
          <t>EA</t>
        </is>
      </c>
      <c r="AG301" s="1263" t="n">
        <v>400000</v>
      </c>
      <c r="AH301" s="1133">
        <f>AE301*AG301</f>
        <v/>
      </c>
      <c r="AI301" s="1264">
        <f>AH301-AC301</f>
        <v/>
      </c>
      <c r="AJ301" s="1265" t="n"/>
      <c r="AK301" s="560" t="n"/>
    </row>
    <row r="302" ht="30.2" customHeight="1" s="972">
      <c r="B302" s="1005" t="n"/>
      <c r="C302" s="1064" t="inlineStr">
        <is>
          <t>소계</t>
        </is>
      </c>
      <c r="D302" s="1053" t="n"/>
      <c r="E302" s="1053" t="n"/>
      <c r="F302" s="1053" t="n"/>
      <c r="G302" s="1053" t="n"/>
      <c r="H302" s="1053" t="n"/>
      <c r="I302" s="997" t="n"/>
      <c r="J302" s="1114">
        <f>SUM(J294:J299)</f>
        <v/>
      </c>
      <c r="K302" s="1135" t="n"/>
      <c r="L302" s="955" t="n"/>
      <c r="M302" s="949" t="n"/>
      <c r="N302" s="1116">
        <f>SUM(N294:N301)</f>
        <v/>
      </c>
      <c r="O302" s="1117">
        <f>SUM(O294:O301)</f>
        <v/>
      </c>
      <c r="P302" s="1135" t="n"/>
      <c r="Q302" s="955" t="n"/>
      <c r="R302" s="949" t="n"/>
      <c r="S302" s="1116">
        <f>SUM(S294:S301)</f>
        <v/>
      </c>
      <c r="T302" s="1093">
        <f>S302-N302</f>
        <v/>
      </c>
      <c r="U302" s="1135" t="n"/>
      <c r="V302" s="955" t="n"/>
      <c r="W302" s="949" t="n"/>
      <c r="X302" s="1116">
        <f>SUM(X294:X301)</f>
        <v/>
      </c>
      <c r="Y302" s="1117">
        <f>X302-S302</f>
        <v/>
      </c>
      <c r="Z302" s="1135" t="n"/>
      <c r="AA302" s="955" t="n"/>
      <c r="AB302" s="949" t="n"/>
      <c r="AC302" s="1116">
        <f>SUM(AC294:AC301)</f>
        <v/>
      </c>
      <c r="AD302" s="1117">
        <f>AC302-X302</f>
        <v/>
      </c>
      <c r="AE302" s="1135" t="n"/>
      <c r="AF302" s="955" t="n"/>
      <c r="AG302" s="949" t="n"/>
      <c r="AH302" s="1116">
        <f>SUM(AH294:AH301)</f>
        <v/>
      </c>
      <c r="AI302" s="1117">
        <f>AH302-AC302</f>
        <v/>
      </c>
      <c r="AJ302" s="1118" t="n"/>
      <c r="AK302" s="33" t="n"/>
    </row>
    <row r="303" ht="30.2" customHeight="1" s="972">
      <c r="B303" s="875" t="inlineStr">
        <is>
          <t>6 운영 소계</t>
        </is>
      </c>
      <c r="C303" s="955" t="n"/>
      <c r="D303" s="955" t="n"/>
      <c r="E303" s="955" t="n"/>
      <c r="F303" s="955" t="n"/>
      <c r="G303" s="955" t="n"/>
      <c r="H303" s="955" t="n"/>
      <c r="I303" s="949" t="n"/>
      <c r="J303" s="1009">
        <f>SUM(J293,J302)</f>
        <v/>
      </c>
      <c r="K303" s="1137" t="n"/>
      <c r="L303" s="955" t="n"/>
      <c r="M303" s="949" t="n"/>
      <c r="N303" s="1011">
        <f>N293+N302</f>
        <v/>
      </c>
      <c r="O303" s="1266">
        <f>O293+O302</f>
        <v/>
      </c>
      <c r="P303" s="1137" t="n"/>
      <c r="Q303" s="955" t="n"/>
      <c r="R303" s="949" t="n"/>
      <c r="S303" s="1011">
        <f>S293+S302</f>
        <v/>
      </c>
      <c r="T303" s="1012">
        <f>S303-N303</f>
        <v/>
      </c>
      <c r="U303" s="1137" t="n"/>
      <c r="V303" s="955" t="n"/>
      <c r="W303" s="949" t="n"/>
      <c r="X303" s="1011">
        <f>X293+X302</f>
        <v/>
      </c>
      <c r="Y303" s="1266">
        <f>Y293+Y302</f>
        <v/>
      </c>
      <c r="Z303" s="1137" t="n"/>
      <c r="AA303" s="955" t="n"/>
      <c r="AB303" s="949" t="n"/>
      <c r="AC303" s="1011">
        <f>AC293+AC302</f>
        <v/>
      </c>
      <c r="AD303" s="1266">
        <f>AD293+AD302</f>
        <v/>
      </c>
      <c r="AE303" s="1137" t="n"/>
      <c r="AF303" s="955" t="n"/>
      <c r="AG303" s="949" t="n"/>
      <c r="AH303" s="1011">
        <f>AH293+AH302</f>
        <v/>
      </c>
      <c r="AI303" s="1266">
        <f>AI293+AI302</f>
        <v/>
      </c>
      <c r="AJ303" s="1097" t="n"/>
      <c r="AK303" s="57" t="n"/>
    </row>
    <row r="304" ht="30.2" customHeight="1" s="972">
      <c r="B304" s="819" t="inlineStr">
        <is>
          <t>7 기타</t>
        </is>
      </c>
      <c r="C304" s="16" t="inlineStr">
        <is>
          <t>보험</t>
        </is>
      </c>
      <c r="D304" s="823" t="inlineStr">
        <is>
          <t>행사 진행 보험</t>
        </is>
      </c>
      <c r="E304" s="27" t="inlineStr">
        <is>
          <t>영업배상책임보험</t>
        </is>
      </c>
      <c r="F304" s="28" t="inlineStr">
        <is>
          <t>KB손해보험</t>
        </is>
      </c>
      <c r="G304" s="298" t="n">
        <v>1</v>
      </c>
      <c r="H304" s="298" t="inlineStr">
        <is>
          <t>건</t>
        </is>
      </c>
      <c r="I304" s="1267" t="n">
        <v>8000000</v>
      </c>
      <c r="J304" s="999">
        <f>G304*I304</f>
        <v/>
      </c>
      <c r="K304" s="1268" t="n">
        <v>1</v>
      </c>
      <c r="L304" s="26" t="inlineStr">
        <is>
          <t>건</t>
        </is>
      </c>
      <c r="M304" s="1269" t="n">
        <v>8000000</v>
      </c>
      <c r="N304" s="1002">
        <f>K304*M304</f>
        <v/>
      </c>
      <c r="O304" s="1164">
        <f>N304-J304</f>
        <v/>
      </c>
      <c r="P304" s="1268" t="n">
        <v>1</v>
      </c>
      <c r="Q304" s="26" t="inlineStr">
        <is>
          <t>건</t>
        </is>
      </c>
      <c r="R304" s="1269" t="n">
        <v>8000000</v>
      </c>
      <c r="S304" s="1002">
        <f>P304*R304</f>
        <v/>
      </c>
      <c r="T304" s="1003">
        <f>S304-N304</f>
        <v/>
      </c>
      <c r="U304" s="1268" t="n">
        <v>1</v>
      </c>
      <c r="V304" s="26" t="inlineStr">
        <is>
          <t>건</t>
        </is>
      </c>
      <c r="W304" s="1269" t="n">
        <v>8000000</v>
      </c>
      <c r="X304" s="1002">
        <f>U304*W304</f>
        <v/>
      </c>
      <c r="Y304" s="1164">
        <f>X304-S304</f>
        <v/>
      </c>
      <c r="Z304" s="1268" t="n">
        <v>1</v>
      </c>
      <c r="AA304" s="26" t="inlineStr">
        <is>
          <t>건</t>
        </is>
      </c>
      <c r="AB304" s="1269" t="n">
        <v>8000000</v>
      </c>
      <c r="AC304" s="1002">
        <f>Z304*AB304</f>
        <v/>
      </c>
      <c r="AD304" s="1164">
        <f>AC304-X304</f>
        <v/>
      </c>
      <c r="AE304" s="1270" t="n">
        <v>1</v>
      </c>
      <c r="AF304" s="650" t="inlineStr">
        <is>
          <t>건</t>
        </is>
      </c>
      <c r="AG304" s="1271" t="n">
        <v>2758000</v>
      </c>
      <c r="AH304" s="1272">
        <f>AE304*AG304</f>
        <v/>
      </c>
      <c r="AI304" s="1273">
        <f>AH304-AC304</f>
        <v/>
      </c>
      <c r="AJ304" s="1274" t="n"/>
      <c r="AK304" s="622" t="inlineStr">
        <is>
          <t>금액 확정</t>
        </is>
      </c>
    </row>
    <row r="305" ht="30.2" customHeight="1" s="972">
      <c r="B305" s="1005" t="n"/>
      <c r="C305" s="1006" t="n"/>
      <c r="D305" s="1005" t="n"/>
      <c r="E305" s="43" t="inlineStr">
        <is>
          <t>외국인 보험</t>
        </is>
      </c>
      <c r="F305" s="44" t="inlineStr">
        <is>
          <t>외국인 보험</t>
        </is>
      </c>
      <c r="G305" s="298" t="n">
        <v>1</v>
      </c>
      <c r="H305" s="298" t="inlineStr">
        <is>
          <t>건</t>
        </is>
      </c>
      <c r="I305" s="1275" t="n">
        <v>5000000</v>
      </c>
      <c r="J305" s="1276">
        <f>G305*I305</f>
        <v/>
      </c>
      <c r="K305" s="1268" t="n">
        <v>1</v>
      </c>
      <c r="L305" s="281" t="inlineStr">
        <is>
          <t>건</t>
        </is>
      </c>
      <c r="M305" s="1128" t="n">
        <v>5000000</v>
      </c>
      <c r="N305" s="1002">
        <f>K305*M305</f>
        <v/>
      </c>
      <c r="O305" s="1164">
        <f>N305-J305</f>
        <v/>
      </c>
      <c r="P305" s="1268" t="n">
        <v>1</v>
      </c>
      <c r="Q305" s="281" t="inlineStr">
        <is>
          <t>건</t>
        </is>
      </c>
      <c r="R305" s="1128" t="n">
        <v>5000000</v>
      </c>
      <c r="S305" s="1002">
        <f>P305*R305</f>
        <v/>
      </c>
      <c r="T305" s="1003">
        <f>S305-N305</f>
        <v/>
      </c>
      <c r="U305" s="1268" t="n">
        <v>1</v>
      </c>
      <c r="V305" s="281" t="inlineStr">
        <is>
          <t>건</t>
        </is>
      </c>
      <c r="W305" s="1128" t="n">
        <v>5000000</v>
      </c>
      <c r="X305" s="1002">
        <f>U305*W305</f>
        <v/>
      </c>
      <c r="Y305" s="1164">
        <f>X305-S305</f>
        <v/>
      </c>
      <c r="Z305" s="1268" t="n">
        <v>1</v>
      </c>
      <c r="AA305" s="281" t="inlineStr">
        <is>
          <t>건</t>
        </is>
      </c>
      <c r="AB305" s="1128" t="n">
        <v>5000000</v>
      </c>
      <c r="AC305" s="1002">
        <f>Z305*AB305</f>
        <v/>
      </c>
      <c r="AD305" s="1164">
        <f>AC305-X305</f>
        <v/>
      </c>
      <c r="AE305" s="1270" t="n">
        <v>0</v>
      </c>
      <c r="AF305" s="653" t="inlineStr">
        <is>
          <t>건</t>
        </is>
      </c>
      <c r="AG305" s="1277" t="n">
        <v>5000000</v>
      </c>
      <c r="AH305" s="1272">
        <f>AE305*AG305</f>
        <v/>
      </c>
      <c r="AI305" s="1273">
        <f>AH305-AC305</f>
        <v/>
      </c>
      <c r="AJ305" s="1278" t="n"/>
      <c r="AK305" s="657" t="inlineStr">
        <is>
          <t>삭제</t>
        </is>
      </c>
    </row>
    <row r="306" ht="30.2" customHeight="1" s="972">
      <c r="B306" s="1005" t="n"/>
      <c r="C306" s="1006" t="n"/>
      <c r="D306" s="1005" t="n"/>
      <c r="E306" s="648" t="inlineStr">
        <is>
          <t>스태프보험</t>
        </is>
      </c>
      <c r="F306" s="649" t="inlineStr">
        <is>
          <t>국내여행보험</t>
        </is>
      </c>
      <c r="G306" s="650" t="n"/>
      <c r="H306" s="650" t="inlineStr">
        <is>
          <t>건</t>
        </is>
      </c>
      <c r="I306" s="1271" t="n"/>
      <c r="J306" s="1279">
        <f>G306*I306</f>
        <v/>
      </c>
      <c r="K306" s="1270" t="n"/>
      <c r="L306" s="653" t="inlineStr">
        <is>
          <t>건</t>
        </is>
      </c>
      <c r="M306" s="1277" t="n"/>
      <c r="N306" s="1272">
        <f>K306*M306</f>
        <v/>
      </c>
      <c r="O306" s="1273">
        <f>N306-J306</f>
        <v/>
      </c>
      <c r="P306" s="1270" t="n"/>
      <c r="Q306" s="653" t="inlineStr">
        <is>
          <t>건</t>
        </is>
      </c>
      <c r="R306" s="1277" t="n"/>
      <c r="S306" s="1272">
        <f>P306*R306</f>
        <v/>
      </c>
      <c r="T306" s="1280">
        <f>S306-N306</f>
        <v/>
      </c>
      <c r="U306" s="1270" t="n"/>
      <c r="V306" s="653" t="inlineStr">
        <is>
          <t>건</t>
        </is>
      </c>
      <c r="W306" s="1277" t="n"/>
      <c r="X306" s="1272">
        <f>U306*W306</f>
        <v/>
      </c>
      <c r="Y306" s="1273">
        <f>X306-S306</f>
        <v/>
      </c>
      <c r="Z306" s="1270" t="n"/>
      <c r="AA306" s="653" t="inlineStr">
        <is>
          <t>건</t>
        </is>
      </c>
      <c r="AB306" s="1277" t="n"/>
      <c r="AC306" s="1272">
        <f>Z306*AB306</f>
        <v/>
      </c>
      <c r="AD306" s="1273">
        <f>AC306-X306</f>
        <v/>
      </c>
      <c r="AE306" s="1270" t="n">
        <v>1</v>
      </c>
      <c r="AF306" s="653" t="inlineStr">
        <is>
          <t>건</t>
        </is>
      </c>
      <c r="AG306" s="1277" t="n">
        <v>360550</v>
      </c>
      <c r="AH306" s="1272">
        <f>AE306*AG306</f>
        <v/>
      </c>
      <c r="AI306" s="1273">
        <f>AH306-AC306</f>
        <v/>
      </c>
      <c r="AJ306" s="1274" t="n"/>
      <c r="AK306" s="657" t="inlineStr">
        <is>
          <t>추가</t>
        </is>
      </c>
      <c r="AL306" s="645" t="n"/>
      <c r="AM306" s="640" t="n"/>
    </row>
    <row r="307" ht="30.2" customHeight="1" s="972">
      <c r="B307" s="1005" t="n"/>
      <c r="C307" s="1006" t="n"/>
      <c r="D307" s="1005" t="n"/>
      <c r="E307" s="648" t="inlineStr">
        <is>
          <t>외국인 보험</t>
        </is>
      </c>
      <c r="F307" s="649" t="inlineStr">
        <is>
          <t>외국인 보험</t>
        </is>
      </c>
      <c r="G307" s="650" t="n"/>
      <c r="H307" s="650" t="inlineStr">
        <is>
          <t>건</t>
        </is>
      </c>
      <c r="I307" s="1271" t="n"/>
      <c r="J307" s="1279">
        <f>G307*I307</f>
        <v/>
      </c>
      <c r="K307" s="1270" t="n"/>
      <c r="L307" s="653" t="inlineStr">
        <is>
          <t>건</t>
        </is>
      </c>
      <c r="M307" s="1277" t="n"/>
      <c r="N307" s="1272">
        <f>K307*M307</f>
        <v/>
      </c>
      <c r="O307" s="1273">
        <f>N307-J307</f>
        <v/>
      </c>
      <c r="P307" s="1270" t="n"/>
      <c r="Q307" s="653" t="inlineStr">
        <is>
          <t>건</t>
        </is>
      </c>
      <c r="R307" s="1277" t="n"/>
      <c r="S307" s="1272">
        <f>P307*R307</f>
        <v/>
      </c>
      <c r="T307" s="1280">
        <f>S307-N307</f>
        <v/>
      </c>
      <c r="U307" s="1270" t="n"/>
      <c r="V307" s="653" t="inlineStr">
        <is>
          <t>건</t>
        </is>
      </c>
      <c r="W307" s="1277" t="n"/>
      <c r="X307" s="1272">
        <f>U307*W307</f>
        <v/>
      </c>
      <c r="Y307" s="1273">
        <f>X307-S307</f>
        <v/>
      </c>
      <c r="Z307" s="1270" t="n"/>
      <c r="AA307" s="653" t="inlineStr">
        <is>
          <t>건</t>
        </is>
      </c>
      <c r="AB307" s="1277" t="n"/>
      <c r="AC307" s="1272">
        <f>Z307*AB307</f>
        <v/>
      </c>
      <c r="AD307" s="1273">
        <f>AC307-X307</f>
        <v/>
      </c>
      <c r="AE307" s="1270" t="n">
        <v>1</v>
      </c>
      <c r="AF307" s="653" t="inlineStr">
        <is>
          <t>건</t>
        </is>
      </c>
      <c r="AG307" s="1277" t="n">
        <v>24230</v>
      </c>
      <c r="AH307" s="1272">
        <f>AE307*AG307</f>
        <v/>
      </c>
      <c r="AI307" s="1273">
        <f>AH307-AC307</f>
        <v/>
      </c>
      <c r="AJ307" s="1274" t="n"/>
      <c r="AK307" s="657" t="inlineStr">
        <is>
          <t>추가</t>
        </is>
      </c>
      <c r="AL307" s="645" t="n"/>
      <c r="AM307" s="640" t="n"/>
    </row>
    <row r="308" ht="30.2" customHeight="1" s="972">
      <c r="B308" s="1005" t="n"/>
      <c r="C308" s="1008" t="n"/>
      <c r="D308" s="981" t="n"/>
      <c r="E308" s="648" t="inlineStr">
        <is>
          <t>산재고용보험료</t>
        </is>
      </c>
      <c r="F308" s="649" t="inlineStr">
        <is>
          <t>산재고용보험료</t>
        </is>
      </c>
      <c r="G308" s="650" t="n"/>
      <c r="H308" s="653" t="n"/>
      <c r="I308" s="1277" t="n"/>
      <c r="J308" s="1281" t="n"/>
      <c r="K308" s="1282" t="n">
        <v>1</v>
      </c>
      <c r="L308" s="653" t="inlineStr">
        <is>
          <t>건</t>
        </is>
      </c>
      <c r="M308" s="1277" t="n">
        <v>5000000</v>
      </c>
      <c r="N308" s="1272">
        <f>K308*M308</f>
        <v/>
      </c>
      <c r="O308" s="1283">
        <f>N308-J308</f>
        <v/>
      </c>
      <c r="P308" s="1282" t="n">
        <v>1</v>
      </c>
      <c r="Q308" s="653" t="inlineStr">
        <is>
          <t>건</t>
        </is>
      </c>
      <c r="R308" s="1277" t="n">
        <v>5000000</v>
      </c>
      <c r="S308" s="1272">
        <f>P308*R308</f>
        <v/>
      </c>
      <c r="T308" s="1280">
        <f>S308-N308</f>
        <v/>
      </c>
      <c r="U308" s="1282" t="n">
        <v>1</v>
      </c>
      <c r="V308" s="653" t="inlineStr">
        <is>
          <t>건</t>
        </is>
      </c>
      <c r="W308" s="1277" t="n">
        <v>5000000</v>
      </c>
      <c r="X308" s="1272">
        <f>U308*W308</f>
        <v/>
      </c>
      <c r="Y308" s="1283">
        <f>X308-S308</f>
        <v/>
      </c>
      <c r="Z308" s="1282" t="n">
        <v>1</v>
      </c>
      <c r="AA308" s="653" t="inlineStr">
        <is>
          <t>건</t>
        </is>
      </c>
      <c r="AB308" s="1277" t="n">
        <v>5000000</v>
      </c>
      <c r="AC308" s="1272">
        <f>Z308*AB308</f>
        <v/>
      </c>
      <c r="AD308" s="1283">
        <f>AC308-X308</f>
        <v/>
      </c>
      <c r="AE308" s="1282" t="n">
        <v>1</v>
      </c>
      <c r="AF308" s="653" t="inlineStr">
        <is>
          <t>건</t>
        </is>
      </c>
      <c r="AG308" s="1277" t="n">
        <v>3999871</v>
      </c>
      <c r="AH308" s="1272">
        <f>AE308*AG308</f>
        <v/>
      </c>
      <c r="AI308" s="1283">
        <f>AH308-AC308</f>
        <v/>
      </c>
      <c r="AJ308" s="1284" t="n"/>
      <c r="AK308" s="657" t="inlineStr">
        <is>
          <t>무대구조물 견적을 기준으로 산정.</t>
        </is>
      </c>
      <c r="AL308" s="645" t="n"/>
      <c r="AM308" s="640" t="n"/>
    </row>
    <row r="309" ht="30.2" customHeight="1" s="972">
      <c r="B309" s="1005" t="n"/>
      <c r="C309" s="1064" t="inlineStr">
        <is>
          <t>소계</t>
        </is>
      </c>
      <c r="D309" s="1053" t="n"/>
      <c r="E309" s="1053" t="n"/>
      <c r="F309" s="1053" t="n"/>
      <c r="G309" s="1053" t="n"/>
      <c r="H309" s="1053" t="n"/>
      <c r="I309" s="997" t="n"/>
      <c r="J309" s="1114">
        <f>SUM(J304:J305)</f>
        <v/>
      </c>
      <c r="K309" s="1285" t="n"/>
      <c r="M309" s="1007" t="n"/>
      <c r="N309" s="1116">
        <f>SUM(N304:N305)</f>
        <v/>
      </c>
      <c r="O309" s="1116">
        <f>SUM(O304:O305)</f>
        <v/>
      </c>
      <c r="P309" s="1285" t="n"/>
      <c r="R309" s="1007" t="n"/>
      <c r="S309" s="1116">
        <f>SUM(S304:S305)</f>
        <v/>
      </c>
      <c r="T309" s="1093">
        <f>S309-N309</f>
        <v/>
      </c>
      <c r="U309" s="1285" t="n"/>
      <c r="W309" s="1007" t="n"/>
      <c r="X309" s="1116">
        <f>SUM(X304:X305)</f>
        <v/>
      </c>
      <c r="Y309" s="1116">
        <f>X309-S309</f>
        <v/>
      </c>
      <c r="Z309" s="1285" t="n"/>
      <c r="AB309" s="1007" t="n"/>
      <c r="AC309" s="1116">
        <f>SUM(AC304:AC305)</f>
        <v/>
      </c>
      <c r="AD309" s="1116">
        <f>AC309-X309</f>
        <v/>
      </c>
      <c r="AE309" s="1285" t="n"/>
      <c r="AG309" s="1007" t="n"/>
      <c r="AH309" s="1116">
        <f>SUM(AH304:AH308)</f>
        <v/>
      </c>
      <c r="AI309" s="1116">
        <f>AH309-AC309</f>
        <v/>
      </c>
      <c r="AJ309" s="1118" t="n"/>
      <c r="AK309" s="33" t="n"/>
      <c r="AL309" s="640" t="n"/>
      <c r="AM309" s="640" t="n"/>
    </row>
    <row r="310" ht="30.2" customHeight="1" s="972">
      <c r="B310" s="1005" t="n"/>
      <c r="C310" s="823" t="inlineStr">
        <is>
          <t>저작권</t>
        </is>
      </c>
      <c r="D310" s="823" t="inlineStr">
        <is>
          <t>저작권료</t>
        </is>
      </c>
      <c r="E310" s="43" t="inlineStr">
        <is>
          <t>음악 저작권료</t>
        </is>
      </c>
      <c r="F310" s="45" t="inlineStr">
        <is>
          <t>한국 저작권 협회 지급</t>
        </is>
      </c>
      <c r="G310" s="301" t="n">
        <v>1</v>
      </c>
      <c r="H310" s="302" t="inlineStr">
        <is>
          <t>건</t>
        </is>
      </c>
      <c r="I310" s="1286" t="n">
        <v>10000000</v>
      </c>
      <c r="J310" s="1276">
        <f>G310*I310</f>
        <v/>
      </c>
      <c r="K310" s="1287" t="n">
        <v>1</v>
      </c>
      <c r="L310" s="30" t="inlineStr">
        <is>
          <t>건</t>
        </is>
      </c>
      <c r="M310" s="1288" t="n">
        <v>10000000</v>
      </c>
      <c r="N310" s="1002">
        <f>K310*M310</f>
        <v/>
      </c>
      <c r="O310" s="1164">
        <f>N310-J310</f>
        <v/>
      </c>
      <c r="P310" s="1287" t="n">
        <v>1</v>
      </c>
      <c r="Q310" s="30" t="inlineStr">
        <is>
          <t>건</t>
        </is>
      </c>
      <c r="R310" s="1288" t="n">
        <v>10000000</v>
      </c>
      <c r="S310" s="1002">
        <f>P310*R310</f>
        <v/>
      </c>
      <c r="T310" s="1003">
        <f>S310-N310</f>
        <v/>
      </c>
      <c r="U310" s="1287" t="n">
        <v>1</v>
      </c>
      <c r="V310" s="30" t="inlineStr">
        <is>
          <t>건</t>
        </is>
      </c>
      <c r="W310" s="1288" t="n">
        <v>10000000</v>
      </c>
      <c r="X310" s="1002">
        <f>U310*W310</f>
        <v/>
      </c>
      <c r="Y310" s="1164">
        <f>X310-S310</f>
        <v/>
      </c>
      <c r="Z310" s="1287" t="n">
        <v>1</v>
      </c>
      <c r="AA310" s="30" t="inlineStr">
        <is>
          <t>건</t>
        </is>
      </c>
      <c r="AB310" s="1288" t="n">
        <v>10000000</v>
      </c>
      <c r="AC310" s="1002">
        <f>Z310*AB310</f>
        <v/>
      </c>
      <c r="AD310" s="1164">
        <f>AC310-X310</f>
        <v/>
      </c>
      <c r="AE310" s="1287" t="n">
        <v>1</v>
      </c>
      <c r="AF310" s="30" t="inlineStr">
        <is>
          <t>건</t>
        </is>
      </c>
      <c r="AG310" s="1288" t="n">
        <v>10000000</v>
      </c>
      <c r="AH310" s="1002">
        <f>AE310*AG310</f>
        <v/>
      </c>
      <c r="AI310" s="1164">
        <f>AH310-AC310</f>
        <v/>
      </c>
      <c r="AJ310" s="1004" t="n"/>
      <c r="AK310" s="823" t="n"/>
    </row>
    <row r="311" ht="30.2" customHeight="1" s="972">
      <c r="B311" s="1005" t="n"/>
      <c r="C311" s="823" t="inlineStr">
        <is>
          <t>기타</t>
        </is>
      </c>
      <c r="D311" s="823" t="inlineStr">
        <is>
          <t>서류</t>
        </is>
      </c>
      <c r="E311" s="23" t="inlineStr">
        <is>
          <t>구조검토</t>
        </is>
      </c>
      <c r="F311" s="58" t="inlineStr">
        <is>
          <t>구조물 및 무대검토</t>
        </is>
      </c>
      <c r="G311" s="141" t="n">
        <v>1</v>
      </c>
      <c r="H311" s="162" t="inlineStr">
        <is>
          <t>set</t>
        </is>
      </c>
      <c r="I311" s="1126" t="n">
        <v>10000000</v>
      </c>
      <c r="J311" s="1276">
        <f>G311*I311</f>
        <v/>
      </c>
      <c r="K311" s="1287" t="n">
        <v>1</v>
      </c>
      <c r="L311" s="24" t="inlineStr">
        <is>
          <t>set</t>
        </is>
      </c>
      <c r="M311" s="1128" t="n">
        <v>10000000</v>
      </c>
      <c r="N311" s="1002">
        <f>K311*M311</f>
        <v/>
      </c>
      <c r="O311" s="1164">
        <f>N311-J311</f>
        <v/>
      </c>
      <c r="P311" s="1287" t="n">
        <v>1</v>
      </c>
      <c r="Q311" s="24" t="inlineStr">
        <is>
          <t>set</t>
        </is>
      </c>
      <c r="R311" s="1128" t="n">
        <v>10000000</v>
      </c>
      <c r="S311" s="1002">
        <f>P311*R311</f>
        <v/>
      </c>
      <c r="T311" s="1003">
        <f>S311-N311</f>
        <v/>
      </c>
      <c r="U311" s="1287" t="n">
        <v>1</v>
      </c>
      <c r="V311" s="24" t="inlineStr">
        <is>
          <t>set</t>
        </is>
      </c>
      <c r="W311" s="1128" t="n">
        <v>10000000</v>
      </c>
      <c r="X311" s="1002">
        <f>U311*W311</f>
        <v/>
      </c>
      <c r="Y311" s="1164">
        <f>X311-S311</f>
        <v/>
      </c>
      <c r="Z311" s="1287" t="n">
        <v>1</v>
      </c>
      <c r="AA311" s="24" t="inlineStr">
        <is>
          <t>set</t>
        </is>
      </c>
      <c r="AB311" s="1128" t="n">
        <v>10000000</v>
      </c>
      <c r="AC311" s="1002">
        <f>Z311*AB311</f>
        <v/>
      </c>
      <c r="AD311" s="1164">
        <f>AC311-X311</f>
        <v/>
      </c>
      <c r="AE311" s="1287" t="n">
        <v>1</v>
      </c>
      <c r="AF311" s="24" t="inlineStr">
        <is>
          <t>set</t>
        </is>
      </c>
      <c r="AG311" s="1128" t="n">
        <v>10000000</v>
      </c>
      <c r="AH311" s="1002">
        <f>AE311*AG311</f>
        <v/>
      </c>
      <c r="AI311" s="1164">
        <f>AH311-AC311</f>
        <v/>
      </c>
      <c r="AJ311" s="1004" t="n"/>
      <c r="AK311" s="823" t="n"/>
    </row>
    <row r="312" ht="30.2" customHeight="1" s="972">
      <c r="B312" s="1005" t="n"/>
      <c r="C312" s="981" t="n"/>
      <c r="D312" s="823" t="inlineStr">
        <is>
          <t>폐기물</t>
        </is>
      </c>
      <c r="E312" s="23" t="inlineStr">
        <is>
          <t>폐기물</t>
        </is>
      </c>
      <c r="F312" s="58" t="inlineStr">
        <is>
          <t>폐기물 처리비</t>
        </is>
      </c>
      <c r="G312" s="141" t="n">
        <v>1</v>
      </c>
      <c r="H312" s="162" t="inlineStr">
        <is>
          <t>set</t>
        </is>
      </c>
      <c r="I312" s="1126" t="n">
        <v>5000000</v>
      </c>
      <c r="J312" s="999">
        <f>G312*I312</f>
        <v/>
      </c>
      <c r="K312" s="1268" t="n">
        <v>1</v>
      </c>
      <c r="L312" s="24" t="inlineStr">
        <is>
          <t>set</t>
        </is>
      </c>
      <c r="M312" s="1128" t="n">
        <v>5000000</v>
      </c>
      <c r="N312" s="1002">
        <f>K312*M312</f>
        <v/>
      </c>
      <c r="O312" s="1164">
        <f>N312-J312</f>
        <v/>
      </c>
      <c r="P312" s="1268" t="n">
        <v>1</v>
      </c>
      <c r="Q312" s="24" t="inlineStr">
        <is>
          <t>set</t>
        </is>
      </c>
      <c r="R312" s="1128" t="n">
        <v>5000000</v>
      </c>
      <c r="S312" s="1002">
        <f>P312*R312</f>
        <v/>
      </c>
      <c r="T312" s="1003">
        <f>S312-N312</f>
        <v/>
      </c>
      <c r="U312" s="1268" t="n">
        <v>1</v>
      </c>
      <c r="V312" s="24" t="inlineStr">
        <is>
          <t>set</t>
        </is>
      </c>
      <c r="W312" s="1128" t="n">
        <v>5000000</v>
      </c>
      <c r="X312" s="1002">
        <f>U312*W312</f>
        <v/>
      </c>
      <c r="Y312" s="1164">
        <f>X312-S312</f>
        <v/>
      </c>
      <c r="Z312" s="1268" t="n">
        <v>1</v>
      </c>
      <c r="AA312" s="24" t="inlineStr">
        <is>
          <t>set</t>
        </is>
      </c>
      <c r="AB312" s="1128" t="n">
        <v>5000000</v>
      </c>
      <c r="AC312" s="1002">
        <f>Z312*AB312</f>
        <v/>
      </c>
      <c r="AD312" s="1164">
        <f>AC312-X312</f>
        <v/>
      </c>
      <c r="AE312" s="1268" t="n">
        <v>1</v>
      </c>
      <c r="AF312" s="24" t="inlineStr">
        <is>
          <t>set</t>
        </is>
      </c>
      <c r="AG312" s="1128" t="n">
        <v>5000000</v>
      </c>
      <c r="AH312" s="1002">
        <f>AE312*AG312</f>
        <v/>
      </c>
      <c r="AI312" s="1164">
        <f>AH312-AC312</f>
        <v/>
      </c>
      <c r="AJ312" s="1004" t="n"/>
      <c r="AK312" s="823" t="n"/>
    </row>
    <row r="313" ht="30.2" customHeight="1" s="972">
      <c r="B313" s="1005" t="n"/>
      <c r="C313" s="1064" t="inlineStr">
        <is>
          <t>소계</t>
        </is>
      </c>
      <c r="D313" s="1053" t="n"/>
      <c r="E313" s="1053" t="n"/>
      <c r="F313" s="1053" t="n"/>
      <c r="G313" s="1053" t="n"/>
      <c r="H313" s="1053" t="n"/>
      <c r="I313" s="997" t="n"/>
      <c r="J313" s="1114">
        <f>SUM(J310:J312)</f>
        <v/>
      </c>
      <c r="K313" s="1135" t="n"/>
      <c r="L313" s="955" t="n"/>
      <c r="M313" s="949" t="n"/>
      <c r="N313" s="1116">
        <f>SUM(N310:N312)</f>
        <v/>
      </c>
      <c r="O313" s="1116">
        <f>SUM(O310:O312)</f>
        <v/>
      </c>
      <c r="P313" s="1135" t="n"/>
      <c r="Q313" s="955" t="n"/>
      <c r="R313" s="949" t="n"/>
      <c r="S313" s="1116">
        <f>SUM(S310:S312)</f>
        <v/>
      </c>
      <c r="T313" s="1093">
        <f>S313-N313</f>
        <v/>
      </c>
      <c r="U313" s="1135" t="n"/>
      <c r="V313" s="955" t="n"/>
      <c r="W313" s="949" t="n"/>
      <c r="X313" s="1116">
        <f>SUM(X310:X312)</f>
        <v/>
      </c>
      <c r="Y313" s="1116">
        <f>SUM(Y310:Y312)</f>
        <v/>
      </c>
      <c r="Z313" s="1135" t="n"/>
      <c r="AA313" s="955" t="n"/>
      <c r="AB313" s="949" t="n"/>
      <c r="AC313" s="1116">
        <f>SUM(AC310:AC312)</f>
        <v/>
      </c>
      <c r="AD313" s="1116">
        <f>SUM(AD310:AD312)</f>
        <v/>
      </c>
      <c r="AE313" s="1135" t="n"/>
      <c r="AF313" s="955" t="n"/>
      <c r="AG313" s="949" t="n"/>
      <c r="AH313" s="1116">
        <f>SUM(AH310:AH312)</f>
        <v/>
      </c>
      <c r="AI313" s="1116">
        <f>SUM(AI310:AI312)</f>
        <v/>
      </c>
      <c r="AJ313" s="1118" t="n"/>
      <c r="AK313" s="33" t="n"/>
    </row>
    <row r="314" ht="30.2" customFormat="1" customHeight="1" s="640">
      <c r="B314" s="1005" t="n"/>
      <c r="C314" s="16" t="inlineStr">
        <is>
          <t>진행경비</t>
        </is>
      </c>
      <c r="D314" s="628" t="inlineStr">
        <is>
          <t>식대</t>
        </is>
      </c>
      <c r="E314" s="629" t="inlineStr">
        <is>
          <t>식사 및 간식 비용</t>
        </is>
      </c>
      <c r="F314" s="629" t="inlineStr">
        <is>
          <t>사전 및 현장 스태프 식사 및 간식대</t>
        </is>
      </c>
      <c r="G314" s="630" t="n">
        <v>1000</v>
      </c>
      <c r="H314" s="630" t="inlineStr">
        <is>
          <t>명</t>
        </is>
      </c>
      <c r="I314" s="1289" t="n">
        <v>6000</v>
      </c>
      <c r="J314" s="1290">
        <f>G314*I314</f>
        <v/>
      </c>
      <c r="K314" s="1291" t="n">
        <v>1000</v>
      </c>
      <c r="L314" s="634" t="inlineStr">
        <is>
          <t>명</t>
        </is>
      </c>
      <c r="M314" s="1292" t="n">
        <v>6000</v>
      </c>
      <c r="N314" s="1293">
        <f>K314*M314</f>
        <v/>
      </c>
      <c r="O314" s="1294">
        <f>N314-J314</f>
        <v/>
      </c>
      <c r="P314" s="1291" t="n">
        <v>1000</v>
      </c>
      <c r="Q314" s="634" t="inlineStr">
        <is>
          <t>명</t>
        </is>
      </c>
      <c r="R314" s="1292" t="n">
        <v>6000</v>
      </c>
      <c r="S314" s="1293">
        <f>P314*R314</f>
        <v/>
      </c>
      <c r="T314" s="1295">
        <f>S314-N314</f>
        <v/>
      </c>
      <c r="U314" s="1291" t="n">
        <v>1000</v>
      </c>
      <c r="V314" s="634" t="inlineStr">
        <is>
          <t>명</t>
        </is>
      </c>
      <c r="W314" s="1292" t="n">
        <v>6000</v>
      </c>
      <c r="X314" s="1293">
        <f>U314*W314</f>
        <v/>
      </c>
      <c r="Y314" s="1294">
        <f>X314-S314</f>
        <v/>
      </c>
      <c r="Z314" s="1291" t="n">
        <v>1000</v>
      </c>
      <c r="AA314" s="634" t="inlineStr">
        <is>
          <t>명</t>
        </is>
      </c>
      <c r="AB314" s="1292" t="n">
        <v>6000</v>
      </c>
      <c r="AC314" s="1293">
        <f>Z314*AB314</f>
        <v/>
      </c>
      <c r="AD314" s="1294">
        <f>AC314-X314</f>
        <v/>
      </c>
      <c r="AE314" s="1291" t="n">
        <v>1000</v>
      </c>
      <c r="AF314" s="634" t="inlineStr">
        <is>
          <t>명</t>
        </is>
      </c>
      <c r="AG314" s="1292" t="n">
        <v>6000</v>
      </c>
      <c r="AH314" s="1293">
        <f>AE314*AG314</f>
        <v/>
      </c>
      <c r="AI314" s="1294">
        <f>AH314-AC314</f>
        <v/>
      </c>
      <c r="AJ314" s="1296" t="n"/>
      <c r="AK314" s="628" t="n"/>
    </row>
    <row r="315" ht="30.2" customFormat="1" customHeight="1" s="640">
      <c r="B315" s="1005" t="n"/>
      <c r="C315" s="1006" t="n"/>
      <c r="D315" s="628" t="inlineStr">
        <is>
          <t>식수</t>
        </is>
      </c>
      <c r="E315" s="629" t="inlineStr">
        <is>
          <t>물 및 얼음</t>
        </is>
      </c>
      <c r="F315" s="629" t="inlineStr">
        <is>
          <t>사전 및 현장 스태프용 식수 및 얼음</t>
        </is>
      </c>
      <c r="G315" s="641" t="n">
        <v>1</v>
      </c>
      <c r="H315" s="641" t="inlineStr">
        <is>
          <t>set</t>
        </is>
      </c>
      <c r="I315" s="1289" t="n">
        <v>8000000</v>
      </c>
      <c r="J315" s="1290">
        <f>G315*I315</f>
        <v/>
      </c>
      <c r="K315" s="1291" t="n">
        <v>1</v>
      </c>
      <c r="L315" s="642" t="inlineStr">
        <is>
          <t>set</t>
        </is>
      </c>
      <c r="M315" s="1292" t="n">
        <v>8000000</v>
      </c>
      <c r="N315" s="1293">
        <f>K315*M315</f>
        <v/>
      </c>
      <c r="O315" s="1294">
        <f>N315-J315</f>
        <v/>
      </c>
      <c r="P315" s="1291" t="n">
        <v>1</v>
      </c>
      <c r="Q315" s="642" t="inlineStr">
        <is>
          <t>set</t>
        </is>
      </c>
      <c r="R315" s="1292" t="n">
        <v>8000000</v>
      </c>
      <c r="S315" s="1293">
        <f>P315*R315</f>
        <v/>
      </c>
      <c r="T315" s="1295">
        <f>S315-N315</f>
        <v/>
      </c>
      <c r="U315" s="1291" t="n">
        <v>1</v>
      </c>
      <c r="V315" s="642" t="inlineStr">
        <is>
          <t>set</t>
        </is>
      </c>
      <c r="W315" s="1292" t="n">
        <v>8000000</v>
      </c>
      <c r="X315" s="1293">
        <f>U315*W315</f>
        <v/>
      </c>
      <c r="Y315" s="1294">
        <f>X315-S315</f>
        <v/>
      </c>
      <c r="Z315" s="1291" t="n">
        <v>1</v>
      </c>
      <c r="AA315" s="642" t="inlineStr">
        <is>
          <t>set</t>
        </is>
      </c>
      <c r="AB315" s="1292" t="n">
        <v>8000000</v>
      </c>
      <c r="AC315" s="1293">
        <f>Z315*AB315</f>
        <v/>
      </c>
      <c r="AD315" s="1294">
        <f>AC315-X315</f>
        <v/>
      </c>
      <c r="AE315" s="1291" t="n">
        <v>1</v>
      </c>
      <c r="AF315" s="642" t="inlineStr">
        <is>
          <t>set</t>
        </is>
      </c>
      <c r="AG315" s="1292" t="n">
        <v>8000000</v>
      </c>
      <c r="AH315" s="1293">
        <f>AE315*AG315</f>
        <v/>
      </c>
      <c r="AI315" s="1294">
        <f>AH315-AC315</f>
        <v/>
      </c>
      <c r="AJ315" s="1297" t="n"/>
      <c r="AK315" s="628" t="n"/>
    </row>
    <row r="316" ht="30.75" customHeight="1" s="972">
      <c r="B316" s="1005" t="n"/>
      <c r="C316" s="1006" t="n"/>
      <c r="D316" s="600" t="inlineStr">
        <is>
          <t>공과잡비</t>
        </is>
      </c>
      <c r="E316" s="647" t="inlineStr">
        <is>
          <t>공과잡비</t>
        </is>
      </c>
      <c r="F316" s="595" t="inlineStr">
        <is>
          <t xml:space="preserve"> 현장 소모품 구매, 스탭 간음료, 통신비, 교통비, 공과잡비 및 현장 경비</t>
        </is>
      </c>
      <c r="G316" s="718" t="n">
        <v>1</v>
      </c>
      <c r="H316" s="718" t="inlineStr">
        <is>
          <t>set</t>
        </is>
      </c>
      <c r="I316" s="1298" t="n">
        <v>20000000</v>
      </c>
      <c r="J316" s="1299">
        <f>G316*I316</f>
        <v/>
      </c>
      <c r="K316" s="1300" t="n">
        <v>1</v>
      </c>
      <c r="L316" s="769" t="inlineStr">
        <is>
          <t>set</t>
        </is>
      </c>
      <c r="M316" s="1301" t="n">
        <v>25000000</v>
      </c>
      <c r="N316" s="1302">
        <f>K316*M316</f>
        <v/>
      </c>
      <c r="O316" s="1303">
        <f>N316-J316</f>
        <v/>
      </c>
      <c r="P316" s="1304" t="n">
        <v>1</v>
      </c>
      <c r="Q316" s="699" t="inlineStr">
        <is>
          <t>set</t>
        </is>
      </c>
      <c r="R316" s="1305" t="n">
        <v>25000000</v>
      </c>
      <c r="S316" s="1306">
        <f>P316*R316</f>
        <v/>
      </c>
      <c r="T316" s="1307">
        <f>S316-N316</f>
        <v/>
      </c>
      <c r="U316" s="1304" t="n">
        <v>1</v>
      </c>
      <c r="V316" s="699" t="inlineStr">
        <is>
          <t>set</t>
        </is>
      </c>
      <c r="W316" s="1305" t="n">
        <v>30000000</v>
      </c>
      <c r="X316" s="1306">
        <f>U316*W316</f>
        <v/>
      </c>
      <c r="Y316" s="1307">
        <f>X316-S316</f>
        <v/>
      </c>
      <c r="Z316" s="1262" t="n">
        <v>1</v>
      </c>
      <c r="AA316" s="1308" t="inlineStr">
        <is>
          <t>set</t>
        </is>
      </c>
      <c r="AB316" s="1309" t="n">
        <v>20000000</v>
      </c>
      <c r="AC316" s="1310">
        <f>Z316*AB316</f>
        <v/>
      </c>
      <c r="AD316" s="1307" t="n"/>
      <c r="AE316" s="1311" t="n"/>
      <c r="AF316" s="580" t="n"/>
      <c r="AG316" s="1312" t="n"/>
      <c r="AH316" s="1177" t="n"/>
      <c r="AI316" s="1178" t="n"/>
      <c r="AJ316" s="1313" t="n"/>
      <c r="AK316" s="585" t="inlineStr">
        <is>
          <t>진행비 / 예비비 (약 1천만원) 상세 내역 항목 참조</t>
        </is>
      </c>
    </row>
    <row r="317" ht="45.75" customFormat="1" customHeight="1" s="640">
      <c r="B317" s="1005" t="n"/>
      <c r="C317" s="1006" t="n"/>
      <c r="D317" s="1005" t="n"/>
      <c r="E317" s="1005" t="n"/>
      <c r="F317" s="609" t="inlineStr">
        <is>
          <t>- (상세) 현장 소모품 구매 : 테이프/쓰레기봉투/청소도구/필기구/수납함 등</t>
        </is>
      </c>
      <c r="I317" s="1007" t="n"/>
      <c r="J317" s="1314" t="n"/>
      <c r="K317" s="1315" t="n"/>
      <c r="M317" s="1007" t="n"/>
      <c r="N317" s="1005" t="n"/>
      <c r="O317" s="1314" t="n"/>
      <c r="P317" s="1315" t="n"/>
      <c r="R317" s="1007" t="n"/>
      <c r="S317" s="1005" t="n"/>
      <c r="T317" s="1314" t="n"/>
      <c r="U317" s="1315" t="n"/>
      <c r="W317" s="1007" t="n"/>
      <c r="X317" s="1005" t="n"/>
      <c r="Y317" s="1314" t="n"/>
      <c r="Z317" s="1316" t="n"/>
      <c r="AA317" s="1006" t="n"/>
      <c r="AB317" s="1005" t="n"/>
      <c r="AC317" s="1005" t="n"/>
      <c r="AD317" s="1314" t="n"/>
      <c r="AE317" s="1311" t="n">
        <v>1</v>
      </c>
      <c r="AF317" s="580" t="inlineStr">
        <is>
          <t>set</t>
        </is>
      </c>
      <c r="AG317" s="1312" t="n">
        <v>3500000</v>
      </c>
      <c r="AH317" s="1177">
        <f>AE317*AG317</f>
        <v/>
      </c>
      <c r="AI317" s="1317">
        <f>SUM(AH317:AH325)-AC316</f>
        <v/>
      </c>
      <c r="AJ317" s="1313" t="n"/>
      <c r="AK317" s="585" t="n"/>
    </row>
    <row r="318" ht="30.75" customFormat="1" customHeight="1" s="640">
      <c r="B318" s="1005" t="n"/>
      <c r="C318" s="1006" t="n"/>
      <c r="D318" s="1005" t="n"/>
      <c r="E318" s="1005" t="n"/>
      <c r="F318" s="609" t="inlineStr">
        <is>
          <t>- (상세) 교통비 : 주차비/택시비/주유비/퀵비 등</t>
        </is>
      </c>
      <c r="I318" s="1007" t="n"/>
      <c r="J318" s="1314" t="n"/>
      <c r="K318" s="1315" t="n"/>
      <c r="M318" s="1007" t="n"/>
      <c r="N318" s="1005" t="n"/>
      <c r="O318" s="1314" t="n"/>
      <c r="P318" s="1315" t="n"/>
      <c r="R318" s="1007" t="n"/>
      <c r="S318" s="1005" t="n"/>
      <c r="T318" s="1314" t="n"/>
      <c r="U318" s="1315" t="n"/>
      <c r="W318" s="1007" t="n"/>
      <c r="X318" s="1005" t="n"/>
      <c r="Y318" s="1314" t="n"/>
      <c r="Z318" s="1316" t="n"/>
      <c r="AA318" s="1006" t="n"/>
      <c r="AB318" s="1005" t="n"/>
      <c r="AC318" s="1005" t="n"/>
      <c r="AD318" s="1314" t="n"/>
      <c r="AE318" s="1311" t="n">
        <v>1</v>
      </c>
      <c r="AF318" s="580" t="inlineStr">
        <is>
          <t>set</t>
        </is>
      </c>
      <c r="AG318" s="1312" t="n">
        <v>5500000</v>
      </c>
      <c r="AH318" s="1177">
        <f>AE318*AG318</f>
        <v/>
      </c>
      <c r="AI318" s="1314" t="n"/>
      <c r="AJ318" s="1313" t="n"/>
      <c r="AK318" s="585" t="n"/>
    </row>
    <row r="319" ht="30.75" customFormat="1" customHeight="1" s="640">
      <c r="B319" s="1005" t="n"/>
      <c r="C319" s="1006" t="n"/>
      <c r="D319" s="1005" t="n"/>
      <c r="E319" s="1005" t="n"/>
      <c r="F319" s="627" t="inlineStr">
        <is>
          <t>- (상세) 공과잡비 및 현장 경비 (스탭 간음료 포함)</t>
        </is>
      </c>
      <c r="I319" s="1007" t="n"/>
      <c r="J319" s="1314" t="n"/>
      <c r="K319" s="1315" t="n"/>
      <c r="M319" s="1007" t="n"/>
      <c r="N319" s="1005" t="n"/>
      <c r="O319" s="1314" t="n"/>
      <c r="P319" s="1315" t="n"/>
      <c r="R319" s="1007" t="n"/>
      <c r="S319" s="1005" t="n"/>
      <c r="T319" s="1314" t="n"/>
      <c r="U319" s="1315" t="n"/>
      <c r="W319" s="1007" t="n"/>
      <c r="X319" s="1005" t="n"/>
      <c r="Y319" s="1314" t="n"/>
      <c r="Z319" s="1316" t="n"/>
      <c r="AA319" s="1006" t="n"/>
      <c r="AB319" s="1005" t="n"/>
      <c r="AC319" s="1005" t="n"/>
      <c r="AD319" s="1314" t="n"/>
      <c r="AE319" s="608" t="n">
        <v>1</v>
      </c>
      <c r="AF319" s="600" t="inlineStr">
        <is>
          <t>set</t>
        </is>
      </c>
      <c r="AG319" s="1318" t="n">
        <v>3500000</v>
      </c>
      <c r="AH319" s="1177">
        <f>AE319*AG319</f>
        <v/>
      </c>
      <c r="AI319" s="1314" t="n"/>
      <c r="AJ319" s="1313" t="n"/>
      <c r="AK319" s="585" t="n"/>
    </row>
    <row r="320" ht="30.75" customHeight="1" s="972">
      <c r="B320" s="1005" t="n"/>
      <c r="C320" s="1006" t="n"/>
      <c r="D320" s="1005" t="n"/>
      <c r="E320" s="1005" t="n"/>
      <c r="F320" s="609" t="inlineStr">
        <is>
          <t>- 경호 및 안전요원 / 응급 부스 추가 금액</t>
        </is>
      </c>
      <c r="I320" s="1007" t="n"/>
      <c r="J320" s="1314" t="n"/>
      <c r="K320" s="1315" t="n"/>
      <c r="M320" s="1007" t="n"/>
      <c r="N320" s="1005" t="n"/>
      <c r="O320" s="1314" t="n"/>
      <c r="P320" s="1315" t="n"/>
      <c r="R320" s="1007" t="n"/>
      <c r="S320" s="1005" t="n"/>
      <c r="T320" s="1314" t="n"/>
      <c r="U320" s="1315" t="n"/>
      <c r="W320" s="1007" t="n"/>
      <c r="X320" s="1005" t="n"/>
      <c r="Y320" s="1314" t="n"/>
      <c r="Z320" s="1316" t="n"/>
      <c r="AA320" s="1006" t="n"/>
      <c r="AB320" s="1005" t="n"/>
      <c r="AC320" s="1005" t="n"/>
      <c r="AD320" s="1314" t="n"/>
      <c r="AE320" s="1311" t="n">
        <v>1</v>
      </c>
      <c r="AF320" s="580" t="inlineStr">
        <is>
          <t>set</t>
        </is>
      </c>
      <c r="AG320" s="1312" t="n">
        <v>5000000</v>
      </c>
      <c r="AH320" s="1177">
        <f>AE320*AG320</f>
        <v/>
      </c>
      <c r="AI320" s="1314" t="n"/>
      <c r="AJ320" s="1313" t="n"/>
      <c r="AK320" s="585" t="inlineStr">
        <is>
          <t>안전대책 강화에 따른 추가</t>
        </is>
      </c>
    </row>
    <row r="321" ht="30.75" customHeight="1" s="972">
      <c r="B321" s="1005" t="n"/>
      <c r="C321" s="1006" t="n"/>
      <c r="D321" s="1005" t="n"/>
      <c r="E321" s="1005" t="n"/>
      <c r="F321" s="611" t="inlineStr">
        <is>
          <t>- (상세) 경량펜스 브랜딩 추가항목 1500*1500</t>
        </is>
      </c>
      <c r="I321" s="1007" t="n"/>
      <c r="J321" s="1314" t="n"/>
      <c r="K321" s="1315" t="n"/>
      <c r="M321" s="1007" t="n"/>
      <c r="N321" s="1005" t="n"/>
      <c r="O321" s="1314" t="n"/>
      <c r="P321" s="1315" t="n"/>
      <c r="R321" s="1007" t="n"/>
      <c r="S321" s="1005" t="n"/>
      <c r="T321" s="1314" t="n"/>
      <c r="U321" s="1315" t="n"/>
      <c r="W321" s="1007" t="n"/>
      <c r="X321" s="1005" t="n"/>
      <c r="Y321" s="1314" t="n"/>
      <c r="Z321" s="1316" t="n"/>
      <c r="AA321" s="1006" t="n"/>
      <c r="AB321" s="1005" t="n"/>
      <c r="AC321" s="1005" t="n"/>
      <c r="AD321" s="1314" t="n"/>
      <c r="AE321" s="605" t="n">
        <v>100</v>
      </c>
      <c r="AF321" s="612" t="inlineStr">
        <is>
          <t>개</t>
        </is>
      </c>
      <c r="AG321" s="1175" t="n">
        <v>48300</v>
      </c>
      <c r="AH321" s="1177">
        <f>AE321*AG321</f>
        <v/>
      </c>
      <c r="AI321" s="1314" t="n"/>
      <c r="AJ321" s="1313" t="n"/>
      <c r="AK321" s="585" t="inlineStr">
        <is>
          <t>브랜딩 구역 확장에 따른 추가 발주</t>
        </is>
      </c>
    </row>
    <row r="322" ht="30.75" customHeight="1" s="972">
      <c r="B322" s="1005" t="n"/>
      <c r="C322" s="1006" t="n"/>
      <c r="D322" s="1005" t="n"/>
      <c r="E322" s="1005" t="n"/>
      <c r="F322" s="609" t="inlineStr">
        <is>
          <t>- (상세) 스탭티 추가 제작</t>
        </is>
      </c>
      <c r="I322" s="1007" t="n"/>
      <c r="J322" s="1314" t="n"/>
      <c r="K322" s="1315" t="n"/>
      <c r="M322" s="1007" t="n"/>
      <c r="N322" s="1005" t="n"/>
      <c r="O322" s="1314" t="n"/>
      <c r="P322" s="1315" t="n"/>
      <c r="R322" s="1007" t="n"/>
      <c r="S322" s="1005" t="n"/>
      <c r="T322" s="1314" t="n"/>
      <c r="U322" s="1315" t="n"/>
      <c r="W322" s="1007" t="n"/>
      <c r="X322" s="1005" t="n"/>
      <c r="Y322" s="1314" t="n"/>
      <c r="Z322" s="1316" t="n"/>
      <c r="AA322" s="1006" t="n"/>
      <c r="AB322" s="1005" t="n"/>
      <c r="AC322" s="1005" t="n"/>
      <c r="AD322" s="1314" t="n"/>
      <c r="AE322" s="1311" t="n">
        <v>50</v>
      </c>
      <c r="AF322" s="580" t="inlineStr">
        <is>
          <t>set</t>
        </is>
      </c>
      <c r="AG322" s="1312" t="n">
        <v>18000</v>
      </c>
      <c r="AH322" s="1177">
        <f>AE322*AG322</f>
        <v/>
      </c>
      <c r="AI322" s="1314" t="n"/>
      <c r="AJ322" s="1313" t="n"/>
      <c r="AK322" s="585" t="inlineStr">
        <is>
          <t>운영인력 및 증가로 인한 추가제작</t>
        </is>
      </c>
    </row>
    <row r="323" ht="30.75" customHeight="1" s="972">
      <c r="B323" s="1005" t="n"/>
      <c r="C323" s="1006" t="n"/>
      <c r="D323" s="1005" t="n"/>
      <c r="E323" s="1005" t="n"/>
      <c r="F323" s="609" t="inlineStr">
        <is>
          <t>- (상세) 블루아이디 사인업 운영인력</t>
        </is>
      </c>
      <c r="I323" s="1007" t="n"/>
      <c r="J323" s="1314" t="n"/>
      <c r="K323" s="1315" t="n"/>
      <c r="M323" s="1007" t="n"/>
      <c r="N323" s="1005" t="n"/>
      <c r="O323" s="1314" t="n"/>
      <c r="P323" s="1315" t="n"/>
      <c r="R323" s="1007" t="n"/>
      <c r="S323" s="1005" t="n"/>
      <c r="T323" s="1314" t="n"/>
      <c r="U323" s="1315" t="n"/>
      <c r="W323" s="1007" t="n"/>
      <c r="X323" s="1005" t="n"/>
      <c r="Y323" s="1314" t="n"/>
      <c r="Z323" s="1316" t="n"/>
      <c r="AA323" s="1006" t="n"/>
      <c r="AB323" s="1005" t="n"/>
      <c r="AC323" s="1005" t="n"/>
      <c r="AD323" s="1314" t="n"/>
      <c r="AE323" s="1311" t="n">
        <v>2</v>
      </c>
      <c r="AF323" s="580" t="inlineStr">
        <is>
          <t>인</t>
        </is>
      </c>
      <c r="AG323" s="1312" t="n">
        <v>150000</v>
      </c>
      <c r="AH323" s="1177">
        <f>AE323*AG323</f>
        <v/>
      </c>
      <c r="AI323" s="1314" t="n"/>
      <c r="AJ323" s="1313" t="n"/>
      <c r="AK323" s="585" t="inlineStr">
        <is>
          <t>추가항목</t>
        </is>
      </c>
    </row>
    <row r="324" ht="30.75" customHeight="1" s="972">
      <c r="B324" s="1005" t="n"/>
      <c r="C324" s="1006" t="n"/>
      <c r="D324" s="1005" t="n"/>
      <c r="E324" s="1005" t="n"/>
      <c r="F324" s="609" t="inlineStr">
        <is>
          <t>- (상세) 카스 인증샷(뒤집어버려 CD증정) 운영인력</t>
        </is>
      </c>
      <c r="I324" s="1007" t="n"/>
      <c r="J324" s="1314" t="n"/>
      <c r="K324" s="1315" t="n"/>
      <c r="M324" s="1007" t="n"/>
      <c r="N324" s="1005" t="n"/>
      <c r="O324" s="1314" t="n"/>
      <c r="P324" s="1315" t="n"/>
      <c r="R324" s="1007" t="n"/>
      <c r="S324" s="1005" t="n"/>
      <c r="T324" s="1314" t="n"/>
      <c r="U324" s="1315" t="n"/>
      <c r="W324" s="1007" t="n"/>
      <c r="X324" s="1005" t="n"/>
      <c r="Y324" s="1314" t="n"/>
      <c r="Z324" s="1316" t="n"/>
      <c r="AA324" s="1006" t="n"/>
      <c r="AB324" s="1005" t="n"/>
      <c r="AC324" s="1005" t="n"/>
      <c r="AD324" s="1314" t="n"/>
      <c r="AE324" s="1311" t="n">
        <v>2</v>
      </c>
      <c r="AF324" s="580" t="inlineStr">
        <is>
          <t>인</t>
        </is>
      </c>
      <c r="AG324" s="1312" t="n">
        <v>150000</v>
      </c>
      <c r="AH324" s="1177">
        <f>AE324*AG324</f>
        <v/>
      </c>
      <c r="AI324" s="1314" t="n"/>
      <c r="AJ324" s="1313" t="n"/>
      <c r="AK324" s="585" t="inlineStr">
        <is>
          <t>추가항목</t>
        </is>
      </c>
    </row>
    <row r="325" ht="30.75" customFormat="1" customHeight="1" s="640">
      <c r="B325" s="1005" t="n"/>
      <c r="C325" s="1006" t="n"/>
      <c r="D325" s="981" t="n"/>
      <c r="E325" s="981" t="n"/>
      <c r="F325" s="609" t="inlineStr">
        <is>
          <t>- (상세) 광고대행사 업무 진행비 (교통비, 회의비 등)</t>
        </is>
      </c>
      <c r="I325" s="1007" t="n"/>
      <c r="J325" s="1314" t="n"/>
      <c r="K325" s="1315" t="n"/>
      <c r="M325" s="1007" t="n"/>
      <c r="N325" s="1005" t="n"/>
      <c r="O325" s="1314" t="n"/>
      <c r="P325" s="1315" t="n"/>
      <c r="R325" s="1007" t="n"/>
      <c r="S325" s="1005" t="n"/>
      <c r="T325" s="1314" t="n"/>
      <c r="U325" s="1315" t="n"/>
      <c r="W325" s="1007" t="n"/>
      <c r="X325" s="1005" t="n"/>
      <c r="Y325" s="1314" t="n"/>
      <c r="Z325" s="1106" t="n"/>
      <c r="AA325" s="1008" t="n"/>
      <c r="AB325" s="981" t="n"/>
      <c r="AC325" s="981" t="n"/>
      <c r="AD325" s="1314" t="n"/>
      <c r="AE325" s="1270" t="n">
        <v>1</v>
      </c>
      <c r="AF325" s="623" t="inlineStr">
        <is>
          <t>set</t>
        </is>
      </c>
      <c r="AG325" s="1284" t="n">
        <v>2000000</v>
      </c>
      <c r="AH325" s="1272" t="n">
        <v>1175537</v>
      </c>
      <c r="AI325" s="1107" t="n"/>
      <c r="AJ325" s="1313" t="n"/>
      <c r="AK325" s="622" t="inlineStr">
        <is>
          <t>추가항목 (9월 최종 정산시 실비 반영 예정)</t>
        </is>
      </c>
    </row>
    <row r="326" ht="30.75" customHeight="1" s="972">
      <c r="B326" s="1005" t="n"/>
      <c r="C326" s="1006" t="n"/>
      <c r="D326" s="683" t="inlineStr">
        <is>
          <t>에비비</t>
        </is>
      </c>
      <c r="E326" s="716" t="inlineStr">
        <is>
          <t>예비비사용내역(1천만원)</t>
        </is>
      </c>
      <c r="F326" s="609" t="inlineStr">
        <is>
          <t xml:space="preserve">- (상세) 스케이트보드 8개 추가 구매 및 래핑 비용 </t>
        </is>
      </c>
      <c r="I326" s="1007" t="n"/>
      <c r="J326" s="1314" t="n"/>
      <c r="K326" s="1315" t="n"/>
      <c r="M326" s="1007" t="n"/>
      <c r="N326" s="1005" t="n"/>
      <c r="O326" s="1314" t="n"/>
      <c r="P326" s="1315" t="n"/>
      <c r="R326" s="1007" t="n"/>
      <c r="S326" s="1005" t="n"/>
      <c r="T326" s="1314" t="n"/>
      <c r="U326" s="1315" t="n"/>
      <c r="W326" s="1007" t="n"/>
      <c r="X326" s="1005" t="n"/>
      <c r="Y326" s="1314" t="n"/>
      <c r="Z326" s="1319" t="n">
        <v>1</v>
      </c>
      <c r="AA326" s="734" t="inlineStr">
        <is>
          <t>set</t>
        </is>
      </c>
      <c r="AB326" s="1320" t="n">
        <v>10000000</v>
      </c>
      <c r="AC326" s="1321">
        <f>Z326*AB326</f>
        <v/>
      </c>
      <c r="AD326" s="1322" t="n"/>
      <c r="AE326" s="1311" t="n">
        <v>1</v>
      </c>
      <c r="AF326" s="580" t="inlineStr">
        <is>
          <t>set</t>
        </is>
      </c>
      <c r="AG326" s="1312" t="n">
        <v>2904000</v>
      </c>
      <c r="AH326" s="1177">
        <f>AE326*AG326</f>
        <v/>
      </c>
      <c r="AI326" s="1323">
        <f>SUM(AH326:AH331)-AC326</f>
        <v/>
      </c>
      <c r="AJ326" s="1324" t="n"/>
      <c r="AK326" s="585" t="inlineStr">
        <is>
          <t xml:space="preserve">더위로 인해 보관중 래핑이 녹아 추가제작   </t>
        </is>
      </c>
    </row>
    <row r="327" ht="40.5" customHeight="1" s="972">
      <c r="B327" s="1005" t="n"/>
      <c r="C327" s="1006" t="n"/>
      <c r="D327" s="1005" t="n"/>
      <c r="E327" s="1005" t="n"/>
      <c r="F327" s="624" t="inlineStr">
        <is>
          <t>- (상세) 프로그램 리워드 : MD 물품
(보조배터리 210개 + 버튼뱃지 100개)</t>
        </is>
      </c>
      <c r="I327" s="1007" t="n"/>
      <c r="J327" s="1314" t="n"/>
      <c r="K327" s="1315" t="n"/>
      <c r="M327" s="1007" t="n"/>
      <c r="N327" s="1005" t="n"/>
      <c r="O327" s="1314" t="n"/>
      <c r="P327" s="1315" t="n"/>
      <c r="R327" s="1007" t="n"/>
      <c r="S327" s="1005" t="n"/>
      <c r="T327" s="1314" t="n"/>
      <c r="U327" s="1315" t="n"/>
      <c r="W327" s="1007" t="n"/>
      <c r="X327" s="1005" t="n"/>
      <c r="Y327" s="1314" t="n"/>
      <c r="Z327" s="1315" t="n"/>
      <c r="AA327" s="1005" t="n"/>
      <c r="AB327" s="1007" t="n"/>
      <c r="AC327" s="1005" t="n"/>
      <c r="AD327" s="1314" t="n"/>
      <c r="AE327" s="1270" t="n">
        <v>0</v>
      </c>
      <c r="AF327" s="623" t="inlineStr">
        <is>
          <t>set</t>
        </is>
      </c>
      <c r="AG327" s="1284" t="n">
        <v>0</v>
      </c>
      <c r="AH327" s="1272">
        <f>AE327*AG327</f>
        <v/>
      </c>
      <c r="AI327" s="1314" t="n"/>
      <c r="AJ327" s="1324" t="n"/>
      <c r="AK327" s="622" t="inlineStr">
        <is>
          <t xml:space="preserve">비용 및 수익에서 모두 삭제 </t>
        </is>
      </c>
    </row>
    <row r="328" ht="30.75" customHeight="1" s="972">
      <c r="B328" s="1005" t="n"/>
      <c r="C328" s="1006" t="n"/>
      <c r="D328" s="1005" t="n"/>
      <c r="E328" s="1005" t="n"/>
      <c r="F328" s="609" t="inlineStr">
        <is>
          <t>- (상세) 프로그램 GWP : 스낵 (1800개 * 450원)</t>
        </is>
      </c>
      <c r="I328" s="1007" t="n"/>
      <c r="J328" s="1314" t="n"/>
      <c r="K328" s="1315" t="n"/>
      <c r="M328" s="1007" t="n"/>
      <c r="N328" s="1005" t="n"/>
      <c r="O328" s="1314" t="n"/>
      <c r="P328" s="1315" t="n"/>
      <c r="R328" s="1007" t="n"/>
      <c r="S328" s="1005" t="n"/>
      <c r="T328" s="1314" t="n"/>
      <c r="U328" s="1315" t="n"/>
      <c r="W328" s="1007" t="n"/>
      <c r="X328" s="1005" t="n"/>
      <c r="Y328" s="1314" t="n"/>
      <c r="Z328" s="1315" t="n"/>
      <c r="AA328" s="1005" t="n"/>
      <c r="AB328" s="1007" t="n"/>
      <c r="AC328" s="1005" t="n"/>
      <c r="AD328" s="1314" t="n"/>
      <c r="AE328" s="1311" t="n">
        <v>1</v>
      </c>
      <c r="AF328" s="580" t="inlineStr">
        <is>
          <t>set</t>
        </is>
      </c>
      <c r="AG328" s="1312">
        <f>450*1800</f>
        <v/>
      </c>
      <c r="AH328" s="1177">
        <f>AE328*AG328</f>
        <v/>
      </c>
      <c r="AI328" s="1314" t="n"/>
      <c r="AJ328" s="1324" t="n"/>
      <c r="AK328" s="585" t="n"/>
    </row>
    <row r="329" ht="30.75" customHeight="1" s="972">
      <c r="B329" s="1005" t="n"/>
      <c r="C329" s="1006" t="n"/>
      <c r="D329" s="1005" t="n"/>
      <c r="E329" s="1005" t="n"/>
      <c r="F329" s="609" t="inlineStr">
        <is>
          <t>- (상세) 중앙통로 음향 시스템 추가 (급행 운송비 포함)</t>
        </is>
      </c>
      <c r="I329" s="1007" t="n"/>
      <c r="J329" s="1314" t="n"/>
      <c r="K329" s="1315" t="n"/>
      <c r="M329" s="1007" t="n"/>
      <c r="N329" s="1005" t="n"/>
      <c r="O329" s="1314" t="n"/>
      <c r="P329" s="1315" t="n"/>
      <c r="R329" s="1007" t="n"/>
      <c r="S329" s="1005" t="n"/>
      <c r="T329" s="1314" t="n"/>
      <c r="U329" s="1315" t="n"/>
      <c r="W329" s="1007" t="n"/>
      <c r="X329" s="1005" t="n"/>
      <c r="Y329" s="1314" t="n"/>
      <c r="Z329" s="1315" t="n"/>
      <c r="AA329" s="1005" t="n"/>
      <c r="AB329" s="1007" t="n"/>
      <c r="AC329" s="1005" t="n"/>
      <c r="AD329" s="1314" t="n"/>
      <c r="AE329" s="1311" t="n">
        <v>1</v>
      </c>
      <c r="AF329" s="580" t="inlineStr">
        <is>
          <t>set</t>
        </is>
      </c>
      <c r="AG329" s="1312" t="n">
        <v>800000</v>
      </c>
      <c r="AH329" s="1177">
        <f>AE329*AG329</f>
        <v/>
      </c>
      <c r="AI329" s="1314" t="n"/>
      <c r="AJ329" s="1324" t="n"/>
      <c r="AK329" s="600" t="inlineStr">
        <is>
          <t>추가 항목</t>
        </is>
      </c>
    </row>
    <row r="330" ht="30.75" customHeight="1" s="972">
      <c r="B330" s="1005" t="n"/>
      <c r="C330" s="1006" t="n"/>
      <c r="D330" s="1005" t="n"/>
      <c r="E330" s="1005" t="n"/>
      <c r="F330" s="610" t="inlineStr">
        <is>
          <t>- (상세) 중앙통로 기둥 브랜딩 (1220*3660*4)</t>
        </is>
      </c>
      <c r="I330" s="1007" t="n"/>
      <c r="J330" s="1314" t="n"/>
      <c r="K330" s="1315" t="n"/>
      <c r="M330" s="1007" t="n"/>
      <c r="N330" s="1005" t="n"/>
      <c r="O330" s="1314" t="n"/>
      <c r="P330" s="1315" t="n"/>
      <c r="R330" s="1007" t="n"/>
      <c r="S330" s="1005" t="n"/>
      <c r="T330" s="1314" t="n"/>
      <c r="U330" s="1315" t="n"/>
      <c r="W330" s="1007" t="n"/>
      <c r="X330" s="1005" t="n"/>
      <c r="Y330" s="1314" t="n"/>
      <c r="Z330" s="1315" t="n"/>
      <c r="AA330" s="1005" t="n"/>
      <c r="AB330" s="1007" t="n"/>
      <c r="AC330" s="1005" t="n"/>
      <c r="AD330" s="1314" t="n"/>
      <c r="AE330" s="605" t="n">
        <v>7</v>
      </c>
      <c r="AF330" s="602" t="inlineStr">
        <is>
          <t>개</t>
        </is>
      </c>
      <c r="AG330" s="1175" t="n">
        <v>375000</v>
      </c>
      <c r="AH330" s="1177">
        <f>AE330*AG330</f>
        <v/>
      </c>
      <c r="AI330" s="1314" t="n"/>
      <c r="AJ330" s="1324" t="n"/>
      <c r="AK330" s="600" t="inlineStr">
        <is>
          <t>추가 항목</t>
        </is>
      </c>
    </row>
    <row r="331" ht="30.75" customHeight="1" s="972">
      <c r="B331" s="1005" t="n"/>
      <c r="C331" s="1006" t="n"/>
      <c r="D331" s="1005" t="n"/>
      <c r="E331" s="1005" t="n"/>
      <c r="F331" s="610" t="inlineStr">
        <is>
          <t>- (상세) 중앙통로 기둥 브랜딩 (2000*3660*2, 1220*3660*2)</t>
        </is>
      </c>
      <c r="I331" s="1007" t="n"/>
      <c r="J331" s="1314" t="n"/>
      <c r="K331" s="1315" t="n"/>
      <c r="M331" s="1007" t="n"/>
      <c r="N331" s="1005" t="n"/>
      <c r="O331" s="1314" t="n"/>
      <c r="P331" s="1315" t="n"/>
      <c r="R331" s="1007" t="n"/>
      <c r="S331" s="1005" t="n"/>
      <c r="T331" s="1314" t="n"/>
      <c r="U331" s="1315" t="n"/>
      <c r="W331" s="1007" t="n"/>
      <c r="X331" s="1005" t="n"/>
      <c r="Y331" s="1314" t="n"/>
      <c r="Z331" s="1315" t="n"/>
      <c r="AA331" s="1005" t="n"/>
      <c r="AB331" s="1007" t="n"/>
      <c r="AC331" s="1005" t="n"/>
      <c r="AD331" s="1314" t="n"/>
      <c r="AE331" s="605" t="n">
        <v>1</v>
      </c>
      <c r="AF331" s="602" t="inlineStr">
        <is>
          <t>개</t>
        </is>
      </c>
      <c r="AG331" s="1175" t="n">
        <v>495000</v>
      </c>
      <c r="AH331" s="1177">
        <f>AE331*AG331</f>
        <v/>
      </c>
      <c r="AI331" s="1314" t="n"/>
      <c r="AJ331" s="1324" t="n"/>
      <c r="AK331" s="600" t="inlineStr">
        <is>
          <t>추가 항목</t>
        </is>
      </c>
    </row>
    <row r="332" ht="30.75" customHeight="1" s="972">
      <c r="B332" s="1005" t="n"/>
      <c r="C332" s="1006" t="n"/>
      <c r="D332" s="600" t="inlineStr">
        <is>
          <t>주경기장측 청소</t>
        </is>
      </c>
      <c r="E332" s="647" t="inlineStr">
        <is>
          <t>주경기장측 사후 청소 비용</t>
        </is>
      </c>
      <c r="F332" s="595" t="inlineStr">
        <is>
          <t>주경기장측 사전/당일/사후 청소 비용</t>
        </is>
      </c>
      <c r="G332" s="592" t="n"/>
      <c r="H332" s="592" t="n"/>
      <c r="I332" s="1325" t="n"/>
      <c r="J332" s="1326" t="n"/>
      <c r="K332" s="1327" t="n"/>
      <c r="L332" s="597" t="n"/>
      <c r="M332" s="1324" t="n"/>
      <c r="N332" s="1328" t="n"/>
      <c r="O332" s="1329" t="n"/>
      <c r="P332" s="1330" t="n"/>
      <c r="Q332" s="589" t="n"/>
      <c r="R332" s="1324" t="n"/>
      <c r="S332" s="1328" t="n"/>
      <c r="T332" s="1331" t="n"/>
      <c r="U332" s="1330" t="n"/>
      <c r="V332" s="589" t="n"/>
      <c r="W332" s="1324" t="n"/>
      <c r="X332" s="1328" t="n"/>
      <c r="Y332" s="1329" t="n"/>
      <c r="Z332" s="1330" t="n"/>
      <c r="AA332" s="589" t="n"/>
      <c r="AB332" s="1324" t="n"/>
      <c r="AC332" s="1328" t="n"/>
      <c r="AD332" s="1329" t="n"/>
      <c r="AE332" s="1311" t="n">
        <v>1</v>
      </c>
      <c r="AF332" s="580" t="inlineStr">
        <is>
          <t>set</t>
        </is>
      </c>
      <c r="AG332" s="1313" t="n">
        <v>16000000</v>
      </c>
      <c r="AH332" s="1177">
        <f>AE332*AG332</f>
        <v/>
      </c>
      <c r="AI332" s="1178">
        <f>AH332-AC332</f>
        <v/>
      </c>
      <c r="AJ332" s="1313" t="n"/>
      <c r="AK332" s="600" t="inlineStr">
        <is>
          <t>추가 항목</t>
        </is>
      </c>
    </row>
    <row r="333" ht="30.75" customHeight="1" s="972">
      <c r="B333" s="1005" t="n"/>
      <c r="C333" s="1006" t="n"/>
      <c r="D333" s="981" t="n"/>
      <c r="E333" s="981" t="n"/>
      <c r="F333" s="665" t="inlineStr">
        <is>
          <t>트랙보호재</t>
        </is>
      </c>
      <c r="G333" s="666" t="n"/>
      <c r="H333" s="666" t="n"/>
      <c r="I333" s="1332" t="n"/>
      <c r="J333" s="1333" t="n"/>
      <c r="K333" s="1334" t="n"/>
      <c r="L333" s="670" t="n"/>
      <c r="M333" s="1335" t="n"/>
      <c r="N333" s="1336" t="n"/>
      <c r="O333" s="1337" t="n"/>
      <c r="P333" s="1338" t="n"/>
      <c r="Q333" s="675" t="n"/>
      <c r="R333" s="1335" t="n"/>
      <c r="S333" s="1336" t="n"/>
      <c r="T333" s="1339" t="n"/>
      <c r="U333" s="1338" t="n"/>
      <c r="V333" s="675" t="n"/>
      <c r="W333" s="1335" t="n"/>
      <c r="X333" s="1336" t="n"/>
      <c r="Y333" s="1337" t="n"/>
      <c r="Z333" s="1338" t="n"/>
      <c r="AA333" s="675" t="n"/>
      <c r="AB333" s="1335" t="n"/>
      <c r="AC333" s="1336" t="n"/>
      <c r="AD333" s="1337" t="n"/>
      <c r="AE333" s="1270" t="n">
        <v>1</v>
      </c>
      <c r="AF333" s="623" t="inlineStr">
        <is>
          <t>set</t>
        </is>
      </c>
      <c r="AG333" s="1340" t="n">
        <v>4000000</v>
      </c>
      <c r="AH333" s="1272">
        <f>AE333*AG333</f>
        <v/>
      </c>
      <c r="AI333" s="1273">
        <f>AH333-AC333</f>
        <v/>
      </c>
      <c r="AJ333" s="1340" t="n"/>
      <c r="AK333" s="678" t="inlineStr">
        <is>
          <t>800만원에서 400만원으로 하향조정</t>
        </is>
      </c>
    </row>
    <row r="334" ht="27.75" customHeight="1" s="972">
      <c r="B334" s="1005" t="n"/>
      <c r="C334" s="1006" t="n"/>
      <c r="D334" s="753" t="inlineStr">
        <is>
          <t>주차공간</t>
        </is>
      </c>
      <c r="E334" s="311" t="inlineStr">
        <is>
          <t>서문주차장</t>
        </is>
      </c>
      <c r="F334" s="312" t="inlineStr">
        <is>
          <t>서문주차장 주차공간 확보 및 안내 인력 운영</t>
        </is>
      </c>
      <c r="G334" s="179" t="n"/>
      <c r="H334" s="179" t="n"/>
      <c r="I334" s="1154" t="n"/>
      <c r="J334" s="1099">
        <f>G334*I334</f>
        <v/>
      </c>
      <c r="K334" s="1100" t="n">
        <v>1</v>
      </c>
      <c r="L334" s="175" t="inlineStr">
        <is>
          <t>set</t>
        </is>
      </c>
      <c r="M334" s="1102" t="n">
        <v>2000000</v>
      </c>
      <c r="N334" s="1112">
        <f>K334*M334</f>
        <v/>
      </c>
      <c r="O334" s="1158">
        <f>N334-J334</f>
        <v/>
      </c>
      <c r="P334" s="1100" t="n">
        <v>1</v>
      </c>
      <c r="Q334" s="175" t="inlineStr">
        <is>
          <t>set</t>
        </is>
      </c>
      <c r="R334" s="1102" t="n">
        <v>2000000</v>
      </c>
      <c r="S334" s="1112">
        <f>P334*R334</f>
        <v/>
      </c>
      <c r="T334" s="1088">
        <f>S334-N334</f>
        <v/>
      </c>
      <c r="U334" s="1100" t="n">
        <v>1</v>
      </c>
      <c r="V334" s="175" t="inlineStr">
        <is>
          <t>set</t>
        </is>
      </c>
      <c r="W334" s="1102" t="n">
        <v>2000000</v>
      </c>
      <c r="X334" s="1112">
        <f>U334*W334</f>
        <v/>
      </c>
      <c r="Y334" s="1158">
        <f>X334-S334</f>
        <v/>
      </c>
      <c r="Z334" s="1100" t="n">
        <v>1</v>
      </c>
      <c r="AA334" s="175" t="inlineStr">
        <is>
          <t>set</t>
        </is>
      </c>
      <c r="AB334" s="1102" t="n">
        <v>2000000</v>
      </c>
      <c r="AC334" s="1112">
        <f>Z334*AB334</f>
        <v/>
      </c>
      <c r="AD334" s="1158">
        <f>AC334-X334</f>
        <v/>
      </c>
      <c r="AE334" s="1100" t="n">
        <v>1</v>
      </c>
      <c r="AF334" s="175" t="inlineStr">
        <is>
          <t>set</t>
        </is>
      </c>
      <c r="AG334" s="1102" t="n">
        <v>2000000</v>
      </c>
      <c r="AH334" s="1112">
        <f>AE334*AG334</f>
        <v/>
      </c>
      <c r="AI334" s="1158">
        <f>AH334-AC334</f>
        <v/>
      </c>
      <c r="AJ334" s="1105" t="n"/>
      <c r="AK334" s="753" t="n"/>
    </row>
    <row r="335" ht="27.75" customHeight="1" s="972">
      <c r="B335" s="1005" t="n"/>
      <c r="C335" s="1006" t="n"/>
      <c r="D335" s="438" t="inlineStr">
        <is>
          <t>급행비용</t>
        </is>
      </c>
      <c r="E335" s="498" t="inlineStr">
        <is>
          <t>디자인시안 급행</t>
        </is>
      </c>
      <c r="F335" s="499" t="inlineStr">
        <is>
          <t>2D/3D 디자인 시안 급행비</t>
        </is>
      </c>
      <c r="G335" s="457" t="n"/>
      <c r="H335" s="457" t="n"/>
      <c r="I335" s="1341" t="n"/>
      <c r="J335" s="1160">
        <f>G335*I335</f>
        <v/>
      </c>
      <c r="K335" s="1201" t="n">
        <v>1</v>
      </c>
      <c r="L335" s="460" t="inlineStr">
        <is>
          <t>set</t>
        </is>
      </c>
      <c r="M335" s="1150" t="n">
        <v>15000000</v>
      </c>
      <c r="N335" s="1161">
        <f>K335*M335</f>
        <v/>
      </c>
      <c r="O335" s="1204">
        <f>N335-J335</f>
        <v/>
      </c>
      <c r="P335" s="1205" t="n">
        <v>1</v>
      </c>
      <c r="Q335" s="536" t="inlineStr">
        <is>
          <t>set</t>
        </is>
      </c>
      <c r="R335" s="1209" t="n">
        <v>5000000</v>
      </c>
      <c r="S335" s="1133">
        <f>P335*R335</f>
        <v/>
      </c>
      <c r="T335" s="1081">
        <f>S335-N335</f>
        <v/>
      </c>
      <c r="U335" s="1205" t="n">
        <v>1</v>
      </c>
      <c r="V335" s="536" t="inlineStr">
        <is>
          <t>set</t>
        </is>
      </c>
      <c r="W335" s="1209" t="n">
        <v>5000000</v>
      </c>
      <c r="X335" s="1133">
        <f>U335*W335</f>
        <v/>
      </c>
      <c r="Y335" s="1208">
        <f>X335-S335</f>
        <v/>
      </c>
      <c r="Z335" s="1205" t="n">
        <v>1</v>
      </c>
      <c r="AA335" s="536" t="inlineStr">
        <is>
          <t>set</t>
        </is>
      </c>
      <c r="AB335" s="1209" t="n">
        <v>5000000</v>
      </c>
      <c r="AC335" s="1133">
        <f>Z335*AB335</f>
        <v/>
      </c>
      <c r="AD335" s="1208">
        <f>AC335-X335</f>
        <v/>
      </c>
      <c r="AE335" s="1205" t="n">
        <v>1</v>
      </c>
      <c r="AF335" s="536" t="inlineStr">
        <is>
          <t>set</t>
        </is>
      </c>
      <c r="AG335" s="1209" t="n">
        <v>5000000</v>
      </c>
      <c r="AH335" s="1133">
        <f>AE335*AG335</f>
        <v/>
      </c>
      <c r="AI335" s="1208">
        <f>AH335-AC335</f>
        <v/>
      </c>
      <c r="AJ335" s="1209" t="n"/>
      <c r="AK335" s="520" t="n"/>
    </row>
    <row r="336" ht="27.75" customHeight="1" s="972">
      <c r="B336" s="1005" t="n"/>
      <c r="C336" s="1008" t="n"/>
      <c r="D336" s="520" t="inlineStr">
        <is>
          <t>주류원가</t>
        </is>
      </c>
      <c r="E336" s="548" t="inlineStr">
        <is>
          <t>주류사입금액</t>
        </is>
      </c>
      <c r="F336" s="549" t="inlineStr">
        <is>
          <t xml:space="preserve">VIP 라운지 주류, 안주 </t>
        </is>
      </c>
      <c r="G336" s="550" t="n"/>
      <c r="H336" s="550" t="n"/>
      <c r="I336" s="1342" t="n"/>
      <c r="J336" s="1236">
        <f>G336*I336</f>
        <v/>
      </c>
      <c r="K336" s="1343" t="n"/>
      <c r="L336" s="538" t="n"/>
      <c r="M336" s="1209" t="n"/>
      <c r="N336" s="1133" t="n"/>
      <c r="O336" s="1208" t="n"/>
      <c r="P336" s="1205" t="n">
        <v>1</v>
      </c>
      <c r="Q336" s="536" t="inlineStr">
        <is>
          <t>set</t>
        </is>
      </c>
      <c r="R336" s="1209">
        <f>13000000/1.1</f>
        <v/>
      </c>
      <c r="S336" s="1133">
        <f>P336*R336</f>
        <v/>
      </c>
      <c r="T336" s="1045">
        <f>S336-N336</f>
        <v/>
      </c>
      <c r="U336" s="1205" t="n">
        <v>1</v>
      </c>
      <c r="V336" s="536" t="inlineStr">
        <is>
          <t>set</t>
        </is>
      </c>
      <c r="W336" s="1209">
        <f>13000000/1.1</f>
        <v/>
      </c>
      <c r="X336" s="1133">
        <f>U336*W336</f>
        <v/>
      </c>
      <c r="Y336" s="1208">
        <f>X336-S336</f>
        <v/>
      </c>
      <c r="Z336" s="1344" t="n">
        <v>1</v>
      </c>
      <c r="AA336" s="576" t="inlineStr">
        <is>
          <t>set</t>
        </is>
      </c>
      <c r="AB336" s="1345">
        <f>16105740/1.1</f>
        <v/>
      </c>
      <c r="AC336" s="1346">
        <f>Z336*AB336</f>
        <v/>
      </c>
      <c r="AD336" s="1347">
        <f>AC336-X336</f>
        <v/>
      </c>
      <c r="AE336" s="1344" t="n">
        <v>1</v>
      </c>
      <c r="AF336" s="576" t="inlineStr">
        <is>
          <t>set</t>
        </is>
      </c>
      <c r="AG336" s="1345">
        <f>16105740/1.1</f>
        <v/>
      </c>
      <c r="AH336" s="1346">
        <f>AE336*AG336</f>
        <v/>
      </c>
      <c r="AI336" s="1347">
        <f>AH336-AC336</f>
        <v/>
      </c>
      <c r="AJ336" s="1345" t="n"/>
      <c r="AK336" s="587" t="inlineStr">
        <is>
          <t>테이블 추가로 인한 vip 세일즈 주류, 음료,  안주 사입원가 증가 / 대행료 제외</t>
        </is>
      </c>
    </row>
    <row r="337" ht="30.2" customHeight="1" s="972">
      <c r="B337" s="1005" t="n"/>
      <c r="C337" s="1064" t="inlineStr">
        <is>
          <t>소계</t>
        </is>
      </c>
      <c r="D337" s="1053" t="n"/>
      <c r="E337" s="1053" t="n"/>
      <c r="F337" s="1053" t="n"/>
      <c r="G337" s="1053" t="n"/>
      <c r="H337" s="1053" t="n"/>
      <c r="I337" s="997" t="n"/>
      <c r="J337" s="1114">
        <f>SUM(J314:J334)</f>
        <v/>
      </c>
      <c r="K337" s="1135" t="n"/>
      <c r="L337" s="955" t="n"/>
      <c r="M337" s="949" t="n"/>
      <c r="N337" s="1116">
        <f>SUM(N314:N335)</f>
        <v/>
      </c>
      <c r="O337" s="1348">
        <f>SUM(O314:O335)</f>
        <v/>
      </c>
      <c r="P337" s="1135" t="n"/>
      <c r="Q337" s="955" t="n"/>
      <c r="R337" s="949" t="n"/>
      <c r="S337" s="1116">
        <f>SUM(S314:S336)</f>
        <v/>
      </c>
      <c r="T337" s="1093">
        <f>S337-N337</f>
        <v/>
      </c>
      <c r="U337" s="1135" t="n"/>
      <c r="V337" s="955" t="n"/>
      <c r="W337" s="949" t="n"/>
      <c r="X337" s="1116">
        <f>SUM(X314:X336)</f>
        <v/>
      </c>
      <c r="Y337" s="1348">
        <f>X337-S337</f>
        <v/>
      </c>
      <c r="Z337" s="1135" t="n"/>
      <c r="AA337" s="955" t="n"/>
      <c r="AB337" s="949" t="n"/>
      <c r="AC337" s="1116">
        <f>SUM(AC314:AC336)</f>
        <v/>
      </c>
      <c r="AD337" s="1348">
        <f>AC337-X337</f>
        <v/>
      </c>
      <c r="AE337" s="1135" t="n"/>
      <c r="AF337" s="955" t="n"/>
      <c r="AG337" s="949" t="n"/>
      <c r="AH337" s="1116">
        <f>SUM(AH314:AH336)</f>
        <v/>
      </c>
      <c r="AI337" s="1348">
        <f>AH337-AC337</f>
        <v/>
      </c>
      <c r="AJ337" s="1118" t="n"/>
      <c r="AK337" s="33" t="n"/>
    </row>
    <row r="338" ht="30.2" customHeight="1" s="972">
      <c r="B338" s="875" t="inlineStr">
        <is>
          <t>7 기타 소계</t>
        </is>
      </c>
      <c r="C338" s="955" t="n"/>
      <c r="D338" s="955" t="n"/>
      <c r="E338" s="955" t="n"/>
      <c r="F338" s="955" t="n"/>
      <c r="G338" s="955" t="n"/>
      <c r="H338" s="955" t="n"/>
      <c r="I338" s="949" t="n"/>
      <c r="J338" s="1009">
        <f>SUM(J309,J313,J337)</f>
        <v/>
      </c>
      <c r="K338" s="1137" t="n"/>
      <c r="L338" s="955" t="n"/>
      <c r="M338" s="949" t="n"/>
      <c r="N338" s="1011">
        <f>N309+N313+N337</f>
        <v/>
      </c>
      <c r="O338" s="1096">
        <f>N338-J338</f>
        <v/>
      </c>
      <c r="P338" s="1137" t="n"/>
      <c r="Q338" s="955" t="n"/>
      <c r="R338" s="949" t="n"/>
      <c r="S338" s="1011">
        <f>S309+S313+S337</f>
        <v/>
      </c>
      <c r="T338" s="1012">
        <f>S338-N338</f>
        <v/>
      </c>
      <c r="U338" s="1137" t="n"/>
      <c r="V338" s="955" t="n"/>
      <c r="W338" s="949" t="n"/>
      <c r="X338" s="1011">
        <f>X309+X313+X337</f>
        <v/>
      </c>
      <c r="Y338" s="1096">
        <f>X338-S338</f>
        <v/>
      </c>
      <c r="Z338" s="1137" t="n"/>
      <c r="AA338" s="955" t="n"/>
      <c r="AB338" s="949" t="n"/>
      <c r="AC338" s="1011">
        <f>AC309+AC313+AC337</f>
        <v/>
      </c>
      <c r="AD338" s="1096">
        <f>AC338-X338</f>
        <v/>
      </c>
      <c r="AE338" s="1137" t="n"/>
      <c r="AF338" s="955" t="n"/>
      <c r="AG338" s="949" t="n"/>
      <c r="AH338" s="1011">
        <f>AH309+AH313+AH337</f>
        <v/>
      </c>
      <c r="AI338" s="1096">
        <f>AH338-AC338</f>
        <v/>
      </c>
      <c r="AJ338" s="1097" t="n"/>
      <c r="AK338" s="57" t="n"/>
    </row>
    <row r="339" ht="30.2" customHeight="1" s="972">
      <c r="B339" s="906" t="inlineStr">
        <is>
          <t>8. MD</t>
        </is>
      </c>
      <c r="C339" s="898" t="inlineStr">
        <is>
          <t>디자인 개발</t>
        </is>
      </c>
      <c r="D339" s="997" t="n"/>
      <c r="E339" s="899" t="inlineStr">
        <is>
          <t>일러스트 3종 개발</t>
        </is>
      </c>
      <c r="F339" s="351" t="inlineStr">
        <is>
          <t>블루모지 일러스트안 3종 개발</t>
        </is>
      </c>
      <c r="G339" s="352" t="n"/>
      <c r="H339" s="352" t="n"/>
      <c r="I339" s="1349" t="n"/>
      <c r="J339" s="1350">
        <f>G339*I339</f>
        <v/>
      </c>
      <c r="K339" s="1351" t="n">
        <v>3</v>
      </c>
      <c r="L339" s="356" t="inlineStr">
        <is>
          <t>건</t>
        </is>
      </c>
      <c r="M339" s="1352" t="n">
        <v>1500000</v>
      </c>
      <c r="N339" s="1353">
        <f>K339*M339</f>
        <v/>
      </c>
      <c r="O339" s="1354">
        <f>N339-J339</f>
        <v/>
      </c>
      <c r="P339" s="1351" t="n">
        <v>3</v>
      </c>
      <c r="Q339" s="356" t="inlineStr">
        <is>
          <t>건</t>
        </is>
      </c>
      <c r="R339" s="1352" t="n">
        <v>1500000</v>
      </c>
      <c r="S339" s="1353">
        <f>P339*R339</f>
        <v/>
      </c>
      <c r="T339" s="1355">
        <f>S339-N339</f>
        <v/>
      </c>
      <c r="U339" s="1351" t="n">
        <v>3</v>
      </c>
      <c r="V339" s="356" t="inlineStr">
        <is>
          <t>건</t>
        </is>
      </c>
      <c r="W339" s="1352" t="n">
        <v>1500000</v>
      </c>
      <c r="X339" s="1353">
        <f>U339*W339</f>
        <v/>
      </c>
      <c r="Y339" s="1354">
        <f>X339-S339</f>
        <v/>
      </c>
      <c r="Z339" s="1351" t="n">
        <v>3</v>
      </c>
      <c r="AA339" s="356" t="inlineStr">
        <is>
          <t>건</t>
        </is>
      </c>
      <c r="AB339" s="1352" t="n">
        <v>1500000</v>
      </c>
      <c r="AC339" s="1353">
        <f>Z339*AB339</f>
        <v/>
      </c>
      <c r="AD339" s="1354">
        <f>AC339-X339</f>
        <v/>
      </c>
      <c r="AE339" s="1351" t="n">
        <v>3</v>
      </c>
      <c r="AF339" s="356" t="inlineStr">
        <is>
          <t>건</t>
        </is>
      </c>
      <c r="AG339" s="1352" t="n">
        <v>1500000</v>
      </c>
      <c r="AH339" s="1353">
        <f>AE339*AG339</f>
        <v/>
      </c>
      <c r="AI339" s="1354">
        <f>AH339-AC339</f>
        <v/>
      </c>
      <c r="AJ339" s="1356" t="n"/>
      <c r="AK339" s="898" t="n"/>
    </row>
    <row r="340" ht="30.2" customHeight="1" s="972">
      <c r="B340" s="1005" t="n"/>
      <c r="C340" s="1006" t="n"/>
      <c r="D340" s="1007" t="n"/>
      <c r="E340" s="981" t="n"/>
      <c r="F340" s="351" t="inlineStr">
        <is>
          <t>각 시안당 어플리케이션 5종 개발</t>
        </is>
      </c>
      <c r="G340" s="352" t="n"/>
      <c r="H340" s="352" t="n"/>
      <c r="I340" s="1349" t="n"/>
      <c r="J340" s="1350">
        <f>G340*I340</f>
        <v/>
      </c>
      <c r="K340" s="1357" t="n">
        <v>5</v>
      </c>
      <c r="L340" s="363" t="inlineStr">
        <is>
          <t>건</t>
        </is>
      </c>
      <c r="M340" s="1358" t="n">
        <v>500000</v>
      </c>
      <c r="N340" s="1353">
        <f>K340*M340</f>
        <v/>
      </c>
      <c r="O340" s="1359">
        <f>N340-J340</f>
        <v/>
      </c>
      <c r="P340" s="1357" t="n">
        <v>5</v>
      </c>
      <c r="Q340" s="363" t="inlineStr">
        <is>
          <t>건</t>
        </is>
      </c>
      <c r="R340" s="1358" t="n">
        <v>500000</v>
      </c>
      <c r="S340" s="1353">
        <f>P340*R340</f>
        <v/>
      </c>
      <c r="T340" s="1355">
        <f>S340-N340</f>
        <v/>
      </c>
      <c r="U340" s="1357" t="n">
        <v>5</v>
      </c>
      <c r="V340" s="363" t="inlineStr">
        <is>
          <t>건</t>
        </is>
      </c>
      <c r="W340" s="1358" t="n">
        <v>500000</v>
      </c>
      <c r="X340" s="1353">
        <f>U340*W340</f>
        <v/>
      </c>
      <c r="Y340" s="1354">
        <f>X340-S340</f>
        <v/>
      </c>
      <c r="Z340" s="1357" t="n">
        <v>5</v>
      </c>
      <c r="AA340" s="363" t="inlineStr">
        <is>
          <t>건</t>
        </is>
      </c>
      <c r="AB340" s="1358" t="n">
        <v>500000</v>
      </c>
      <c r="AC340" s="1353">
        <f>Z340*AB340</f>
        <v/>
      </c>
      <c r="AD340" s="1354">
        <f>AC340-X340</f>
        <v/>
      </c>
      <c r="AE340" s="1357" t="n">
        <v>5</v>
      </c>
      <c r="AF340" s="363" t="inlineStr">
        <is>
          <t>건</t>
        </is>
      </c>
      <c r="AG340" s="1358" t="n">
        <v>500000</v>
      </c>
      <c r="AH340" s="1353">
        <f>AE340*AG340</f>
        <v/>
      </c>
      <c r="AI340" s="1354">
        <f>AH340-AC340</f>
        <v/>
      </c>
      <c r="AJ340" s="1360" t="n"/>
      <c r="AK340" s="898" t="n"/>
    </row>
    <row r="341" ht="30.2" customHeight="1" s="972">
      <c r="B341" s="1005" t="n"/>
      <c r="C341" s="1006" t="n"/>
      <c r="D341" s="1007" t="n"/>
      <c r="E341" s="899" t="inlineStr">
        <is>
          <t>캐릭터 개발</t>
        </is>
      </c>
      <c r="F341" s="351" t="inlineStr">
        <is>
          <t xml:space="preserve">블루이모지 캐릭터 개발 (몸통 및 동작 개발 포함) </t>
        </is>
      </c>
      <c r="G341" s="352" t="n"/>
      <c r="H341" s="352" t="n"/>
      <c r="I341" s="1349" t="n"/>
      <c r="J341" s="1350">
        <f>G341*I341</f>
        <v/>
      </c>
      <c r="K341" s="1361" t="n">
        <v>1</v>
      </c>
      <c r="L341" s="367" t="inlineStr">
        <is>
          <t>건</t>
        </is>
      </c>
      <c r="M341" s="1362" t="n">
        <v>3000000</v>
      </c>
      <c r="N341" s="1353">
        <f>K341*M341</f>
        <v/>
      </c>
      <c r="O341" s="1354">
        <f>N341-J341</f>
        <v/>
      </c>
      <c r="P341" s="1361" t="n">
        <v>1</v>
      </c>
      <c r="Q341" s="367" t="inlineStr">
        <is>
          <t>건</t>
        </is>
      </c>
      <c r="R341" s="1362" t="n">
        <v>3000000</v>
      </c>
      <c r="S341" s="1353">
        <f>P341*R341</f>
        <v/>
      </c>
      <c r="T341" s="1355">
        <f>S341-N341</f>
        <v/>
      </c>
      <c r="U341" s="1361" t="n">
        <v>1</v>
      </c>
      <c r="V341" s="367" t="inlineStr">
        <is>
          <t>건</t>
        </is>
      </c>
      <c r="W341" s="1362" t="n">
        <v>3000000</v>
      </c>
      <c r="X341" s="1353">
        <f>U341*W341</f>
        <v/>
      </c>
      <c r="Y341" s="1354">
        <f>X341-S341</f>
        <v/>
      </c>
      <c r="Z341" s="1361" t="n">
        <v>1</v>
      </c>
      <c r="AA341" s="367" t="inlineStr">
        <is>
          <t>건</t>
        </is>
      </c>
      <c r="AB341" s="1362" t="n">
        <v>3000000</v>
      </c>
      <c r="AC341" s="1353">
        <f>Z341*AB341</f>
        <v/>
      </c>
      <c r="AD341" s="1354">
        <f>AC341-X341</f>
        <v/>
      </c>
      <c r="AE341" s="1361" t="n">
        <v>1</v>
      </c>
      <c r="AF341" s="367" t="inlineStr">
        <is>
          <t>건</t>
        </is>
      </c>
      <c r="AG341" s="1362" t="n">
        <v>3000000</v>
      </c>
      <c r="AH341" s="1353">
        <f>AE341*AG341</f>
        <v/>
      </c>
      <c r="AI341" s="1354">
        <f>AH341-AC341</f>
        <v/>
      </c>
      <c r="AJ341" s="1363" t="n"/>
      <c r="AK341" s="898" t="n"/>
    </row>
    <row r="342" ht="30.2" customHeight="1" s="972">
      <c r="B342" s="1005" t="n"/>
      <c r="C342" s="1006" t="n"/>
      <c r="D342" s="1007" t="n"/>
      <c r="E342" s="981" t="n"/>
      <c r="F342" s="351" t="inlineStr">
        <is>
          <t>티셔츠 에코백 맥주컵 스케이트보드 등 총 10종 어플리케이션</t>
        </is>
      </c>
      <c r="G342" s="352" t="n"/>
      <c r="H342" s="352" t="n"/>
      <c r="I342" s="1349" t="n"/>
      <c r="J342" s="1350">
        <f>G342*I342</f>
        <v/>
      </c>
      <c r="K342" s="1361" t="n">
        <v>10</v>
      </c>
      <c r="L342" s="367" t="inlineStr">
        <is>
          <t>건</t>
        </is>
      </c>
      <c r="M342" s="1362" t="n">
        <v>500000</v>
      </c>
      <c r="N342" s="1353">
        <f>K342*M342</f>
        <v/>
      </c>
      <c r="O342" s="1354">
        <f>N342-J342</f>
        <v/>
      </c>
      <c r="P342" s="1361" t="n">
        <v>10</v>
      </c>
      <c r="Q342" s="367" t="inlineStr">
        <is>
          <t>건</t>
        </is>
      </c>
      <c r="R342" s="1362" t="n">
        <v>500000</v>
      </c>
      <c r="S342" s="1353">
        <f>P342*R342</f>
        <v/>
      </c>
      <c r="T342" s="1355">
        <f>S342-N342</f>
        <v/>
      </c>
      <c r="U342" s="1361" t="n">
        <v>10</v>
      </c>
      <c r="V342" s="367" t="inlineStr">
        <is>
          <t>건</t>
        </is>
      </c>
      <c r="W342" s="1362" t="n">
        <v>500000</v>
      </c>
      <c r="X342" s="1353">
        <f>U342*W342</f>
        <v/>
      </c>
      <c r="Y342" s="1354">
        <f>X342-S342</f>
        <v/>
      </c>
      <c r="Z342" s="1361" t="n">
        <v>10</v>
      </c>
      <c r="AA342" s="367" t="inlineStr">
        <is>
          <t>건</t>
        </is>
      </c>
      <c r="AB342" s="1362" t="n">
        <v>500000</v>
      </c>
      <c r="AC342" s="1353">
        <f>Z342*AB342</f>
        <v/>
      </c>
      <c r="AD342" s="1354">
        <f>AC342-X342</f>
        <v/>
      </c>
      <c r="AE342" s="1361" t="n">
        <v>10</v>
      </c>
      <c r="AF342" s="367" t="inlineStr">
        <is>
          <t>건</t>
        </is>
      </c>
      <c r="AG342" s="1362" t="n">
        <v>500000</v>
      </c>
      <c r="AH342" s="1353">
        <f>AE342*AG342</f>
        <v/>
      </c>
      <c r="AI342" s="1354">
        <f>AH342-AC342</f>
        <v/>
      </c>
      <c r="AJ342" s="1363" t="n"/>
      <c r="AK342" s="898" t="n"/>
    </row>
    <row r="343" ht="30.2" customHeight="1" s="972">
      <c r="B343" s="1005" t="n"/>
      <c r="C343" s="1008" t="n"/>
      <c r="D343" s="996" t="n"/>
      <c r="E343" s="899" t="inlineStr">
        <is>
          <t>추가 디벨롭</t>
        </is>
      </c>
      <c r="F343" s="351" t="inlineStr">
        <is>
          <t>추가 표정 패턴 및 로고와의 락업, 빼꼼 동작 1종 개발</t>
        </is>
      </c>
      <c r="G343" s="352" t="n"/>
      <c r="H343" s="352" t="n"/>
      <c r="I343" s="1349" t="n"/>
      <c r="J343" s="1350">
        <f>G343*I343</f>
        <v/>
      </c>
      <c r="K343" s="1361" t="n">
        <v>1</v>
      </c>
      <c r="L343" s="367" t="inlineStr">
        <is>
          <t>건</t>
        </is>
      </c>
      <c r="M343" s="1362" t="n">
        <v>3000000</v>
      </c>
      <c r="N343" s="1353">
        <f>K343*M343</f>
        <v/>
      </c>
      <c r="O343" s="1354">
        <f>N343-J343</f>
        <v/>
      </c>
      <c r="P343" s="1361" t="n">
        <v>1</v>
      </c>
      <c r="Q343" s="367" t="inlineStr">
        <is>
          <t>건</t>
        </is>
      </c>
      <c r="R343" s="1362" t="n">
        <v>3000000</v>
      </c>
      <c r="S343" s="1353">
        <f>P343*R343</f>
        <v/>
      </c>
      <c r="T343" s="1355">
        <f>S343-N343</f>
        <v/>
      </c>
      <c r="U343" s="1361" t="n">
        <v>1</v>
      </c>
      <c r="V343" s="367" t="inlineStr">
        <is>
          <t>건</t>
        </is>
      </c>
      <c r="W343" s="1362" t="n">
        <v>3000000</v>
      </c>
      <c r="X343" s="1353">
        <f>U343*W343</f>
        <v/>
      </c>
      <c r="Y343" s="1354">
        <f>X343-S343</f>
        <v/>
      </c>
      <c r="Z343" s="1361" t="n">
        <v>1</v>
      </c>
      <c r="AA343" s="367" t="inlineStr">
        <is>
          <t>건</t>
        </is>
      </c>
      <c r="AB343" s="1362" t="n">
        <v>3000000</v>
      </c>
      <c r="AC343" s="1353">
        <f>Z343*AB343</f>
        <v/>
      </c>
      <c r="AD343" s="1354">
        <f>AC343-X343</f>
        <v/>
      </c>
      <c r="AE343" s="1361" t="n">
        <v>1</v>
      </c>
      <c r="AF343" s="367" t="inlineStr">
        <is>
          <t>건</t>
        </is>
      </c>
      <c r="AG343" s="1362" t="n">
        <v>3000000</v>
      </c>
      <c r="AH343" s="1353">
        <f>AE343*AG343</f>
        <v/>
      </c>
      <c r="AI343" s="1354">
        <f>AH343-AC343</f>
        <v/>
      </c>
      <c r="AJ343" s="1363" t="n"/>
      <c r="AK343" s="898" t="n"/>
    </row>
    <row r="344" ht="30.2" customHeight="1" s="972">
      <c r="B344" s="1005" t="n"/>
      <c r="C344" s="1064" t="inlineStr">
        <is>
          <t>소계</t>
        </is>
      </c>
      <c r="D344" s="1053" t="n"/>
      <c r="E344" s="1053" t="n"/>
      <c r="F344" s="1053" t="n"/>
      <c r="G344" s="1053" t="n"/>
      <c r="H344" s="1053" t="n"/>
      <c r="I344" s="997" t="n"/>
      <c r="J344" s="1364">
        <f>SUM(J339:J340)</f>
        <v/>
      </c>
      <c r="K344" s="1285" t="n"/>
      <c r="M344" s="1007" t="n"/>
      <c r="N344" s="1116">
        <f>SUM(N339:N343)</f>
        <v/>
      </c>
      <c r="O344" s="1117">
        <f>N344-J344</f>
        <v/>
      </c>
      <c r="P344" s="1285" t="n"/>
      <c r="R344" s="1007" t="n"/>
      <c r="S344" s="1116">
        <f>SUM(S339:S343)</f>
        <v/>
      </c>
      <c r="T344" s="1093">
        <f>S344-N344</f>
        <v/>
      </c>
      <c r="U344" s="1285" t="n"/>
      <c r="W344" s="1007" t="n"/>
      <c r="X344" s="1116">
        <f>SUM(X339:X343)</f>
        <v/>
      </c>
      <c r="Y344" s="1117">
        <f>X344-S344</f>
        <v/>
      </c>
      <c r="Z344" s="1285" t="n"/>
      <c r="AB344" s="1007" t="n"/>
      <c r="AC344" s="1116">
        <f>SUM(AC339:AC343)</f>
        <v/>
      </c>
      <c r="AD344" s="1117">
        <f>AC344-X344</f>
        <v/>
      </c>
      <c r="AE344" s="1285" t="n"/>
      <c r="AG344" s="1007" t="n"/>
      <c r="AH344" s="1116">
        <f>SUM(AH339:AH343)</f>
        <v/>
      </c>
      <c r="AI344" s="1117">
        <f>AH344-AC344</f>
        <v/>
      </c>
      <c r="AJ344" s="1118" t="n"/>
      <c r="AK344" s="33" t="n"/>
    </row>
    <row r="345" ht="30.2" customHeight="1" s="972">
      <c r="B345" s="1005" t="n"/>
      <c r="C345" s="898" t="inlineStr">
        <is>
          <t>MD 제작</t>
        </is>
      </c>
      <c r="D345" s="997" t="n"/>
      <c r="E345" s="370" t="inlineStr">
        <is>
          <t>티셔츠</t>
        </is>
      </c>
      <c r="F345" s="351" t="inlineStr">
        <is>
          <t>티셔츠 제작 디자인 A</t>
        </is>
      </c>
      <c r="G345" s="371" t="n"/>
      <c r="H345" s="352" t="n"/>
      <c r="I345" s="1349" t="n"/>
      <c r="J345" s="1350">
        <f>G345*I345</f>
        <v/>
      </c>
      <c r="K345" s="1357" t="n">
        <v>1000</v>
      </c>
      <c r="L345" s="372" t="inlineStr">
        <is>
          <t>개</t>
        </is>
      </c>
      <c r="M345" s="1365" t="n">
        <v>18900</v>
      </c>
      <c r="N345" s="1353">
        <f>K345*M345</f>
        <v/>
      </c>
      <c r="O345" s="1354">
        <f>N345-J345</f>
        <v/>
      </c>
      <c r="P345" s="1357" t="n">
        <v>1000</v>
      </c>
      <c r="Q345" s="372" t="inlineStr">
        <is>
          <t>개</t>
        </is>
      </c>
      <c r="R345" s="1365" t="n">
        <v>18900</v>
      </c>
      <c r="S345" s="1353">
        <f>P345*R345</f>
        <v/>
      </c>
      <c r="T345" s="1355">
        <f>S345-N345</f>
        <v/>
      </c>
      <c r="U345" s="1357" t="n">
        <v>1000</v>
      </c>
      <c r="V345" s="372" t="inlineStr">
        <is>
          <t>개</t>
        </is>
      </c>
      <c r="W345" s="1365" t="n">
        <v>18900</v>
      </c>
      <c r="X345" s="1353">
        <f>U345*W345</f>
        <v/>
      </c>
      <c r="Y345" s="1354">
        <f>X345-S345</f>
        <v/>
      </c>
      <c r="Z345" s="1357" t="n">
        <v>1000</v>
      </c>
      <c r="AA345" s="372" t="inlineStr">
        <is>
          <t>개</t>
        </is>
      </c>
      <c r="AB345" s="1365" t="n">
        <v>18900</v>
      </c>
      <c r="AC345" s="1353">
        <f>Z345*AB345</f>
        <v/>
      </c>
      <c r="AD345" s="1354">
        <f>AC345-X345</f>
        <v/>
      </c>
      <c r="AE345" s="1357" t="n">
        <v>1000</v>
      </c>
      <c r="AF345" s="372" t="inlineStr">
        <is>
          <t>개</t>
        </is>
      </c>
      <c r="AG345" s="1365" t="n">
        <v>18900</v>
      </c>
      <c r="AH345" s="1353">
        <f>AE345*AG345</f>
        <v/>
      </c>
      <c r="AI345" s="1354">
        <f>AH345-AC345</f>
        <v/>
      </c>
      <c r="AJ345" s="1363" t="n"/>
      <c r="AK345" s="899" t="inlineStr">
        <is>
          <t>유니섹스 사이즈 5종 기준, 양면 그래픽 인쇄, 직조 라벨</t>
        </is>
      </c>
    </row>
    <row r="346" ht="30.2" customHeight="1" s="972">
      <c r="B346" s="1005" t="n"/>
      <c r="C346" s="1006" t="n"/>
      <c r="D346" s="1007" t="n"/>
      <c r="E346" s="370" t="inlineStr">
        <is>
          <t>티셔츠</t>
        </is>
      </c>
      <c r="F346" s="351" t="inlineStr">
        <is>
          <t>티셔츠 제작 디자인 B</t>
        </is>
      </c>
      <c r="G346" s="371" t="n"/>
      <c r="H346" s="352" t="n"/>
      <c r="I346" s="1349" t="n"/>
      <c r="J346" s="1350">
        <f>G346*I346</f>
        <v/>
      </c>
      <c r="K346" s="1357" t="n">
        <v>1000</v>
      </c>
      <c r="L346" s="367" t="inlineStr">
        <is>
          <t>개</t>
        </is>
      </c>
      <c r="M346" s="1362" t="n">
        <v>17500</v>
      </c>
      <c r="N346" s="1353">
        <f>K346*M346</f>
        <v/>
      </c>
      <c r="O346" s="1354">
        <f>N346-J346</f>
        <v/>
      </c>
      <c r="P346" s="1357" t="n">
        <v>1000</v>
      </c>
      <c r="Q346" s="367" t="inlineStr">
        <is>
          <t>개</t>
        </is>
      </c>
      <c r="R346" s="1362" t="n">
        <v>17500</v>
      </c>
      <c r="S346" s="1353">
        <f>P346*R346</f>
        <v/>
      </c>
      <c r="T346" s="1355">
        <f>S346-N346</f>
        <v/>
      </c>
      <c r="U346" s="1357" t="n">
        <v>1000</v>
      </c>
      <c r="V346" s="367" t="inlineStr">
        <is>
          <t>개</t>
        </is>
      </c>
      <c r="W346" s="1362" t="n">
        <v>17500</v>
      </c>
      <c r="X346" s="1353">
        <f>U346*W346</f>
        <v/>
      </c>
      <c r="Y346" s="1354">
        <f>X346-S346</f>
        <v/>
      </c>
      <c r="Z346" s="1357" t="n">
        <v>1000</v>
      </c>
      <c r="AA346" s="367" t="inlineStr">
        <is>
          <t>개</t>
        </is>
      </c>
      <c r="AB346" s="1362" t="n">
        <v>17500</v>
      </c>
      <c r="AC346" s="1353">
        <f>Z346*AB346</f>
        <v/>
      </c>
      <c r="AD346" s="1354">
        <f>AC346-X346</f>
        <v/>
      </c>
      <c r="AE346" s="1357" t="n">
        <v>1000</v>
      </c>
      <c r="AF346" s="367" t="inlineStr">
        <is>
          <t>개</t>
        </is>
      </c>
      <c r="AG346" s="1362" t="n">
        <v>17500</v>
      </c>
      <c r="AH346" s="1353">
        <f>AE346*AG346</f>
        <v/>
      </c>
      <c r="AI346" s="1354">
        <f>AH346-AC346</f>
        <v/>
      </c>
      <c r="AJ346" s="1363" t="n"/>
      <c r="AK346" s="899" t="inlineStr">
        <is>
          <t>유니섹스 사이즈 5종 기준, 양면 그래픽 인쇄, 직조 라벨</t>
        </is>
      </c>
    </row>
    <row r="347" ht="30.2" customHeight="1" s="972">
      <c r="B347" s="1005" t="n"/>
      <c r="C347" s="1006" t="n"/>
      <c r="D347" s="1007" t="n"/>
      <c r="E347" s="370" t="inlineStr">
        <is>
          <t>에코백</t>
        </is>
      </c>
      <c r="F347" s="351" t="inlineStr">
        <is>
          <t>에코백 제작 디자인 A</t>
        </is>
      </c>
      <c r="G347" s="371" t="n"/>
      <c r="H347" s="352" t="n"/>
      <c r="I347" s="1349" t="n"/>
      <c r="J347" s="1350">
        <f>G347*I347</f>
        <v/>
      </c>
      <c r="K347" s="1351" t="n">
        <v>1000</v>
      </c>
      <c r="L347" s="372" t="inlineStr">
        <is>
          <t>개</t>
        </is>
      </c>
      <c r="M347" s="1362" t="n">
        <v>8300</v>
      </c>
      <c r="N347" s="1353">
        <f>K347*M347</f>
        <v/>
      </c>
      <c r="O347" s="1354">
        <f>N347-J347</f>
        <v/>
      </c>
      <c r="P347" s="1351" t="n">
        <v>1000</v>
      </c>
      <c r="Q347" s="372" t="inlineStr">
        <is>
          <t>개</t>
        </is>
      </c>
      <c r="R347" s="1362" t="n">
        <v>8300</v>
      </c>
      <c r="S347" s="1353">
        <f>P347*R347</f>
        <v/>
      </c>
      <c r="T347" s="1355">
        <f>S347-N347</f>
        <v/>
      </c>
      <c r="U347" s="1351" t="n">
        <v>1000</v>
      </c>
      <c r="V347" s="372" t="inlineStr">
        <is>
          <t>개</t>
        </is>
      </c>
      <c r="W347" s="1362" t="n">
        <v>8300</v>
      </c>
      <c r="X347" s="1353">
        <f>U347*W347</f>
        <v/>
      </c>
      <c r="Y347" s="1354">
        <f>X347-S347</f>
        <v/>
      </c>
      <c r="Z347" s="1351" t="n">
        <v>1000</v>
      </c>
      <c r="AA347" s="372" t="inlineStr">
        <is>
          <t>개</t>
        </is>
      </c>
      <c r="AB347" s="1362" t="n">
        <v>8300</v>
      </c>
      <c r="AC347" s="1353">
        <f>Z347*AB347</f>
        <v/>
      </c>
      <c r="AD347" s="1354">
        <f>AC347-X347</f>
        <v/>
      </c>
      <c r="AE347" s="1351" t="n">
        <v>1000</v>
      </c>
      <c r="AF347" s="372" t="inlineStr">
        <is>
          <t>개</t>
        </is>
      </c>
      <c r="AG347" s="1362" t="n">
        <v>8300</v>
      </c>
      <c r="AH347" s="1353">
        <f>AE347*AG347</f>
        <v/>
      </c>
      <c r="AI347" s="1354">
        <f>AH347-AC347</f>
        <v/>
      </c>
      <c r="AJ347" s="1363" t="n"/>
      <c r="AK347" s="899" t="inlineStr">
        <is>
          <t>오프화이트 컬러 캔버스 재질, 양면 그래픽 인쇄, 태그 라벨</t>
        </is>
      </c>
    </row>
    <row r="348" ht="30.2" customHeight="1" s="972">
      <c r="B348" s="1005" t="n"/>
      <c r="C348" s="1006" t="n"/>
      <c r="D348" s="1007" t="n"/>
      <c r="E348" s="370" t="inlineStr">
        <is>
          <t>에코백</t>
        </is>
      </c>
      <c r="F348" s="351" t="inlineStr">
        <is>
          <t>에코백 제작 디자인 B</t>
        </is>
      </c>
      <c r="G348" s="371" t="n"/>
      <c r="H348" s="352" t="n"/>
      <c r="I348" s="1349" t="n"/>
      <c r="J348" s="1350">
        <f>G348*I348</f>
        <v/>
      </c>
      <c r="K348" s="1357" t="n">
        <v>1000</v>
      </c>
      <c r="L348" s="367" t="inlineStr">
        <is>
          <t>개</t>
        </is>
      </c>
      <c r="M348" s="1365" t="n">
        <v>8100</v>
      </c>
      <c r="N348" s="1353">
        <f>K348*M348</f>
        <v/>
      </c>
      <c r="O348" s="1354">
        <f>N348-J348</f>
        <v/>
      </c>
      <c r="P348" s="1357" t="n">
        <v>1000</v>
      </c>
      <c r="Q348" s="367" t="inlineStr">
        <is>
          <t>개</t>
        </is>
      </c>
      <c r="R348" s="1365" t="n">
        <v>8100</v>
      </c>
      <c r="S348" s="1353">
        <f>P348*R348</f>
        <v/>
      </c>
      <c r="T348" s="1355">
        <f>S348-N348</f>
        <v/>
      </c>
      <c r="U348" s="1357" t="n">
        <v>1000</v>
      </c>
      <c r="V348" s="367" t="inlineStr">
        <is>
          <t>개</t>
        </is>
      </c>
      <c r="W348" s="1365" t="n">
        <v>8100</v>
      </c>
      <c r="X348" s="1353">
        <f>U348*W348</f>
        <v/>
      </c>
      <c r="Y348" s="1354">
        <f>X348-S348</f>
        <v/>
      </c>
      <c r="Z348" s="1357" t="n">
        <v>1000</v>
      </c>
      <c r="AA348" s="367" t="inlineStr">
        <is>
          <t>개</t>
        </is>
      </c>
      <c r="AB348" s="1365" t="n">
        <v>8100</v>
      </c>
      <c r="AC348" s="1353">
        <f>Z348*AB348</f>
        <v/>
      </c>
      <c r="AD348" s="1354">
        <f>AC348-X348</f>
        <v/>
      </c>
      <c r="AE348" s="1357" t="n">
        <v>1000</v>
      </c>
      <c r="AF348" s="367" t="inlineStr">
        <is>
          <t>개</t>
        </is>
      </c>
      <c r="AG348" s="1365" t="n">
        <v>8100</v>
      </c>
      <c r="AH348" s="1353">
        <f>AE348*AG348</f>
        <v/>
      </c>
      <c r="AI348" s="1354">
        <f>AH348-AC348</f>
        <v/>
      </c>
      <c r="AJ348" s="1363" t="n"/>
      <c r="AK348" s="899" t="inlineStr">
        <is>
          <t>그레이 컬러 캔버스 재질, 양면 그래픽 인쇄, 태그 라벨</t>
        </is>
      </c>
    </row>
    <row r="349" ht="30.2" customHeight="1" s="972">
      <c r="B349" s="1005" t="n"/>
      <c r="C349" s="1006" t="n"/>
      <c r="D349" s="1007" t="n"/>
      <c r="E349" s="370" t="inlineStr">
        <is>
          <t>스케이트 보드</t>
        </is>
      </c>
      <c r="F349" s="351" t="inlineStr">
        <is>
          <t>디자인 4종</t>
        </is>
      </c>
      <c r="G349" s="371" t="n"/>
      <c r="H349" s="352" t="n"/>
      <c r="I349" s="1349" t="n"/>
      <c r="J349" s="1350">
        <f>G349*I349</f>
        <v/>
      </c>
      <c r="K349" s="1357" t="n">
        <v>8</v>
      </c>
      <c r="L349" s="372" t="inlineStr">
        <is>
          <t>개</t>
        </is>
      </c>
      <c r="M349" s="1362" t="n">
        <v>363000</v>
      </c>
      <c r="N349" s="1353">
        <f>K349*M349</f>
        <v/>
      </c>
      <c r="O349" s="1354">
        <f>N349-J349</f>
        <v/>
      </c>
      <c r="P349" s="1357" t="n">
        <v>8</v>
      </c>
      <c r="Q349" s="372" t="inlineStr">
        <is>
          <t>개</t>
        </is>
      </c>
      <c r="R349" s="1362" t="n">
        <v>363000</v>
      </c>
      <c r="S349" s="1353">
        <f>P349*R349</f>
        <v/>
      </c>
      <c r="T349" s="1355">
        <f>S349-N349</f>
        <v/>
      </c>
      <c r="U349" s="1357" t="n">
        <v>8</v>
      </c>
      <c r="V349" s="372" t="inlineStr">
        <is>
          <t>개</t>
        </is>
      </c>
      <c r="W349" s="1362" t="n">
        <v>363000</v>
      </c>
      <c r="X349" s="1353">
        <f>U349*W349</f>
        <v/>
      </c>
      <c r="Y349" s="1354">
        <f>X349-S349</f>
        <v/>
      </c>
      <c r="Z349" s="1357" t="n">
        <v>8</v>
      </c>
      <c r="AA349" s="372" t="inlineStr">
        <is>
          <t>개</t>
        </is>
      </c>
      <c r="AB349" s="1362" t="n">
        <v>363000</v>
      </c>
      <c r="AC349" s="1353">
        <f>Z349*AB349</f>
        <v/>
      </c>
      <c r="AD349" s="1354">
        <f>AC349-X349</f>
        <v/>
      </c>
      <c r="AE349" s="1357" t="n">
        <v>8</v>
      </c>
      <c r="AF349" s="372" t="inlineStr">
        <is>
          <t>개</t>
        </is>
      </c>
      <c r="AG349" s="1362" t="n">
        <v>363000</v>
      </c>
      <c r="AH349" s="1353">
        <f>AE349*AG349</f>
        <v/>
      </c>
      <c r="AI349" s="1354">
        <f>AH349-AC349</f>
        <v/>
      </c>
      <c r="AJ349" s="1363" t="n"/>
      <c r="AK349" s="899" t="inlineStr">
        <is>
          <t>폭 8.25인치, 길이 32인치, 그래픽 래핑</t>
        </is>
      </c>
    </row>
    <row r="350" ht="30.2" customHeight="1" s="972">
      <c r="B350" s="1005" t="n"/>
      <c r="C350" s="1006" t="n"/>
      <c r="D350" s="1007" t="n"/>
      <c r="E350" s="370" t="inlineStr">
        <is>
          <t>맥주컵</t>
        </is>
      </c>
      <c r="F350" s="351" t="inlineStr">
        <is>
          <t>맥주컵 디자인 A&amp;B</t>
        </is>
      </c>
      <c r="G350" s="371" t="n"/>
      <c r="H350" s="352" t="n"/>
      <c r="I350" s="1349" t="n"/>
      <c r="J350" s="1350">
        <f>G350*I350</f>
        <v/>
      </c>
      <c r="K350" s="1351" t="n">
        <v>1000</v>
      </c>
      <c r="L350" s="367" t="inlineStr">
        <is>
          <t>개</t>
        </is>
      </c>
      <c r="M350" s="1362" t="n">
        <v>6900</v>
      </c>
      <c r="N350" s="1353">
        <f>K350*M350</f>
        <v/>
      </c>
      <c r="O350" s="1354">
        <f>N350-J350</f>
        <v/>
      </c>
      <c r="P350" s="1351" t="n">
        <v>1000</v>
      </c>
      <c r="Q350" s="367" t="inlineStr">
        <is>
          <t>개</t>
        </is>
      </c>
      <c r="R350" s="1362" t="n">
        <v>6900</v>
      </c>
      <c r="S350" s="1353">
        <f>P350*R350</f>
        <v/>
      </c>
      <c r="T350" s="1355">
        <f>S350-N350</f>
        <v/>
      </c>
      <c r="U350" s="1351" t="n">
        <v>1000</v>
      </c>
      <c r="V350" s="367" t="inlineStr">
        <is>
          <t>개</t>
        </is>
      </c>
      <c r="W350" s="1362" t="n">
        <v>6900</v>
      </c>
      <c r="X350" s="1353">
        <f>U350*W350</f>
        <v/>
      </c>
      <c r="Y350" s="1354">
        <f>X350-S350</f>
        <v/>
      </c>
      <c r="Z350" s="1351" t="n">
        <v>1000</v>
      </c>
      <c r="AA350" s="367" t="inlineStr">
        <is>
          <t>개</t>
        </is>
      </c>
      <c r="AB350" s="1362" t="n">
        <v>6900</v>
      </c>
      <c r="AC350" s="1353">
        <f>Z350*AB350</f>
        <v/>
      </c>
      <c r="AD350" s="1354">
        <f>AC350-X350</f>
        <v/>
      </c>
      <c r="AE350" s="1351" t="n">
        <v>1000</v>
      </c>
      <c r="AF350" s="367" t="inlineStr">
        <is>
          <t>개</t>
        </is>
      </c>
      <c r="AG350" s="1362" t="n">
        <v>6900</v>
      </c>
      <c r="AH350" s="1353">
        <f>AE350*AG350</f>
        <v/>
      </c>
      <c r="AI350" s="1354">
        <f>AH350-AC350</f>
        <v/>
      </c>
      <c r="AJ350" s="1363" t="n"/>
      <c r="AK350" s="375" t="inlineStr">
        <is>
          <t>손잡이형 컵, 높이 141mm, 윗지름 72mm, 용량 355ml, 
디자인 2종, 3~4도 그래픽 인쇄</t>
        </is>
      </c>
    </row>
    <row r="351" ht="30.2" customHeight="1" s="972">
      <c r="B351" s="1005" t="n"/>
      <c r="C351" s="1006" t="n"/>
      <c r="D351" s="1007" t="n"/>
      <c r="E351" s="370" t="inlineStr">
        <is>
          <t>버튼뱃지</t>
        </is>
      </c>
      <c r="F351" s="351" t="inlineStr">
        <is>
          <t>버튼뱃지 디자인 8종</t>
        </is>
      </c>
      <c r="G351" s="371" t="n"/>
      <c r="H351" s="352" t="n"/>
      <c r="I351" s="1349" t="n"/>
      <c r="J351" s="1350">
        <f>G351*I351</f>
        <v/>
      </c>
      <c r="K351" s="1357" t="n">
        <v>8000</v>
      </c>
      <c r="L351" s="372" t="inlineStr">
        <is>
          <t>개</t>
        </is>
      </c>
      <c r="M351" s="1365" t="n">
        <v>850</v>
      </c>
      <c r="N351" s="1353">
        <f>K351*M351</f>
        <v/>
      </c>
      <c r="O351" s="1354">
        <f>N351-J351</f>
        <v/>
      </c>
      <c r="P351" s="1357" t="n">
        <v>8000</v>
      </c>
      <c r="Q351" s="372" t="inlineStr">
        <is>
          <t>개</t>
        </is>
      </c>
      <c r="R351" s="1365" t="n">
        <v>850</v>
      </c>
      <c r="S351" s="1353">
        <f>P351*R351</f>
        <v/>
      </c>
      <c r="T351" s="1355">
        <f>S351-N351</f>
        <v/>
      </c>
      <c r="U351" s="1357" t="n">
        <v>8000</v>
      </c>
      <c r="V351" s="372" t="inlineStr">
        <is>
          <t>개</t>
        </is>
      </c>
      <c r="W351" s="1365" t="n">
        <v>850</v>
      </c>
      <c r="X351" s="1353">
        <f>U351*W351</f>
        <v/>
      </c>
      <c r="Y351" s="1354">
        <f>X351-S351</f>
        <v/>
      </c>
      <c r="Z351" s="1357" t="n">
        <v>8000</v>
      </c>
      <c r="AA351" s="372" t="inlineStr">
        <is>
          <t>개</t>
        </is>
      </c>
      <c r="AB351" s="1365" t="n">
        <v>850</v>
      </c>
      <c r="AC351" s="1353">
        <f>Z351*AB351</f>
        <v/>
      </c>
      <c r="AD351" s="1354">
        <f>AC351-X351</f>
        <v/>
      </c>
      <c r="AE351" s="1357" t="n">
        <v>8000</v>
      </c>
      <c r="AF351" s="372" t="inlineStr">
        <is>
          <t>개</t>
        </is>
      </c>
      <c r="AG351" s="1365" t="n">
        <v>850</v>
      </c>
      <c r="AH351" s="1353">
        <f>AE351*AG351</f>
        <v/>
      </c>
      <c r="AI351" s="1354">
        <f>AH351-AC351</f>
        <v/>
      </c>
      <c r="AJ351" s="1363" t="n"/>
      <c r="AK351" s="375" t="inlineStr">
        <is>
          <t>지름 55mm, 기본형 핀 마감, 개별 OPP 
디자인 8종, 풀컬러 그래픽 인쇄</t>
        </is>
      </c>
    </row>
    <row r="352" ht="30.2" customHeight="1" s="972">
      <c r="B352" s="1005" t="n"/>
      <c r="C352" s="1006" t="n"/>
      <c r="D352" s="1007" t="n"/>
      <c r="E352" s="370" t="inlineStr">
        <is>
          <t>코스터</t>
        </is>
      </c>
      <c r="F352" s="351" t="inlineStr">
        <is>
          <t>디자인 2종</t>
        </is>
      </c>
      <c r="G352" s="371" t="n"/>
      <c r="H352" s="352" t="n"/>
      <c r="I352" s="1349" t="n"/>
      <c r="J352" s="1350">
        <f>G352*I352</f>
        <v/>
      </c>
      <c r="K352" s="1357" t="n">
        <v>10000</v>
      </c>
      <c r="L352" s="367" t="inlineStr">
        <is>
          <t>개</t>
        </is>
      </c>
      <c r="M352" s="1362" t="n">
        <v>250</v>
      </c>
      <c r="N352" s="1353">
        <f>K352*M352</f>
        <v/>
      </c>
      <c r="O352" s="1354">
        <f>N352-J352</f>
        <v/>
      </c>
      <c r="P352" s="1357" t="n">
        <v>10000</v>
      </c>
      <c r="Q352" s="367" t="inlineStr">
        <is>
          <t>개</t>
        </is>
      </c>
      <c r="R352" s="1362" t="n">
        <v>250</v>
      </c>
      <c r="S352" s="1353">
        <f>P352*R352</f>
        <v/>
      </c>
      <c r="T352" s="1355">
        <f>S352-N352</f>
        <v/>
      </c>
      <c r="U352" s="1357" t="n">
        <v>10000</v>
      </c>
      <c r="V352" s="367" t="inlineStr">
        <is>
          <t>개</t>
        </is>
      </c>
      <c r="W352" s="1362" t="n">
        <v>250</v>
      </c>
      <c r="X352" s="1353">
        <f>U352*W352</f>
        <v/>
      </c>
      <c r="Y352" s="1354">
        <f>X352-S352</f>
        <v/>
      </c>
      <c r="Z352" s="1357" t="n">
        <v>10000</v>
      </c>
      <c r="AA352" s="367" t="inlineStr">
        <is>
          <t>개</t>
        </is>
      </c>
      <c r="AB352" s="1362" t="n">
        <v>250</v>
      </c>
      <c r="AC352" s="1353">
        <f>Z352*AB352</f>
        <v/>
      </c>
      <c r="AD352" s="1354">
        <f>AC352-X352</f>
        <v/>
      </c>
      <c r="AE352" s="1357" t="n">
        <v>10000</v>
      </c>
      <c r="AF352" s="367" t="inlineStr">
        <is>
          <t>개</t>
        </is>
      </c>
      <c r="AG352" s="1362" t="n">
        <v>250</v>
      </c>
      <c r="AH352" s="1353">
        <f>AE352*AG352</f>
        <v/>
      </c>
      <c r="AI352" s="1354">
        <f>AH352-AC352</f>
        <v/>
      </c>
      <c r="AJ352" s="1363" t="n"/>
      <c r="AK352" s="899" t="inlineStr">
        <is>
          <t>디자인 2종, 펄프 원단, 3~4도 그래픽 인쇄, 개별 포장 불가</t>
        </is>
      </c>
    </row>
    <row r="353" ht="30.2" customHeight="1" s="972">
      <c r="B353" s="1005" t="n"/>
      <c r="C353" s="1006" t="n"/>
      <c r="D353" s="1007" t="n"/>
      <c r="E353" s="370" t="inlineStr">
        <is>
          <t>포토프레임</t>
        </is>
      </c>
      <c r="F353" s="351" t="inlineStr">
        <is>
          <t>디자인 2종</t>
        </is>
      </c>
      <c r="G353" s="371" t="n"/>
      <c r="H353" s="352" t="n"/>
      <c r="I353" s="1349" t="n"/>
      <c r="J353" s="1350">
        <f>G353*I353</f>
        <v/>
      </c>
      <c r="K353" s="1351" t="n">
        <v>2000</v>
      </c>
      <c r="L353" s="372" t="inlineStr">
        <is>
          <t>개</t>
        </is>
      </c>
      <c r="M353" s="1362" t="n">
        <v>2500</v>
      </c>
      <c r="N353" s="1353">
        <f>K353*M353</f>
        <v/>
      </c>
      <c r="O353" s="1354">
        <f>N353-J353</f>
        <v/>
      </c>
      <c r="P353" s="1351" t="n">
        <v>2000</v>
      </c>
      <c r="Q353" s="372" t="inlineStr">
        <is>
          <t>개</t>
        </is>
      </c>
      <c r="R353" s="1362" t="n">
        <v>2500</v>
      </c>
      <c r="S353" s="1353">
        <f>P353*R353</f>
        <v/>
      </c>
      <c r="T353" s="1355">
        <f>S353-N353</f>
        <v/>
      </c>
      <c r="U353" s="1351" t="n">
        <v>2000</v>
      </c>
      <c r="V353" s="372" t="inlineStr">
        <is>
          <t>개</t>
        </is>
      </c>
      <c r="W353" s="1362" t="n">
        <v>2500</v>
      </c>
      <c r="X353" s="1353">
        <f>U353*W353</f>
        <v/>
      </c>
      <c r="Y353" s="1354">
        <f>X353-S353</f>
        <v/>
      </c>
      <c r="Z353" s="1351" t="n">
        <v>2000</v>
      </c>
      <c r="AA353" s="372" t="inlineStr">
        <is>
          <t>개</t>
        </is>
      </c>
      <c r="AB353" s="1362" t="n">
        <v>2500</v>
      </c>
      <c r="AC353" s="1353">
        <f>Z353*AB353</f>
        <v/>
      </c>
      <c r="AD353" s="1354">
        <f>AC353-X353</f>
        <v/>
      </c>
      <c r="AE353" s="1351" t="n">
        <v>2000</v>
      </c>
      <c r="AF353" s="372" t="inlineStr">
        <is>
          <t>개</t>
        </is>
      </c>
      <c r="AG353" s="1362" t="n">
        <v>2500</v>
      </c>
      <c r="AH353" s="1353">
        <f>AE353*AG353</f>
        <v/>
      </c>
      <c r="AI353" s="1354">
        <f>AH353-AC353</f>
        <v/>
      </c>
      <c r="AJ353" s="1363" t="n"/>
      <c r="AK353" s="899" t="inlineStr">
        <is>
          <t>디자인 2종, 로얄 아이보리지, 폴라로이드 프레임 사이즈 기준</t>
        </is>
      </c>
    </row>
    <row r="354" ht="30.2" customHeight="1" s="972">
      <c r="B354" s="1005" t="n"/>
      <c r="C354" s="1006" t="n"/>
      <c r="D354" s="1007" t="n"/>
      <c r="E354" s="370" t="inlineStr">
        <is>
          <t>보조배터리</t>
        </is>
      </c>
      <c r="F354" s="351" t="inlineStr">
        <is>
          <t>디자인 3종</t>
        </is>
      </c>
      <c r="G354" s="371" t="n"/>
      <c r="H354" s="352" t="n"/>
      <c r="I354" s="1349" t="n"/>
      <c r="J354" s="1350">
        <f>G354*I354</f>
        <v/>
      </c>
      <c r="K354" s="1357" t="n">
        <v>1500</v>
      </c>
      <c r="L354" s="367" t="inlineStr">
        <is>
          <t>개</t>
        </is>
      </c>
      <c r="M354" s="1362" t="n">
        <v>8500</v>
      </c>
      <c r="N354" s="1353">
        <f>K354*M354</f>
        <v/>
      </c>
      <c r="O354" s="1354">
        <f>N354-J354</f>
        <v/>
      </c>
      <c r="P354" s="1357" t="n">
        <v>1500</v>
      </c>
      <c r="Q354" s="367" t="inlineStr">
        <is>
          <t>개</t>
        </is>
      </c>
      <c r="R354" s="1362" t="n">
        <v>8500</v>
      </c>
      <c r="S354" s="1353">
        <f>P354*R354</f>
        <v/>
      </c>
      <c r="T354" s="1355">
        <f>S354-N354</f>
        <v/>
      </c>
      <c r="U354" s="1357" t="n">
        <v>1500</v>
      </c>
      <c r="V354" s="367" t="inlineStr">
        <is>
          <t>개</t>
        </is>
      </c>
      <c r="W354" s="1362" t="n">
        <v>8500</v>
      </c>
      <c r="X354" s="1353">
        <f>U354*W354</f>
        <v/>
      </c>
      <c r="Y354" s="1354">
        <f>X354-S354</f>
        <v/>
      </c>
      <c r="Z354" s="1357" t="n">
        <v>1500</v>
      </c>
      <c r="AA354" s="367" t="inlineStr">
        <is>
          <t>개</t>
        </is>
      </c>
      <c r="AB354" s="1362" t="n">
        <v>8500</v>
      </c>
      <c r="AC354" s="1353">
        <f>Z354*AB354</f>
        <v/>
      </c>
      <c r="AD354" s="1354">
        <f>AC354-X354</f>
        <v/>
      </c>
      <c r="AE354" s="1357" t="n">
        <v>1500</v>
      </c>
      <c r="AF354" s="367" t="inlineStr">
        <is>
          <t>개</t>
        </is>
      </c>
      <c r="AG354" s="1362" t="n">
        <v>8500</v>
      </c>
      <c r="AH354" s="1353">
        <f>AE354*AG354</f>
        <v/>
      </c>
      <c r="AI354" s="1354">
        <f>AH354-AC354</f>
        <v/>
      </c>
      <c r="AJ354" s="1363" t="n"/>
      <c r="AK354" s="899" t="inlineStr">
        <is>
          <t>그래픽 양면 인쇄, 개별 제품 박스 포장</t>
        </is>
      </c>
    </row>
    <row r="355" ht="30.2" customHeight="1" s="972">
      <c r="B355" s="1005" t="n"/>
      <c r="C355" s="1008" t="n"/>
      <c r="D355" s="996" t="n"/>
      <c r="E355" s="370" t="inlineStr">
        <is>
          <t>종이백</t>
        </is>
      </c>
      <c r="F355" s="351" t="inlineStr">
        <is>
          <t>디자인 3종</t>
        </is>
      </c>
      <c r="G355" s="371" t="n"/>
      <c r="H355" s="352" t="n"/>
      <c r="I355" s="1349" t="n"/>
      <c r="J355" s="1350">
        <f>G355*I355</f>
        <v/>
      </c>
      <c r="K355" s="1351" t="n">
        <v>3000</v>
      </c>
      <c r="L355" s="372" t="inlineStr">
        <is>
          <t>개</t>
        </is>
      </c>
      <c r="M355" s="1362" t="n">
        <v>1500</v>
      </c>
      <c r="N355" s="1353">
        <f>K355*M355</f>
        <v/>
      </c>
      <c r="O355" s="1354">
        <f>N355-J355</f>
        <v/>
      </c>
      <c r="P355" s="1351" t="n">
        <v>3000</v>
      </c>
      <c r="Q355" s="372" t="inlineStr">
        <is>
          <t>개</t>
        </is>
      </c>
      <c r="R355" s="1362" t="n">
        <v>1500</v>
      </c>
      <c r="S355" s="1353">
        <f>P355*R355</f>
        <v/>
      </c>
      <c r="T355" s="1355">
        <f>S355-N355</f>
        <v/>
      </c>
      <c r="U355" s="1351" t="n">
        <v>3000</v>
      </c>
      <c r="V355" s="372" t="inlineStr">
        <is>
          <t>개</t>
        </is>
      </c>
      <c r="W355" s="1362" t="n">
        <v>1500</v>
      </c>
      <c r="X355" s="1353">
        <f>U355*W355</f>
        <v/>
      </c>
      <c r="Y355" s="1354">
        <f>X355-S355</f>
        <v/>
      </c>
      <c r="Z355" s="1351" t="n">
        <v>3000</v>
      </c>
      <c r="AA355" s="372" t="inlineStr">
        <is>
          <t>개</t>
        </is>
      </c>
      <c r="AB355" s="1362" t="n">
        <v>1500</v>
      </c>
      <c r="AC355" s="1353">
        <f>Z355*AB355</f>
        <v/>
      </c>
      <c r="AD355" s="1354">
        <f>AC355-X355</f>
        <v/>
      </c>
      <c r="AE355" s="1351" t="n">
        <v>3000</v>
      </c>
      <c r="AF355" s="372" t="inlineStr">
        <is>
          <t>개</t>
        </is>
      </c>
      <c r="AG355" s="1362" t="n">
        <v>1500</v>
      </c>
      <c r="AH355" s="1353">
        <f>AE355*AG355</f>
        <v/>
      </c>
      <c r="AI355" s="1354">
        <f>AH355-AC355</f>
        <v/>
      </c>
      <c r="AJ355" s="1363" t="n"/>
      <c r="AK355" s="899" t="inlineStr">
        <is>
          <t>디자인 3종, 블랙 공단 2cm 끈, 아트지 180g, 대중소 3개 사이즈</t>
        </is>
      </c>
    </row>
    <row r="356" ht="30.2" customHeight="1" s="972">
      <c r="B356" s="1005" t="n"/>
      <c r="C356" s="874" t="inlineStr">
        <is>
          <t>소계</t>
        </is>
      </c>
      <c r="D356" s="955" t="n"/>
      <c r="E356" s="955" t="n"/>
      <c r="F356" s="955" t="n"/>
      <c r="G356" s="955" t="n"/>
      <c r="H356" s="955" t="n"/>
      <c r="I356" s="949" t="n"/>
      <c r="J356" s="1114">
        <f>SUM(J345:J347)</f>
        <v/>
      </c>
      <c r="K356" s="1135" t="n"/>
      <c r="L356" s="955" t="n"/>
      <c r="M356" s="949" t="n"/>
      <c r="N356" s="1116">
        <f>SUM(N345:N355)</f>
        <v/>
      </c>
      <c r="O356" s="1366">
        <f>SUM(O345:O347)</f>
        <v/>
      </c>
      <c r="P356" s="1135" t="n"/>
      <c r="Q356" s="955" t="n"/>
      <c r="R356" s="949" t="n"/>
      <c r="S356" s="1116">
        <f>SUM(S345:S355)</f>
        <v/>
      </c>
      <c r="T356" s="1093">
        <f>S356-N356</f>
        <v/>
      </c>
      <c r="U356" s="1135" t="n"/>
      <c r="V356" s="955" t="n"/>
      <c r="W356" s="949" t="n"/>
      <c r="X356" s="1116">
        <f>SUM(X345:X355)</f>
        <v/>
      </c>
      <c r="Y356" s="1117">
        <f>X356-S356</f>
        <v/>
      </c>
      <c r="Z356" s="1135" t="n"/>
      <c r="AA356" s="955" t="n"/>
      <c r="AB356" s="949" t="n"/>
      <c r="AC356" s="1116">
        <f>SUM(AC345:AC355)</f>
        <v/>
      </c>
      <c r="AD356" s="1117">
        <f>AC356-X356</f>
        <v/>
      </c>
      <c r="AE356" s="1135" t="n"/>
      <c r="AF356" s="955" t="n"/>
      <c r="AG356" s="949" t="n"/>
      <c r="AH356" s="1116">
        <f>SUM(AH345:AH355)</f>
        <v/>
      </c>
      <c r="AI356" s="1117">
        <f>AH356-AC356</f>
        <v/>
      </c>
      <c r="AJ356" s="1118" t="n"/>
      <c r="AK356" s="33" t="n"/>
    </row>
    <row r="357" ht="30.2" customHeight="1" s="972">
      <c r="B357" s="1005" t="n"/>
      <c r="C357" s="1367" t="inlineStr">
        <is>
          <t>진행</t>
        </is>
      </c>
      <c r="D357" s="1053" t="n"/>
      <c r="E357" s="376" t="inlineStr">
        <is>
          <t>운송비</t>
        </is>
      </c>
      <c r="F357" s="376" t="inlineStr">
        <is>
          <t xml:space="preserve">제작 물품 운송비 </t>
        </is>
      </c>
      <c r="G357" s="377" t="n"/>
      <c r="H357" s="377" t="n"/>
      <c r="I357" s="1368" t="n"/>
      <c r="J357" s="1350">
        <f>G357*I357</f>
        <v/>
      </c>
      <c r="K357" s="1351" t="n">
        <v>1</v>
      </c>
      <c r="L357" s="379" t="inlineStr">
        <is>
          <t>회</t>
        </is>
      </c>
      <c r="M357" s="1360" t="n">
        <v>200000</v>
      </c>
      <c r="N357" s="1353">
        <f>K357*M357</f>
        <v/>
      </c>
      <c r="O357" s="1354">
        <f>N357-J357</f>
        <v/>
      </c>
      <c r="P357" s="1351" t="n">
        <v>1</v>
      </c>
      <c r="Q357" s="379" t="inlineStr">
        <is>
          <t>회</t>
        </is>
      </c>
      <c r="R357" s="1360" t="n">
        <v>200000</v>
      </c>
      <c r="S357" s="1353">
        <f>P357*R357</f>
        <v/>
      </c>
      <c r="T357" s="1355">
        <f>S357-N357</f>
        <v/>
      </c>
      <c r="U357" s="1351" t="n">
        <v>1</v>
      </c>
      <c r="V357" s="379" t="inlineStr">
        <is>
          <t>회</t>
        </is>
      </c>
      <c r="W357" s="1360" t="n">
        <v>200000</v>
      </c>
      <c r="X357" s="1353">
        <f>U357*W357</f>
        <v/>
      </c>
      <c r="Y357" s="1354">
        <f>X357-S357</f>
        <v/>
      </c>
      <c r="Z357" s="1351" t="n">
        <v>1</v>
      </c>
      <c r="AA357" s="379" t="inlineStr">
        <is>
          <t>회</t>
        </is>
      </c>
      <c r="AB357" s="1360" t="n">
        <v>200000</v>
      </c>
      <c r="AC357" s="1353">
        <f>Z357*AB357</f>
        <v/>
      </c>
      <c r="AD357" s="1354">
        <f>AC357-X357</f>
        <v/>
      </c>
      <c r="AE357" s="1351" t="n">
        <v>1</v>
      </c>
      <c r="AF357" s="379" t="inlineStr">
        <is>
          <t>회</t>
        </is>
      </c>
      <c r="AG357" s="1360" t="n">
        <v>200000</v>
      </c>
      <c r="AH357" s="1353">
        <f>AE357*AG357</f>
        <v/>
      </c>
      <c r="AI357" s="1354">
        <f>AH357-AC357</f>
        <v/>
      </c>
      <c r="AJ357" s="1363" t="n"/>
      <c r="AK357" s="899" t="inlineStr">
        <is>
          <t>1톤 탑차 서울 배송</t>
        </is>
      </c>
    </row>
    <row r="358" ht="30.2" customHeight="1" s="972">
      <c r="B358" s="1005" t="n"/>
      <c r="C358" s="1006" t="n"/>
      <c r="E358" s="646" t="inlineStr">
        <is>
          <t>촬영</t>
        </is>
      </c>
      <c r="F358" s="646" t="inlineStr">
        <is>
          <t>MD 촬영</t>
        </is>
      </c>
      <c r="G358" s="377" t="n"/>
      <c r="H358" s="377" t="n"/>
      <c r="I358" s="1368" t="n"/>
      <c r="J358" s="1350" t="n"/>
      <c r="K358" s="1351" t="n"/>
      <c r="L358" s="379" t="n"/>
      <c r="M358" s="1360" t="n"/>
      <c r="N358" s="1353" t="n"/>
      <c r="O358" s="1354" t="n"/>
      <c r="P358" s="1351" t="n"/>
      <c r="Q358" s="379" t="n"/>
      <c r="R358" s="1360" t="n"/>
      <c r="S358" s="1353" t="n"/>
      <c r="T358" s="1355" t="n"/>
      <c r="U358" s="1351" t="n"/>
      <c r="V358" s="379" t="n"/>
      <c r="W358" s="1360" t="n"/>
      <c r="X358" s="1353" t="n"/>
      <c r="Y358" s="1354" t="n"/>
      <c r="Z358" s="1351" t="n"/>
      <c r="AA358" s="379" t="n"/>
      <c r="AB358" s="1360" t="n"/>
      <c r="AC358" s="1353" t="n"/>
      <c r="AD358" s="1354" t="n"/>
      <c r="AE358" s="1311" t="n">
        <v>1</v>
      </c>
      <c r="AF358" s="647" t="inlineStr">
        <is>
          <t>set</t>
        </is>
      </c>
      <c r="AG358" s="1312" t="n">
        <v>2000000</v>
      </c>
      <c r="AH358" s="1177">
        <f>AE358*AG358</f>
        <v/>
      </c>
      <c r="AI358" s="1178" t="n"/>
      <c r="AJ358" s="1313" t="n"/>
      <c r="AK358" s="585" t="inlineStr">
        <is>
          <t>추가항목</t>
        </is>
      </c>
    </row>
    <row r="359" ht="30.2" customHeight="1" s="972">
      <c r="B359" s="1005" t="n"/>
      <c r="C359" s="1008" t="n"/>
      <c r="D359" s="1057" t="n"/>
      <c r="E359" s="384" t="inlineStr">
        <is>
          <t>포장비</t>
        </is>
      </c>
      <c r="F359" s="384" t="inlineStr">
        <is>
          <t>맥주컵, 배터리 무지포장 및 스티커 부작</t>
        </is>
      </c>
      <c r="G359" s="395" t="n"/>
      <c r="H359" s="395" t="n"/>
      <c r="I359" s="1369" t="n"/>
      <c r="J359" s="1170" t="n"/>
      <c r="K359" s="1197" t="n">
        <v>3000</v>
      </c>
      <c r="L359" s="396" t="inlineStr">
        <is>
          <t>개</t>
        </is>
      </c>
      <c r="M359" s="1370" t="n">
        <v>150</v>
      </c>
      <c r="N359" s="1172">
        <f>K359*M359</f>
        <v/>
      </c>
      <c r="O359" s="1200">
        <f>N359-J359</f>
        <v/>
      </c>
      <c r="P359" s="1197" t="n">
        <v>3000</v>
      </c>
      <c r="Q359" s="396" t="inlineStr">
        <is>
          <t>개</t>
        </is>
      </c>
      <c r="R359" s="1370" t="n">
        <v>150</v>
      </c>
      <c r="S359" s="1172">
        <f>P359*R359</f>
        <v/>
      </c>
      <c r="T359" s="1144">
        <f>S359-N359</f>
        <v/>
      </c>
      <c r="U359" s="1197" t="n">
        <v>3000</v>
      </c>
      <c r="V359" s="396" t="inlineStr">
        <is>
          <t>개</t>
        </is>
      </c>
      <c r="W359" s="1370" t="n">
        <v>150</v>
      </c>
      <c r="X359" s="1172">
        <f>U359*W359</f>
        <v/>
      </c>
      <c r="Y359" s="1200">
        <f>X359-S359</f>
        <v/>
      </c>
      <c r="Z359" s="1197" t="n">
        <v>3000</v>
      </c>
      <c r="AA359" s="396" t="inlineStr">
        <is>
          <t>개</t>
        </is>
      </c>
      <c r="AB359" s="1370" t="n">
        <v>150</v>
      </c>
      <c r="AC359" s="1172">
        <f>Z359*AB359</f>
        <v/>
      </c>
      <c r="AD359" s="1200">
        <f>AC359-X359</f>
        <v/>
      </c>
      <c r="AE359" s="1197" t="n">
        <v>3000</v>
      </c>
      <c r="AF359" s="396" t="inlineStr">
        <is>
          <t>개</t>
        </is>
      </c>
      <c r="AG359" s="1370" t="n">
        <v>150</v>
      </c>
      <c r="AH359" s="1172">
        <f>AE359*AG359</f>
        <v/>
      </c>
      <c r="AI359" s="1200">
        <f>AH359-AC359</f>
        <v/>
      </c>
      <c r="AJ359" s="1145" t="n"/>
      <c r="AK359" s="398" t="inlineStr">
        <is>
          <t>포장비 추가</t>
        </is>
      </c>
    </row>
    <row r="360" ht="30.2" customHeight="1" s="972">
      <c r="B360" s="1005" t="n"/>
      <c r="C360" s="1064" t="inlineStr">
        <is>
          <t>소계</t>
        </is>
      </c>
      <c r="D360" s="1053" t="n"/>
      <c r="E360" s="1053" t="n"/>
      <c r="F360" s="1053" t="n"/>
      <c r="G360" s="1053" t="n"/>
      <c r="H360" s="1053" t="n"/>
      <c r="I360" s="997" t="n"/>
      <c r="J360" s="1114">
        <f>SUM(J357:J357)</f>
        <v/>
      </c>
      <c r="K360" s="1135" t="n"/>
      <c r="L360" s="955" t="n"/>
      <c r="M360" s="949" t="n"/>
      <c r="N360" s="1116">
        <f>SUM(N357:N359)</f>
        <v/>
      </c>
      <c r="O360" s="1348">
        <f>N360-J360</f>
        <v/>
      </c>
      <c r="P360" s="1135" t="n"/>
      <c r="Q360" s="955" t="n"/>
      <c r="R360" s="949" t="n"/>
      <c r="S360" s="1116">
        <f>SUM(S357:S359)</f>
        <v/>
      </c>
      <c r="T360" s="1093">
        <f>S360-N360</f>
        <v/>
      </c>
      <c r="U360" s="1135" t="n"/>
      <c r="V360" s="955" t="n"/>
      <c r="W360" s="949" t="n"/>
      <c r="X360" s="1116">
        <f>SUM(X357:X359)</f>
        <v/>
      </c>
      <c r="Y360" s="1117">
        <f>X360-S360</f>
        <v/>
      </c>
      <c r="Z360" s="1135" t="n"/>
      <c r="AA360" s="955" t="n"/>
      <c r="AB360" s="949" t="n"/>
      <c r="AC360" s="1116">
        <f>SUM(AC357:AC359)</f>
        <v/>
      </c>
      <c r="AD360" s="1117">
        <f>AC360-X360</f>
        <v/>
      </c>
      <c r="AE360" s="1135" t="n"/>
      <c r="AF360" s="955" t="n"/>
      <c r="AG360" s="949" t="n"/>
      <c r="AH360" s="1116">
        <f>SUM(AH357:AH359)</f>
        <v/>
      </c>
      <c r="AI360" s="1117">
        <f>AH360-AC360</f>
        <v/>
      </c>
      <c r="AJ360" s="1118" t="n"/>
      <c r="AK360" s="33" t="n"/>
    </row>
    <row r="361" ht="30.2" customHeight="1" s="972">
      <c r="B361" s="875" t="inlineStr">
        <is>
          <t>8 MD 소계</t>
        </is>
      </c>
      <c r="C361" s="955" t="n"/>
      <c r="D361" s="955" t="n"/>
      <c r="E361" s="955" t="n"/>
      <c r="F361" s="955" t="n"/>
      <c r="G361" s="955" t="n"/>
      <c r="H361" s="955" t="n"/>
      <c r="I361" s="949" t="n"/>
      <c r="J361" s="1009">
        <f>SUM(J344,J356,J360)</f>
        <v/>
      </c>
      <c r="K361" s="1137" t="n"/>
      <c r="L361" s="955" t="n"/>
      <c r="M361" s="949" t="n"/>
      <c r="N361" s="1011">
        <f>N344+N356+N360</f>
        <v/>
      </c>
      <c r="O361" s="1096">
        <f>N361-J361</f>
        <v/>
      </c>
      <c r="P361" s="1137" t="n"/>
      <c r="Q361" s="955" t="n"/>
      <c r="R361" s="949" t="n"/>
      <c r="S361" s="1011">
        <f>S344+S356+S360</f>
        <v/>
      </c>
      <c r="T361" s="1012">
        <f>S361-N361</f>
        <v/>
      </c>
      <c r="U361" s="1137" t="n"/>
      <c r="V361" s="955" t="n"/>
      <c r="W361" s="949" t="n"/>
      <c r="X361" s="1011">
        <f>X344+X356+X360</f>
        <v/>
      </c>
      <c r="Y361" s="1266">
        <f>X361-S361</f>
        <v/>
      </c>
      <c r="Z361" s="1137" t="n"/>
      <c r="AA361" s="955" t="n"/>
      <c r="AB361" s="949" t="n"/>
      <c r="AC361" s="1011">
        <f>AC344+AC356+AC360</f>
        <v/>
      </c>
      <c r="AD361" s="1266">
        <f>AC361-X361</f>
        <v/>
      </c>
      <c r="AE361" s="1137" t="n"/>
      <c r="AF361" s="955" t="n"/>
      <c r="AG361" s="949" t="n"/>
      <c r="AH361" s="1011">
        <f>AH344+AH356+AH360</f>
        <v/>
      </c>
      <c r="AI361" s="1266">
        <f>AH361-AC361</f>
        <v/>
      </c>
      <c r="AJ361" s="1097" t="n"/>
      <c r="AK361" s="57" t="n"/>
    </row>
    <row r="362" ht="45" customHeight="1" s="972">
      <c r="B362" s="282" t="n"/>
      <c r="C362" s="283" t="n"/>
      <c r="D362" s="283" t="n"/>
      <c r="E362" s="283" t="n"/>
      <c r="F362" s="283" t="n"/>
      <c r="G362" s="283" t="n"/>
      <c r="H362" s="283" t="n"/>
      <c r="I362" s="284" t="n"/>
      <c r="J362" s="1371" t="inlineStr">
        <is>
          <t>비딩견적</t>
        </is>
      </c>
      <c r="K362" s="984" t="n"/>
      <c r="L362" s="955" t="n"/>
      <c r="M362" s="949" t="n"/>
      <c r="N362" s="986" t="inlineStr">
        <is>
          <t>현재금액
(원화)</t>
        </is>
      </c>
      <c r="O362" s="987" t="inlineStr">
        <is>
          <t>변동금액
(현재금액-비딩금액)</t>
        </is>
      </c>
      <c r="P362" s="984" t="n"/>
      <c r="Q362" s="955" t="n"/>
      <c r="R362" s="949" t="n"/>
      <c r="S362" s="986" t="inlineStr">
        <is>
          <t>현재금액
(원화)</t>
        </is>
      </c>
      <c r="T362" s="987" t="inlineStr">
        <is>
          <t>변동금액
(현재금액-비딩금액)</t>
        </is>
      </c>
      <c r="U362" s="984" t="n"/>
      <c r="V362" s="955" t="n"/>
      <c r="W362" s="949" t="n"/>
      <c r="X362" s="986" t="inlineStr">
        <is>
          <t>현재금액
(원화)</t>
        </is>
      </c>
      <c r="Y362" s="987" t="inlineStr">
        <is>
          <t>변동금액
(현재금액-비딩금액)</t>
        </is>
      </c>
      <c r="Z362" s="984" t="n"/>
      <c r="AA362" s="955" t="n"/>
      <c r="AB362" s="949" t="n"/>
      <c r="AC362" s="986" t="inlineStr">
        <is>
          <t>현재금액
(원화)</t>
        </is>
      </c>
      <c r="AD362" s="987" t="inlineStr">
        <is>
          <t>변동금액
(현재금액-비딩금액)</t>
        </is>
      </c>
      <c r="AE362" s="984" t="n"/>
      <c r="AF362" s="955" t="n"/>
      <c r="AG362" s="949" t="n"/>
      <c r="AH362" s="986" t="inlineStr">
        <is>
          <t>현재금액
(원화)</t>
        </is>
      </c>
      <c r="AI362" s="987" t="inlineStr">
        <is>
          <t>변동금액
(현재금액-비딩금액)</t>
        </is>
      </c>
      <c r="AJ362" s="1372" t="n"/>
      <c r="AK362" s="286" t="n"/>
    </row>
    <row r="363" ht="30.2" customHeight="1" s="972">
      <c r="B363" s="932" t="inlineStr">
        <is>
          <t>제작비 합계</t>
        </is>
      </c>
      <c r="C363" s="955" t="n"/>
      <c r="D363" s="955" t="n"/>
      <c r="E363" s="955" t="n"/>
      <c r="F363" s="955" t="n"/>
      <c r="G363" s="625" t="n"/>
      <c r="H363" s="625" t="n"/>
      <c r="I363" s="626" t="n"/>
      <c r="J363" s="1373">
        <f>SUM(J132,J143,J183,J280,J303,J338)</f>
        <v/>
      </c>
      <c r="K363" s="1374" t="n"/>
      <c r="L363" s="955" t="n"/>
      <c r="M363" s="949" t="n"/>
      <c r="N363" s="1375">
        <f>SUM(N338,N303,N280,N183,N143,N132,N361)</f>
        <v/>
      </c>
      <c r="O363" s="1375">
        <f>SUM(O338,O303,O280,O183,O143,O132,O361)</f>
        <v/>
      </c>
      <c r="P363" s="1374" t="n"/>
      <c r="Q363" s="955" t="n"/>
      <c r="R363" s="949" t="n"/>
      <c r="S363" s="1375">
        <f>SUM(S338,S303,S280,S183,S143,S132,S361)</f>
        <v/>
      </c>
      <c r="T363" s="1376">
        <f>S363-N363</f>
        <v/>
      </c>
      <c r="U363" s="1374" t="n"/>
      <c r="V363" s="955" t="n"/>
      <c r="W363" s="949" t="n"/>
      <c r="X363" s="1375">
        <f>SUM(X338,X303,X280,X183,X143,X132,X361)</f>
        <v/>
      </c>
      <c r="Y363" s="1375">
        <f>X363-S363</f>
        <v/>
      </c>
      <c r="Z363" s="1374" t="n"/>
      <c r="AA363" s="955" t="n"/>
      <c r="AB363" s="949" t="n"/>
      <c r="AC363" s="1375">
        <f>SUM(AC338,AC303,AC280,AC183,AC143,AC132,AC361)</f>
        <v/>
      </c>
      <c r="AD363" s="1375">
        <f>AC363-X363</f>
        <v/>
      </c>
      <c r="AE363" s="1374" t="n"/>
      <c r="AF363" s="955" t="n"/>
      <c r="AG363" s="949" t="n"/>
      <c r="AH363" s="1375">
        <f>SUM(AH338,AH303,AH280,AH183,AH143,AH132,AH361)</f>
        <v/>
      </c>
      <c r="AI363" s="1375">
        <f>AH363-AC363</f>
        <v/>
      </c>
      <c r="AJ363" s="1377" t="n"/>
      <c r="AK363" s="949" t="n"/>
    </row>
    <row r="364" ht="30.2" customHeight="1" s="972">
      <c r="B364" s="932" t="inlineStr">
        <is>
          <t>기업이윤</t>
        </is>
      </c>
      <c r="C364" s="955" t="n"/>
      <c r="D364" s="955" t="n"/>
      <c r="E364" s="955" t="n"/>
      <c r="F364" s="955" t="n"/>
      <c r="G364" s="625" t="n"/>
      <c r="H364" s="625" t="n"/>
      <c r="I364" s="626" t="n"/>
      <c r="J364" s="1378">
        <f>J363*10%</f>
        <v/>
      </c>
      <c r="K364" s="1374" t="n"/>
      <c r="L364" s="955" t="n"/>
      <c r="M364" s="949" t="n"/>
      <c r="N364" s="1375">
        <f>N363*0.1-(N361*0.1)</f>
        <v/>
      </c>
      <c r="O364" s="1375">
        <f>O363*0.1</f>
        <v/>
      </c>
      <c r="P364" s="1374" t="n"/>
      <c r="Q364" s="955" t="n"/>
      <c r="R364" s="949" t="n"/>
      <c r="S364" s="1375">
        <f>S363*0.1-(S361*0.1)</f>
        <v/>
      </c>
      <c r="T364" s="1376">
        <f>S364-N364</f>
        <v/>
      </c>
      <c r="U364" s="1374" t="n"/>
      <c r="V364" s="955" t="n"/>
      <c r="W364" s="949" t="n"/>
      <c r="X364" s="1375">
        <f>X363*0.1-(X361*0.1)</f>
        <v/>
      </c>
      <c r="Y364" s="1375">
        <f>X364-S364</f>
        <v/>
      </c>
      <c r="Z364" s="1374" t="n"/>
      <c r="AA364" s="955" t="n"/>
      <c r="AB364" s="949" t="n"/>
      <c r="AC364" s="1375">
        <f>AC363*0.1-(AC361*0.1)</f>
        <v/>
      </c>
      <c r="AD364" s="1375">
        <f>AC364-X364</f>
        <v/>
      </c>
      <c r="AE364" s="1374" t="n"/>
      <c r="AF364" s="955" t="n"/>
      <c r="AG364" s="949" t="n"/>
      <c r="AH364" s="1375">
        <f>AH363*0.1-(AH361*0.1)-(AH325*0.1)-(AH317*0.1)-(AH318*0.1)-(AH319*0.1)-(AH308*0.1)</f>
        <v/>
      </c>
      <c r="AI364" s="1375">
        <f>AH364-AC364</f>
        <v/>
      </c>
      <c r="AJ364" s="1377" t="inlineStr">
        <is>
          <t>행사 외주사(BEPC탄젠트) 기업이윤, MD 기업이윤은 단가에 포함되어 있어 제외. 진행비 및 광고대행사납부 산재보험료 기업이윤 제외</t>
        </is>
      </c>
      <c r="AK364" s="949" t="n"/>
    </row>
    <row r="365" ht="30.2" customHeight="1" s="972" thickBot="1">
      <c r="B365" s="932" t="inlineStr">
        <is>
          <t>총합계1 =용역서비스비+제작비+기업이윤</t>
        </is>
      </c>
      <c r="C365" s="955" t="n"/>
      <c r="D365" s="955" t="n"/>
      <c r="E365" s="955" t="n"/>
      <c r="F365" s="955" t="n"/>
      <c r="G365" s="625" t="n"/>
      <c r="H365" s="625" t="n"/>
      <c r="I365" s="626" t="n"/>
      <c r="J365" s="1373">
        <f>J363+J364+J20</f>
        <v/>
      </c>
      <c r="K365" s="1379" t="n"/>
      <c r="L365" s="1380" t="n"/>
      <c r="M365" s="1381" t="n"/>
      <c r="N365" s="1382">
        <f>N363+N364+N20</f>
        <v/>
      </c>
      <c r="O365" s="1382">
        <f>O363+O364+O20</f>
        <v/>
      </c>
      <c r="P365" s="1379" t="n"/>
      <c r="Q365" s="1380" t="n"/>
      <c r="R365" s="1381" t="n"/>
      <c r="S365" s="1382">
        <f>S363+S364+S20</f>
        <v/>
      </c>
      <c r="T365" s="1376">
        <f>S365-N365</f>
        <v/>
      </c>
      <c r="U365" s="1379" t="n"/>
      <c r="V365" s="1380" t="n"/>
      <c r="W365" s="1381" t="n"/>
      <c r="X365" s="1382">
        <f>X363+X364+X20</f>
        <v/>
      </c>
      <c r="Y365" s="1382">
        <f>X365-S365</f>
        <v/>
      </c>
      <c r="Z365" s="1379" t="n"/>
      <c r="AA365" s="1380" t="n"/>
      <c r="AB365" s="1381" t="n"/>
      <c r="AC365" s="1382">
        <f>AC363+AC364+AC20</f>
        <v/>
      </c>
      <c r="AD365" s="1382">
        <f>AC365-X365</f>
        <v/>
      </c>
      <c r="AE365" s="1379" t="n"/>
      <c r="AF365" s="1380" t="n"/>
      <c r="AG365" s="1381" t="n"/>
      <c r="AH365" s="1382">
        <f>AH363+AH364+AH20</f>
        <v/>
      </c>
      <c r="AI365" s="1382">
        <f>AH365-AC365</f>
        <v/>
      </c>
      <c r="AJ365" s="1383" t="n"/>
      <c r="AK365" s="949" t="n"/>
    </row>
    <row r="366" ht="55.5" customHeight="1" s="972">
      <c r="B366" s="932" t="inlineStr">
        <is>
          <t>총합계 2 =종합계 1+ 광고대행사 대행료 10%</t>
        </is>
      </c>
      <c r="C366" s="955" t="n"/>
      <c r="D366" s="955" t="n"/>
      <c r="E366" s="955" t="n"/>
      <c r="F366" s="955" t="n"/>
      <c r="G366" s="625" t="n"/>
      <c r="H366" s="625" t="n"/>
      <c r="I366" s="626" t="n"/>
      <c r="J366" s="1384" t="n"/>
      <c r="K366" s="1385" t="n"/>
      <c r="L366" s="975" t="n"/>
      <c r="M366" s="1386" t="n"/>
      <c r="N366" s="1387">
        <f>N365*1.1</f>
        <v/>
      </c>
      <c r="O366" s="336" t="n"/>
      <c r="P366" s="1385" t="n"/>
      <c r="Q366" s="975" t="n"/>
      <c r="R366" s="1386" t="n"/>
      <c r="S366" s="1387">
        <f>S365*1.1</f>
        <v/>
      </c>
      <c r="T366" s="1376">
        <f>S366-N366</f>
        <v/>
      </c>
      <c r="U366" s="1385" t="n"/>
      <c r="V366" s="975" t="n"/>
      <c r="W366" s="1386" t="n"/>
      <c r="X366" s="1387">
        <f>X365*1.1</f>
        <v/>
      </c>
      <c r="Y366" s="336" t="n"/>
      <c r="Z366" s="1385" t="n"/>
      <c r="AA366" s="975" t="n"/>
      <c r="AB366" s="1386" t="n"/>
      <c r="AC366" s="1387">
        <f>AC365*1.1</f>
        <v/>
      </c>
      <c r="AD366" s="336" t="n"/>
      <c r="AE366" s="1385" t="n"/>
      <c r="AF366" s="975" t="n"/>
      <c r="AG366" s="1386" t="n"/>
      <c r="AH366" s="1387">
        <f>AH365*1.1</f>
        <v/>
      </c>
      <c r="AI366" s="336" t="n"/>
      <c r="AJ366" s="723" t="inlineStr">
        <is>
          <t>VAT 별도 (대관료, 아티스트추가금액 별도)</t>
        </is>
      </c>
      <c r="AK366" s="1053" t="n"/>
    </row>
    <row r="367" ht="30.2" customHeight="1" s="972">
      <c r="B367" s="41" t="n"/>
      <c r="C367" s="36" t="n"/>
      <c r="D367" s="36" t="n"/>
      <c r="E367" s="36" t="n"/>
      <c r="F367" s="36" t="n"/>
      <c r="G367" s="36" t="n"/>
      <c r="H367" s="36" t="n"/>
      <c r="I367" s="1388" t="n"/>
      <c r="J367" s="1389" t="n"/>
      <c r="K367" s="1390" t="n"/>
      <c r="L367" s="1389" t="n"/>
      <c r="M367" s="1391" t="n"/>
      <c r="N367" s="1392" t="n"/>
      <c r="O367" s="1393" t="n"/>
      <c r="P367" s="1390" t="n"/>
      <c r="Q367" s="1389" t="n"/>
      <c r="R367" s="1391" t="n"/>
      <c r="S367" s="1392" t="n"/>
      <c r="T367" s="1393" t="n"/>
      <c r="U367" s="1390" t="n"/>
      <c r="V367" s="1389" t="n"/>
      <c r="W367" s="1391" t="n"/>
      <c r="X367" s="1392" t="n"/>
      <c r="Y367" s="1393" t="n"/>
      <c r="Z367" s="1390" t="n"/>
      <c r="AA367" s="1389" t="n"/>
      <c r="AB367" s="1391" t="n"/>
      <c r="AC367" s="1392" t="n"/>
      <c r="AD367" s="1393" t="n"/>
      <c r="AE367" s="1390" t="n"/>
      <c r="AF367" s="1394" t="inlineStr">
        <is>
          <t>광고대행사 수수료</t>
        </is>
      </c>
      <c r="AG367" s="1053" t="n"/>
      <c r="AH367" s="1392">
        <f>AH366-AH365</f>
        <v/>
      </c>
      <c r="AI367" s="1393" t="n"/>
      <c r="AJ367" s="38" t="n"/>
      <c r="AK367" s="39" t="n"/>
    </row>
    <row r="368" ht="30.2" customHeight="1" s="972"/>
    <row r="369" ht="30.2" customHeight="1" s="972">
      <c r="AE369" s="1395" t="inlineStr">
        <is>
          <t>8월 청구 금액</t>
        </is>
      </c>
      <c r="AF369" s="955" t="n"/>
      <c r="AG369" s="949" t="n"/>
      <c r="AH369" s="1396" t="n">
        <v>1810000000</v>
      </c>
      <c r="AJ369" s="1397" t="n"/>
    </row>
    <row r="370" ht="30.2" customHeight="1" s="972">
      <c r="AE370" s="1398" t="inlineStr">
        <is>
          <t>9월 청구 예정 금액</t>
        </is>
      </c>
      <c r="AF370" s="955" t="n"/>
      <c r="AG370" s="949" t="n"/>
      <c r="AH370" s="1399">
        <f>#REF!+#REF!-AH369</f>
        <v/>
      </c>
    </row>
    <row r="371" ht="30.2" customHeight="1" s="972">
      <c r="AH371" s="938" t="n">
        <v>359184555</v>
      </c>
    </row>
    <row r="372" ht="30.2" customHeight="1" s="972"/>
    <row r="373" ht="30.2" customHeight="1" s="972"/>
    <row r="374" ht="30.2" customHeight="1" s="972"/>
    <row r="375" ht="30.2" customHeight="1" s="972"/>
    <row r="376" ht="30.2" customHeight="1" s="972"/>
    <row r="377" ht="30.2" customHeight="1" s="972"/>
    <row r="378" ht="30.2" customHeight="1" s="972"/>
    <row r="379" ht="30.2" customHeight="1" s="972"/>
    <row r="380" ht="30.2" customHeight="1" s="972"/>
    <row r="381" ht="30.2" customHeight="1" s="972"/>
    <row r="382" ht="30.2" customHeight="1" s="972"/>
    <row r="383" ht="30.2" customHeight="1" s="972"/>
    <row r="384" ht="30.2" customHeight="1" s="972"/>
    <row r="385" ht="30.2" customHeight="1" s="972"/>
    <row r="386" ht="30.2" customHeight="1" s="972"/>
    <row r="387" ht="30.2" customHeight="1" s="972"/>
    <row r="388" ht="30.2" customHeight="1" s="972"/>
    <row r="389" ht="30.2" customHeight="1" s="972"/>
    <row r="390" ht="30.2" customHeight="1" s="972"/>
    <row r="391" ht="30.2" customHeight="1" s="972"/>
    <row r="392" ht="30.2" customHeight="1" s="972"/>
    <row r="393" ht="30.2" customHeight="1" s="972"/>
    <row r="394" ht="30.2" customHeight="1" s="972"/>
    <row r="395" ht="30.2" customHeight="1" s="972"/>
    <row r="396" ht="30.2" customHeight="1" s="972"/>
    <row r="397" ht="30.2" customHeight="1" s="972"/>
    <row r="398" ht="30.2" customHeight="1" s="972"/>
    <row r="399" ht="30.2" customHeight="1" s="972"/>
    <row r="400" ht="30.2" customHeight="1" s="972"/>
    <row r="401" ht="30.2" customHeight="1" s="972"/>
    <row r="402" ht="30.2" customHeight="1" s="972"/>
    <row r="403" ht="30.2" customHeight="1" s="972"/>
    <row r="404" ht="30.2" customHeight="1" s="972"/>
    <row r="405" ht="30.2" customHeight="1" s="972"/>
    <row r="406" ht="30.2" customHeight="1" s="972"/>
    <row r="407" ht="30.2" customHeight="1" s="972"/>
    <row r="408" ht="30.2" customHeight="1" s="972"/>
    <row r="409" ht="30.2" customHeight="1" s="972"/>
    <row r="410" ht="30.2" customHeight="1" s="972"/>
    <row r="411" ht="30.2" customHeight="1" s="972"/>
    <row r="412" ht="30.2" customHeight="1" s="972"/>
    <row r="413" ht="30.2" customHeight="1" s="972"/>
    <row r="414" ht="30.2" customHeight="1" s="972"/>
    <row r="415" ht="30.2" customHeight="1" s="972"/>
    <row r="416" ht="30.2" customHeight="1" s="972"/>
    <row r="417" ht="30.2" customHeight="1" s="972"/>
    <row r="418" ht="30.2" customHeight="1" s="972"/>
    <row r="419" ht="30.2" customHeight="1" s="972"/>
    <row r="420" ht="30.2" customHeight="1" s="972"/>
    <row r="421" ht="30.2" customHeight="1" s="972"/>
    <row r="422" ht="30.2" customHeight="1" s="972"/>
    <row r="423" ht="30.2" customHeight="1" s="972"/>
    <row r="424" ht="30.2" customHeight="1" s="972"/>
    <row r="425" ht="30.2" customHeight="1" s="972"/>
    <row r="426" ht="30.2" customHeight="1" s="972"/>
    <row r="427" ht="30.2" customHeight="1" s="972"/>
    <row r="428" ht="30.2" customHeight="1" s="972"/>
    <row r="429" ht="30.2" customHeight="1" s="972"/>
    <row r="430" ht="30.2" customHeight="1" s="972"/>
    <row r="431" ht="30.2" customHeight="1" s="972"/>
    <row r="432" ht="30.2" customHeight="1" s="972"/>
    <row r="433" ht="30.2" customHeight="1" s="972"/>
    <row r="434" ht="30.2" customHeight="1" s="972"/>
    <row r="435" ht="30.2" customHeight="1" s="972"/>
    <row r="436" ht="30.2" customHeight="1" s="972"/>
    <row r="437" ht="30.2" customHeight="1" s="972"/>
  </sheetData>
  <mergeCells count="508">
    <mergeCell ref="K316:K331"/>
    <mergeCell ref="E21:E26"/>
    <mergeCell ref="M316:M331"/>
    <mergeCell ref="R149:R150"/>
    <mergeCell ref="D221:D223"/>
    <mergeCell ref="P10:T10"/>
    <mergeCell ref="E299:E300"/>
    <mergeCell ref="D229:D230"/>
    <mergeCell ref="U363:W363"/>
    <mergeCell ref="AJ149:AJ150"/>
    <mergeCell ref="U142:W142"/>
    <mergeCell ref="U313:W313"/>
    <mergeCell ref="Z303:AB303"/>
    <mergeCell ref="Z132:AB132"/>
    <mergeCell ref="AE220:AG220"/>
    <mergeCell ref="P143:R143"/>
    <mergeCell ref="P248:R248"/>
    <mergeCell ref="U244:W244"/>
    <mergeCell ref="Z326:Z331"/>
    <mergeCell ref="D193:D194"/>
    <mergeCell ref="D7:E7"/>
    <mergeCell ref="C255:I255"/>
    <mergeCell ref="C192:I192"/>
    <mergeCell ref="C244:I244"/>
    <mergeCell ref="K244:M244"/>
    <mergeCell ref="G149:G150"/>
    <mergeCell ref="B361:I361"/>
    <mergeCell ref="W133:W134"/>
    <mergeCell ref="Y133:Y134"/>
    <mergeCell ref="U213:W213"/>
    <mergeCell ref="AE213:AG213"/>
    <mergeCell ref="D140:D141"/>
    <mergeCell ref="C110:I110"/>
    <mergeCell ref="V316:V331"/>
    <mergeCell ref="E249:E250"/>
    <mergeCell ref="AE337:AG337"/>
    <mergeCell ref="AC316:AC325"/>
    <mergeCell ref="AE279:AG279"/>
    <mergeCell ref="Z293:AB293"/>
    <mergeCell ref="C304:C308"/>
    <mergeCell ref="AK10:AK11"/>
    <mergeCell ref="P279:R279"/>
    <mergeCell ref="C235:C239"/>
    <mergeCell ref="C309:I309"/>
    <mergeCell ref="K255:M255"/>
    <mergeCell ref="D326:D331"/>
    <mergeCell ref="P20:R20"/>
    <mergeCell ref="AK137:AK139"/>
    <mergeCell ref="AE234:AG234"/>
    <mergeCell ref="C142:I142"/>
    <mergeCell ref="U366:W366"/>
    <mergeCell ref="Q149:Q150"/>
    <mergeCell ref="D149:D157"/>
    <mergeCell ref="I149:I150"/>
    <mergeCell ref="D299:D300"/>
    <mergeCell ref="Z227:AB227"/>
    <mergeCell ref="C256:C268"/>
    <mergeCell ref="C314:C336"/>
    <mergeCell ref="C277:C278"/>
    <mergeCell ref="U234:W234"/>
    <mergeCell ref="C131:I131"/>
    <mergeCell ref="C221:C226"/>
    <mergeCell ref="C270:C271"/>
    <mergeCell ref="Z309:AB309"/>
    <mergeCell ref="B339:B360"/>
    <mergeCell ref="K337:M337"/>
    <mergeCell ref="P338:R338"/>
    <mergeCell ref="P227:R227"/>
    <mergeCell ref="E111:E113"/>
    <mergeCell ref="W149:W150"/>
    <mergeCell ref="Y149:Y150"/>
    <mergeCell ref="I3:M3"/>
    <mergeCell ref="AE360:AG360"/>
    <mergeCell ref="P269:R269"/>
    <mergeCell ref="B363:F363"/>
    <mergeCell ref="E122:E124"/>
    <mergeCell ref="C254:E254"/>
    <mergeCell ref="Z363:AB363"/>
    <mergeCell ref="I5:M5"/>
    <mergeCell ref="D3:E3"/>
    <mergeCell ref="AE280:AG280"/>
    <mergeCell ref="V133:V134"/>
    <mergeCell ref="N133:N134"/>
    <mergeCell ref="P133:P134"/>
    <mergeCell ref="C137:C141"/>
    <mergeCell ref="S316:S331"/>
    <mergeCell ref="U316:U331"/>
    <mergeCell ref="W316:W331"/>
    <mergeCell ref="AE361:AG361"/>
    <mergeCell ref="Z365:AB365"/>
    <mergeCell ref="B5:C5"/>
    <mergeCell ref="D5:E5"/>
    <mergeCell ref="Z10:AD10"/>
    <mergeCell ref="U356:W356"/>
    <mergeCell ref="N7:AK7"/>
    <mergeCell ref="K192:M192"/>
    <mergeCell ref="C213:I213"/>
    <mergeCell ref="B144:B182"/>
    <mergeCell ref="E341:E342"/>
    <mergeCell ref="C337:I337"/>
    <mergeCell ref="Z316:Z325"/>
    <mergeCell ref="P86:R86"/>
    <mergeCell ref="D304:D308"/>
    <mergeCell ref="AE244:AG244"/>
    <mergeCell ref="Z248:AB248"/>
    <mergeCell ref="P125:R125"/>
    <mergeCell ref="Z185:AB185"/>
    <mergeCell ref="U309:W309"/>
    <mergeCell ref="C185:I185"/>
    <mergeCell ref="U240:W240"/>
    <mergeCell ref="E99:E102"/>
    <mergeCell ref="AE133:AE134"/>
    <mergeCell ref="AG133:AG134"/>
    <mergeCell ref="C294:C300"/>
    <mergeCell ref="AE143:AG143"/>
    <mergeCell ref="E45:E61"/>
    <mergeCell ref="B143:I143"/>
    <mergeCell ref="C87:D109"/>
    <mergeCell ref="P316:P331"/>
    <mergeCell ref="AI326:AI331"/>
    <mergeCell ref="B20:I20"/>
    <mergeCell ref="AE255:AG255"/>
    <mergeCell ref="P276:R276"/>
    <mergeCell ref="K240:M240"/>
    <mergeCell ref="U337:W337"/>
    <mergeCell ref="Z302:AB302"/>
    <mergeCell ref="Z131:AB131"/>
    <mergeCell ref="I6:M6"/>
    <mergeCell ref="AE303:AG303"/>
    <mergeCell ref="B366:F366"/>
    <mergeCell ref="AD133:AD134"/>
    <mergeCell ref="P149:P150"/>
    <mergeCell ref="AF133:AF134"/>
    <mergeCell ref="U255:W255"/>
    <mergeCell ref="C245:C247"/>
    <mergeCell ref="C279:I279"/>
    <mergeCell ref="Z20:AB20"/>
    <mergeCell ref="AK257:AK265"/>
    <mergeCell ref="U192:W192"/>
    <mergeCell ref="M133:M134"/>
    <mergeCell ref="O133:O134"/>
    <mergeCell ref="K360:M360"/>
    <mergeCell ref="Z86:AB86"/>
    <mergeCell ref="AE309:AG309"/>
    <mergeCell ref="P362:R362"/>
    <mergeCell ref="F2:H7"/>
    <mergeCell ref="E286:E287"/>
    <mergeCell ref="E273:E274"/>
    <mergeCell ref="U279:W279"/>
    <mergeCell ref="D270:D271"/>
    <mergeCell ref="H316:H331"/>
    <mergeCell ref="K213:M213"/>
    <mergeCell ref="C345:D355"/>
    <mergeCell ref="J316:J331"/>
    <mergeCell ref="B280:I280"/>
    <mergeCell ref="C111:D124"/>
    <mergeCell ref="B133:B142"/>
    <mergeCell ref="X149:X150"/>
    <mergeCell ref="D137:D139"/>
    <mergeCell ref="AE149:AE150"/>
    <mergeCell ref="AG149:AG150"/>
    <mergeCell ref="AI149:AI150"/>
    <mergeCell ref="AJ10:AJ11"/>
    <mergeCell ref="K279:M279"/>
    <mergeCell ref="Z269:AB269"/>
    <mergeCell ref="E339:E340"/>
    <mergeCell ref="U272:W272"/>
    <mergeCell ref="X133:X134"/>
    <mergeCell ref="Z143:AB143"/>
    <mergeCell ref="Z199:AB199"/>
    <mergeCell ref="P344:R344"/>
    <mergeCell ref="G316:G331"/>
    <mergeCell ref="I316:I331"/>
    <mergeCell ref="AE356:AG356"/>
    <mergeCell ref="N149:N150"/>
    <mergeCell ref="P110:R110"/>
    <mergeCell ref="U338:W338"/>
    <mergeCell ref="B183:I183"/>
    <mergeCell ref="AE370:AG370"/>
    <mergeCell ref="AF149:AF150"/>
    <mergeCell ref="O149:O150"/>
    <mergeCell ref="K203:M203"/>
    <mergeCell ref="Z125:AB125"/>
    <mergeCell ref="P199:R199"/>
    <mergeCell ref="D249:D250"/>
    <mergeCell ref="K361:M361"/>
    <mergeCell ref="B7:C7"/>
    <mergeCell ref="P136:R136"/>
    <mergeCell ref="D256:D263"/>
    <mergeCell ref="C125:I125"/>
    <mergeCell ref="D242:D243"/>
    <mergeCell ref="K303:M303"/>
    <mergeCell ref="P293:R293"/>
    <mergeCell ref="AE240:AG240"/>
    <mergeCell ref="K269:M269"/>
    <mergeCell ref="B132:I132"/>
    <mergeCell ref="U133:U134"/>
    <mergeCell ref="E114:E115"/>
    <mergeCell ref="D273:D274"/>
    <mergeCell ref="E70:E82"/>
    <mergeCell ref="C144:C147"/>
    <mergeCell ref="K280:M280"/>
    <mergeCell ref="B364:F364"/>
    <mergeCell ref="Z276:AB276"/>
    <mergeCell ref="U280:W280"/>
    <mergeCell ref="AH149:AH150"/>
    <mergeCell ref="D133:D134"/>
    <mergeCell ref="K309:M309"/>
    <mergeCell ref="P131:R131"/>
    <mergeCell ref="C182:I182"/>
    <mergeCell ref="AE272:AG272"/>
    <mergeCell ref="Z149:Z150"/>
    <mergeCell ref="AK241:AK243"/>
    <mergeCell ref="P360:R360"/>
    <mergeCell ref="E258:E263"/>
    <mergeCell ref="AE203:AG203"/>
    <mergeCell ref="D238:D239"/>
    <mergeCell ref="Z337:AB337"/>
    <mergeCell ref="C12:D19"/>
    <mergeCell ref="B303:I303"/>
    <mergeCell ref="M149:M150"/>
    <mergeCell ref="D332:D333"/>
    <mergeCell ref="Z362:AB362"/>
    <mergeCell ref="P363:R363"/>
    <mergeCell ref="P142:R142"/>
    <mergeCell ref="P313:R313"/>
    <mergeCell ref="U132:W132"/>
    <mergeCell ref="U303:W303"/>
    <mergeCell ref="U203:W203"/>
    <mergeCell ref="AA316:AA325"/>
    <mergeCell ref="B281:B302"/>
    <mergeCell ref="Z364:AB364"/>
    <mergeCell ref="Z220:AB220"/>
    <mergeCell ref="U361:W361"/>
    <mergeCell ref="P365:R365"/>
    <mergeCell ref="D217:D219"/>
    <mergeCell ref="K143:M143"/>
    <mergeCell ref="AE20:AG20"/>
    <mergeCell ref="P244:R244"/>
    <mergeCell ref="Z192:AB192"/>
    <mergeCell ref="P302:R302"/>
    <mergeCell ref="AK229:AK230"/>
    <mergeCell ref="AI317:AI325"/>
    <mergeCell ref="E116:E119"/>
    <mergeCell ref="U149:U150"/>
    <mergeCell ref="E149:E153"/>
    <mergeCell ref="U227:W227"/>
    <mergeCell ref="AK193:AK194"/>
    <mergeCell ref="B365:F365"/>
    <mergeCell ref="P220:R220"/>
    <mergeCell ref="C240:I240"/>
    <mergeCell ref="C10:C11"/>
    <mergeCell ref="E10:E11"/>
    <mergeCell ref="R133:R134"/>
    <mergeCell ref="T133:T134"/>
    <mergeCell ref="Z213:AB213"/>
    <mergeCell ref="P213:R213"/>
    <mergeCell ref="L133:L134"/>
    <mergeCell ref="O316:O331"/>
    <mergeCell ref="Z344:AB344"/>
    <mergeCell ref="B1:AK1"/>
    <mergeCell ref="Q316:Q331"/>
    <mergeCell ref="Y316:Y331"/>
    <mergeCell ref="AJ366:AK366"/>
    <mergeCell ref="Z110:AB110"/>
    <mergeCell ref="C248:I248"/>
    <mergeCell ref="AE338:AG338"/>
    <mergeCell ref="U362:W362"/>
    <mergeCell ref="Z279:AB279"/>
    <mergeCell ref="AE269:AG269"/>
    <mergeCell ref="U364:W364"/>
    <mergeCell ref="E27:E32"/>
    <mergeCell ref="G10:J10"/>
    <mergeCell ref="E66:E69"/>
    <mergeCell ref="D10:D11"/>
    <mergeCell ref="E316:E325"/>
    <mergeCell ref="Z136:AB136"/>
    <mergeCell ref="K20:M20"/>
    <mergeCell ref="U10:Y10"/>
    <mergeCell ref="P366:R366"/>
    <mergeCell ref="C203:I203"/>
    <mergeCell ref="B3:C3"/>
    <mergeCell ref="AE132:AG132"/>
    <mergeCell ref="K86:M86"/>
    <mergeCell ref="AK221:AK226"/>
    <mergeCell ref="AC326:AC331"/>
    <mergeCell ref="U143:W143"/>
    <mergeCell ref="U248:W248"/>
    <mergeCell ref="AE199:AG199"/>
    <mergeCell ref="Z244:AB244"/>
    <mergeCell ref="D294:D298"/>
    <mergeCell ref="D197:D198"/>
    <mergeCell ref="AK167:AK168"/>
    <mergeCell ref="C249:C253"/>
    <mergeCell ref="AE136:AG136"/>
    <mergeCell ref="D316:D325"/>
    <mergeCell ref="E217:E219"/>
    <mergeCell ref="C193:C198"/>
    <mergeCell ref="P234:R234"/>
    <mergeCell ref="E186:E191"/>
    <mergeCell ref="K227:M227"/>
    <mergeCell ref="E97:E98"/>
    <mergeCell ref="T149:T150"/>
    <mergeCell ref="C273:C275"/>
    <mergeCell ref="Z133:Z134"/>
    <mergeCell ref="B6:C6"/>
    <mergeCell ref="Z360:AB360"/>
    <mergeCell ref="AB133:AB134"/>
    <mergeCell ref="I4:M4"/>
    <mergeCell ref="L149:L150"/>
    <mergeCell ref="C356:I356"/>
    <mergeCell ref="E126:E127"/>
    <mergeCell ref="AE276:AG276"/>
    <mergeCell ref="Q133:Q134"/>
    <mergeCell ref="C357:D359"/>
    <mergeCell ref="F10:F11"/>
    <mergeCell ref="D252:D253"/>
    <mergeCell ref="D204:D212"/>
    <mergeCell ref="K133:K134"/>
    <mergeCell ref="Z255:AB255"/>
    <mergeCell ref="R316:R331"/>
    <mergeCell ref="U365:W365"/>
    <mergeCell ref="Z361:AB361"/>
    <mergeCell ref="C272:I272"/>
    <mergeCell ref="N3:AK3"/>
    <mergeCell ref="D145:D146"/>
    <mergeCell ref="U131:W131"/>
    <mergeCell ref="U302:W302"/>
    <mergeCell ref="AK245:AK247"/>
    <mergeCell ref="AE293:AG293"/>
    <mergeCell ref="N5:AK5"/>
    <mergeCell ref="Z313:AB313"/>
    <mergeCell ref="Z142:AB142"/>
    <mergeCell ref="B12:B19"/>
    <mergeCell ref="K132:M132"/>
    <mergeCell ref="C21:D85"/>
    <mergeCell ref="C269:I269"/>
    <mergeCell ref="AJ364:AK364"/>
    <mergeCell ref="U20:W20"/>
    <mergeCell ref="K125:M125"/>
    <mergeCell ref="U185:W185"/>
    <mergeCell ref="E281:E282"/>
    <mergeCell ref="P309:R309"/>
    <mergeCell ref="D236:D237"/>
    <mergeCell ref="AE369:AG369"/>
    <mergeCell ref="Z366:AB366"/>
    <mergeCell ref="V149:V150"/>
    <mergeCell ref="E92:E96"/>
    <mergeCell ref="P240:R240"/>
    <mergeCell ref="B338:I338"/>
    <mergeCell ref="AE227:AG227"/>
    <mergeCell ref="E128:E130"/>
    <mergeCell ref="K272:M272"/>
    <mergeCell ref="AB326:AB331"/>
    <mergeCell ref="E87:E91"/>
    <mergeCell ref="K185:M185"/>
    <mergeCell ref="AD326:AD331"/>
    <mergeCell ref="C339:D343"/>
    <mergeCell ref="K276:M276"/>
    <mergeCell ref="AE362:AG362"/>
    <mergeCell ref="P337:R337"/>
    <mergeCell ref="C199:I199"/>
    <mergeCell ref="C126:D130"/>
    <mergeCell ref="AB149:AB150"/>
    <mergeCell ref="I7:M7"/>
    <mergeCell ref="C136:I136"/>
    <mergeCell ref="AE364:AG364"/>
    <mergeCell ref="U220:W220"/>
    <mergeCell ref="U269:W269"/>
    <mergeCell ref="B21:B131"/>
    <mergeCell ref="AE363:AG363"/>
    <mergeCell ref="E256:E257"/>
    <mergeCell ref="K149:K150"/>
    <mergeCell ref="AA133:AA134"/>
    <mergeCell ref="AE344:AG344"/>
    <mergeCell ref="AC133:AC134"/>
    <mergeCell ref="C281:C292"/>
    <mergeCell ref="S133:S134"/>
    <mergeCell ref="C214:C219"/>
    <mergeCell ref="P255:R255"/>
    <mergeCell ref="X316:X331"/>
    <mergeCell ref="N6:AK6"/>
    <mergeCell ref="Z356:AB356"/>
    <mergeCell ref="AE10:AI10"/>
    <mergeCell ref="P192:R192"/>
    <mergeCell ref="C204:C212"/>
    <mergeCell ref="AJ363:AK363"/>
    <mergeCell ref="N4:AK4"/>
    <mergeCell ref="E145:E146"/>
    <mergeCell ref="C276:I276"/>
    <mergeCell ref="K356:M356"/>
    <mergeCell ref="E332:E333"/>
    <mergeCell ref="C241:C243"/>
    <mergeCell ref="AJ365:AK365"/>
    <mergeCell ref="U86:W86"/>
    <mergeCell ref="AE248:AG248"/>
    <mergeCell ref="D158:D181"/>
    <mergeCell ref="K364:M364"/>
    <mergeCell ref="AE185:AG185"/>
    <mergeCell ref="E140:E141"/>
    <mergeCell ref="D281:D282"/>
    <mergeCell ref="Z240:AB240"/>
    <mergeCell ref="AF367:AG367"/>
    <mergeCell ref="E33:E44"/>
    <mergeCell ref="AD149:AD150"/>
    <mergeCell ref="AK235:AK239"/>
    <mergeCell ref="E229:E230"/>
    <mergeCell ref="C228:C233"/>
    <mergeCell ref="D4:E4"/>
    <mergeCell ref="C227:I227"/>
    <mergeCell ref="P280:R280"/>
    <mergeCell ref="AE365:AG365"/>
    <mergeCell ref="AB316:AB325"/>
    <mergeCell ref="K344:M344"/>
    <mergeCell ref="E264:E265"/>
    <mergeCell ref="AE302:AG302"/>
    <mergeCell ref="K110:M110"/>
    <mergeCell ref="K10:O10"/>
    <mergeCell ref="AE366:AG366"/>
    <mergeCell ref="AA149:AA150"/>
    <mergeCell ref="S149:S150"/>
    <mergeCell ref="C360:I360"/>
    <mergeCell ref="K199:M199"/>
    <mergeCell ref="U125:W125"/>
    <mergeCell ref="C293:I293"/>
    <mergeCell ref="K362:M362"/>
    <mergeCell ref="C220:I220"/>
    <mergeCell ref="K136:M136"/>
    <mergeCell ref="H149:H150"/>
    <mergeCell ref="C86:I86"/>
    <mergeCell ref="D186:D191"/>
    <mergeCell ref="K293:M293"/>
    <mergeCell ref="C344:I344"/>
    <mergeCell ref="AE86:AG86"/>
    <mergeCell ref="AE313:AG313"/>
    <mergeCell ref="AE142:AG142"/>
    <mergeCell ref="AD316:AD325"/>
    <mergeCell ref="P303:R303"/>
    <mergeCell ref="P132:R132"/>
    <mergeCell ref="E104:E107"/>
    <mergeCell ref="C133:C135"/>
    <mergeCell ref="U276:W276"/>
    <mergeCell ref="E137:E139"/>
    <mergeCell ref="AC149:AC150"/>
    <mergeCell ref="E204:E207"/>
    <mergeCell ref="AE110:AG110"/>
    <mergeCell ref="B304:B337"/>
    <mergeCell ref="K131:M131"/>
    <mergeCell ref="Z272:AB272"/>
    <mergeCell ref="P272:R272"/>
    <mergeCell ref="AI133:AI134"/>
    <mergeCell ref="AK133:AK134"/>
    <mergeCell ref="P185:R185"/>
    <mergeCell ref="T316:T331"/>
    <mergeCell ref="Z203:AB203"/>
    <mergeCell ref="U344:W344"/>
    <mergeCell ref="D231:D233"/>
    <mergeCell ref="D264:D265"/>
    <mergeCell ref="J149:J150"/>
    <mergeCell ref="C200:C202"/>
    <mergeCell ref="B2:E2"/>
    <mergeCell ref="K363:M363"/>
    <mergeCell ref="K338:M338"/>
    <mergeCell ref="K142:M142"/>
    <mergeCell ref="K313:M313"/>
    <mergeCell ref="AA326:AA331"/>
    <mergeCell ref="AH133:AH134"/>
    <mergeCell ref="P203:R203"/>
    <mergeCell ref="AE125:AG125"/>
    <mergeCell ref="AJ133:AJ134"/>
    <mergeCell ref="U199:W199"/>
    <mergeCell ref="K365:M365"/>
    <mergeCell ref="P361:R361"/>
    <mergeCell ref="D283:D292"/>
    <mergeCell ref="U136:W136"/>
    <mergeCell ref="E288:E292"/>
    <mergeCell ref="AE192:AG192"/>
    <mergeCell ref="B4:C4"/>
    <mergeCell ref="D246:D247"/>
    <mergeCell ref="K302:M302"/>
    <mergeCell ref="U293:W293"/>
    <mergeCell ref="K366:M366"/>
    <mergeCell ref="C186:C191"/>
    <mergeCell ref="P356:R356"/>
    <mergeCell ref="AE131:AG131"/>
    <mergeCell ref="I2:AK2"/>
    <mergeCell ref="C311:C312"/>
    <mergeCell ref="K220:M220"/>
    <mergeCell ref="Z234:AB234"/>
    <mergeCell ref="D214:D215"/>
    <mergeCell ref="B10:B11"/>
    <mergeCell ref="Z280:AB280"/>
    <mergeCell ref="C313:I313"/>
    <mergeCell ref="L316:L331"/>
    <mergeCell ref="N316:N331"/>
    <mergeCell ref="C234:I234"/>
    <mergeCell ref="K234:M234"/>
    <mergeCell ref="U110:W110"/>
    <mergeCell ref="Z338:AB338"/>
    <mergeCell ref="C302:I302"/>
    <mergeCell ref="AK149:AK150"/>
    <mergeCell ref="C149:C181"/>
    <mergeCell ref="U360:W360"/>
    <mergeCell ref="P364:R364"/>
    <mergeCell ref="C148:I148"/>
    <mergeCell ref="K248:M248"/>
    <mergeCell ref="E326:E331"/>
    <mergeCell ref="E62:E65"/>
  </mergeCells>
  <printOptions horizontalCentered="1"/>
  <pageMargins left="0" right="0.1968503937007874" top="0.3937007874015748" bottom="0" header="0" footer="0.07874015748031496"/>
  <pageSetup orientation="landscape" paperSize="8" scale="35"/>
  <rowBreaks count="1" manualBreakCount="1">
    <brk id="143" min="0" max="16383" man="1"/>
  </rowBreak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CHEIL</dc:creator>
  <dcterms:created xsi:type="dcterms:W3CDTF">2017-11-21T07:49:32Z</dcterms:created>
  <dcterms:modified xsi:type="dcterms:W3CDTF">2026-05-18T12:22:48Z</dcterms:modified>
  <cp:lastModifiedBy>CHEIL</cp:lastModifiedBy>
  <cp:lastPrinted>2018-07-26T02:35:44Z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NSCPROP" fmtid="{D5CDD505-2E9C-101B-9397-08002B2CF9AE}" pid="2">
    <vt:lpwstr>NSCCustomProperty</vt:lpwstr>
  </property>
</Properties>
</file>