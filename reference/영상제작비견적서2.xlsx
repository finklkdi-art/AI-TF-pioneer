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984" firstSheet="0" activeTab="0" autoFilterDateGrouping="1"/>
  </bookViews>
  <sheets>
    <sheet name="자동차보험" sheetId="1" state="visible" r:id="rId1"/>
    <sheet name="운전자보험" sheetId="2" state="visible" r:id="rId2"/>
  </sheets>
  <externalReferences>
    <externalReference r:id="rId3"/>
    <externalReference r:id="rId4"/>
  </externalReferences>
  <definedNames>
    <definedName name="_1">[1]I一般比!#REF!</definedName>
    <definedName name="_2">[1]I一般比!#REF!</definedName>
    <definedName name="_3">#N/A</definedName>
    <definedName name="_4">[1]I一般比!#REF!</definedName>
    <definedName name="\0">#N/A</definedName>
    <definedName name="\a">#N/A</definedName>
    <definedName name="\g">'[1]N賃率-職'!#REF!</definedName>
    <definedName name="\x">#N/A</definedName>
    <definedName name="\z">#N/A</definedName>
    <definedName name="dddd">[2]I一般比!#REF!</definedName>
    <definedName name="기ㅏㅓㅣㅏㅓㅏㅣㅓ">[1]I一般比!#REF!</definedName>
    <definedName name="ㄴㄴ">[1]I一般比!#REF!</definedName>
    <definedName name="ㄷㄱㄷ">'[1]N賃率-職'!#REF!</definedName>
    <definedName name="ㅇㅇ">[1]I一般比!#REF!</definedName>
    <definedName name="_1" localSheetId="0">[1]I一般比!#REF!</definedName>
    <definedName name="_2" localSheetId="0">[1]I一般比!#REF!</definedName>
    <definedName name="_4" localSheetId="0">[1]I一般比!#REF!</definedName>
    <definedName name="\g" localSheetId="0">'[1]N賃率-職'!#REF!</definedName>
    <definedName name="dddd" localSheetId="0">[2]I一般比!#REF!</definedName>
    <definedName name="기ㅏㅓㅣㅏㅓㅏㅣㅓ" localSheetId="0">[1]I一般比!#REF!</definedName>
    <definedName name="ㄴㄴ" localSheetId="0">[1]I一般比!#REF!</definedName>
    <definedName name="ㄷㄱㄷ" localSheetId="0">'[1]N賃率-職'!#REF!</definedName>
    <definedName name="ㅇㅇ" localSheetId="0">[1]I一般比!#REF!</definedName>
    <definedName name="_xlnm.Print_Area" localSheetId="0">'자동차보험'!$A$1:$L$34</definedName>
    <definedName name="_1" localSheetId="1">[1]I一般比!#REF!</definedName>
    <definedName name="_2" localSheetId="1">[1]I一般比!#REF!</definedName>
    <definedName name="_4" localSheetId="1">[1]I一般比!#REF!</definedName>
    <definedName name="\g" localSheetId="1">'[1]N賃率-職'!#REF!</definedName>
    <definedName name="dddd" localSheetId="1">[2]I一般比!#REF!</definedName>
    <definedName name="기ㅏㅓㅣㅏㅓㅏㅣㅓ" localSheetId="1">[1]I一般比!#REF!</definedName>
    <definedName name="ㄴㄴ" localSheetId="1">[1]I一般比!#REF!</definedName>
    <definedName name="ㄷㄱㄷ" localSheetId="1">'[1]N賃率-職'!#REF!</definedName>
    <definedName name="ㅇㅇ" localSheetId="1">[1]I一般比!#REF!</definedName>
    <definedName name="_xlnm.Print_Area" localSheetId="1">'운전자보험'!$A$1:$L$40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\$#,##0_);[Red]\(\$#,##0\)"/>
    <numFmt numFmtId="165" formatCode="_-* #,##0_-;\-* #,##0_-;_-* &quot;-&quot;_-;_-@_-"/>
    <numFmt numFmtId="166" formatCode="&quot;₩&quot;#,##0"/>
    <numFmt numFmtId="167" formatCode="0.000%"/>
    <numFmt numFmtId="168" formatCode="&quot;₩&quot;#,##0.0"/>
    <numFmt numFmtId="169" formatCode="#,##0_ "/>
    <numFmt numFmtId="170" formatCode="mm&quot;월&quot;\ dd&quot;일&quot;"/>
    <numFmt numFmtId="171" formatCode="&quot;₩&quot;\ #,##0\ &quot;원&quot;\(\V\A\T&quot;별&quot;&quot;도&quot;\)"/>
    <numFmt numFmtId="172" formatCode="_ * #,##0_ ;_ * \-#,##0_ ;_ * &quot;-&quot;_ ;_ @_ "/>
    <numFmt numFmtId="173" formatCode="_ * #,##0.00_ ;_ * \-#,##0.00_ ;_ * &quot;-&quot;??_ ;_ @_ "/>
    <numFmt numFmtId="174" formatCode="_(&quot;$&quot;* #,##0.00_);_(&quot;$&quot;* \(#,##0.00\);_(&quot;$&quot;* &quot;-&quot;??_);_(@_)"/>
    <numFmt numFmtId="175" formatCode="#,##0.00_ "/>
  </numFmts>
  <fonts count="30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family val="3"/>
      <sz val="8"/>
    </font>
    <font>
      <name val="돋움"/>
      <family val="3"/>
      <sz val="11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sz val="10"/>
    </font>
    <font>
      <name val="굴림체"/>
      <charset val="129"/>
      <family val="3"/>
      <b val="1"/>
      <sz val="13"/>
      <u val="single"/>
    </font>
    <font>
      <name val="굴림체"/>
      <charset val="129"/>
      <family val="3"/>
      <sz val="12"/>
    </font>
    <font>
      <name val="굴림체"/>
      <charset val="129"/>
      <family val="3"/>
      <sz val="11"/>
    </font>
    <font>
      <name val="바탕체"/>
      <charset val="129"/>
      <family val="1"/>
      <sz val="12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24"/>
      <scheme val="minor"/>
    </font>
    <font>
      <name val="Arial"/>
      <family val="2"/>
      <b val="1"/>
      <sz val="12"/>
    </font>
  </fonts>
  <fills count="8">
    <fill>
      <patternFill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5">
    <xf numFmtId="0" fontId="5" fillId="0" borderId="0" applyAlignment="1">
      <alignment vertical="center"/>
    </xf>
    <xf numFmtId="172" fontId="10" fillId="0" borderId="0"/>
    <xf numFmtId="173" fontId="10" fillId="0" borderId="0"/>
    <xf numFmtId="42" fontId="10" fillId="0" borderId="0"/>
    <xf numFmtId="174" fontId="10" fillId="0" borderId="0"/>
    <xf numFmtId="0" fontId="11" fillId="0" borderId="0"/>
    <xf numFmtId="0" fontId="12" fillId="0" borderId="0" applyAlignment="1">
      <alignment horizontal="centerContinuous" vertical="center"/>
    </xf>
    <xf numFmtId="0" fontId="12" fillId="0" borderId="0" applyAlignment="1">
      <alignment horizontal="centerContinuous" vertical="center"/>
    </xf>
    <xf numFmtId="0" fontId="13" fillId="3" borderId="0" applyAlignment="1">
      <alignment horizontal="center" vertical="center"/>
    </xf>
    <xf numFmtId="0" fontId="13" fillId="3" borderId="0" applyAlignment="1">
      <alignment horizontal="center" vertical="center"/>
    </xf>
    <xf numFmtId="9" fontId="5" fillId="0" borderId="0" applyAlignment="1">
      <alignment vertical="center"/>
    </xf>
    <xf numFmtId="9" fontId="14" fillId="3" borderId="0" applyAlignment="1">
      <alignment horizontal="right"/>
    </xf>
    <xf numFmtId="9" fontId="14" fillId="3" borderId="0" applyAlignment="1">
      <alignment horizontal="right"/>
    </xf>
    <xf numFmtId="10" fontId="14" fillId="0" borderId="0" applyAlignment="1">
      <alignment horizontal="right"/>
    </xf>
    <xf numFmtId="10" fontId="14" fillId="0" borderId="0" applyAlignment="1">
      <alignment horizontal="right"/>
    </xf>
    <xf numFmtId="41" fontId="5" fillId="0" borderId="0" applyAlignment="1">
      <alignment vertical="center"/>
    </xf>
    <xf numFmtId="41" fontId="8" fillId="0" borderId="0" applyAlignment="1">
      <alignment vertical="center"/>
    </xf>
    <xf numFmtId="43" fontId="9" fillId="0" borderId="0"/>
    <xf numFmtId="172" fontId="13" fillId="0" borderId="0"/>
    <xf numFmtId="43" fontId="9" fillId="0" borderId="0"/>
    <xf numFmtId="172" fontId="13" fillId="0" borderId="0"/>
    <xf numFmtId="41" fontId="16" fillId="0" borderId="0" applyAlignment="1">
      <alignment vertical="center"/>
    </xf>
    <xf numFmtId="43" fontId="9" fillId="0" borderId="0"/>
    <xf numFmtId="41" fontId="5" fillId="0" borderId="0"/>
    <xf numFmtId="41" fontId="16" fillId="0" borderId="0" applyAlignment="1">
      <alignment vertical="center"/>
    </xf>
    <xf numFmtId="41" fontId="9" fillId="0" borderId="0" applyAlignment="1">
      <alignment vertical="center"/>
    </xf>
    <xf numFmtId="172" fontId="15" fillId="0" borderId="0"/>
    <xf numFmtId="175" fontId="14" fillId="3" borderId="0" applyAlignment="1">
      <alignment horizontal="right"/>
    </xf>
    <xf numFmtId="175" fontId="14" fillId="3" borderId="0" applyAlignment="1">
      <alignment horizontal="right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9" fillId="0" borderId="0"/>
    <xf numFmtId="0" fontId="13" fillId="0" borderId="0"/>
    <xf numFmtId="0" fontId="9" fillId="0" borderId="0"/>
    <xf numFmtId="0" fontId="13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9" fillId="0" borderId="0"/>
    <xf numFmtId="0" fontId="5" fillId="0" borderId="0"/>
    <xf numFmtId="0" fontId="5" fillId="0" borderId="0"/>
    <xf numFmtId="0" fontId="16" fillId="0" borderId="0" applyAlignment="1">
      <alignment vertical="center"/>
    </xf>
    <xf numFmtId="0" fontId="5" fillId="0" borderId="0"/>
    <xf numFmtId="0" fontId="5" fillId="0" borderId="0"/>
    <xf numFmtId="0" fontId="23" fillId="0" borderId="0" applyAlignment="1">
      <alignment vertical="center"/>
    </xf>
    <xf numFmtId="41" fontId="23" fillId="0" borderId="0" applyAlignment="1">
      <alignment vertical="center"/>
    </xf>
    <xf numFmtId="0" fontId="24" fillId="0" borderId="0" applyAlignment="1">
      <alignment vertical="center"/>
    </xf>
    <xf numFmtId="41" fontId="24" fillId="0" borderId="0" applyAlignment="1">
      <alignment vertical="center"/>
    </xf>
    <xf numFmtId="41" fontId="23" fillId="0" borderId="0" applyAlignment="1">
      <alignment vertical="center"/>
    </xf>
    <xf numFmtId="41" fontId="23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41" fontId="23" fillId="0" borderId="0" applyAlignment="1">
      <alignment vertical="center"/>
    </xf>
    <xf numFmtId="0" fontId="23" fillId="0" borderId="0" applyAlignment="1">
      <alignment vertical="center"/>
    </xf>
    <xf numFmtId="0" fontId="9" fillId="0" borderId="0"/>
    <xf numFmtId="43" fontId="9" fillId="0" borderId="0"/>
    <xf numFmtId="0" fontId="29" fillId="0" borderId="4" applyAlignment="1">
      <alignment horizontal="left" vertical="center"/>
    </xf>
    <xf numFmtId="0" fontId="29" fillId="0" borderId="59" applyAlignment="1">
      <alignment horizontal="left" vertical="center"/>
    </xf>
    <xf numFmtId="173" fontId="15" fillId="0" borderId="0"/>
    <xf numFmtId="0" fontId="23" fillId="0" borderId="0" applyAlignment="1">
      <alignment vertical="center"/>
    </xf>
    <xf numFmtId="41" fontId="23" fillId="0" borderId="0" applyAlignment="1">
      <alignment vertical="center"/>
    </xf>
    <xf numFmtId="0" fontId="23" fillId="0" borderId="0" applyAlignment="1">
      <alignment vertical="center"/>
    </xf>
    <xf numFmtId="0" fontId="16" fillId="0" borderId="0" applyAlignment="1">
      <alignment vertical="center"/>
    </xf>
    <xf numFmtId="41" fontId="16" fillId="0" borderId="0" applyAlignment="1">
      <alignment vertical="center"/>
    </xf>
    <xf numFmtId="43" fontId="9" fillId="0" borderId="0"/>
    <xf numFmtId="0" fontId="23" fillId="0" borderId="0" applyAlignment="1">
      <alignment vertical="center"/>
    </xf>
    <xf numFmtId="41" fontId="23" fillId="0" borderId="0" applyAlignment="1">
      <alignment vertical="center"/>
    </xf>
    <xf numFmtId="0" fontId="23" fillId="0" borderId="0" applyAlignment="1">
      <alignment vertical="center"/>
    </xf>
    <xf numFmtId="41" fontId="23" fillId="0" borderId="0" applyAlignment="1">
      <alignment vertical="center"/>
    </xf>
    <xf numFmtId="41" fontId="16" fillId="0" borderId="0" applyAlignment="1">
      <alignment vertical="center"/>
    </xf>
    <xf numFmtId="41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8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41" fontId="23" fillId="0" borderId="0" applyAlignment="1">
      <alignment vertical="center"/>
    </xf>
  </cellStyleXfs>
  <cellXfs count="229">
    <xf numFmtId="0" fontId="0" fillId="0" borderId="0" applyAlignment="1" pivotButton="0" quotePrefix="0" xfId="0">
      <alignment vertical="center"/>
    </xf>
    <xf numFmtId="0" fontId="16" fillId="0" borderId="0" applyAlignment="1" pivotButton="0" quotePrefix="0" xfId="39">
      <alignment vertical="center"/>
    </xf>
    <xf numFmtId="0" fontId="17" fillId="0" borderId="0" applyAlignment="1" pivotButton="0" quotePrefix="0" xfId="39">
      <alignment horizontal="center"/>
    </xf>
    <xf numFmtId="0" fontId="18" fillId="0" borderId="0" applyAlignment="1" pivotButton="0" quotePrefix="0" xfId="39">
      <alignment vertical="center"/>
    </xf>
    <xf numFmtId="0" fontId="17" fillId="0" borderId="0" applyAlignment="1" pivotButton="0" quotePrefix="0" xfId="39">
      <alignment horizontal="left"/>
    </xf>
    <xf numFmtId="0" fontId="17" fillId="0" borderId="0" applyAlignment="1" pivotButton="0" quotePrefix="0" xfId="39">
      <alignment vertical="center"/>
    </xf>
    <xf numFmtId="0" fontId="19" fillId="2" borderId="1" applyAlignment="1" pivotButton="0" quotePrefix="0" xfId="39">
      <alignment horizontal="left" vertical="center"/>
    </xf>
    <xf numFmtId="0" fontId="19" fillId="2" borderId="1" applyAlignment="1" pivotButton="0" quotePrefix="0" xfId="39">
      <alignment horizontal="right" vertical="center"/>
    </xf>
    <xf numFmtId="0" fontId="19" fillId="0" borderId="0" applyAlignment="1" pivotButton="0" quotePrefix="0" xfId="39">
      <alignment vertical="center"/>
    </xf>
    <xf numFmtId="0" fontId="19" fillId="0" borderId="2" applyAlignment="1" pivotButton="0" quotePrefix="0" xfId="39">
      <alignment horizontal="left" vertical="center"/>
    </xf>
    <xf numFmtId="0" fontId="19" fillId="0" borderId="2" applyAlignment="1" pivotButton="0" quotePrefix="0" xfId="39">
      <alignment horizontal="right" vertical="center"/>
    </xf>
    <xf numFmtId="0" fontId="19" fillId="2" borderId="2" applyAlignment="1" pivotButton="0" quotePrefix="0" xfId="39">
      <alignment horizontal="right" vertical="center"/>
    </xf>
    <xf numFmtId="0" fontId="20" fillId="2" borderId="3" applyAlignment="1" pivotButton="0" quotePrefix="0" xfId="39">
      <alignment horizontal="center" vertical="center"/>
    </xf>
    <xf numFmtId="0" fontId="20" fillId="2" borderId="4" applyAlignment="1" pivotButton="0" quotePrefix="0" xfId="39">
      <alignment horizontal="center" vertical="center"/>
    </xf>
    <xf numFmtId="164" fontId="20" fillId="2" borderId="4" applyAlignment="1" pivotButton="0" quotePrefix="0" xfId="39">
      <alignment horizontal="left" vertical="center"/>
    </xf>
    <xf numFmtId="0" fontId="20" fillId="0" borderId="0" applyAlignment="1" pivotButton="0" quotePrefix="0" xfId="39">
      <alignment vertical="center"/>
    </xf>
    <xf numFmtId="0" fontId="21" fillId="2" borderId="4" applyAlignment="1" pivotButton="0" quotePrefix="0" xfId="39">
      <alignment horizontal="left" vertical="center"/>
    </xf>
    <xf numFmtId="0" fontId="20" fillId="0" borderId="0" applyAlignment="1" pivotButton="0" quotePrefix="0" xfId="39">
      <alignment vertical="center"/>
    </xf>
    <xf numFmtId="0" fontId="20" fillId="0" borderId="15" applyAlignment="1" pivotButton="0" quotePrefix="0" xfId="15">
      <alignment horizontal="center" vertical="center"/>
    </xf>
    <xf numFmtId="0" fontId="20" fillId="0" borderId="16" applyAlignment="1" pivotButton="0" quotePrefix="0" xfId="15">
      <alignment horizontal="center" vertical="center"/>
    </xf>
    <xf numFmtId="0" fontId="20" fillId="0" borderId="15" applyAlignment="1" pivotButton="0" quotePrefix="0" xfId="39">
      <alignment horizontal="center" vertical="center" wrapText="1"/>
    </xf>
    <xf numFmtId="0" fontId="20" fillId="0" borderId="18" applyAlignment="1" pivotButton="0" quotePrefix="0" xfId="39">
      <alignment horizontal="center" vertical="center" wrapText="1"/>
    </xf>
    <xf numFmtId="165" fontId="22" fillId="0" borderId="18" applyAlignment="1" pivotButton="0" quotePrefix="0" xfId="15">
      <alignment horizontal="center" vertical="center" wrapText="1"/>
    </xf>
    <xf numFmtId="0" fontId="22" fillId="0" borderId="15" applyAlignment="1" pivotButton="0" quotePrefix="0" xfId="39">
      <alignment horizontal="center" vertical="center" wrapText="1"/>
    </xf>
    <xf numFmtId="166" fontId="17" fillId="0" borderId="0" applyAlignment="1" pivotButton="0" quotePrefix="0" xfId="39">
      <alignment vertical="center"/>
    </xf>
    <xf numFmtId="167" fontId="17" fillId="0" borderId="0" applyAlignment="1" pivotButton="0" quotePrefix="0" xfId="10">
      <alignment vertical="center"/>
    </xf>
    <xf numFmtId="41" fontId="17" fillId="0" borderId="0" applyAlignment="1" pivotButton="0" quotePrefix="0" xfId="39">
      <alignment vertical="center"/>
    </xf>
    <xf numFmtId="168" fontId="17" fillId="0" borderId="0" applyAlignment="1" pivotButton="0" quotePrefix="0" xfId="39">
      <alignment vertical="center"/>
    </xf>
    <xf numFmtId="41" fontId="20" fillId="0" borderId="0" applyAlignment="1" pivotButton="0" quotePrefix="0" xfId="39">
      <alignment vertical="center"/>
    </xf>
    <xf numFmtId="165" fontId="17" fillId="0" borderId="0" applyAlignment="1" pivotButton="0" quotePrefix="0" xfId="15">
      <alignment horizontal="center"/>
    </xf>
    <xf numFmtId="9" fontId="17" fillId="0" borderId="0" applyAlignment="1" pivotButton="0" quotePrefix="0" xfId="10">
      <alignment horizontal="left"/>
    </xf>
    <xf numFmtId="166" fontId="16" fillId="0" borderId="0" applyAlignment="1" pivotButton="0" quotePrefix="0" xfId="39">
      <alignment vertical="center"/>
    </xf>
    <xf numFmtId="165" fontId="20" fillId="0" borderId="15" applyAlignment="1" pivotButton="0" quotePrefix="0" xfId="15">
      <alignment horizontal="center" vertical="center" wrapText="1"/>
    </xf>
    <xf numFmtId="0" fontId="20" fillId="6" borderId="5" applyAlignment="1" pivotButton="0" quotePrefix="0" xfId="39">
      <alignment horizontal="left" vertical="center"/>
    </xf>
    <xf numFmtId="0" fontId="19" fillId="6" borderId="4" applyAlignment="1" pivotButton="0" quotePrefix="0" xfId="39">
      <alignment horizontal="left" vertical="center"/>
    </xf>
    <xf numFmtId="164" fontId="19" fillId="6" borderId="4" applyAlignment="1" pivotButton="0" quotePrefix="0" xfId="39">
      <alignment horizontal="left" vertical="center"/>
    </xf>
    <xf numFmtId="0" fontId="20" fillId="6" borderId="4" applyAlignment="1" pivotButton="0" quotePrefix="0" xfId="39">
      <alignment horizontal="center" vertical="center"/>
    </xf>
    <xf numFmtId="41" fontId="25" fillId="0" borderId="0" applyAlignment="1" pivotButton="0" quotePrefix="0" xfId="39">
      <alignment vertical="center"/>
    </xf>
    <xf numFmtId="0" fontId="22" fillId="0" borderId="18" applyAlignment="1" pivotButton="0" quotePrefix="0" xfId="39">
      <alignment horizontal="center" vertical="center" wrapText="1"/>
    </xf>
    <xf numFmtId="41" fontId="20" fillId="6" borderId="31" applyAlignment="1" pivotButton="0" quotePrefix="0" xfId="39">
      <alignment horizontal="left" vertical="center"/>
    </xf>
    <xf numFmtId="165" fontId="20" fillId="6" borderId="32" applyAlignment="1" pivotButton="0" quotePrefix="0" xfId="15">
      <alignment horizontal="center" vertical="center"/>
    </xf>
    <xf numFmtId="0" fontId="20" fillId="2" borderId="46" applyAlignment="1" pivotButton="0" quotePrefix="0" xfId="39">
      <alignment horizontal="center" vertical="center"/>
    </xf>
    <xf numFmtId="41" fontId="20" fillId="0" borderId="47" applyAlignment="1" pivotButton="0" quotePrefix="0" xfId="39">
      <alignment horizontal="left" vertical="center"/>
    </xf>
    <xf numFmtId="41" fontId="20" fillId="0" borderId="48" applyAlignment="1" pivotButton="0" quotePrefix="0" xfId="39">
      <alignment horizontal="left" vertical="center"/>
    </xf>
    <xf numFmtId="41" fontId="20" fillId="2" borderId="46" applyAlignment="1" pivotButton="0" quotePrefix="0" xfId="39">
      <alignment horizontal="left" vertical="center"/>
    </xf>
    <xf numFmtId="165" fontId="20" fillId="0" borderId="48" applyAlignment="1" pivotButton="0" quotePrefix="0" xfId="15">
      <alignment horizontal="center" vertical="center"/>
    </xf>
    <xf numFmtId="41" fontId="20" fillId="6" borderId="46" applyAlignment="1" pivotButton="0" quotePrefix="0" xfId="39">
      <alignment horizontal="left" vertical="center"/>
    </xf>
    <xf numFmtId="0" fontId="20" fillId="2" borderId="1" applyAlignment="1" pivotButton="0" quotePrefix="0" xfId="39">
      <alignment horizontal="left" vertical="center"/>
    </xf>
    <xf numFmtId="0" fontId="20" fillId="2" borderId="1" applyAlignment="1" pivotButton="0" quotePrefix="0" xfId="39">
      <alignment horizontal="right" vertical="center"/>
    </xf>
    <xf numFmtId="0" fontId="20" fillId="0" borderId="2" applyAlignment="1" pivotButton="0" quotePrefix="0" xfId="39">
      <alignment horizontal="left" vertical="center"/>
    </xf>
    <xf numFmtId="0" fontId="20" fillId="0" borderId="2" applyAlignment="1" pivotButton="0" quotePrefix="0" xfId="39">
      <alignment horizontal="right" vertical="center"/>
    </xf>
    <xf numFmtId="0" fontId="20" fillId="2" borderId="2" applyAlignment="1" pivotButton="0" quotePrefix="0" xfId="39">
      <alignment horizontal="left" vertical="center"/>
    </xf>
    <xf numFmtId="0" fontId="21" fillId="2" borderId="19" applyAlignment="1" pivotButton="0" quotePrefix="0" xfId="39">
      <alignment horizontal="left" vertical="center"/>
    </xf>
    <xf numFmtId="0" fontId="20" fillId="2" borderId="19" applyAlignment="1" pivotButton="0" quotePrefix="0" xfId="39">
      <alignment horizontal="left" vertical="center"/>
    </xf>
    <xf numFmtId="169" fontId="22" fillId="0" borderId="15" applyAlignment="1" pivotButton="0" quotePrefix="0" xfId="39">
      <alignment horizontal="center" vertical="center" wrapText="1"/>
    </xf>
    <xf numFmtId="0" fontId="19" fillId="6" borderId="6" applyAlignment="1" pivotButton="0" quotePrefix="0" xfId="39">
      <alignment horizontal="center" vertical="center"/>
    </xf>
    <xf numFmtId="0" fontId="19" fillId="2" borderId="57" applyAlignment="1" pivotButton="0" quotePrefix="0" xfId="39">
      <alignment horizontal="right" vertical="center"/>
    </xf>
    <xf numFmtId="0" fontId="20" fillId="2" borderId="57" applyAlignment="1" pivotButton="0" quotePrefix="1" xfId="39">
      <alignment horizontal="left" vertical="center"/>
    </xf>
    <xf numFmtId="0" fontId="20" fillId="2" borderId="57" applyAlignment="1" pivotButton="0" quotePrefix="0" xfId="39">
      <alignment horizontal="right" vertical="center"/>
    </xf>
    <xf numFmtId="0" fontId="20" fillId="2" borderId="57" applyAlignment="1" pivotButton="0" quotePrefix="0" xfId="39">
      <alignment horizontal="left" vertical="center"/>
    </xf>
    <xf numFmtId="169" fontId="22" fillId="0" borderId="58" applyAlignment="1" pivotButton="0" quotePrefix="0" xfId="39">
      <alignment horizontal="center" vertical="center" wrapText="1"/>
    </xf>
    <xf numFmtId="0" fontId="26" fillId="0" borderId="0" applyAlignment="1" pivotButton="0" quotePrefix="0" xfId="39">
      <alignment vertical="center"/>
    </xf>
    <xf numFmtId="166" fontId="26" fillId="0" borderId="0" applyAlignment="1" pivotButton="0" quotePrefix="0" xfId="39">
      <alignment vertical="center"/>
    </xf>
    <xf numFmtId="0" fontId="27" fillId="7" borderId="6" applyAlignment="1" pivotButton="0" quotePrefix="0" xfId="39">
      <alignment horizontal="center" vertical="center"/>
    </xf>
    <xf numFmtId="0" fontId="26" fillId="7" borderId="5" applyAlignment="1" pivotButton="0" quotePrefix="0" xfId="39">
      <alignment vertical="center"/>
    </xf>
    <xf numFmtId="0" fontId="27" fillId="7" borderId="4" applyAlignment="1" pivotButton="0" quotePrefix="0" xfId="39">
      <alignment horizontal="left" vertical="center"/>
    </xf>
    <xf numFmtId="164" fontId="27" fillId="7" borderId="4" applyAlignment="1" pivotButton="0" quotePrefix="0" xfId="39">
      <alignment horizontal="left" vertical="center"/>
    </xf>
    <xf numFmtId="0" fontId="26" fillId="7" borderId="4" applyAlignment="1" pivotButton="0" quotePrefix="0" xfId="39">
      <alignment horizontal="center" vertical="center"/>
    </xf>
    <xf numFmtId="165" fontId="27" fillId="7" borderId="46" applyAlignment="1" pivotButton="0" quotePrefix="0" xfId="39">
      <alignment horizontal="right" vertical="center"/>
    </xf>
    <xf numFmtId="0" fontId="20" fillId="7" borderId="4" applyAlignment="1" pivotButton="0" quotePrefix="0" xfId="39">
      <alignment vertical="center"/>
    </xf>
    <xf numFmtId="0" fontId="20" fillId="2" borderId="4" applyAlignment="1" pivotButton="0" quotePrefix="0" xfId="39">
      <alignment horizontal="center" vertical="center"/>
    </xf>
    <xf numFmtId="0" fontId="20" fillId="2" borderId="4" applyAlignment="1" pivotButton="0" quotePrefix="0" xfId="39">
      <alignment horizontal="left" vertical="center"/>
    </xf>
    <xf numFmtId="0" fontId="20" fillId="0" borderId="30" applyAlignment="1" pivotButton="0" quotePrefix="0" xfId="39">
      <alignment horizontal="left" vertical="center"/>
    </xf>
    <xf numFmtId="0" fontId="20" fillId="6" borderId="4" applyAlignment="1" pivotButton="0" quotePrefix="0" xfId="39">
      <alignment horizontal="left" vertical="center"/>
    </xf>
    <xf numFmtId="0" fontId="19" fillId="0" borderId="9" applyAlignment="1" pivotButton="0" quotePrefix="0" xfId="38">
      <alignment horizontal="center" vertical="center"/>
    </xf>
    <xf numFmtId="0" fontId="19" fillId="0" borderId="10" applyAlignment="1" pivotButton="0" quotePrefix="0" xfId="38">
      <alignment horizontal="center" vertical="center"/>
    </xf>
    <xf numFmtId="0" fontId="19" fillId="7" borderId="9" applyAlignment="1" pivotButton="0" quotePrefix="0" xfId="38">
      <alignment horizontal="center" vertical="center"/>
    </xf>
    <xf numFmtId="0" fontId="19" fillId="0" borderId="11" applyAlignment="1" pivotButton="0" quotePrefix="0" xfId="38">
      <alignment horizontal="center" vertical="center"/>
    </xf>
    <xf numFmtId="0" fontId="19" fillId="0" borderId="12" applyAlignment="1" pivotButton="0" quotePrefix="0" xfId="38">
      <alignment horizontal="center" vertical="center"/>
    </xf>
    <xf numFmtId="169" fontId="20" fillId="4" borderId="6" applyAlignment="1" pivotButton="0" quotePrefix="0" xfId="29">
      <alignment horizontal="left" vertical="center" wrapText="1"/>
    </xf>
    <xf numFmtId="165" fontId="17" fillId="0" borderId="0" applyAlignment="1" pivotButton="0" quotePrefix="0" xfId="15">
      <alignment vertical="center"/>
    </xf>
    <xf numFmtId="170" fontId="20" fillId="2" borderId="57" applyAlignment="1" pivotButton="0" quotePrefix="1" xfId="39">
      <alignment horizontal="left" vertical="center"/>
    </xf>
    <xf numFmtId="0" fontId="20" fillId="0" borderId="30" applyAlignment="1" pivotButton="0" quotePrefix="0" xfId="39">
      <alignment horizontal="center" vertical="center"/>
    </xf>
    <xf numFmtId="0" fontId="20" fillId="5" borderId="56" applyAlignment="1" pivotButton="0" quotePrefix="0" xfId="39">
      <alignment horizontal="center" vertical="center"/>
    </xf>
    <xf numFmtId="0" fontId="20" fillId="5" borderId="8" applyAlignment="1" pivotButton="0" quotePrefix="0" xfId="39">
      <alignment horizontal="left" vertical="center"/>
    </xf>
    <xf numFmtId="164" fontId="20" fillId="5" borderId="8" applyAlignment="1" pivotButton="0" quotePrefix="0" xfId="39">
      <alignment horizontal="left" vertical="center"/>
    </xf>
    <xf numFmtId="0" fontId="20" fillId="5" borderId="8" applyAlignment="1" pivotButton="0" quotePrefix="0" xfId="39">
      <alignment horizontal="center" vertical="center"/>
    </xf>
    <xf numFmtId="41" fontId="20" fillId="5" borderId="49" applyAlignment="1" pivotButton="0" quotePrefix="0" xfId="39">
      <alignment horizontal="left" vertical="center"/>
    </xf>
    <xf numFmtId="41" fontId="25" fillId="6" borderId="31" applyAlignment="1" pivotButton="0" quotePrefix="0" xfId="39">
      <alignment horizontal="left" vertical="center"/>
    </xf>
    <xf numFmtId="41" fontId="25" fillId="6" borderId="32" applyAlignment="1" pivotButton="0" quotePrefix="0" xfId="39">
      <alignment horizontal="left" vertical="center"/>
    </xf>
    <xf numFmtId="41" fontId="25" fillId="2" borderId="46" applyAlignment="1" pivotButton="0" quotePrefix="0" xfId="39">
      <alignment horizontal="left" vertical="center"/>
    </xf>
    <xf numFmtId="0" fontId="20" fillId="6" borderId="28" applyAlignment="1" pivotButton="0" quotePrefix="0" xfId="39">
      <alignment horizontal="center" vertical="center"/>
    </xf>
    <xf numFmtId="0" fontId="20" fillId="2" borderId="5" applyAlignment="1" pivotButton="0" quotePrefix="0" xfId="39">
      <alignment horizontal="center" vertical="center"/>
    </xf>
    <xf numFmtId="0" fontId="20" fillId="2" borderId="6" applyAlignment="1" pivotButton="0" quotePrefix="0" xfId="39">
      <alignment horizontal="center" vertical="center"/>
    </xf>
    <xf numFmtId="41" fontId="22" fillId="6" borderId="31" applyAlignment="1" pivotButton="0" quotePrefix="0" xfId="39">
      <alignment horizontal="left" vertical="center"/>
    </xf>
    <xf numFmtId="0" fontId="19" fillId="0" borderId="0" applyAlignment="1" pivotButton="0" quotePrefix="0" xfId="39">
      <alignment horizontal="right" vertical="center"/>
    </xf>
    <xf numFmtId="0" fontId="25" fillId="2" borderId="4" applyAlignment="1" pivotButton="0" quotePrefix="0" xfId="39">
      <alignment horizontal="center" vertical="center"/>
    </xf>
    <xf numFmtId="0" fontId="25" fillId="5" borderId="8" applyAlignment="1" pivotButton="0" quotePrefix="0" xfId="39">
      <alignment horizontal="center" vertical="center"/>
    </xf>
    <xf numFmtId="0" fontId="20" fillId="0" borderId="30" applyAlignment="1" pivotButton="0" quotePrefix="0" xfId="39">
      <alignment horizontal="center" vertical="center" wrapText="1"/>
    </xf>
    <xf numFmtId="0" fontId="20" fillId="2" borderId="5" applyAlignment="1" pivotButton="0" quotePrefix="0" xfId="39">
      <alignment horizontal="center" vertical="center"/>
    </xf>
    <xf numFmtId="0" fontId="20" fillId="2" borderId="6" applyAlignment="1" pivotButton="0" quotePrefix="0" xfId="39">
      <alignment horizontal="center" vertical="center"/>
    </xf>
    <xf numFmtId="0" fontId="20" fillId="6" borderId="28" applyAlignment="1" pivotButton="0" quotePrefix="0" xfId="39">
      <alignment horizontal="center" vertical="center"/>
    </xf>
    <xf numFmtId="169" fontId="22" fillId="0" borderId="22" applyAlignment="1" pivotButton="0" quotePrefix="0" xfId="39">
      <alignment horizontal="center" vertical="center" wrapText="1"/>
    </xf>
    <xf numFmtId="169" fontId="22" fillId="0" borderId="26" applyAlignment="1" pivotButton="0" quotePrefix="0" xfId="39">
      <alignment horizontal="center" vertical="center" wrapText="1"/>
    </xf>
    <xf numFmtId="0" fontId="20" fillId="0" borderId="44" applyAlignment="1" pivotButton="0" quotePrefix="0" xfId="39">
      <alignment horizontal="center" vertical="center" wrapText="1"/>
    </xf>
    <xf numFmtId="0" fontId="20" fillId="0" borderId="45" applyAlignment="1" pivotButton="0" quotePrefix="0" xfId="39">
      <alignment horizontal="center" vertical="center" wrapText="1"/>
    </xf>
    <xf numFmtId="0" fontId="17" fillId="0" borderId="8" applyAlignment="1" pivotButton="0" quotePrefix="0" xfId="39">
      <alignment horizontal="right" vertical="center"/>
    </xf>
    <xf numFmtId="0" fontId="25" fillId="0" borderId="54" applyAlignment="1" pivotButton="0" quotePrefix="0" xfId="15">
      <alignment horizontal="center" vertical="center" wrapText="1"/>
    </xf>
    <xf numFmtId="0" fontId="25" fillId="0" borderId="0" applyAlignment="1" pivotButton="0" quotePrefix="0" xfId="15">
      <alignment horizontal="center" vertical="center" wrapText="1"/>
    </xf>
    <xf numFmtId="0" fontId="25" fillId="0" borderId="0" applyAlignment="1" pivotButton="0" quotePrefix="0" xfId="15">
      <alignment horizontal="center" vertical="center"/>
    </xf>
    <xf numFmtId="0" fontId="25" fillId="0" borderId="19" applyAlignment="1" pivotButton="0" quotePrefix="0" xfId="15">
      <alignment horizontal="center" vertical="center"/>
    </xf>
    <xf numFmtId="0" fontId="20" fillId="0" borderId="56" applyAlignment="1" pivotButton="0" quotePrefix="0" xfId="39">
      <alignment horizontal="center" vertical="center" wrapText="1"/>
    </xf>
    <xf numFmtId="0" fontId="20" fillId="0" borderId="16" applyAlignment="1" pivotButton="0" quotePrefix="0" xfId="39">
      <alignment horizontal="center" vertical="center" wrapText="1"/>
    </xf>
    <xf numFmtId="0" fontId="20" fillId="2" borderId="5" applyAlignment="1" pivotButton="0" quotePrefix="0" xfId="39">
      <alignment horizontal="center" vertical="center"/>
    </xf>
    <xf numFmtId="0" fontId="20" fillId="2" borderId="6" applyAlignment="1" pivotButton="0" quotePrefix="0" xfId="39">
      <alignment horizontal="center" vertical="center"/>
    </xf>
    <xf numFmtId="169" fontId="20" fillId="0" borderId="50" applyAlignment="1" pivotButton="0" quotePrefix="0" xfId="39">
      <alignment horizontal="center" vertical="center" wrapText="1"/>
    </xf>
    <xf numFmtId="169" fontId="20" fillId="0" borderId="51" applyAlignment="1" pivotButton="0" quotePrefix="0" xfId="39">
      <alignment horizontal="center" vertical="center" wrapText="1"/>
    </xf>
    <xf numFmtId="0" fontId="20" fillId="6" borderId="7" applyAlignment="1" pivotButton="0" quotePrefix="0" xfId="39">
      <alignment horizontal="center" vertical="center" wrapText="1"/>
    </xf>
    <xf numFmtId="0" fontId="20" fillId="6" borderId="26" applyAlignment="1" pivotButton="0" quotePrefix="0" xfId="39">
      <alignment horizontal="center" vertical="center"/>
    </xf>
    <xf numFmtId="0" fontId="20" fillId="6" borderId="28" applyAlignment="1" pivotButton="0" quotePrefix="0" xfId="39">
      <alignment horizontal="center" vertical="center"/>
    </xf>
    <xf numFmtId="0" fontId="20" fillId="6" borderId="26" applyAlignment="1" pivotButton="0" quotePrefix="0" xfId="39">
      <alignment horizontal="center" vertical="center" wrapText="1"/>
    </xf>
    <xf numFmtId="0" fontId="20" fillId="6" borderId="18" applyAlignment="1" pivotButton="0" quotePrefix="0" xfId="39">
      <alignment horizontal="center" vertical="center" wrapText="1"/>
    </xf>
    <xf numFmtId="169" fontId="20" fillId="0" borderId="27" applyAlignment="1" pivotButton="0" quotePrefix="0" xfId="39">
      <alignment horizontal="center" vertical="center" wrapText="1"/>
    </xf>
    <xf numFmtId="169" fontId="20" fillId="0" borderId="17" applyAlignment="1" pivotButton="0" quotePrefix="0" xfId="39">
      <alignment horizontal="center" vertical="center" wrapText="1"/>
    </xf>
    <xf numFmtId="169" fontId="20" fillId="0" borderId="52" applyAlignment="1" pivotButton="0" quotePrefix="0" xfId="39">
      <alignment horizontal="center" vertical="center" wrapText="1"/>
    </xf>
    <xf numFmtId="169" fontId="20" fillId="0" borderId="53" applyAlignment="1" pivotButton="0" quotePrefix="0" xfId="39">
      <alignment horizontal="center" vertical="center" wrapText="1"/>
    </xf>
    <xf numFmtId="0" fontId="19" fillId="6" borderId="55" applyAlignment="1" pivotButton="0" quotePrefix="0" xfId="39">
      <alignment horizontal="center" vertical="center"/>
    </xf>
    <xf numFmtId="0" fontId="28" fillId="0" borderId="19" applyAlignment="1" pivotButton="0" quotePrefix="0" xfId="39">
      <alignment horizontal="center" vertical="center"/>
    </xf>
    <xf numFmtId="0" fontId="19" fillId="5" borderId="20" applyAlignment="1" pivotButton="0" quotePrefix="0" xfId="38">
      <alignment horizontal="center" vertical="center"/>
    </xf>
    <xf numFmtId="0" fontId="19" fillId="5" borderId="25" applyAlignment="1" pivotButton="0" quotePrefix="0" xfId="38">
      <alignment horizontal="center" vertical="center"/>
    </xf>
    <xf numFmtId="0" fontId="19" fillId="5" borderId="35" applyAlignment="1" pivotButton="0" quotePrefix="0" xfId="38">
      <alignment horizontal="center" vertical="center"/>
    </xf>
    <xf numFmtId="0" fontId="19" fillId="0" borderId="36" applyAlignment="1" pivotButton="0" quotePrefix="0" xfId="38">
      <alignment horizontal="center" vertical="center"/>
    </xf>
    <xf numFmtId="0" fontId="19" fillId="0" borderId="37" applyAlignment="1" pivotButton="0" quotePrefix="0" xfId="38">
      <alignment horizontal="center" vertical="center"/>
    </xf>
    <xf numFmtId="0" fontId="19" fillId="0" borderId="38" applyAlignment="1" pivotButton="0" quotePrefix="0" xfId="38">
      <alignment horizontal="center" vertical="center"/>
    </xf>
    <xf numFmtId="0" fontId="19" fillId="5" borderId="37" applyAlignment="1" pivotButton="0" quotePrefix="0" xfId="38">
      <alignment horizontal="center" vertical="center"/>
    </xf>
    <xf numFmtId="0" fontId="19" fillId="5" borderId="38" applyAlignment="1" pivotButton="0" quotePrefix="0" xfId="38">
      <alignment horizontal="center" vertical="center"/>
    </xf>
    <xf numFmtId="0" fontId="20" fillId="0" borderId="13" applyAlignment="1" pivotButton="0" quotePrefix="0" xfId="38">
      <alignment horizontal="center" vertical="center"/>
    </xf>
    <xf numFmtId="0" fontId="20" fillId="0" borderId="14" applyAlignment="1" pivotButton="0" quotePrefix="0" xfId="38">
      <alignment horizontal="center" vertical="center"/>
    </xf>
    <xf numFmtId="0" fontId="20" fillId="0" borderId="39" applyAlignment="1" pivotButton="0" quotePrefix="0" xfId="38">
      <alignment horizontal="center" vertical="center" wrapText="1"/>
    </xf>
    <xf numFmtId="0" fontId="20" fillId="0" borderId="23" applyAlignment="1" pivotButton="0" quotePrefix="0" xfId="38">
      <alignment horizontal="center" vertical="center" wrapText="1"/>
    </xf>
    <xf numFmtId="0" fontId="20" fillId="0" borderId="24" applyAlignment="1" pivotButton="0" quotePrefix="0" xfId="38">
      <alignment horizontal="center" vertical="center" wrapText="1"/>
    </xf>
    <xf numFmtId="0" fontId="20" fillId="0" borderId="40" applyAlignment="1" pivotButton="0" quotePrefix="0" xfId="38">
      <alignment horizontal="center" vertical="center" wrapText="1"/>
    </xf>
    <xf numFmtId="0" fontId="20" fillId="0" borderId="0" applyAlignment="1" pivotButton="0" quotePrefix="0" xfId="38">
      <alignment horizontal="center" vertical="center" wrapText="1"/>
    </xf>
    <xf numFmtId="0" fontId="20" fillId="0" borderId="41" applyAlignment="1" pivotButton="0" quotePrefix="0" xfId="38">
      <alignment horizontal="center" vertical="center" wrapText="1"/>
    </xf>
    <xf numFmtId="0" fontId="20" fillId="0" borderId="42" applyAlignment="1" pivotButton="0" quotePrefix="0" xfId="38">
      <alignment horizontal="center" vertical="center" wrapText="1"/>
    </xf>
    <xf numFmtId="0" fontId="20" fillId="0" borderId="19" applyAlignment="1" pivotButton="0" quotePrefix="0" xfId="38">
      <alignment horizontal="center" vertical="center" wrapText="1"/>
    </xf>
    <xf numFmtId="0" fontId="20" fillId="0" borderId="43" applyAlignment="1" pivotButton="0" quotePrefix="0" xfId="38">
      <alignment horizontal="center" vertical="center" wrapText="1"/>
    </xf>
    <xf numFmtId="0" fontId="20" fillId="0" borderId="59" applyAlignment="1" pivotButton="0" quotePrefix="0" xfId="38">
      <alignment horizontal="center" vertical="center"/>
    </xf>
    <xf numFmtId="0" fontId="20" fillId="0" borderId="29" applyAlignment="1" pivotButton="0" quotePrefix="0" xfId="38">
      <alignment horizontal="center" vertical="center"/>
    </xf>
    <xf numFmtId="171" fontId="19" fillId="7" borderId="14" applyAlignment="1" pivotButton="0" quotePrefix="0" xfId="38">
      <alignment horizontal="center" vertical="center"/>
    </xf>
    <xf numFmtId="171" fontId="19" fillId="7" borderId="29" applyAlignment="1" pivotButton="0" quotePrefix="0" xfId="38">
      <alignment horizontal="center" vertical="center"/>
    </xf>
    <xf numFmtId="0" fontId="19" fillId="0" borderId="33" applyAlignment="1" pivotButton="0" quotePrefix="0" xfId="38">
      <alignment horizontal="center" vertical="center" wrapText="1"/>
    </xf>
    <xf numFmtId="0" fontId="19" fillId="0" borderId="34" applyAlignment="1" pivotButton="0" quotePrefix="0" xfId="38">
      <alignment horizontal="center" vertical="center"/>
    </xf>
    <xf numFmtId="0" fontId="20" fillId="0" borderId="34" applyAlignment="1" pivotButton="0" quotePrefix="0" xfId="38">
      <alignment horizontal="center" vertical="center" wrapText="1"/>
    </xf>
    <xf numFmtId="0" fontId="20" fillId="0" borderId="55" applyAlignment="1" pivotButton="0" quotePrefix="0" xfId="38">
      <alignment horizontal="center" vertical="center" wrapText="1"/>
    </xf>
    <xf numFmtId="0" fontId="20" fillId="0" borderId="21" applyAlignment="1" pivotButton="0" quotePrefix="0" xfId="38">
      <alignment horizontal="center" vertical="center" wrapText="1"/>
    </xf>
    <xf numFmtId="0" fontId="0" fillId="0" borderId="0" pivotButton="0" quotePrefix="0" xfId="0"/>
    <xf numFmtId="0" fontId="0" fillId="0" borderId="19" pivotButton="0" quotePrefix="0" xfId="0"/>
    <xf numFmtId="170" fontId="20" fillId="2" borderId="57" applyAlignment="1" pivotButton="0" quotePrefix="1" xfId="39">
      <alignment horizontal="left" vertical="center"/>
    </xf>
    <xf numFmtId="0" fontId="0" fillId="0" borderId="55" pivotButton="0" quotePrefix="0" xfId="0"/>
    <xf numFmtId="0" fontId="0" fillId="0" borderId="6" pivotButton="0" quotePrefix="0" xfId="0"/>
    <xf numFmtId="169" fontId="20" fillId="0" borderId="60" applyAlignment="1" pivotButton="0" quotePrefix="0" xfId="39">
      <alignment horizontal="center" vertical="center" wrapText="1"/>
    </xf>
    <xf numFmtId="0" fontId="0" fillId="0" borderId="51" pivotButton="0" quotePrefix="0" xfId="0"/>
    <xf numFmtId="0" fontId="20" fillId="6" borderId="3" applyAlignment="1" pivotButton="0" quotePrefix="0" xfId="39">
      <alignment horizontal="center" vertical="center" wrapText="1"/>
    </xf>
    <xf numFmtId="0" fontId="20" fillId="6" borderId="60" applyAlignment="1" pivotButton="0" quotePrefix="0" xfId="39">
      <alignment horizontal="center" vertical="center" wrapText="1"/>
    </xf>
    <xf numFmtId="41" fontId="20" fillId="0" borderId="47" applyAlignment="1" pivotButton="0" quotePrefix="0" xfId="39">
      <alignment horizontal="left" vertical="center"/>
    </xf>
    <xf numFmtId="41" fontId="25" fillId="6" borderId="31" applyAlignment="1" pivotButton="0" quotePrefix="0" xfId="39">
      <alignment horizontal="left" vertical="center"/>
    </xf>
    <xf numFmtId="0" fontId="25" fillId="0" borderId="62" applyAlignment="1" pivotButton="0" quotePrefix="0" xfId="15">
      <alignment horizontal="center" vertical="center" wrapText="1"/>
    </xf>
    <xf numFmtId="0" fontId="0" fillId="0" borderId="45" pivotButton="0" quotePrefix="0" xfId="0"/>
    <xf numFmtId="169" fontId="20" fillId="0" borderId="15" applyAlignment="1" pivotButton="0" quotePrefix="0" xfId="39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41" fontId="20" fillId="0" borderId="48" applyAlignment="1" pivotButton="0" quotePrefix="0" xfId="39">
      <alignment horizontal="left" vertical="center"/>
    </xf>
    <xf numFmtId="41" fontId="25" fillId="6" borderId="32" applyAlignment="1" pivotButton="0" quotePrefix="0" xfId="39">
      <alignment horizontal="left" vertical="center"/>
    </xf>
    <xf numFmtId="0" fontId="0" fillId="0" borderId="18" pivotButton="0" quotePrefix="0" xfId="0"/>
    <xf numFmtId="169" fontId="20" fillId="0" borderId="58" applyAlignment="1" pivotButton="0" quotePrefix="0" xfId="39">
      <alignment horizontal="center" vertical="center" wrapText="1"/>
    </xf>
    <xf numFmtId="0" fontId="0" fillId="0" borderId="53" pivotButton="0" quotePrefix="0" xfId="0"/>
    <xf numFmtId="0" fontId="0" fillId="0" borderId="28" pivotButton="0" quotePrefix="0" xfId="0"/>
    <xf numFmtId="169" fontId="20" fillId="4" borderId="6" applyAlignment="1" pivotButton="0" quotePrefix="0" xfId="29">
      <alignment horizontal="left" vertical="center" wrapText="1"/>
    </xf>
    <xf numFmtId="164" fontId="20" fillId="2" borderId="4" applyAlignment="1" pivotButton="0" quotePrefix="0" xfId="39">
      <alignment horizontal="left" vertical="center"/>
    </xf>
    <xf numFmtId="41" fontId="20" fillId="2" borderId="46" applyAlignment="1" pivotButton="0" quotePrefix="0" xfId="39">
      <alignment horizontal="left" vertical="center"/>
    </xf>
    <xf numFmtId="41" fontId="25" fillId="2" borderId="46" applyAlignment="1" pivotButton="0" quotePrefix="0" xfId="39">
      <alignment horizontal="left" vertical="center"/>
    </xf>
    <xf numFmtId="0" fontId="20" fillId="0" borderId="51" applyAlignment="1" pivotButton="0" quotePrefix="0" xfId="39">
      <alignment horizontal="center" vertical="center" wrapText="1"/>
    </xf>
    <xf numFmtId="169" fontId="22" fillId="0" borderId="15" applyAlignment="1" pivotButton="0" quotePrefix="0" xfId="39">
      <alignment horizontal="center" vertical="center" wrapText="1"/>
    </xf>
    <xf numFmtId="165" fontId="20" fillId="0" borderId="15" applyAlignment="1" pivotButton="0" quotePrefix="0" xfId="15">
      <alignment horizontal="center" vertical="center" wrapText="1"/>
    </xf>
    <xf numFmtId="41" fontId="20" fillId="0" borderId="0" applyAlignment="1" pivotButton="0" quotePrefix="0" xfId="39">
      <alignment vertical="center"/>
    </xf>
    <xf numFmtId="169" fontId="22" fillId="0" borderId="22" applyAlignment="1" pivotButton="0" quotePrefix="0" xfId="39">
      <alignment horizontal="center" vertical="center" wrapText="1"/>
    </xf>
    <xf numFmtId="0" fontId="0" fillId="0" borderId="16" pivotButton="0" quotePrefix="0" xfId="0"/>
    <xf numFmtId="165" fontId="22" fillId="0" borderId="18" applyAlignment="1" pivotButton="0" quotePrefix="0" xfId="15">
      <alignment horizontal="center" vertical="center" wrapText="1"/>
    </xf>
    <xf numFmtId="165" fontId="20" fillId="0" borderId="48" applyAlignment="1" pivotButton="0" quotePrefix="0" xfId="15">
      <alignment horizontal="center" vertical="center"/>
    </xf>
    <xf numFmtId="165" fontId="20" fillId="6" borderId="32" applyAlignment="1" pivotButton="0" quotePrefix="0" xfId="15">
      <alignment horizontal="center" vertical="center"/>
    </xf>
    <xf numFmtId="169" fontId="22" fillId="0" borderId="58" applyAlignment="1" pivotButton="0" quotePrefix="0" xfId="39">
      <alignment horizontal="center" vertical="center" wrapText="1"/>
    </xf>
    <xf numFmtId="41" fontId="25" fillId="0" borderId="0" applyAlignment="1" pivotButton="0" quotePrefix="0" xfId="39">
      <alignment vertical="center"/>
    </xf>
    <xf numFmtId="164" fontId="20" fillId="5" borderId="8" applyAlignment="1" pivotButton="0" quotePrefix="0" xfId="39">
      <alignment horizontal="left" vertical="center"/>
    </xf>
    <xf numFmtId="41" fontId="20" fillId="5" borderId="49" applyAlignment="1" pivotButton="0" quotePrefix="0" xfId="39">
      <alignment horizontal="left" vertical="center"/>
    </xf>
    <xf numFmtId="164" fontId="19" fillId="6" borderId="4" applyAlignment="1" pivotButton="0" quotePrefix="0" xfId="39">
      <alignment horizontal="left" vertical="center"/>
    </xf>
    <xf numFmtId="41" fontId="20" fillId="6" borderId="46" applyAlignment="1" pivotButton="0" quotePrefix="0" xfId="39">
      <alignment horizontal="left" vertical="center"/>
    </xf>
    <xf numFmtId="164" fontId="27" fillId="7" borderId="4" applyAlignment="1" pivotButton="0" quotePrefix="0" xfId="39">
      <alignment horizontal="left" vertical="center"/>
    </xf>
    <xf numFmtId="165" fontId="27" fillId="7" borderId="46" applyAlignment="1" pivotButton="0" quotePrefix="0" xfId="39">
      <alignment horizontal="right" vertical="center"/>
    </xf>
    <xf numFmtId="166" fontId="26" fillId="0" borderId="0" applyAlignment="1" pivotButton="0" quotePrefix="0" xfId="39">
      <alignment vertical="center"/>
    </xf>
    <xf numFmtId="0" fontId="0" fillId="0" borderId="8" pivotButton="0" quotePrefix="0" xfId="0"/>
    <xf numFmtId="168" fontId="17" fillId="0" borderId="0" applyAlignment="1" pivotButton="0" quotePrefix="0" xfId="39">
      <alignment vertical="center"/>
    </xf>
    <xf numFmtId="165" fontId="17" fillId="0" borderId="0" applyAlignment="1" pivotButton="0" quotePrefix="0" xfId="15">
      <alignment vertical="center"/>
    </xf>
    <xf numFmtId="41" fontId="17" fillId="0" borderId="0" applyAlignment="1" pivotButton="0" quotePrefix="0" xfId="39">
      <alignment vertical="center"/>
    </xf>
    <xf numFmtId="166" fontId="16" fillId="0" borderId="0" applyAlignment="1" pivotButton="0" quotePrefix="0" xfId="39">
      <alignment vertical="center"/>
    </xf>
    <xf numFmtId="166" fontId="17" fillId="0" borderId="0" applyAlignment="1" pivotButton="0" quotePrefix="0" xfId="39">
      <alignment vertical="center"/>
    </xf>
    <xf numFmtId="167" fontId="17" fillId="0" borderId="0" applyAlignment="1" pivotButton="0" quotePrefix="0" xfId="10">
      <alignment vertical="center"/>
    </xf>
    <xf numFmtId="165" fontId="17" fillId="0" borderId="0" applyAlignment="1" pivotButton="0" quotePrefix="0" xfId="15">
      <alignment horizontal="center"/>
    </xf>
    <xf numFmtId="0" fontId="0" fillId="0" borderId="37" pivotButton="0" quotePrefix="0" xfId="0"/>
    <xf numFmtId="0" fontId="0" fillId="0" borderId="64" pivotButton="0" quotePrefix="0" xfId="0"/>
    <xf numFmtId="0" fontId="19" fillId="0" borderId="65" applyAlignment="1" pivotButton="0" quotePrefix="0" xfId="38">
      <alignment horizontal="center" vertical="center"/>
    </xf>
    <xf numFmtId="0" fontId="0" fillId="0" borderId="38" pivotButton="0" quotePrefix="0" xfId="0"/>
    <xf numFmtId="0" fontId="0" fillId="0" borderId="10" pivotButton="0" quotePrefix="0" xfId="0"/>
    <xf numFmtId="0" fontId="20" fillId="0" borderId="68" applyAlignment="1" pivotButton="0" quotePrefix="0" xfId="38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20" fillId="0" borderId="69" applyAlignment="1" pivotButton="0" quotePrefix="0" xfId="38">
      <alignment horizontal="center" vertical="center"/>
    </xf>
    <xf numFmtId="0" fontId="0" fillId="0" borderId="59" pivotButton="0" quotePrefix="0" xfId="0"/>
    <xf numFmtId="0" fontId="0" fillId="0" borderId="29" pivotButton="0" quotePrefix="0" xfId="0"/>
    <xf numFmtId="0" fontId="0" fillId="0" borderId="40" pivotButton="0" quotePrefix="0" xfId="0"/>
    <xf numFmtId="0" fontId="0" fillId="0" borderId="41" pivotButton="0" quotePrefix="0" xfId="0"/>
    <xf numFmtId="171" fontId="19" fillId="7" borderId="69" applyAlignment="1" pivotButton="0" quotePrefix="0" xfId="38">
      <alignment horizontal="center" vertical="center"/>
    </xf>
    <xf numFmtId="0" fontId="0" fillId="0" borderId="12" pivotButton="0" quotePrefix="0" xfId="0"/>
    <xf numFmtId="0" fontId="0" fillId="0" borderId="42" pivotButton="0" quotePrefix="0" xfId="0"/>
    <xf numFmtId="0" fontId="0" fillId="0" borderId="43" pivotButton="0" quotePrefix="0" xfId="0"/>
    <xf numFmtId="0" fontId="20" fillId="0" borderId="70" applyAlignment="1" pivotButton="0" quotePrefix="0" xfId="38">
      <alignment horizontal="center" vertical="center" wrapText="1"/>
    </xf>
    <xf numFmtId="0" fontId="0" fillId="0" borderId="21" pivotButton="0" quotePrefix="0" xfId="0"/>
    <xf numFmtId="41" fontId="22" fillId="6" borderId="31" applyAlignment="1" pivotButton="0" quotePrefix="0" xfId="39">
      <alignment horizontal="left" vertical="center"/>
    </xf>
    <xf numFmtId="41" fontId="20" fillId="6" borderId="31" applyAlignment="1" pivotButton="0" quotePrefix="0" xfId="39">
      <alignment horizontal="left" vertical="center"/>
    </xf>
  </cellXfs>
  <cellStyles count="85">
    <cellStyle name="표준" xfId="0" builtinId="0"/>
    <cellStyle name="Comma [0]_laroux" xfId="1"/>
    <cellStyle name="Comma_laroux" xfId="2"/>
    <cellStyle name="Currency [0]_laroux" xfId="3"/>
    <cellStyle name="Currency_laroux" xfId="4"/>
    <cellStyle name="Normal_Certs Q2" xfId="5"/>
    <cellStyle name="title [1]" xfId="6"/>
    <cellStyle name="title [1] 2" xfId="7"/>
    <cellStyle name="title [2]" xfId="8"/>
    <cellStyle name="title [2] 2" xfId="9"/>
    <cellStyle name="백분율" xfId="10" builtinId="5"/>
    <cellStyle name="백분율 [0]" xfId="11"/>
    <cellStyle name="백분율 [0] 2" xfId="12"/>
    <cellStyle name="백분율 [2]" xfId="13"/>
    <cellStyle name="백분율 [2] 2" xfId="14"/>
    <cellStyle name="쉼표 [0]" xfId="15" builtinId="6"/>
    <cellStyle name="쉼표 [0] 2" xfId="16"/>
    <cellStyle name="쉼표 [0] 2 15" xfId="17"/>
    <cellStyle name="쉼표 [0] 2 2" xfId="18"/>
    <cellStyle name="쉼표 [0] 2 2 2" xfId="19"/>
    <cellStyle name="쉼표 [0] 2 3" xfId="20"/>
    <cellStyle name="쉼표 [0] 2 4" xfId="21"/>
    <cellStyle name="쉼표 [0] 3" xfId="22"/>
    <cellStyle name="쉼표 [0] 4" xfId="23"/>
    <cellStyle name="쉼표 [0] 5" xfId="24"/>
    <cellStyle name="쉼표 [0] 6" xfId="25"/>
    <cellStyle name="콤마 [0]_1안" xfId="26"/>
    <cellStyle name="콤마 [2]" xfId="27"/>
    <cellStyle name="콤마 [2] 2" xfId="28"/>
    <cellStyle name="표준 - Styl1" xfId="29"/>
    <cellStyle name="표준 10" xfId="30"/>
    <cellStyle name="표준 11" xfId="31"/>
    <cellStyle name="표준 12" xfId="32"/>
    <cellStyle name="표준 13" xfId="33"/>
    <cellStyle name="표준 14" xfId="34"/>
    <cellStyle name="표준 15" xfId="35"/>
    <cellStyle name="표준 16" xfId="36"/>
    <cellStyle name="표준 17" xfId="37"/>
    <cellStyle name="표준 18" xfId="38"/>
    <cellStyle name="표준 2" xfId="39"/>
    <cellStyle name="표준 2 10 3" xfId="40"/>
    <cellStyle name="표준 2 2" xfId="41"/>
    <cellStyle name="표준 2 2 2" xfId="42"/>
    <cellStyle name="표준 2 3" xfId="43"/>
    <cellStyle name="표준 3" xfId="44"/>
    <cellStyle name="표준 3 2" xfId="45"/>
    <cellStyle name="표준 4" xfId="46"/>
    <cellStyle name="표준 5" xfId="47"/>
    <cellStyle name="표준 6" xfId="48"/>
    <cellStyle name="표준 7" xfId="49"/>
    <cellStyle name="표준 8" xfId="50"/>
    <cellStyle name="표준 9" xfId="51"/>
    <cellStyle name="표준 19" xfId="52"/>
    <cellStyle name="쉼표 [0] 7" xfId="53"/>
    <cellStyle name="표준 20" xfId="54"/>
    <cellStyle name="쉼표 [0] 8" xfId="55"/>
    <cellStyle name="쉼표 [0] 2 5" xfId="56"/>
    <cellStyle name="쉼표 [0] 9" xfId="57"/>
    <cellStyle name="표준 21" xfId="58"/>
    <cellStyle name="표준 19 2" xfId="59"/>
    <cellStyle name="쉼표 [0] 10" xfId="60"/>
    <cellStyle name="표준 22" xfId="61"/>
    <cellStyle name="표준 9 2" xfId="62"/>
    <cellStyle name="쉼표 [0] 6 2" xfId="63"/>
    <cellStyle name="Header1" xfId="64"/>
    <cellStyle name="Header2" xfId="65"/>
    <cellStyle name="콤마_6월실적" xfId="66"/>
    <cellStyle name="표준 4 3" xfId="67"/>
    <cellStyle name="쉼표 [0] 3 3" xfId="68"/>
    <cellStyle name="표준 3 2 3" xfId="69"/>
    <cellStyle name="표준 5 2" xfId="70"/>
    <cellStyle name="쉼표 [0] 3 2" xfId="71"/>
    <cellStyle name="쉼표 [0] 2 2 3" xfId="72"/>
    <cellStyle name="표준 7 3" xfId="73"/>
    <cellStyle name="쉼표 [0] 4 3" xfId="74"/>
    <cellStyle name="표준 8 3" xfId="75"/>
    <cellStyle name="쉼표 [0] 5 3" xfId="76"/>
    <cellStyle name="쉼표 [0] 4 2" xfId="77"/>
    <cellStyle name="쉼표 [0] 5 2" xfId="78"/>
    <cellStyle name="표준 3 2 2" xfId="79"/>
    <cellStyle name="표준 4 2" xfId="80"/>
    <cellStyle name="표준 6 2" xfId="81"/>
    <cellStyle name="표준 7 2" xfId="82"/>
    <cellStyle name="표준 8 2" xfId="83"/>
    <cellStyle name="쉼표 [0] 11" xfId="8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15973</colOff>
      <row>0</row>
      <rowOff>178137</rowOff>
    </from>
    <to>
      <col>2</col>
      <colOff>102564</colOff>
      <row>0</row>
      <rowOff>481205</rowOff>
    </to>
    <pic>
      <nvPicPr>
        <cNvPr id="2" name="그림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01698" y="178137"/>
          <a:ext cx="1039091" cy="30306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82648</colOff>
      <row>0</row>
      <rowOff>206712</rowOff>
    </from>
    <to>
      <col>2</col>
      <colOff>83514</colOff>
      <row>0</row>
      <rowOff>509780</rowOff>
    </to>
    <pic>
      <nvPicPr>
        <cNvPr id="2" name="그림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82648" y="206712"/>
          <a:ext cx="1039091" cy="30306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mySingle/TEMP/file:/&#45224;&#44592;&#54840;/&#44032;&#51256;&#44032;&#49464;&#50836;/work-form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&#45224;&#44592;&#54840;\&#44032;&#51256;&#44032;&#49464;&#50836;\work-form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製總"/>
      <sheetName val="I一般比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입찰품의서"/>
      <sheetName val="갑지1"/>
      <sheetName val="ELECTRIC"/>
      <sheetName val="수량산출"/>
      <sheetName val="제직재"/>
      <sheetName val="연습"/>
      <sheetName val="EJ"/>
      <sheetName val="N賃率_職"/>
      <sheetName val="증감대비"/>
      <sheetName val="노무비"/>
      <sheetName val="제-노임"/>
      <sheetName val="설직재-1"/>
      <sheetName val="약품설비"/>
      <sheetName val="일위"/>
      <sheetName val="경산"/>
      <sheetName val="직재"/>
      <sheetName val="2공구산출내역"/>
      <sheetName val="예가표"/>
      <sheetName val="제경집계"/>
      <sheetName val="내역"/>
      <sheetName val="mcc일위대가"/>
      <sheetName val="노임단가표"/>
      <sheetName val="총괄 CCTV수량"/>
      <sheetName val="일위대가(VDS)"/>
      <sheetName val="노임"/>
      <sheetName val="6. 직접경비"/>
      <sheetName val="내역서"/>
      <sheetName val="직노"/>
      <sheetName val="단위일위"/>
      <sheetName val="b_balju_cho"/>
      <sheetName val="공조기"/>
      <sheetName val="을"/>
      <sheetName val="단"/>
      <sheetName val="토사(PE)"/>
      <sheetName val="work-form"/>
      <sheetName val="기초자료입력"/>
      <sheetName val="원가 (2)"/>
      <sheetName val="Sheet3"/>
      <sheetName val="5.설치내역"/>
      <sheetName val="EQ-R1"/>
      <sheetName val="7단가"/>
      <sheetName val="재집"/>
      <sheetName val="Total"/>
      <sheetName val="시행후면적"/>
      <sheetName val="수지예산"/>
      <sheetName val="약품공급2"/>
      <sheetName val="금액내역서"/>
      <sheetName val="20관리비율"/>
      <sheetName val="예정(3)"/>
      <sheetName val="동원(3)"/>
      <sheetName val="#REF"/>
      <sheetName val="품셈표"/>
      <sheetName val="납부서"/>
      <sheetName val="EP0618"/>
      <sheetName val="노임단가"/>
      <sheetName val="단가조사"/>
      <sheetName val="工완성공사율"/>
      <sheetName val="DATA"/>
      <sheetName val="데이타"/>
      <sheetName val="일위대가(가설)"/>
      <sheetName val="9811"/>
      <sheetName val="A4-結果 "/>
      <sheetName val="기본일위"/>
      <sheetName val="sheet1"/>
      <sheetName val="내역서2안"/>
      <sheetName val="기준"/>
      <sheetName val="Articles"/>
      <sheetName val="기성금내역서"/>
      <sheetName val="밸브설치"/>
      <sheetName val="인덱스_유효성검사"/>
      <sheetName val="IMPEADENCE MAP 취수장"/>
      <sheetName val="9-1차이내역"/>
      <sheetName val="물가"/>
      <sheetName val="년도별실"/>
      <sheetName val="실행내역"/>
      <sheetName val="2F 회의실견적(5_14 일대)"/>
      <sheetName val="진천"/>
      <sheetName val="단가"/>
      <sheetName val="월별수입"/>
      <sheetName val="하이스캔(내수용)"/>
      <sheetName val="2001년고정자산"/>
      <sheetName val="원재료출고수량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인건-측정"/>
      <sheetName val="하조서"/>
      <sheetName val="한강운반비"/>
      <sheetName val="Sheet2"/>
      <sheetName val="A-4"/>
      <sheetName val="ABUT수량-A1"/>
      <sheetName val="입찰안"/>
      <sheetName val="HVAC"/>
      <sheetName val="금호"/>
      <sheetName val="신우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소요자재"/>
      <sheetName val="노무산출서"/>
      <sheetName val="CT "/>
      <sheetName val="전체"/>
      <sheetName val="조도계산서 (도서)"/>
      <sheetName val="일위대가(계측기설치)"/>
      <sheetName val="정공공사"/>
      <sheetName val="날개벽"/>
      <sheetName val="중기사용료"/>
      <sheetName val="유기공정"/>
      <sheetName val="9GNG운반"/>
      <sheetName val="DATE"/>
      <sheetName val="예비품"/>
      <sheetName val="매립"/>
      <sheetName val="Sheet6"/>
      <sheetName val="적용토목"/>
      <sheetName val="실행철강하도"/>
      <sheetName val="공정집계_국별"/>
      <sheetName val="공사내역"/>
      <sheetName val="CP-E2 (품셈표)"/>
      <sheetName val="포장복구집계"/>
      <sheetName val="1.수인터널"/>
      <sheetName val="ETC"/>
      <sheetName val="자재단가비교표"/>
      <sheetName val="집수정"/>
      <sheetName val="원효펌프교체020812"/>
      <sheetName val="LEGEND"/>
      <sheetName val="1.설계조건"/>
      <sheetName val="GAEYO"/>
      <sheetName val="양천현"/>
      <sheetName val="을 1"/>
      <sheetName val="을 2"/>
      <sheetName val="손익분석"/>
      <sheetName val="내역서-CCTV"/>
      <sheetName val="설비단가표"/>
      <sheetName val="지구단위계획"/>
      <sheetName val="심사계산"/>
      <sheetName val="심사물량"/>
      <sheetName val="도로정위치부표"/>
      <sheetName val="DB구축"/>
      <sheetName val="도로조사부표"/>
      <sheetName val="재정비내역"/>
      <sheetName val="입력변수"/>
      <sheetName val="지적고시내역"/>
      <sheetName val="예방접종계획"/>
      <sheetName val="버스운행안내"/>
      <sheetName val="근태계획서"/>
      <sheetName val="진입부 단위수량"/>
      <sheetName val="조명시설"/>
      <sheetName val="홍보비디오"/>
      <sheetName val="_REF"/>
      <sheetName val="총괄표"/>
      <sheetName val="Sheet4"/>
      <sheetName val="갑지(추정)"/>
      <sheetName val="패널"/>
      <sheetName val="잡철물"/>
      <sheetName val="일위대가"/>
      <sheetName val="역T형"/>
      <sheetName val="노임조서"/>
      <sheetName val="SP-B1"/>
      <sheetName val="Curves"/>
      <sheetName val="Tables"/>
      <sheetName val="환율"/>
      <sheetName val="여수토공사비"/>
      <sheetName val="재고"/>
      <sheetName val="전차선로 물량표"/>
      <sheetName val="가압장(토목)"/>
      <sheetName val="작성기준"/>
      <sheetName val="수불카드"/>
      <sheetName val="연부97-1"/>
      <sheetName val="단가표"/>
      <sheetName val="접속도로1"/>
      <sheetName val="대치판정"/>
      <sheetName val="품셈TABLE"/>
      <sheetName val="위치조서"/>
      <sheetName val="집계표"/>
      <sheetName val="각형맨홀"/>
      <sheetName val="견적서"/>
      <sheetName val="2"/>
      <sheetName val="96갑지"/>
      <sheetName val="건축내역"/>
      <sheetName val="입력"/>
      <sheetName val="말뚝지지력산정"/>
      <sheetName val="99노임기준"/>
      <sheetName val="평자재단가"/>
      <sheetName val="조건표"/>
      <sheetName val="주차구획선수량"/>
      <sheetName val="부대공Ⅱ"/>
      <sheetName val="과천MAIN"/>
      <sheetName val="전신환매도율"/>
      <sheetName val="969910( R)"/>
      <sheetName val="다목적갑"/>
      <sheetName val="수량산출서"/>
      <sheetName val="_산근2_"/>
      <sheetName val="_산근4_"/>
      <sheetName val="_산근5_"/>
      <sheetName val="1단계"/>
      <sheetName val="일위대가목차"/>
      <sheetName val="TYPE-A"/>
      <sheetName val="총괄내역서"/>
      <sheetName val="정부노임단가"/>
      <sheetName val="48전력선로일위"/>
      <sheetName val="총수량집계표"/>
      <sheetName val="산출근거"/>
      <sheetName val="우수공"/>
      <sheetName val="INPUT DATA"/>
      <sheetName val="8.PILE  (돌출)"/>
      <sheetName val="생산수량"/>
      <sheetName val="C-노임단가"/>
      <sheetName val="공정코드"/>
      <sheetName val="횡배수관집현황(2공구)"/>
      <sheetName val="DATA 입력란"/>
      <sheetName val="기계경비총괄표"/>
      <sheetName val="일위대가_현장"/>
      <sheetName val="자재단가표"/>
      <sheetName val="변압기 및 발전기 용량"/>
      <sheetName val="인건비"/>
      <sheetName val="하부철근수량"/>
      <sheetName val="노무비 "/>
      <sheetName val="수목표준대가"/>
      <sheetName val="산출기준자료"/>
      <sheetName val="발전계획"/>
      <sheetName val="기존단가 (2)"/>
      <sheetName val="기계경비"/>
      <sheetName val="코드표"/>
      <sheetName val="SLAB&quot;1&quot;"/>
      <sheetName val="을지"/>
      <sheetName val="단가 "/>
      <sheetName val="수목데이타 "/>
      <sheetName val="단위수량"/>
      <sheetName val="공사현황"/>
      <sheetName val="송전재료비"/>
      <sheetName val="1.우편집중내역서"/>
      <sheetName val="6PILE  (돌출)"/>
      <sheetName val="인건비 "/>
      <sheetName val="유동표"/>
      <sheetName val="단가산출2"/>
      <sheetName val="단가 및 재료비"/>
      <sheetName val="단가산출1"/>
      <sheetName val="Price List"/>
      <sheetName val="일위대가목록"/>
      <sheetName val="일위대가(4층원격)"/>
      <sheetName val="HP1AMLIST"/>
      <sheetName val="2.4 자재단가비교표"/>
      <sheetName val="청천내"/>
      <sheetName val="갑지"/>
      <sheetName val="EQ"/>
      <sheetName val="CABLE"/>
      <sheetName val="산출기초(기계터파기)3열"/>
      <sheetName val="전송망집계"/>
      <sheetName val="철거수량(전송)"/>
      <sheetName val="일위대가(1)"/>
      <sheetName val="재료"/>
      <sheetName val="설치자재"/>
      <sheetName val="일위목록"/>
      <sheetName val="요율"/>
      <sheetName val="2000년1차"/>
      <sheetName val="2000전체분"/>
      <sheetName val="기본단가표"/>
      <sheetName val="제노임"/>
      <sheetName val="DB"/>
      <sheetName val="시약"/>
      <sheetName val="재료비"/>
      <sheetName val="전기2005"/>
      <sheetName val="통신2005"/>
      <sheetName val="노임단가 (2)"/>
      <sheetName val="원가계산서구조조정"/>
      <sheetName val="접지수량"/>
      <sheetName val="ELEC"/>
      <sheetName val="옥외외등집계표"/>
      <sheetName val="공사원가계산서"/>
      <sheetName val="자재단가"/>
      <sheetName val="봉양~조차장간고하개명(신설)"/>
      <sheetName val="COST"/>
      <sheetName val="원가총괄"/>
      <sheetName val="자재테이블"/>
      <sheetName val="대포2교접속"/>
      <sheetName val="천방교접속"/>
      <sheetName val="교각계산"/>
      <sheetName val="신호등일위대가"/>
      <sheetName val=" HIT-&gt;HMC 견적(3900)"/>
      <sheetName val="SHEET PILE단가"/>
      <sheetName val="Resource2"/>
      <sheetName val="관급"/>
      <sheetName val="수량총괄"/>
      <sheetName val="정류기"/>
      <sheetName val="급,배기팬"/>
      <sheetName val="내   역"/>
      <sheetName val="#3_일위대가목록"/>
      <sheetName val="#2_일위대가목록"/>
      <sheetName val="노단"/>
      <sheetName val="산출(2)"/>
      <sheetName val="전체제잡비"/>
      <sheetName val="재료비집계"/>
      <sheetName val="제조노임"/>
      <sheetName val="현장조사"/>
      <sheetName val="프로젝트"/>
      <sheetName val="서식시트"/>
      <sheetName val="방송일위대가"/>
      <sheetName val="input"/>
      <sheetName val="CODE1"/>
      <sheetName val="토공"/>
      <sheetName val="원형1호맨홀토공수량"/>
      <sheetName val="1안"/>
      <sheetName val="현금예금"/>
      <sheetName val="견적대비표"/>
      <sheetName val="공문"/>
      <sheetName val="가로등기초"/>
      <sheetName val="PAD TR보호대기초"/>
      <sheetName val="횡배수관토공수량"/>
      <sheetName val="정SW_원_"/>
      <sheetName val="합천내역"/>
      <sheetName val="노무비단가"/>
      <sheetName val="제작기술지원센터"/>
      <sheetName val="구조물철거타공정이월"/>
      <sheetName val="1.1서버도입"/>
      <sheetName val="노임단가 및 기계경비"/>
      <sheetName val="설치공사2"/>
      <sheetName val="기본DATA"/>
      <sheetName val="원본(갑지)"/>
      <sheetName val="시화점실행"/>
      <sheetName val="A4-結果_"/>
      <sheetName val="투자-국내2"/>
      <sheetName val="토적계산"/>
      <sheetName val="sh1"/>
      <sheetName val="제출내역 (2)"/>
      <sheetName val="총괄"/>
      <sheetName val="샘플표지"/>
      <sheetName val="01"/>
      <sheetName val="총괄집계표"/>
      <sheetName val="임율"/>
      <sheetName val="부하(성남)"/>
      <sheetName val="C3"/>
      <sheetName val="토공총괄표"/>
      <sheetName val="감가상각"/>
      <sheetName val="HD01"/>
      <sheetName val="98연계표"/>
      <sheetName val="CODE"/>
      <sheetName val="cal"/>
      <sheetName val="성곽내역서"/>
      <sheetName val="Sheet17"/>
      <sheetName val="내역을"/>
      <sheetName val="내역서1-2"/>
      <sheetName val="시설수량표"/>
      <sheetName val="식재수량표"/>
      <sheetName val="건축일위"/>
      <sheetName val="그라우팅일위"/>
      <sheetName val="전기"/>
      <sheetName val="현장관리비"/>
      <sheetName val="단위세대물량"/>
      <sheetName val="기초DATA(2)"/>
      <sheetName val="터파기및재료"/>
      <sheetName val="Baby일위대가"/>
      <sheetName val="목록"/>
      <sheetName val="BSD _2_"/>
      <sheetName val="유림골조"/>
      <sheetName val=" 냉각수펌프"/>
      <sheetName val="LH3 동양시스템"/>
      <sheetName val="일위대가표"/>
      <sheetName val="을-ATYPE"/>
      <sheetName val="danga"/>
      <sheetName val="ilch"/>
      <sheetName val="제36-40호표"/>
      <sheetName val="샤워실위생"/>
      <sheetName val="unit 4"/>
      <sheetName val="설계조건"/>
      <sheetName val="조경"/>
      <sheetName val="소비자가"/>
      <sheetName val="FANDBS"/>
      <sheetName val="GRDATA"/>
      <sheetName val="SHAFTDBSE"/>
      <sheetName val="산출내역서"/>
      <sheetName val="직공비"/>
      <sheetName val="일(4)"/>
      <sheetName val="식재인부"/>
      <sheetName val="TABLE"/>
      <sheetName val="수목단가"/>
      <sheetName val="제수"/>
      <sheetName val="공기"/>
      <sheetName val="설계명세서"/>
      <sheetName val="총(철거)"/>
      <sheetName val="총물량표"/>
      <sheetName val="배관단가조사서"/>
      <sheetName val="단가산출"/>
      <sheetName val="NÒ¾íÂ"/>
      <sheetName val="NìüëÒ-òÅ"/>
      <sheetName val="JòÁî§1"/>
      <sheetName val="JòÁî§2"/>
      <sheetName val="JòÁî§3"/>
      <sheetName val="JòÁî§4"/>
      <sheetName val="KÊõßÚÊ¿"/>
      <sheetName val="KÌèÍª"/>
      <sheetName val="KÌèÛÕÝ·"/>
      <sheetName val="KÌèðàïÚ"/>
      <sheetName val="Ká¼ÙÄÝÂ"/>
      <sheetName val="NÊàÒ¾Íª"/>
      <sheetName val="NÊàÝïëÒ"/>
      <sheetName val="NÊàãÁëÒ"/>
      <sheetName val="NÍïâ¦1"/>
      <sheetName val="NÍïâ¦2"/>
      <sheetName val="NÒ¾Íª"/>
      <sheetName val="NÒ¾ÙâÝÂ"/>
      <sheetName val="NÒ¾Ùâãù"/>
      <sheetName val="Að²õÅ"/>
      <sheetName val="IìéÚõÝï"/>
      <sheetName val="JâÃìýî§"/>
      <sheetName val="JíÂÍª"/>
      <sheetName val="Jî§ÖùÕá1"/>
      <sheetName val="Jî§ÖùÕá2"/>
      <sheetName val="JÊàî§"/>
      <sheetName val="JâÃìýÍª"/>
      <sheetName val="JâÃìýëÒ1"/>
      <sheetName val="A4-Ì¿Íý "/>
      <sheetName val="Á¤»êÀÚ·á"/>
      <sheetName val="º»ºÎ"/>
      <sheetName val="ÀüÁÖ"/>
      <sheetName val="±¤ÁÖ"/>
      <sheetName val="¼øÃµ"/>
      <sheetName val="³²¿ø"/>
      <sheetName val="¸ñÆ÷"/>
      <sheetName val="±º»ê"/>
      <sheetName val="Ç¥Áö"/>
      <sheetName val="ÀÎ°Ç-ÃøÁ¤"/>
      <sheetName val="ÇÑ°­¿î¹Ýºñ"/>
      <sheetName val="ÇÏÁ¶¼­"/>
      <sheetName val="¼³Á÷Àç-1"/>
      <sheetName val="´Ü"/>
      <sheetName val="NìüëÒ_òÅ"/>
      <sheetName val="CP-E2_(품셈표)"/>
      <sheetName val="1_설계조건"/>
      <sheetName val="1_수인터널"/>
      <sheetName val="C-직노1"/>
      <sheetName val="D-경비1"/>
      <sheetName val="인수공"/>
      <sheetName val="DB단가"/>
      <sheetName val="원형맨홀수량"/>
      <sheetName val="OPT7"/>
      <sheetName val="견적율"/>
      <sheetName val="사급자재"/>
      <sheetName val="토목"/>
      <sheetName val="조도계산"/>
      <sheetName val="AL공사(원)"/>
      <sheetName val="기계경비목록"/>
      <sheetName val="DATA_입력란"/>
      <sheetName val="총괄_CCTV수량"/>
      <sheetName val="식재가격"/>
      <sheetName val="식재총괄"/>
      <sheetName val="돈암사업"/>
      <sheetName val="횡 연장"/>
      <sheetName val="Sheet13"/>
      <sheetName val="발전기"/>
      <sheetName val="공사비"/>
      <sheetName val="DATA_입력란1"/>
      <sheetName val="총괄_CCTV수량1"/>
      <sheetName val="기존단가_(2)"/>
      <sheetName val="단가_"/>
      <sheetName val="수목데이타_"/>
      <sheetName val="변압기_및_발전기_용량"/>
      <sheetName val="6__직접경비"/>
      <sheetName val="노무비_"/>
      <sheetName val="수량 산출서"/>
      <sheetName val="정SW(원)"/>
      <sheetName val="결과조달"/>
      <sheetName val="예산대비"/>
      <sheetName val="소방"/>
      <sheetName val="Sheet14"/>
      <sheetName val="석재장조사"/>
      <sheetName val="소요자재명세서"/>
      <sheetName val="노무비명세서"/>
      <sheetName val="남양구조시험동"/>
      <sheetName val="G.R300경비"/>
      <sheetName val="교각1"/>
      <sheetName val="단가대비표"/>
      <sheetName val="제품별"/>
      <sheetName val="Y-WORK"/>
      <sheetName val="백암비스타내역"/>
      <sheetName val="BID"/>
      <sheetName val="환산"/>
      <sheetName val="발신정보"/>
      <sheetName val="wall"/>
      <sheetName val="Sheet1 (2)"/>
      <sheetName val="HW일위"/>
      <sheetName val="분석"/>
      <sheetName val="969910(_R)"/>
      <sheetName val="용소리교"/>
      <sheetName val="품셈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A製總"/>
      <sheetName val="I一般比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입찰품의서"/>
      <sheetName val="갑지1"/>
      <sheetName val="ELECTRIC"/>
      <sheetName val="수량산출"/>
      <sheetName val="제직재"/>
      <sheetName val="연습"/>
      <sheetName val="EJ"/>
      <sheetName val="N賃率_職"/>
      <sheetName val="증감대비"/>
      <sheetName val="노무비"/>
      <sheetName val="제-노임"/>
      <sheetName val="설직재-1"/>
      <sheetName val="약품설비"/>
      <sheetName val="일위"/>
      <sheetName val="경산"/>
      <sheetName val="직재"/>
      <sheetName val="2공구산출내역"/>
      <sheetName val="예가표"/>
      <sheetName val="제경집계"/>
      <sheetName val="내역"/>
      <sheetName val="mcc일위대가"/>
      <sheetName val="노임단가표"/>
      <sheetName val="총괄 CCTV수량"/>
      <sheetName val="일위대가(VDS)"/>
      <sheetName val="노임"/>
      <sheetName val="6. 직접경비"/>
      <sheetName val="내역서"/>
      <sheetName val="직노"/>
      <sheetName val="단위일위"/>
      <sheetName val="b_balju_cho"/>
      <sheetName val="공조기"/>
      <sheetName val="을"/>
      <sheetName val="단"/>
      <sheetName val="토사(PE)"/>
      <sheetName val="work-form"/>
      <sheetName val="기초자료입력"/>
      <sheetName val="원가 (2)"/>
      <sheetName val="Sheet3"/>
      <sheetName val="5.설치내역"/>
      <sheetName val="EQ-R1"/>
      <sheetName val="7단가"/>
      <sheetName val="재집"/>
      <sheetName val="Total"/>
      <sheetName val="시행후면적"/>
      <sheetName val="수지예산"/>
      <sheetName val="약품공급2"/>
      <sheetName val="금액내역서"/>
      <sheetName val="20관리비율"/>
      <sheetName val="예정(3)"/>
      <sheetName val="동원(3)"/>
      <sheetName val="#REF"/>
      <sheetName val="품셈표"/>
      <sheetName val="납부서"/>
      <sheetName val="EP0618"/>
      <sheetName val="노임단가"/>
      <sheetName val="단가조사"/>
      <sheetName val="工완성공사율"/>
      <sheetName val="DATA"/>
      <sheetName val="데이타"/>
      <sheetName val="일위대가(가설)"/>
      <sheetName val="9811"/>
      <sheetName val="A4-結果 "/>
      <sheetName val="기본일위"/>
      <sheetName val="sheet1"/>
      <sheetName val="내역서2안"/>
      <sheetName val="기준"/>
      <sheetName val="Articles"/>
      <sheetName val="기성금내역서"/>
      <sheetName val="밸브설치"/>
      <sheetName val="인덱스_유효성검사"/>
      <sheetName val="IMPEADENCE MAP 취수장"/>
      <sheetName val="9-1차이내역"/>
      <sheetName val="물가"/>
      <sheetName val="년도별실"/>
      <sheetName val="실행내역"/>
      <sheetName val="2F 회의실견적(5_14 일대)"/>
      <sheetName val="진천"/>
      <sheetName val="단가"/>
      <sheetName val="월별수입"/>
      <sheetName val="하이스캔(내수용)"/>
      <sheetName val="2001년고정자산"/>
      <sheetName val="원재료출고수량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인건-측정"/>
      <sheetName val="하조서"/>
      <sheetName val="한강운반비"/>
      <sheetName val="Sheet2"/>
      <sheetName val="A-4"/>
      <sheetName val="ABUT수량-A1"/>
      <sheetName val="입찰안"/>
      <sheetName val="HVAC"/>
      <sheetName val="금호"/>
      <sheetName val="신우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소요자재"/>
      <sheetName val="노무산출서"/>
      <sheetName val="CT "/>
      <sheetName val="전체"/>
      <sheetName val="조도계산서 (도서)"/>
      <sheetName val="일위대가(계측기설치)"/>
      <sheetName val="정공공사"/>
      <sheetName val="날개벽"/>
      <sheetName val="중기사용료"/>
      <sheetName val="유기공정"/>
      <sheetName val="9GNG운반"/>
      <sheetName val="DATE"/>
      <sheetName val="예비품"/>
      <sheetName val="매립"/>
      <sheetName val="Sheet6"/>
      <sheetName val="적용토목"/>
      <sheetName val="실행철강하도"/>
      <sheetName val="공정집계_국별"/>
      <sheetName val="공사내역"/>
      <sheetName val="CP-E2 (품셈표)"/>
      <sheetName val="포장복구집계"/>
      <sheetName val="1.수인터널"/>
      <sheetName val="ETC"/>
      <sheetName val="자재단가비교표"/>
      <sheetName val="집수정"/>
      <sheetName val="원효펌프교체020812"/>
      <sheetName val="LEGEND"/>
      <sheetName val="1.설계조건"/>
      <sheetName val="GAEYO"/>
      <sheetName val="양천현"/>
      <sheetName val="을 1"/>
      <sheetName val="을 2"/>
      <sheetName val="손익분석"/>
      <sheetName val="내역서-CCTV"/>
      <sheetName val="설비단가표"/>
      <sheetName val="지구단위계획"/>
      <sheetName val="심사계산"/>
      <sheetName val="심사물량"/>
      <sheetName val="도로정위치부표"/>
      <sheetName val="DB구축"/>
      <sheetName val="도로조사부표"/>
      <sheetName val="재정비내역"/>
      <sheetName val="입력변수"/>
      <sheetName val="지적고시내역"/>
      <sheetName val="예방접종계획"/>
      <sheetName val="버스운행안내"/>
      <sheetName val="근태계획서"/>
      <sheetName val="진입부 단위수량"/>
      <sheetName val="조명시설"/>
      <sheetName val="홍보비디오"/>
      <sheetName val="_REF"/>
      <sheetName val="총괄표"/>
      <sheetName val="Sheet4"/>
      <sheetName val="갑지(추정)"/>
      <sheetName val="패널"/>
      <sheetName val="잡철물"/>
      <sheetName val="일위대가"/>
      <sheetName val="역T형"/>
      <sheetName val="노임조서"/>
      <sheetName val="SP-B1"/>
      <sheetName val="Curves"/>
      <sheetName val="Tables"/>
      <sheetName val="환율"/>
      <sheetName val="여수토공사비"/>
      <sheetName val="재고"/>
      <sheetName val="전차선로 물량표"/>
      <sheetName val="가압장(토목)"/>
      <sheetName val="작성기준"/>
      <sheetName val="수불카드"/>
      <sheetName val="연부97-1"/>
      <sheetName val="단가표"/>
      <sheetName val="접속도로1"/>
      <sheetName val="대치판정"/>
      <sheetName val="품셈TABLE"/>
      <sheetName val="위치조서"/>
      <sheetName val="집계표"/>
      <sheetName val="각형맨홀"/>
      <sheetName val="견적서"/>
      <sheetName val="2"/>
      <sheetName val="96갑지"/>
      <sheetName val="건축내역"/>
      <sheetName val="입력"/>
      <sheetName val="말뚝지지력산정"/>
      <sheetName val="99노임기준"/>
      <sheetName val="평자재단가"/>
      <sheetName val="조건표"/>
      <sheetName val="주차구획선수량"/>
      <sheetName val="부대공Ⅱ"/>
      <sheetName val="과천MAIN"/>
      <sheetName val="전신환매도율"/>
      <sheetName val="969910( R)"/>
      <sheetName val="다목적갑"/>
      <sheetName val="수량산출서"/>
      <sheetName val="_산근2_"/>
      <sheetName val="_산근4_"/>
      <sheetName val="_산근5_"/>
      <sheetName val="1단계"/>
      <sheetName val="일위대가목차"/>
      <sheetName val="TYPE-A"/>
      <sheetName val="총괄내역서"/>
      <sheetName val="정부노임단가"/>
      <sheetName val="48전력선로일위"/>
      <sheetName val="총수량집계표"/>
      <sheetName val="산출근거"/>
      <sheetName val="우수공"/>
      <sheetName val="INPUT DATA"/>
      <sheetName val="8.PILE  (돌출)"/>
      <sheetName val="생산수량"/>
      <sheetName val="C-노임단가"/>
      <sheetName val="공정코드"/>
      <sheetName val="횡배수관집현황(2공구)"/>
      <sheetName val="DATA 입력란"/>
      <sheetName val="기계경비총괄표"/>
      <sheetName val="일위대가_현장"/>
      <sheetName val="자재단가표"/>
      <sheetName val="변압기 및 발전기 용량"/>
      <sheetName val="인건비"/>
      <sheetName val="하부철근수량"/>
      <sheetName val="노무비 "/>
      <sheetName val="수목표준대가"/>
      <sheetName val="산출기준자료"/>
      <sheetName val="발전계획"/>
      <sheetName val="기존단가 (2)"/>
      <sheetName val="기계경비"/>
      <sheetName val="코드표"/>
      <sheetName val="SLAB&quot;1&quot;"/>
      <sheetName val="을지"/>
      <sheetName val="단가 "/>
      <sheetName val="수목데이타 "/>
      <sheetName val="단위수량"/>
      <sheetName val="공사현황"/>
      <sheetName val="송전재료비"/>
      <sheetName val="1.우편집중내역서"/>
      <sheetName val="6PILE  (돌출)"/>
      <sheetName val="인건비 "/>
      <sheetName val="유동표"/>
      <sheetName val="단가산출2"/>
      <sheetName val="단가 및 재료비"/>
      <sheetName val="단가산출1"/>
      <sheetName val="Price List"/>
      <sheetName val="일위대가목록"/>
      <sheetName val="일위대가(4층원격)"/>
      <sheetName val="HP1AMLIST"/>
      <sheetName val="2.4 자재단가비교표"/>
      <sheetName val="청천내"/>
      <sheetName val="갑지"/>
      <sheetName val="EQ"/>
      <sheetName val="CABLE"/>
      <sheetName val="산출기초(기계터파기)3열"/>
      <sheetName val="전송망집계"/>
      <sheetName val="철거수량(전송)"/>
      <sheetName val="일위대가(1)"/>
      <sheetName val="재료"/>
      <sheetName val="설치자재"/>
      <sheetName val="일위목록"/>
      <sheetName val="요율"/>
      <sheetName val="2000년1차"/>
      <sheetName val="2000전체분"/>
      <sheetName val="기본단가표"/>
      <sheetName val="제노임"/>
      <sheetName val="DB"/>
      <sheetName val="시약"/>
      <sheetName val="재료비"/>
      <sheetName val="전기2005"/>
      <sheetName val="통신2005"/>
      <sheetName val="노임단가 (2)"/>
      <sheetName val="원가계산서구조조정"/>
      <sheetName val="접지수량"/>
      <sheetName val="ELEC"/>
      <sheetName val="옥외외등집계표"/>
      <sheetName val="공사원가계산서"/>
      <sheetName val="자재단가"/>
      <sheetName val="봉양~조차장간고하개명(신설)"/>
      <sheetName val="COST"/>
      <sheetName val="원가총괄"/>
      <sheetName val="자재테이블"/>
      <sheetName val="대포2교접속"/>
      <sheetName val="천방교접속"/>
      <sheetName val="교각계산"/>
      <sheetName val="신호등일위대가"/>
      <sheetName val=" HIT-&gt;HMC 견적(3900)"/>
      <sheetName val="SHEET PILE단가"/>
      <sheetName val="Resource2"/>
      <sheetName val="관급"/>
      <sheetName val="수량총괄"/>
      <sheetName val="정류기"/>
      <sheetName val="급,배기팬"/>
      <sheetName val="내   역"/>
      <sheetName val="#3_일위대가목록"/>
      <sheetName val="#2_일위대가목록"/>
      <sheetName val="노단"/>
      <sheetName val="산출(2)"/>
      <sheetName val="전체제잡비"/>
      <sheetName val="재료비집계"/>
      <sheetName val="제조노임"/>
      <sheetName val="현장조사"/>
      <sheetName val="프로젝트"/>
      <sheetName val="서식시트"/>
      <sheetName val="방송일위대가"/>
      <sheetName val="input"/>
      <sheetName val="CODE1"/>
      <sheetName val="토공"/>
      <sheetName val="원형1호맨홀토공수량"/>
      <sheetName val="1안"/>
      <sheetName val="현금예금"/>
      <sheetName val="견적대비표"/>
      <sheetName val="공문"/>
      <sheetName val="가로등기초"/>
      <sheetName val="PAD TR보호대기초"/>
      <sheetName val="횡배수관토공수량"/>
      <sheetName val="정SW_원_"/>
      <sheetName val="합천내역"/>
      <sheetName val="노무비단가"/>
      <sheetName val="제작기술지원센터"/>
      <sheetName val="구조물철거타공정이월"/>
      <sheetName val="1.1서버도입"/>
      <sheetName val="노임단가 및 기계경비"/>
      <sheetName val="설치공사2"/>
      <sheetName val="기본DATA"/>
      <sheetName val="원본(갑지)"/>
      <sheetName val="시화점실행"/>
      <sheetName val="A4-結果_"/>
      <sheetName val="투자-국내2"/>
      <sheetName val="토적계산"/>
      <sheetName val="sh1"/>
      <sheetName val="제출내역 (2)"/>
      <sheetName val="총괄"/>
      <sheetName val="샘플표지"/>
      <sheetName val="01"/>
      <sheetName val="총괄집계표"/>
      <sheetName val="임율"/>
      <sheetName val="부하(성남)"/>
      <sheetName val="C3"/>
      <sheetName val="토공총괄표"/>
      <sheetName val="감가상각"/>
      <sheetName val="HD01"/>
      <sheetName val="98연계표"/>
      <sheetName val="CODE"/>
      <sheetName val="cal"/>
      <sheetName val="성곽내역서"/>
      <sheetName val="Sheet17"/>
      <sheetName val="내역을"/>
      <sheetName val="내역서1-2"/>
      <sheetName val="시설수량표"/>
      <sheetName val="식재수량표"/>
      <sheetName val="건축일위"/>
      <sheetName val="그라우팅일위"/>
      <sheetName val="전기"/>
      <sheetName val="현장관리비"/>
      <sheetName val="단위세대물량"/>
      <sheetName val="기초DATA(2)"/>
      <sheetName val="터파기및재료"/>
      <sheetName val="Baby일위대가"/>
      <sheetName val="목록"/>
      <sheetName val="BSD _2_"/>
      <sheetName val="유림골조"/>
      <sheetName val=" 냉각수펌프"/>
      <sheetName val="LH3 동양시스템"/>
      <sheetName val="일위대가표"/>
      <sheetName val="을-ATYPE"/>
      <sheetName val="danga"/>
      <sheetName val="ilch"/>
      <sheetName val="제36-40호표"/>
      <sheetName val="샤워실위생"/>
      <sheetName val="unit 4"/>
      <sheetName val="설계조건"/>
      <sheetName val="조경"/>
      <sheetName val="소비자가"/>
      <sheetName val="FANDBS"/>
      <sheetName val="GRDATA"/>
      <sheetName val="SHAFTDBSE"/>
      <sheetName val="산출내역서"/>
      <sheetName val="직공비"/>
      <sheetName val="일(4)"/>
      <sheetName val="식재인부"/>
      <sheetName val="TABLE"/>
      <sheetName val="수목단가"/>
      <sheetName val="제수"/>
      <sheetName val="공기"/>
      <sheetName val="설계명세서"/>
      <sheetName val="총(철거)"/>
      <sheetName val="총물량표"/>
      <sheetName val="배관단가조사서"/>
      <sheetName val="단가산출"/>
      <sheetName val="NÒ¾íÂ"/>
      <sheetName val="NìüëÒ-òÅ"/>
      <sheetName val="JòÁî§1"/>
      <sheetName val="JòÁî§2"/>
      <sheetName val="JòÁî§3"/>
      <sheetName val="JòÁî§4"/>
      <sheetName val="KÊõßÚÊ¿"/>
      <sheetName val="KÌèÍª"/>
      <sheetName val="KÌèÛÕÝ·"/>
      <sheetName val="KÌèðàïÚ"/>
      <sheetName val="Ká¼ÙÄÝÂ"/>
      <sheetName val="NÊàÒ¾Íª"/>
      <sheetName val="NÊàÝïëÒ"/>
      <sheetName val="NÊàãÁëÒ"/>
      <sheetName val="NÍïâ¦1"/>
      <sheetName val="NÍïâ¦2"/>
      <sheetName val="NÒ¾Íª"/>
      <sheetName val="NÒ¾ÙâÝÂ"/>
      <sheetName val="NÒ¾Ùâãù"/>
      <sheetName val="Að²õÅ"/>
      <sheetName val="IìéÚõÝï"/>
      <sheetName val="JâÃìýî§"/>
      <sheetName val="JíÂÍª"/>
      <sheetName val="Jî§ÖùÕá1"/>
      <sheetName val="Jî§ÖùÕá2"/>
      <sheetName val="JÊàî§"/>
      <sheetName val="JâÃìýÍª"/>
      <sheetName val="JâÃìýëÒ1"/>
      <sheetName val="A4-Ì¿Íý "/>
      <sheetName val="Á¤»êÀÚ·á"/>
      <sheetName val="º»ºÎ"/>
      <sheetName val="ÀüÁÖ"/>
      <sheetName val="±¤ÁÖ"/>
      <sheetName val="¼øÃµ"/>
      <sheetName val="³²¿ø"/>
      <sheetName val="¸ñÆ÷"/>
      <sheetName val="±º»ê"/>
      <sheetName val="Ç¥Áö"/>
      <sheetName val="ÀÎ°Ç-ÃøÁ¤"/>
      <sheetName val="ÇÑ°­¿î¹Ýºñ"/>
      <sheetName val="ÇÏÁ¶¼­"/>
      <sheetName val="¼³Á÷Àç-1"/>
      <sheetName val="´Ü"/>
      <sheetName val="NìüëÒ_òÅ"/>
      <sheetName val="CP-E2_(품셈표)"/>
      <sheetName val="1_설계조건"/>
      <sheetName val="1_수인터널"/>
      <sheetName val="C-직노1"/>
      <sheetName val="D-경비1"/>
      <sheetName val="인수공"/>
      <sheetName val="DB단가"/>
      <sheetName val="원형맨홀수량"/>
      <sheetName val="OPT7"/>
      <sheetName val="견적율"/>
      <sheetName val="사급자재"/>
      <sheetName val="토목"/>
      <sheetName val="조도계산"/>
      <sheetName val="AL공사(원)"/>
      <sheetName val="기계경비목록"/>
      <sheetName val="DATA_입력란"/>
      <sheetName val="총괄_CCTV수량"/>
      <sheetName val="식재가격"/>
      <sheetName val="식재총괄"/>
      <sheetName val="돈암사업"/>
      <sheetName val="횡 연장"/>
      <sheetName val="Sheet13"/>
      <sheetName val="발전기"/>
      <sheetName val="공사비"/>
      <sheetName val="DATA_입력란1"/>
      <sheetName val="총괄_CCTV수량1"/>
      <sheetName val="기존단가_(2)"/>
      <sheetName val="단가_"/>
      <sheetName val="수목데이타_"/>
      <sheetName val="변압기_및_발전기_용량"/>
      <sheetName val="6__직접경비"/>
      <sheetName val="노무비_"/>
      <sheetName val="수량 산출서"/>
      <sheetName val="정SW(원)"/>
      <sheetName val="결과조달"/>
      <sheetName val="예산대비"/>
      <sheetName val="소방"/>
      <sheetName val="Sheet14"/>
      <sheetName val="석재장조사"/>
      <sheetName val="소요자재명세서"/>
      <sheetName val="노무비명세서"/>
      <sheetName val="남양구조시험동"/>
      <sheetName val="G.R300경비"/>
      <sheetName val="교각1"/>
      <sheetName val="단가대비표"/>
      <sheetName val="제품별"/>
      <sheetName val="Y-WORK"/>
      <sheetName val="백암비스타내역"/>
      <sheetName val="BID"/>
      <sheetName val="환산"/>
      <sheetName val="발신정보"/>
      <sheetName val="wall"/>
      <sheetName val="Sheet1 (2)"/>
      <sheetName val="HW일위"/>
      <sheetName val="분석"/>
      <sheetName val="969910(_R)"/>
      <sheetName val="용소리교"/>
      <sheetName val="품셈"/>
      <sheetName val="Macro(전선)"/>
      <sheetName val="SheゃᲓ_x0000__x0000_"/>
      <sheetName val="Лист1"/>
      <sheetName val="I???"/>
      <sheetName val="N??-?"/>
      <sheetName val="База данных"/>
      <sheetName val="Sheẍ_x0000__x0000_"/>
      <sheetName val="총괄_CCTV수량2"/>
      <sheetName val="6__직접경비1"/>
      <sheetName val="원가_(2)"/>
      <sheetName val="5_설치내역"/>
      <sheetName val="A4-結果_1"/>
      <sheetName val="IMPEADENCE_MAP_취수장"/>
      <sheetName val="2F_회의실견적(5_14_일대)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CT_"/>
      <sheetName val="조도계산서_(도서)"/>
      <sheetName val="CP-E2_(품셈표)1"/>
      <sheetName val="1_수인터널1"/>
      <sheetName val="1_설계조건1"/>
      <sheetName val="을_1"/>
      <sheetName val="을_2"/>
      <sheetName val="진입부_단위수량"/>
      <sheetName val="전차선로_물량표"/>
      <sheetName val="969910(_R)1"/>
      <sheetName val="INPUT_DATA"/>
      <sheetName val="8_PILE__(돌출)"/>
      <sheetName val="DATA_입력란2"/>
      <sheetName val="변압기_및_발전기_용량1"/>
      <sheetName val="노무비_1"/>
      <sheetName val="기존단가_(2)1"/>
      <sheetName val="단가_1"/>
      <sheetName val="수목데이타_1"/>
      <sheetName val="1_우편집중내역서"/>
      <sheetName val="6PILE__(돌출)"/>
      <sheetName val="인건비_"/>
      <sheetName val="단가_및_재료비"/>
      <sheetName val="Price_List"/>
      <sheetName val="2_4_자재단가비교표"/>
      <sheetName val="노임단가_(2)"/>
      <sheetName val="_HIT-&gt;HMC_견적(3900)"/>
      <sheetName val="SHEET_PILE단가"/>
      <sheetName val="내___역"/>
      <sheetName val="PAD_TR보호대기초"/>
      <sheetName val="1_1서버도입"/>
      <sheetName val="노임단가_및_기계경비"/>
      <sheetName val="제출내역_(2)"/>
      <sheetName val="BSD__2_"/>
      <sheetName val="_냉각수펌프"/>
      <sheetName val="LH3_동양시스템"/>
      <sheetName val="unit_4"/>
      <sheetName val="A4-Ì¿Íý_"/>
      <sheetName val="횡_연장"/>
      <sheetName val="수량_산출서"/>
      <sheetName val="G_R300경비"/>
      <sheetName val="Sheet1_(2)"/>
      <sheetName val="База_данных"/>
      <sheetName val="She_xd86f_漴봀"/>
      <sheetName val="She胡꙱/_x0000_"/>
      <sheetName val="인력기준(삭제하지마세요)"/>
      <sheetName val="She漴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 refreshError="1"/>
      <sheetData sheetId="663" refreshError="1"/>
      <sheetData sheetId="664" refreshError="1"/>
      <sheetData sheetId="66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Q46"/>
  <sheetViews>
    <sheetView showGridLines="0" tabSelected="1" view="pageBreakPreview" zoomScaleNormal="100" zoomScaleSheetLayoutView="100" workbookViewId="0">
      <selection activeCell="B1" sqref="B1:K1"/>
    </sheetView>
  </sheetViews>
  <sheetFormatPr baseColWidth="8" defaultColWidth="7.88671875" defaultRowHeight="14.25" customHeight="1"/>
  <cols>
    <col width="1" customWidth="1" style="1" min="1" max="1"/>
    <col width="11.109375" customWidth="1" style="2" min="2" max="2"/>
    <col width="11.109375" customWidth="1" style="5" min="3" max="3"/>
    <col width="20.44140625" customWidth="1" style="4" min="4" max="4"/>
    <col width="12.33203125" customWidth="1" style="5" min="5" max="5"/>
    <col width="11.109375" customWidth="1" style="2" min="6" max="6"/>
    <col width="8.44140625" customWidth="1" style="2" min="7" max="7"/>
    <col width="12.44140625" customWidth="1" style="5" min="8" max="8"/>
    <col width="12.88671875" customWidth="1" style="5" min="9" max="10"/>
    <col width="32.88671875" bestFit="1" customWidth="1" style="5" min="11" max="11"/>
    <col width="0.88671875" customWidth="1" style="1" min="12" max="12"/>
    <col width="15.33203125" customWidth="1" style="1" min="13" max="13"/>
    <col width="7.88671875" customWidth="1" style="1" min="14" max="16384"/>
  </cols>
  <sheetData>
    <row r="1" ht="48" customHeight="1" s="156" thickBot="1">
      <c r="B1" s="127" t="inlineStr">
        <is>
          <t>제작비 명세서</t>
        </is>
      </c>
      <c r="C1" s="157" t="n"/>
      <c r="D1" s="157" t="n"/>
      <c r="E1" s="157" t="n"/>
      <c r="F1" s="157" t="n"/>
      <c r="G1" s="157" t="n"/>
      <c r="H1" s="157" t="n"/>
      <c r="I1" s="157" t="n"/>
      <c r="J1" s="157" t="n"/>
      <c r="K1" s="157" t="n"/>
    </row>
    <row r="2" ht="12" customHeight="1" s="156">
      <c r="C2" s="3" t="n"/>
    </row>
    <row r="3" ht="18" customFormat="1" customHeight="1" s="8">
      <c r="B3" s="7" t="inlineStr">
        <is>
          <t>Job :</t>
        </is>
      </c>
      <c r="C3" s="47" t="n"/>
      <c r="D3" s="6" t="n"/>
      <c r="E3" s="47" t="n"/>
      <c r="F3" s="48" t="n"/>
      <c r="G3" s="48" t="n"/>
      <c r="H3" s="47" t="n"/>
      <c r="I3" s="47" t="n"/>
      <c r="J3" s="47" t="n"/>
      <c r="K3" s="47" t="n"/>
    </row>
    <row r="4" ht="18" customFormat="1" customHeight="1" s="8">
      <c r="B4" s="10" t="inlineStr">
        <is>
          <t>Job Name :</t>
        </is>
      </c>
      <c r="C4" s="49" t="n"/>
      <c r="D4" s="9" t="n"/>
      <c r="E4" s="49" t="n"/>
      <c r="F4" s="10" t="inlineStr">
        <is>
          <t>매체 :</t>
        </is>
      </c>
      <c r="G4" s="49" t="inlineStr">
        <is>
          <t>15" x 2</t>
        </is>
      </c>
      <c r="H4" s="49" t="n"/>
      <c r="I4" s="50" t="n"/>
      <c r="J4" s="50" t="n"/>
      <c r="K4" s="50" t="n"/>
    </row>
    <row r="5" ht="18" customFormat="1" customHeight="1" s="8">
      <c r="B5" s="11" t="inlineStr">
        <is>
          <t>CD(제작팀) :</t>
        </is>
      </c>
      <c r="C5" s="51" t="inlineStr">
        <is>
          <t>박현정</t>
        </is>
      </c>
      <c r="D5" s="11" t="inlineStr">
        <is>
          <t xml:space="preserve">AD : </t>
        </is>
      </c>
      <c r="E5" s="51" t="inlineStr">
        <is>
          <t>오창규 등</t>
        </is>
      </c>
      <c r="F5" s="11" t="inlineStr">
        <is>
          <t xml:space="preserve">CW : </t>
        </is>
      </c>
      <c r="G5" s="51" t="inlineStr">
        <is>
          <t>박지환 등</t>
        </is>
      </c>
      <c r="H5" s="11" t="inlineStr">
        <is>
          <t xml:space="preserve">AE : </t>
        </is>
      </c>
      <c r="I5" s="51" t="inlineStr">
        <is>
          <t>이재환, 우경훈, 권두인 조영찬</t>
        </is>
      </c>
      <c r="J5" s="51" t="inlineStr">
        <is>
          <t>이재환, 우경훈, 권두인 조영찬</t>
        </is>
      </c>
      <c r="K5" s="51" t="n"/>
    </row>
    <row r="6" ht="18" customFormat="1" customHeight="1" s="8">
      <c r="B6" s="10" t="inlineStr">
        <is>
          <t>협력업체 :</t>
        </is>
      </c>
      <c r="C6" s="49" t="n"/>
      <c r="D6" s="10" t="n"/>
      <c r="E6" s="49" t="n"/>
      <c r="F6" s="50" t="n"/>
      <c r="G6" s="50" t="n"/>
      <c r="H6" s="95" t="inlineStr">
        <is>
          <t>PM :</t>
        </is>
      </c>
      <c r="I6" s="49" t="inlineStr">
        <is>
          <t>김미애</t>
        </is>
      </c>
      <c r="J6" s="49" t="inlineStr">
        <is>
          <t>김미애</t>
        </is>
      </c>
      <c r="K6" s="49" t="n"/>
    </row>
    <row r="7" ht="18" customFormat="1" customHeight="1" s="8">
      <c r="B7" s="56" t="inlineStr">
        <is>
          <t>촬영일 :</t>
        </is>
      </c>
      <c r="C7" s="158" t="n"/>
      <c r="D7" s="56" t="inlineStr">
        <is>
          <t>On-Air :</t>
        </is>
      </c>
      <c r="E7" s="57" t="n"/>
      <c r="F7" s="58" t="n"/>
      <c r="G7" s="58" t="n"/>
      <c r="H7" s="59" t="n"/>
      <c r="I7" s="59" t="n"/>
      <c r="J7" s="59" t="n"/>
      <c r="K7" s="59" t="n"/>
    </row>
    <row r="8" ht="13.5" customFormat="1" customHeight="1" s="8" thickBot="1">
      <c r="B8" s="126" t="n"/>
      <c r="C8" s="159" t="n"/>
      <c r="D8" s="159" t="n"/>
      <c r="E8" s="159" t="n"/>
      <c r="F8" s="159" t="n"/>
      <c r="G8" s="159" t="n"/>
      <c r="H8" s="159" t="n"/>
      <c r="I8" s="159" t="n"/>
      <c r="J8" s="159" t="n"/>
      <c r="K8" s="159" t="n"/>
    </row>
    <row r="9" customFormat="1" s="17" thickBot="1">
      <c r="B9" s="114" t="inlineStr">
        <is>
          <t xml:space="preserve">제 작 항 목 </t>
        </is>
      </c>
      <c r="C9" s="12" t="inlineStr">
        <is>
          <t>세부내용</t>
        </is>
      </c>
      <c r="D9" s="160" t="n"/>
      <c r="E9" s="113" t="inlineStr">
        <is>
          <t>협력회사</t>
        </is>
      </c>
      <c r="F9" s="12" t="inlineStr">
        <is>
          <t>담당자</t>
        </is>
      </c>
      <c r="G9" s="114" t="inlineStr">
        <is>
          <t>수량</t>
        </is>
      </c>
      <c r="H9" s="41" t="inlineStr">
        <is>
          <t>사전견적</t>
        </is>
      </c>
      <c r="I9" s="41" t="inlineStr">
        <is>
          <t>1차 조정견적</t>
        </is>
      </c>
      <c r="J9" s="41" t="inlineStr">
        <is>
          <t>최종견적</t>
        </is>
      </c>
      <c r="K9" s="70" t="inlineStr">
        <is>
          <t>비고</t>
        </is>
      </c>
    </row>
    <row r="10" ht="16.5" customFormat="1" customHeight="1" s="17">
      <c r="B10" s="104" t="inlineStr">
        <is>
          <t>정가항목</t>
        </is>
      </c>
      <c r="C10" s="161" t="inlineStr">
        <is>
          <t>기 획 료</t>
        </is>
      </c>
      <c r="D10" s="162" t="n"/>
      <c r="E10" s="163" t="inlineStr">
        <is>
          <t>광고대행사
(작품당)</t>
        </is>
      </c>
      <c r="F10" s="164" t="inlineStr">
        <is>
          <t>이재환
김형운
조영찬
권두인</t>
        </is>
      </c>
      <c r="G10" s="18" t="n">
        <v>1</v>
      </c>
      <c r="H10" s="165" t="n">
        <v>3000000</v>
      </c>
      <c r="I10" s="166" t="n">
        <v>0</v>
      </c>
      <c r="J10" s="166" t="n">
        <v>0</v>
      </c>
      <c r="K10" s="167" t="n"/>
    </row>
    <row r="11" ht="16.5" customFormat="1" customHeight="1" s="17">
      <c r="B11" s="168" t="n"/>
      <c r="C11" s="169" t="inlineStr">
        <is>
          <t>COPY료</t>
        </is>
      </c>
      <c r="D11" s="170" t="n"/>
      <c r="E11" s="171" t="n"/>
      <c r="F11" s="171" t="n"/>
      <c r="G11" s="20" t="n">
        <v>1</v>
      </c>
      <c r="H11" s="172" t="n">
        <v>2000000</v>
      </c>
      <c r="I11" s="173" t="n">
        <v>0</v>
      </c>
      <c r="J11" s="173" t="n">
        <v>0</v>
      </c>
    </row>
    <row r="12" ht="16.5" customFormat="1" customHeight="1" s="17">
      <c r="B12" s="168" t="n"/>
      <c r="C12" s="169" t="inlineStr">
        <is>
          <t>Creative Work료</t>
        </is>
      </c>
      <c r="D12" s="170" t="n"/>
      <c r="E12" s="171" t="n"/>
      <c r="F12" s="171" t="n"/>
      <c r="G12" s="21" t="n">
        <v>1</v>
      </c>
      <c r="H12" s="172" t="n">
        <v>2000000</v>
      </c>
      <c r="I12" s="173" t="n">
        <v>0</v>
      </c>
      <c r="J12" s="173" t="n">
        <v>0</v>
      </c>
    </row>
    <row r="13" ht="16.5" customFormat="1" customHeight="1" s="17">
      <c r="B13" s="168" t="n"/>
      <c r="C13" s="169" t="inlineStr">
        <is>
          <t>Direction료</t>
        </is>
      </c>
      <c r="D13" s="170" t="n"/>
      <c r="E13" s="171" t="n"/>
      <c r="F13" s="171" t="n"/>
      <c r="G13" s="21" t="n">
        <v>1</v>
      </c>
      <c r="H13" s="165" t="n">
        <v>2000000</v>
      </c>
      <c r="I13" s="166" t="n">
        <v>0</v>
      </c>
      <c r="J13" s="166" t="n">
        <v>0</v>
      </c>
    </row>
    <row r="14" ht="16.5" customFormat="1" customHeight="1" s="17">
      <c r="B14" s="168" t="n"/>
      <c r="C14" s="169" t="inlineStr">
        <is>
          <t>자료조사비</t>
        </is>
      </c>
      <c r="D14" s="170" t="n"/>
      <c r="E14" s="171" t="n"/>
      <c r="F14" s="174" t="n"/>
      <c r="G14" s="19" t="n">
        <v>1</v>
      </c>
      <c r="H14" s="172" t="n">
        <v>250000</v>
      </c>
      <c r="I14" s="173" t="n">
        <v>0</v>
      </c>
      <c r="J14" s="173" t="n">
        <v>0</v>
      </c>
    </row>
    <row r="15" ht="16.5" customFormat="1" customHeight="1" s="17" thickBot="1">
      <c r="B15" s="168" t="n"/>
      <c r="C15" s="175" t="inlineStr">
        <is>
          <t>프로젝트 매니저료</t>
        </is>
      </c>
      <c r="D15" s="176" t="n"/>
      <c r="E15" s="177" t="n"/>
      <c r="F15" s="119" t="inlineStr">
        <is>
          <t>김미애</t>
        </is>
      </c>
      <c r="G15" s="19" t="n">
        <v>1</v>
      </c>
      <c r="H15" s="172" t="n">
        <v>250000</v>
      </c>
      <c r="I15" s="173" t="n">
        <v>0</v>
      </c>
      <c r="J15" s="173" t="n">
        <v>0</v>
      </c>
      <c r="K15" s="157" t="n"/>
    </row>
    <row r="16" ht="16.5" customFormat="1" customHeight="1" s="17" thickBot="1">
      <c r="B16" s="114" t="inlineStr">
        <is>
          <t>정가항목 (A)</t>
        </is>
      </c>
      <c r="C16" s="16" t="n"/>
      <c r="D16" s="178" t="n"/>
      <c r="E16" s="179" t="n"/>
      <c r="F16" s="70" t="n"/>
      <c r="G16" s="70" t="n"/>
      <c r="H16" s="180">
        <f>SUM(H10:H15)</f>
        <v/>
      </c>
      <c r="I16" s="181">
        <f>SUM(I10:I15)</f>
        <v/>
      </c>
      <c r="J16" s="181">
        <f>SUM(J10:J15)</f>
        <v/>
      </c>
      <c r="K16" s="96" t="inlineStr">
        <is>
          <t>광고대행사 정가항목 미적용</t>
        </is>
      </c>
    </row>
    <row r="17" ht="16.5" customFormat="1" customHeight="1" s="17">
      <c r="B17" s="182" t="inlineStr">
        <is>
          <t>제작</t>
        </is>
      </c>
      <c r="C17" s="183" t="inlineStr">
        <is>
          <t>PD</t>
        </is>
      </c>
      <c r="D17" s="183" t="inlineStr">
        <is>
          <t>Producer</t>
        </is>
      </c>
      <c r="E17" s="23" t="inlineStr">
        <is>
          <t>크림치즈필름</t>
        </is>
      </c>
      <c r="F17" s="184" t="n"/>
      <c r="G17" s="18" t="n">
        <v>1</v>
      </c>
      <c r="H17" s="165" t="n">
        <v>4000000</v>
      </c>
      <c r="I17" s="165" t="n">
        <v>4000000</v>
      </c>
      <c r="J17" s="165" t="n">
        <v>4000000</v>
      </c>
      <c r="K17" s="82" t="n"/>
      <c r="M17" s="185" t="inlineStr">
        <is>
          <t> </t>
        </is>
      </c>
    </row>
    <row r="18" ht="16.5" customFormat="1" customHeight="1" s="17">
      <c r="B18" s="168" t="n"/>
      <c r="C18" s="183" t="inlineStr">
        <is>
          <t>프로덕션</t>
        </is>
      </c>
      <c r="D18" s="183" t="inlineStr">
        <is>
          <t>CF 프로덕션</t>
        </is>
      </c>
      <c r="E18" s="23" t="inlineStr">
        <is>
          <t>오드아이</t>
        </is>
      </c>
      <c r="F18" s="184" t="n"/>
      <c r="G18" s="18" t="n">
        <v>1</v>
      </c>
      <c r="H18" s="165" t="n">
        <v>40000000</v>
      </c>
      <c r="I18" s="165" t="n">
        <v>36000000</v>
      </c>
      <c r="J18" s="165" t="n">
        <v>36000000</v>
      </c>
      <c r="K18" s="82" t="n"/>
      <c r="M18" s="185" t="inlineStr">
        <is>
          <t> </t>
        </is>
      </c>
    </row>
    <row r="19" ht="16.5" customFormat="1" customHeight="1" s="17">
      <c r="B19" s="168" t="n"/>
      <c r="C19" s="183" t="inlineStr">
        <is>
          <t>콘티</t>
        </is>
      </c>
      <c r="D19" s="183" t="inlineStr">
        <is>
          <t>콘티/일러스트</t>
        </is>
      </c>
      <c r="E19" s="23" t="inlineStr">
        <is>
          <t>투디</t>
        </is>
      </c>
      <c r="F19" s="184" t="n"/>
      <c r="G19" s="18" t="n">
        <v>1</v>
      </c>
      <c r="H19" s="165" t="n">
        <v>65300000</v>
      </c>
      <c r="I19" s="165" t="n">
        <v>65300000</v>
      </c>
      <c r="J19" s="165" t="n">
        <v>65300000</v>
      </c>
      <c r="K19" s="82" t="n"/>
      <c r="M19" s="185" t="inlineStr">
        <is>
          <t> </t>
        </is>
      </c>
    </row>
    <row r="20" ht="16.5" customFormat="1" customHeight="1" s="17">
      <c r="B20" s="168" t="n"/>
      <c r="C20" s="186" t="inlineStr">
        <is>
          <t>Post프로덕션</t>
        </is>
      </c>
      <c r="D20" s="183" t="inlineStr">
        <is>
          <t>NTC</t>
        </is>
      </c>
      <c r="E20" s="23" t="n"/>
      <c r="F20" s="184" t="n"/>
      <c r="G20" s="18" t="n">
        <v>1</v>
      </c>
      <c r="H20" s="165" t="n">
        <v>0</v>
      </c>
      <c r="I20" s="165" t="n">
        <v>0</v>
      </c>
      <c r="J20" s="165" t="n">
        <v>0</v>
      </c>
      <c r="K20" s="82" t="n"/>
      <c r="M20" s="185" t="n"/>
    </row>
    <row r="21" ht="16.5" customFormat="1" customHeight="1" s="17">
      <c r="B21" s="168" t="n"/>
      <c r="C21" s="171" t="n"/>
      <c r="D21" s="183" t="inlineStr">
        <is>
          <t>편집</t>
        </is>
      </c>
      <c r="E21" s="23" t="inlineStr">
        <is>
          <t>포나인</t>
        </is>
      </c>
      <c r="F21" s="184" t="n"/>
      <c r="G21" s="18" t="n">
        <v>1</v>
      </c>
      <c r="H21" s="165" t="n">
        <v>10000000</v>
      </c>
      <c r="I21" s="165" t="n">
        <v>10000000</v>
      </c>
      <c r="J21" s="165" t="n">
        <v>10000000</v>
      </c>
      <c r="K21" s="82" t="n"/>
      <c r="M21" s="185" t="n"/>
    </row>
    <row r="22" ht="15.75" customFormat="1" customHeight="1" s="17">
      <c r="B22" s="168" t="n"/>
      <c r="C22" s="171" t="n"/>
      <c r="D22" s="183" t="inlineStr">
        <is>
          <t>합성</t>
        </is>
      </c>
      <c r="E22" s="23" t="inlineStr">
        <is>
          <t>포나인</t>
        </is>
      </c>
      <c r="F22" s="184" t="n"/>
      <c r="G22" s="18" t="n">
        <v>1</v>
      </c>
      <c r="H22" s="165" t="n">
        <v>66000000</v>
      </c>
      <c r="I22" s="165" t="n">
        <v>65000000</v>
      </c>
      <c r="J22" s="165" t="n">
        <v>65000000</v>
      </c>
      <c r="K22" s="82" t="n"/>
      <c r="M22" s="185" t="n"/>
    </row>
    <row r="23" ht="16.5" customFormat="1" customHeight="1" s="17">
      <c r="B23" s="168" t="n"/>
      <c r="C23" s="171" t="n"/>
      <c r="D23" s="183" t="inlineStr">
        <is>
          <t>녹음실</t>
        </is>
      </c>
      <c r="E23" s="23" t="inlineStr">
        <is>
          <t>킹콩</t>
        </is>
      </c>
      <c r="F23" s="184" t="n"/>
      <c r="G23" s="18" t="n">
        <v>1</v>
      </c>
      <c r="H23" s="165" t="n">
        <v>6400000</v>
      </c>
      <c r="I23" s="165" t="n">
        <v>6400000</v>
      </c>
      <c r="J23" s="165" t="n">
        <v>6400000</v>
      </c>
      <c r="K23" s="82" t="n"/>
      <c r="M23" s="185" t="n"/>
    </row>
    <row r="24" ht="16.5" customFormat="1" customHeight="1" s="17">
      <c r="B24" s="168" t="n"/>
      <c r="C24" s="171" t="n"/>
      <c r="D24" s="183" t="inlineStr">
        <is>
          <t>오디오PD</t>
        </is>
      </c>
      <c r="E24" s="23" t="inlineStr">
        <is>
          <t>레솔트뮤지끄</t>
        </is>
      </c>
      <c r="F24" s="184" t="n"/>
      <c r="G24" s="18" t="n">
        <v>1</v>
      </c>
      <c r="H24" s="165" t="n">
        <v>2000000</v>
      </c>
      <c r="I24" s="165" t="n">
        <v>2000000</v>
      </c>
      <c r="J24" s="165" t="n">
        <v>2000000</v>
      </c>
      <c r="K24" s="82" t="n"/>
      <c r="M24" s="185" t="n"/>
    </row>
    <row r="25" ht="16.5" customFormat="1" customHeight="1" s="17">
      <c r="B25" s="187" t="n"/>
      <c r="C25" s="171" t="n"/>
      <c r="D25" s="183" t="inlineStr">
        <is>
          <t>성우</t>
        </is>
      </c>
      <c r="E25" s="23" t="inlineStr">
        <is>
          <t>프리랜서</t>
        </is>
      </c>
      <c r="F25" s="184" t="n"/>
      <c r="G25" s="18" t="n">
        <v>1</v>
      </c>
      <c r="H25" s="165" t="n">
        <v>2000000</v>
      </c>
      <c r="I25" s="165" t="n">
        <v>2000000</v>
      </c>
      <c r="J25" s="165" t="n">
        <v>2000000</v>
      </c>
      <c r="K25" s="82" t="n"/>
      <c r="M25" s="185" t="n"/>
    </row>
    <row r="26" ht="15" customFormat="1" customHeight="1" s="17">
      <c r="B26" s="104" t="inlineStr">
        <is>
          <t>저작권
라이선스</t>
        </is>
      </c>
      <c r="C26" s="183" t="inlineStr">
        <is>
          <t>BGM</t>
        </is>
      </c>
      <c r="D26" s="183" t="inlineStr">
        <is>
          <t>라이브러리</t>
        </is>
      </c>
      <c r="E26" s="38" t="n"/>
      <c r="F26" s="188" t="n"/>
      <c r="G26" s="18" t="n">
        <v>1</v>
      </c>
      <c r="H26" s="189" t="n">
        <v>55000000</v>
      </c>
      <c r="I26" s="189" t="n">
        <v>55000000</v>
      </c>
      <c r="J26" s="189" t="n">
        <v>55000000</v>
      </c>
      <c r="K26" s="98" t="inlineStr">
        <is>
          <t>데이브레이크_넌언제나</t>
        </is>
      </c>
      <c r="Q26" s="0" t="n"/>
    </row>
    <row r="27" ht="13.5" customFormat="1" customHeight="1" s="17">
      <c r="B27" s="168" t="n"/>
      <c r="C27" s="183" t="inlineStr">
        <is>
          <t>폰트</t>
        </is>
      </c>
      <c r="D27" s="183" t="n"/>
      <c r="E27" s="38" t="n"/>
      <c r="F27" s="188" t="n"/>
      <c r="G27" s="18" t="n"/>
      <c r="H27" s="189" t="n"/>
      <c r="I27" s="190" t="n"/>
      <c r="J27" s="190" t="n"/>
      <c r="K27" s="82" t="n"/>
    </row>
    <row r="28" ht="16.5" customFormat="1" customHeight="1" s="17">
      <c r="B28" s="168" t="n"/>
      <c r="C28" s="183" t="inlineStr">
        <is>
          <t>이미지</t>
        </is>
      </c>
      <c r="D28" s="183" t="n"/>
      <c r="E28" s="38" t="n"/>
      <c r="F28" s="188" t="n"/>
      <c r="G28" s="18" t="n"/>
      <c r="H28" s="189" t="n"/>
      <c r="I28" s="190" t="n"/>
      <c r="J28" s="190" t="n"/>
      <c r="K28" s="72" t="n"/>
    </row>
    <row r="29" ht="16.5" customFormat="1" customHeight="1" s="17" thickBot="1">
      <c r="B29" s="168" t="n"/>
      <c r="C29" s="191" t="inlineStr">
        <is>
          <t>기타</t>
        </is>
      </c>
      <c r="D29" s="191" t="n"/>
      <c r="E29" s="38" t="n"/>
      <c r="F29" s="188" t="n"/>
      <c r="G29" s="18" t="n"/>
      <c r="H29" s="189" t="n"/>
      <c r="I29" s="190" t="n"/>
      <c r="J29" s="190" t="n"/>
      <c r="K29" s="72" t="n"/>
    </row>
    <row r="30" ht="15.75" customFormat="1" customHeight="1" s="17" thickBot="1">
      <c r="B30" s="114" t="inlineStr">
        <is>
          <t>외주항목계 (B)</t>
        </is>
      </c>
      <c r="C30" s="52" t="n"/>
      <c r="D30" s="53" t="n"/>
      <c r="E30" s="179" t="n"/>
      <c r="F30" s="70" t="n"/>
      <c r="G30" s="70" t="n"/>
      <c r="H30" s="180">
        <f>SUM(H17:H29)</f>
        <v/>
      </c>
      <c r="I30" s="180">
        <f>SUM(I17:I29)</f>
        <v/>
      </c>
      <c r="J30" s="180">
        <f>SUM(J17:J29)</f>
        <v/>
      </c>
      <c r="K30" s="71" t="n"/>
      <c r="L30" s="192" t="n"/>
      <c r="M30" s="185" t="n"/>
    </row>
    <row r="31" ht="16.5" customFormat="1" customHeight="1" s="17" thickBot="1">
      <c r="B31" s="83" t="inlineStr">
        <is>
          <t>대행수수료 (C)</t>
        </is>
      </c>
      <c r="C31" s="84" t="inlineStr">
        <is>
          <t xml:space="preserve"> (B)항목 * 17.65%</t>
        </is>
      </c>
      <c r="D31" s="84" t="n"/>
      <c r="E31" s="193" t="n"/>
      <c r="F31" s="86" t="n"/>
      <c r="G31" s="86" t="n"/>
      <c r="H31" s="194">
        <f>H30*17.65%</f>
        <v/>
      </c>
      <c r="I31" s="194">
        <f>I30*10%</f>
        <v/>
      </c>
      <c r="J31" s="194">
        <f>J30*10%</f>
        <v/>
      </c>
      <c r="K31" s="97" t="inlineStr">
        <is>
          <t>광고대행사 대행수수료 조정 (17.65% → 10%)</t>
        </is>
      </c>
      <c r="L31" s="185" t="n"/>
    </row>
    <row r="32" ht="16.5" customFormat="1" customHeight="1" s="17" thickBot="1">
      <c r="B32" s="55" t="inlineStr">
        <is>
          <t>합계금액</t>
        </is>
      </c>
      <c r="C32" s="33" t="inlineStr">
        <is>
          <t xml:space="preserve"> (A)+(B)+(C)</t>
        </is>
      </c>
      <c r="D32" s="34" t="n"/>
      <c r="E32" s="195" t="n"/>
      <c r="F32" s="36" t="n"/>
      <c r="G32" s="36" t="n"/>
      <c r="H32" s="196">
        <f>H16+H30+H31</f>
        <v/>
      </c>
      <c r="I32" s="196">
        <f>I16+I30+I31</f>
        <v/>
      </c>
      <c r="J32" s="196">
        <f>J16+J30+J31</f>
        <v/>
      </c>
      <c r="K32" s="73" t="n"/>
    </row>
    <row r="33" ht="23.25" customFormat="1" customHeight="1" s="61" thickBot="1">
      <c r="B33" s="63" t="inlineStr">
        <is>
          <t>청구금액</t>
        </is>
      </c>
      <c r="C33" s="64" t="inlineStr">
        <is>
          <t xml:space="preserve"> (VAT 포함)</t>
        </is>
      </c>
      <c r="D33" s="65" t="n"/>
      <c r="E33" s="197" t="n"/>
      <c r="F33" s="67" t="n"/>
      <c r="G33" s="67" t="n"/>
      <c r="H33" s="198">
        <f>H32*1.1</f>
        <v/>
      </c>
      <c r="I33" s="198">
        <f>I32*1.1</f>
        <v/>
      </c>
      <c r="J33" s="198">
        <f>J32*1.1</f>
        <v/>
      </c>
      <c r="K33" s="69" t="n"/>
      <c r="M33" s="199" t="inlineStr">
        <is>
          <t> </t>
        </is>
      </c>
    </row>
    <row r="34" ht="24" customHeight="1" s="156">
      <c r="B34" s="106" t="n"/>
      <c r="C34" s="200" t="n"/>
      <c r="D34" s="200" t="n"/>
      <c r="E34" s="200" t="n"/>
      <c r="F34" s="200" t="n"/>
      <c r="G34" s="200" t="n"/>
      <c r="H34" s="200" t="n"/>
      <c r="I34" s="200" t="n"/>
      <c r="J34" s="200" t="n"/>
      <c r="K34" s="200" t="n"/>
      <c r="M34" s="1" t="inlineStr">
        <is>
          <t> </t>
        </is>
      </c>
    </row>
    <row r="35" ht="14.25" customHeight="1" s="156">
      <c r="H35" s="201" t="n"/>
      <c r="I35" s="202" t="n"/>
      <c r="J35" s="202" t="n"/>
      <c r="K35" s="203" t="n"/>
      <c r="M35" s="204" t="inlineStr">
        <is>
          <t> </t>
        </is>
      </c>
    </row>
    <row r="36" ht="14.25" customHeight="1" s="156">
      <c r="H36" s="205" t="n"/>
    </row>
    <row r="37"/>
    <row r="38" ht="14.25" customHeight="1" s="156">
      <c r="H38" s="205" t="n"/>
      <c r="I38" s="205" t="n"/>
      <c r="J38" s="205" t="n"/>
    </row>
    <row r="39" ht="14.25" customHeight="1" s="156">
      <c r="I39" s="206" t="n"/>
      <c r="J39" s="206" t="n"/>
    </row>
    <row r="40"/>
    <row r="41" ht="14.25" customHeight="1" s="156">
      <c r="D41" s="30" t="n"/>
      <c r="G41" s="207" t="n"/>
    </row>
    <row r="42"/>
    <row r="43"/>
    <row r="44"/>
    <row r="45"/>
    <row r="46" ht="14.25" customHeight="1" s="156">
      <c r="E46" s="205" t="n"/>
    </row>
  </sheetData>
  <mergeCells count="17">
    <mergeCell ref="F10:F14"/>
    <mergeCell ref="C12:D12"/>
    <mergeCell ref="B1:K1"/>
    <mergeCell ref="B8:K8"/>
    <mergeCell ref="C10:D10"/>
    <mergeCell ref="C20:C25"/>
    <mergeCell ref="C15:D15"/>
    <mergeCell ref="B17:B25"/>
    <mergeCell ref="C11:D11"/>
    <mergeCell ref="B26:B29"/>
    <mergeCell ref="C14:D14"/>
    <mergeCell ref="B10:B15"/>
    <mergeCell ref="C13:D13"/>
    <mergeCell ref="E10:E15"/>
    <mergeCell ref="C9:D9"/>
    <mergeCell ref="B34:K34"/>
    <mergeCell ref="K10:K15"/>
  </mergeCells>
  <pageMargins left="0.1574803149606299" right="0.1574803149606299" top="0.3543307086614174" bottom="0.2" header="0.1968503937007874" footer="0.23"/>
  <pageSetup orientation="landscape" paperSize="8" verticalDpi="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M52"/>
  <sheetViews>
    <sheetView showGridLines="0" view="pageBreakPreview" zoomScaleNormal="100" zoomScaleSheetLayoutView="100" workbookViewId="0">
      <selection activeCell="C10" sqref="C10"/>
    </sheetView>
  </sheetViews>
  <sheetFormatPr baseColWidth="8" defaultColWidth="7.88671875" defaultRowHeight="14.25" customHeight="1"/>
  <cols>
    <col width="1" customWidth="1" style="1" min="1" max="1"/>
    <col width="11.109375" customWidth="1" style="2" min="2" max="2"/>
    <col width="11.109375" customWidth="1" style="5" min="3" max="3"/>
    <col width="20.44140625" customWidth="1" style="4" min="4" max="4"/>
    <col width="12.33203125" customWidth="1" style="5" min="5" max="5"/>
    <col width="11.109375" customWidth="1" style="2" min="6" max="6"/>
    <col width="8.44140625" customWidth="1" style="2" min="7" max="7"/>
    <col width="12.44140625" customWidth="1" style="5" min="8" max="8"/>
    <col width="12.88671875" customWidth="1" style="5" min="9" max="10"/>
    <col width="32.88671875" bestFit="1" customWidth="1" style="5" min="11" max="11"/>
    <col width="0.88671875" customWidth="1" style="1" min="12" max="12"/>
    <col width="15.33203125" customWidth="1" style="1" min="13" max="13"/>
    <col width="7.88671875" customWidth="1" style="1" min="14" max="16384"/>
  </cols>
  <sheetData>
    <row r="1" ht="48" customHeight="1" s="156" thickBot="1">
      <c r="B1" s="127" t="inlineStr">
        <is>
          <t>제작비 명세서</t>
        </is>
      </c>
      <c r="C1" s="157" t="n"/>
      <c r="D1" s="157" t="n"/>
      <c r="E1" s="157" t="n"/>
      <c r="F1" s="157" t="n"/>
      <c r="G1" s="157" t="n"/>
      <c r="H1" s="157" t="n"/>
      <c r="I1" s="157" t="n"/>
      <c r="J1" s="157" t="n"/>
      <c r="K1" s="157" t="n"/>
    </row>
    <row r="2" ht="22.5" customHeight="1" s="156">
      <c r="B2" s="128" t="inlineStr">
        <is>
          <t>공급받는자</t>
        </is>
      </c>
      <c r="C2" s="208" t="n"/>
      <c r="D2" s="209" t="n"/>
      <c r="E2" s="210" t="inlineStr">
        <is>
          <t>[CM영상제작 표준 견적서 ]</t>
        </is>
      </c>
      <c r="F2" s="208" t="n"/>
      <c r="G2" s="211" t="n"/>
      <c r="H2" s="135" t="inlineStr">
        <is>
          <t>공급자</t>
        </is>
      </c>
      <c r="I2" s="208" t="n"/>
      <c r="J2" s="208" t="n"/>
      <c r="K2" s="211" t="n"/>
    </row>
    <row r="3" ht="22.5" customHeight="1" s="156">
      <c r="B3" s="74" t="inlineStr">
        <is>
          <t xml:space="preserve">CLIENT </t>
        </is>
      </c>
      <c r="C3" s="136" t="n"/>
      <c r="D3" s="212" t="n"/>
      <c r="E3" s="213" t="inlineStr">
        <is>
          <t>아래와 같이
견적 합니다.</t>
        </is>
      </c>
      <c r="F3" s="214" t="n"/>
      <c r="G3" s="215" t="n"/>
      <c r="H3" s="75" t="inlineStr">
        <is>
          <t>회사명</t>
        </is>
      </c>
      <c r="I3" s="216" t="inlineStr">
        <is>
          <t>(주)광고대행사</t>
        </is>
      </c>
      <c r="J3" s="217" t="n"/>
      <c r="K3" s="218" t="n"/>
    </row>
    <row r="4" ht="22.5" customHeight="1" s="156">
      <c r="B4" s="74" t="inlineStr">
        <is>
          <t>Job Name</t>
        </is>
      </c>
      <c r="C4" s="136" t="n"/>
      <c r="D4" s="212" t="n"/>
      <c r="E4" s="219" t="n"/>
      <c r="G4" s="220" t="n"/>
      <c r="H4" s="75" t="inlineStr">
        <is>
          <t>대표이사</t>
        </is>
      </c>
      <c r="I4" s="216" t="inlineStr">
        <is>
          <t>유 정 근</t>
        </is>
      </c>
      <c r="J4" s="217" t="n"/>
      <c r="K4" s="218" t="n"/>
    </row>
    <row r="5" ht="22.5" customHeight="1" s="156">
      <c r="B5" s="74" t="inlineStr">
        <is>
          <t>Job</t>
        </is>
      </c>
      <c r="C5" s="136" t="n"/>
      <c r="D5" s="212" t="n"/>
      <c r="E5" s="219" t="n"/>
      <c r="G5" s="220" t="n"/>
      <c r="H5" s="75" t="inlineStr">
        <is>
          <t>사업자등록번호</t>
        </is>
      </c>
      <c r="I5" s="216" t="inlineStr">
        <is>
          <t>202-81-45960</t>
        </is>
      </c>
      <c r="J5" s="217" t="n"/>
      <c r="K5" s="218" t="n"/>
    </row>
    <row r="6" ht="22.5" customHeight="1" s="156">
      <c r="B6" s="76" t="inlineStr">
        <is>
          <t>견적금액</t>
        </is>
      </c>
      <c r="C6" s="221">
        <f>I39</f>
        <v/>
      </c>
      <c r="D6" s="218" t="n"/>
      <c r="E6" s="219" t="n"/>
      <c r="G6" s="220" t="n"/>
      <c r="H6" s="75" t="inlineStr">
        <is>
          <t>사업장주소</t>
        </is>
      </c>
      <c r="I6" s="216" t="inlineStr">
        <is>
          <t>서울특별시 용산구 이태원로 222 (한남동)</t>
        </is>
      </c>
      <c r="J6" s="217" t="n"/>
      <c r="K6" s="218" t="n"/>
    </row>
    <row r="7" ht="52.5" customHeight="1" s="156" thickBot="1">
      <c r="B7" s="77" t="inlineStr">
        <is>
          <t>담당자/연락처</t>
        </is>
      </c>
      <c r="C7" s="151" t="n"/>
      <c r="D7" s="222" t="n"/>
      <c r="E7" s="223" t="n"/>
      <c r="F7" s="157" t="n"/>
      <c r="G7" s="224" t="n"/>
      <c r="H7" s="78" t="inlineStr">
        <is>
          <t>담당자/연락처</t>
        </is>
      </c>
      <c r="I7" s="225" t="inlineStr">
        <is>
          <t>우경훈 프로
권두인 프로
조영찬 프로</t>
        </is>
      </c>
      <c r="J7" s="159" t="n"/>
      <c r="K7" s="226" t="n"/>
    </row>
    <row r="8" ht="12" customHeight="1" s="156">
      <c r="C8" s="3" t="n"/>
    </row>
    <row r="9" ht="18" customFormat="1" customHeight="1" s="8">
      <c r="B9" s="7" t="inlineStr">
        <is>
          <t>Job :</t>
        </is>
      </c>
      <c r="C9" s="47" t="n"/>
      <c r="D9" s="6" t="n"/>
      <c r="E9" s="47" t="n"/>
      <c r="F9" s="48" t="n"/>
      <c r="G9" s="48" t="n"/>
      <c r="H9" s="47" t="n"/>
      <c r="I9" s="47" t="n"/>
      <c r="J9" s="47" t="n"/>
      <c r="K9" s="47" t="n"/>
    </row>
    <row r="10" ht="18" customFormat="1" customHeight="1" s="8">
      <c r="B10" s="10" t="inlineStr">
        <is>
          <t>Job Name :</t>
        </is>
      </c>
      <c r="C10" s="49" t="n"/>
      <c r="D10" s="9" t="n"/>
      <c r="E10" s="49" t="n"/>
      <c r="F10" s="10" t="inlineStr">
        <is>
          <t>매체 :</t>
        </is>
      </c>
      <c r="G10" s="49" t="inlineStr">
        <is>
          <t>30", 15" 등</t>
        </is>
      </c>
      <c r="H10" s="49" t="n"/>
      <c r="I10" s="50" t="n"/>
      <c r="J10" s="50" t="n"/>
      <c r="K10" s="50" t="n"/>
    </row>
    <row r="11" ht="18" customFormat="1" customHeight="1" s="8">
      <c r="B11" s="11" t="inlineStr">
        <is>
          <t>CD(제작팀) :</t>
        </is>
      </c>
      <c r="C11" s="51" t="inlineStr">
        <is>
          <t>박현정</t>
        </is>
      </c>
      <c r="D11" s="11" t="inlineStr">
        <is>
          <t xml:space="preserve">AD : </t>
        </is>
      </c>
      <c r="E11" s="51" t="inlineStr">
        <is>
          <t>오창규 등</t>
        </is>
      </c>
      <c r="F11" s="11" t="inlineStr">
        <is>
          <t xml:space="preserve">CW : </t>
        </is>
      </c>
      <c r="G11" s="51" t="inlineStr">
        <is>
          <t>박지환 등</t>
        </is>
      </c>
      <c r="H11" s="11" t="inlineStr">
        <is>
          <t xml:space="preserve">AE : </t>
        </is>
      </c>
      <c r="I11" s="51" t="inlineStr">
        <is>
          <t>이재환, 우경훈, 권두인 조영찬</t>
        </is>
      </c>
      <c r="J11" s="51" t="inlineStr">
        <is>
          <t>이재환, 우경훈, 권두인 조영찬</t>
        </is>
      </c>
      <c r="K11" s="51" t="n"/>
    </row>
    <row r="12" ht="18" customFormat="1" customHeight="1" s="8">
      <c r="B12" s="10" t="inlineStr">
        <is>
          <t>협력업체 :</t>
        </is>
      </c>
      <c r="C12" s="49" t="n"/>
      <c r="D12" s="10" t="n"/>
      <c r="E12" s="49" t="n"/>
      <c r="F12" s="50" t="n"/>
      <c r="G12" s="50" t="n"/>
      <c r="H12" s="95" t="inlineStr">
        <is>
          <t>PM :</t>
        </is>
      </c>
      <c r="I12" s="49" t="inlineStr">
        <is>
          <t>김미애</t>
        </is>
      </c>
      <c r="J12" s="49" t="inlineStr">
        <is>
          <t>김미애</t>
        </is>
      </c>
      <c r="K12" s="49" t="n"/>
    </row>
    <row r="13" ht="18" customFormat="1" customHeight="1" s="8">
      <c r="B13" s="56" t="inlineStr">
        <is>
          <t>촬영일 :</t>
        </is>
      </c>
      <c r="C13" s="158" t="n"/>
      <c r="D13" s="56" t="inlineStr">
        <is>
          <t>On-Air :</t>
        </is>
      </c>
      <c r="E13" s="57" t="n"/>
      <c r="F13" s="58" t="n"/>
      <c r="G13" s="58" t="n"/>
      <c r="H13" s="59" t="n"/>
      <c r="I13" s="59" t="n"/>
      <c r="J13" s="59" t="n"/>
      <c r="K13" s="59" t="n"/>
    </row>
    <row r="14" ht="13.5" customFormat="1" customHeight="1" s="8" thickBot="1">
      <c r="B14" s="126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</row>
    <row r="15" customFormat="1" s="17" thickBot="1">
      <c r="B15" s="114" t="inlineStr">
        <is>
          <t xml:space="preserve">제 작 항 목 </t>
        </is>
      </c>
      <c r="C15" s="12" t="inlineStr">
        <is>
          <t>세부내용</t>
        </is>
      </c>
      <c r="D15" s="160" t="n"/>
      <c r="E15" s="113" t="inlineStr">
        <is>
          <t>협력회사</t>
        </is>
      </c>
      <c r="F15" s="12" t="inlineStr">
        <is>
          <t>담당자</t>
        </is>
      </c>
      <c r="G15" s="114" t="inlineStr">
        <is>
          <t>수량</t>
        </is>
      </c>
      <c r="H15" s="41" t="inlineStr">
        <is>
          <t>1차 사전견적</t>
        </is>
      </c>
      <c r="I15" s="41" t="inlineStr">
        <is>
          <t>2차 사전견적</t>
        </is>
      </c>
      <c r="J15" s="41" t="inlineStr">
        <is>
          <t>조정견적</t>
        </is>
      </c>
      <c r="K15" s="70" t="inlineStr">
        <is>
          <t>비고</t>
        </is>
      </c>
    </row>
    <row r="16" ht="16.5" customFormat="1" customHeight="1" s="17">
      <c r="B16" s="104" t="inlineStr">
        <is>
          <t>정가항목</t>
        </is>
      </c>
      <c r="C16" s="161" t="inlineStr">
        <is>
          <t>기 획 료</t>
        </is>
      </c>
      <c r="D16" s="162" t="n"/>
      <c r="E16" s="163" t="inlineStr">
        <is>
          <t>광고대행사
(작품당)</t>
        </is>
      </c>
      <c r="F16" s="164" t="inlineStr">
        <is>
          <t>이재환
김형운
조영찬
권두인</t>
        </is>
      </c>
      <c r="G16" s="18" t="n">
        <v>1</v>
      </c>
      <c r="H16" s="165" t="n">
        <v>3000000</v>
      </c>
      <c r="I16" s="166" t="n">
        <v>0</v>
      </c>
      <c r="J16" s="166" t="n">
        <v>0</v>
      </c>
      <c r="K16" s="167" t="n"/>
    </row>
    <row r="17" ht="16.5" customFormat="1" customHeight="1" s="17">
      <c r="B17" s="168" t="n"/>
      <c r="C17" s="169" t="inlineStr">
        <is>
          <t>COPY료</t>
        </is>
      </c>
      <c r="D17" s="170" t="n"/>
      <c r="E17" s="171" t="n"/>
      <c r="F17" s="171" t="n"/>
      <c r="G17" s="20" t="n">
        <v>1</v>
      </c>
      <c r="H17" s="172" t="n">
        <v>2000000</v>
      </c>
      <c r="I17" s="173" t="n">
        <v>0</v>
      </c>
      <c r="J17" s="173" t="n">
        <v>0</v>
      </c>
    </row>
    <row r="18" ht="16.5" customFormat="1" customHeight="1" s="17">
      <c r="B18" s="168" t="n"/>
      <c r="C18" s="169" t="inlineStr">
        <is>
          <t>Creative Work료</t>
        </is>
      </c>
      <c r="D18" s="170" t="n"/>
      <c r="E18" s="171" t="n"/>
      <c r="F18" s="171" t="n"/>
      <c r="G18" s="21" t="n">
        <v>1</v>
      </c>
      <c r="H18" s="172" t="n">
        <v>2000000</v>
      </c>
      <c r="I18" s="173" t="n">
        <v>0</v>
      </c>
      <c r="J18" s="173" t="n">
        <v>0</v>
      </c>
    </row>
    <row r="19" ht="16.5" customFormat="1" customHeight="1" s="17">
      <c r="B19" s="168" t="n"/>
      <c r="C19" s="169" t="inlineStr">
        <is>
          <t>Direction료</t>
        </is>
      </c>
      <c r="D19" s="170" t="n"/>
      <c r="E19" s="171" t="n"/>
      <c r="F19" s="171" t="n"/>
      <c r="G19" s="21" t="n">
        <v>1</v>
      </c>
      <c r="H19" s="165" t="n">
        <v>2000000</v>
      </c>
      <c r="I19" s="166" t="n">
        <v>0</v>
      </c>
      <c r="J19" s="166" t="n">
        <v>0</v>
      </c>
    </row>
    <row r="20" ht="16.5" customFormat="1" customHeight="1" s="17">
      <c r="B20" s="168" t="n"/>
      <c r="C20" s="169" t="inlineStr">
        <is>
          <t>자료조사비</t>
        </is>
      </c>
      <c r="D20" s="170" t="n"/>
      <c r="E20" s="171" t="n"/>
      <c r="F20" s="174" t="n"/>
      <c r="G20" s="19" t="n">
        <v>1</v>
      </c>
      <c r="H20" s="172" t="n">
        <v>250000</v>
      </c>
      <c r="I20" s="173" t="n">
        <v>0</v>
      </c>
      <c r="J20" s="173" t="n">
        <v>0</v>
      </c>
    </row>
    <row r="21" ht="16.5" customFormat="1" customHeight="1" s="17" thickBot="1">
      <c r="B21" s="168" t="n"/>
      <c r="C21" s="175" t="inlineStr">
        <is>
          <t>프로젝트 매니저료</t>
        </is>
      </c>
      <c r="D21" s="176" t="n"/>
      <c r="E21" s="177" t="n"/>
      <c r="F21" s="119" t="inlineStr">
        <is>
          <t>김미애</t>
        </is>
      </c>
      <c r="G21" s="19" t="n">
        <v>1</v>
      </c>
      <c r="H21" s="172" t="n">
        <v>250000</v>
      </c>
      <c r="I21" s="173" t="n">
        <v>0</v>
      </c>
      <c r="J21" s="173" t="n">
        <v>0</v>
      </c>
      <c r="K21" s="157" t="n"/>
    </row>
    <row r="22" ht="16.5" customFormat="1" customHeight="1" s="17" thickBot="1">
      <c r="B22" s="114" t="inlineStr">
        <is>
          <t>정가항목 (A)</t>
        </is>
      </c>
      <c r="C22" s="16" t="n"/>
      <c r="D22" s="178" t="n"/>
      <c r="E22" s="179" t="n"/>
      <c r="F22" s="70" t="n"/>
      <c r="G22" s="70" t="n"/>
      <c r="H22" s="180">
        <f>SUM(H16:H21)</f>
        <v/>
      </c>
      <c r="I22" s="181">
        <f>SUM(I16:I21)</f>
        <v/>
      </c>
      <c r="J22" s="181">
        <f>SUM(J16:J21)</f>
        <v/>
      </c>
      <c r="K22" s="96" t="inlineStr">
        <is>
          <t>광고대행사 정가항목 미적용</t>
        </is>
      </c>
    </row>
    <row r="23" ht="16.5" customFormat="1" customHeight="1" s="17">
      <c r="B23" s="182" t="inlineStr">
        <is>
          <t>제작</t>
        </is>
      </c>
      <c r="C23" s="183" t="inlineStr">
        <is>
          <t>PD</t>
        </is>
      </c>
      <c r="D23" s="183" t="inlineStr">
        <is>
          <t>Producer</t>
        </is>
      </c>
      <c r="E23" s="23" t="inlineStr">
        <is>
          <t>크림치즈필름</t>
        </is>
      </c>
      <c r="F23" s="184" t="n"/>
      <c r="G23" s="18" t="n">
        <v>1</v>
      </c>
      <c r="H23" s="165" t="n">
        <v>4000000</v>
      </c>
      <c r="I23" s="227" t="n">
        <v>4000000</v>
      </c>
      <c r="J23" s="227" t="n">
        <v>4000000</v>
      </c>
      <c r="K23" s="82" t="n"/>
      <c r="M23" s="185" t="inlineStr">
        <is>
          <t> </t>
        </is>
      </c>
    </row>
    <row r="24" ht="16.5" customFormat="1" customHeight="1" s="17">
      <c r="B24" s="168" t="n"/>
      <c r="C24" s="183" t="inlineStr">
        <is>
          <t>프로덕션</t>
        </is>
      </c>
      <c r="D24" s="183" t="inlineStr">
        <is>
          <t>CF 프로덕션</t>
        </is>
      </c>
      <c r="E24" s="23" t="inlineStr">
        <is>
          <t>오드아이</t>
        </is>
      </c>
      <c r="F24" s="184" t="n"/>
      <c r="G24" s="18" t="n">
        <v>1</v>
      </c>
      <c r="H24" s="165" t="n">
        <v>40000000</v>
      </c>
      <c r="I24" s="227" t="n">
        <v>36000000</v>
      </c>
      <c r="J24" s="227" t="n">
        <v>36000000</v>
      </c>
      <c r="K24" s="82" t="n"/>
      <c r="M24" s="185" t="inlineStr">
        <is>
          <t> </t>
        </is>
      </c>
    </row>
    <row r="25" ht="16.5" customFormat="1" customHeight="1" s="17">
      <c r="B25" s="168" t="n"/>
      <c r="C25" s="183" t="inlineStr">
        <is>
          <t>프로덕션</t>
        </is>
      </c>
      <c r="D25" s="183" t="inlineStr">
        <is>
          <t>콘티/일러스트</t>
        </is>
      </c>
      <c r="E25" s="23" t="inlineStr">
        <is>
          <t>이동건</t>
        </is>
      </c>
      <c r="F25" s="184" t="n"/>
      <c r="G25" s="18" t="n">
        <v>1</v>
      </c>
      <c r="H25" s="165" t="n">
        <v>78000000</v>
      </c>
      <c r="I25" s="227" t="n">
        <v>78000000</v>
      </c>
      <c r="J25" s="227" t="n">
        <v>78000000</v>
      </c>
      <c r="K25" s="82" t="n"/>
      <c r="M25" s="185" t="inlineStr">
        <is>
          <t> </t>
        </is>
      </c>
    </row>
    <row r="26" ht="16.5" customFormat="1" customHeight="1" s="17">
      <c r="B26" s="168" t="n"/>
      <c r="C26" s="186" t="inlineStr">
        <is>
          <t>Post프로덕션</t>
        </is>
      </c>
      <c r="D26" s="183" t="inlineStr">
        <is>
          <t>NTC</t>
        </is>
      </c>
      <c r="E26" s="23" t="n"/>
      <c r="F26" s="184" t="n"/>
      <c r="G26" s="18" t="n">
        <v>1</v>
      </c>
      <c r="H26" s="165" t="n">
        <v>0</v>
      </c>
      <c r="I26" s="227" t="n">
        <v>0</v>
      </c>
      <c r="J26" s="227" t="n">
        <v>0</v>
      </c>
      <c r="K26" s="82" t="n"/>
      <c r="M26" s="185" t="n"/>
    </row>
    <row r="27" ht="16.5" customFormat="1" customHeight="1" s="17">
      <c r="B27" s="168" t="n"/>
      <c r="C27" s="171" t="n"/>
      <c r="D27" s="183" t="inlineStr">
        <is>
          <t>편집</t>
        </is>
      </c>
      <c r="E27" s="23" t="inlineStr">
        <is>
          <t>포나인</t>
        </is>
      </c>
      <c r="F27" s="184" t="n"/>
      <c r="G27" s="18" t="n">
        <v>1</v>
      </c>
      <c r="H27" s="165" t="n">
        <v>7500000</v>
      </c>
      <c r="I27" s="227" t="n">
        <v>7500000</v>
      </c>
      <c r="J27" s="227" t="n">
        <v>7500000</v>
      </c>
      <c r="K27" s="82" t="n"/>
      <c r="M27" s="185" t="n"/>
    </row>
    <row r="28" ht="15.75" customFormat="1" customHeight="1" s="17">
      <c r="B28" s="168" t="n"/>
      <c r="C28" s="171" t="n"/>
      <c r="D28" s="183" t="inlineStr">
        <is>
          <t>합성</t>
        </is>
      </c>
      <c r="E28" s="23" t="inlineStr">
        <is>
          <t>포나인</t>
        </is>
      </c>
      <c r="F28" s="184" t="n"/>
      <c r="G28" s="18" t="n">
        <v>1</v>
      </c>
      <c r="H28" s="165" t="n">
        <v>55000000</v>
      </c>
      <c r="I28" s="228" t="n">
        <v>40400000</v>
      </c>
      <c r="J28" s="228" t="n">
        <v>40400000</v>
      </c>
      <c r="K28" s="82" t="n"/>
      <c r="M28" s="185" t="n"/>
    </row>
    <row r="29" ht="16.5" customFormat="1" customHeight="1" s="17">
      <c r="B29" s="168" t="n"/>
      <c r="C29" s="171" t="n"/>
      <c r="D29" s="183" t="inlineStr">
        <is>
          <t>녹음실</t>
        </is>
      </c>
      <c r="E29" s="23" t="inlineStr">
        <is>
          <t>킹콩</t>
        </is>
      </c>
      <c r="F29" s="184" t="n"/>
      <c r="G29" s="18" t="n">
        <v>1</v>
      </c>
      <c r="H29" s="165" t="n">
        <v>4700000</v>
      </c>
      <c r="I29" s="228" t="n">
        <v>4700000</v>
      </c>
      <c r="J29" s="228" t="n">
        <v>4700000</v>
      </c>
      <c r="K29" s="82" t="n"/>
      <c r="M29" s="185" t="n"/>
    </row>
    <row r="30" ht="16.5" customFormat="1" customHeight="1" s="17">
      <c r="B30" s="168" t="n"/>
      <c r="C30" s="171" t="n"/>
      <c r="D30" s="183" t="inlineStr">
        <is>
          <t>오디오PD</t>
        </is>
      </c>
      <c r="E30" s="23" t="inlineStr">
        <is>
          <t>레솔트뮤지끄</t>
        </is>
      </c>
      <c r="F30" s="184" t="n"/>
      <c r="G30" s="18" t="n">
        <v>1</v>
      </c>
      <c r="H30" s="165" t="n">
        <v>1200000</v>
      </c>
      <c r="I30" s="228" t="n">
        <v>1200000</v>
      </c>
      <c r="J30" s="228" t="n">
        <v>1200000</v>
      </c>
      <c r="K30" s="82" t="n"/>
      <c r="M30" s="185" t="n"/>
    </row>
    <row r="31" ht="16.5" customFormat="1" customHeight="1" s="17">
      <c r="B31" s="187" t="n"/>
      <c r="C31" s="171" t="n"/>
      <c r="D31" s="183" t="inlineStr">
        <is>
          <t>성우</t>
        </is>
      </c>
      <c r="E31" s="23" t="inlineStr">
        <is>
          <t>프리랜서</t>
        </is>
      </c>
      <c r="F31" s="184" t="n"/>
      <c r="G31" s="18" t="n">
        <v>1</v>
      </c>
      <c r="H31" s="165" t="n">
        <v>1000000</v>
      </c>
      <c r="I31" s="228" t="n">
        <v>1000000</v>
      </c>
      <c r="J31" s="228" t="n">
        <v>1000000</v>
      </c>
      <c r="K31" s="82" t="n"/>
      <c r="M31" s="185" t="n"/>
    </row>
    <row r="32" ht="15" customFormat="1" customHeight="1" s="17">
      <c r="B32" s="104" t="inlineStr">
        <is>
          <t>저작권
라이선스</t>
        </is>
      </c>
      <c r="C32" s="183" t="inlineStr">
        <is>
          <t>BGM</t>
        </is>
      </c>
      <c r="D32" s="183" t="inlineStr">
        <is>
          <t>라이브러리</t>
        </is>
      </c>
      <c r="E32" s="38" t="n"/>
      <c r="F32" s="188" t="n"/>
      <c r="G32" s="18" t="n">
        <v>1</v>
      </c>
      <c r="H32" s="189" t="n">
        <v>55000000</v>
      </c>
      <c r="I32" s="190" t="n">
        <v>55000000</v>
      </c>
      <c r="J32" s="190" t="n">
        <v>55000000</v>
      </c>
      <c r="K32" s="98" t="inlineStr">
        <is>
          <t>데이브레이크_들었다놨다</t>
        </is>
      </c>
    </row>
    <row r="33" ht="13.5" customFormat="1" customHeight="1" s="17">
      <c r="B33" s="168" t="n"/>
      <c r="C33" s="183" t="inlineStr">
        <is>
          <t>폰트</t>
        </is>
      </c>
      <c r="D33" s="183" t="n"/>
      <c r="E33" s="38" t="n"/>
      <c r="F33" s="188" t="n"/>
      <c r="G33" s="18" t="n"/>
      <c r="H33" s="189" t="n"/>
      <c r="I33" s="190" t="n"/>
      <c r="J33" s="190" t="n"/>
      <c r="K33" s="82" t="n"/>
    </row>
    <row r="34" ht="16.5" customFormat="1" customHeight="1" s="17">
      <c r="B34" s="168" t="n"/>
      <c r="C34" s="183" t="inlineStr">
        <is>
          <t>이미지</t>
        </is>
      </c>
      <c r="D34" s="183" t="n"/>
      <c r="E34" s="38" t="n"/>
      <c r="F34" s="188" t="n"/>
      <c r="G34" s="18" t="n"/>
      <c r="H34" s="189" t="n"/>
      <c r="I34" s="190" t="n"/>
      <c r="J34" s="190" t="n"/>
      <c r="K34" s="72" t="n"/>
    </row>
    <row r="35" ht="16.5" customFormat="1" customHeight="1" s="17" thickBot="1">
      <c r="B35" s="168" t="n"/>
      <c r="C35" s="191" t="inlineStr">
        <is>
          <t>기타</t>
        </is>
      </c>
      <c r="D35" s="191" t="n"/>
      <c r="E35" s="38" t="n"/>
      <c r="F35" s="188" t="n"/>
      <c r="G35" s="18" t="n"/>
      <c r="H35" s="189" t="n"/>
      <c r="I35" s="190" t="n"/>
      <c r="J35" s="190" t="n"/>
      <c r="K35" s="72" t="n"/>
    </row>
    <row r="36" ht="16.5" customFormat="1" customHeight="1" s="17" thickBot="1">
      <c r="B36" s="114" t="inlineStr">
        <is>
          <t>외주항목계 (B)</t>
        </is>
      </c>
      <c r="C36" s="52" t="n"/>
      <c r="D36" s="53" t="n"/>
      <c r="E36" s="179" t="n"/>
      <c r="F36" s="70" t="n"/>
      <c r="G36" s="70" t="n"/>
      <c r="H36" s="180">
        <f>SUM(H23:H35)</f>
        <v/>
      </c>
      <c r="I36" s="180">
        <f>SUM(I23:I35)</f>
        <v/>
      </c>
      <c r="J36" s="180">
        <f>SUM(J23:J35)</f>
        <v/>
      </c>
      <c r="K36" s="71" t="n"/>
      <c r="L36" s="192" t="n"/>
      <c r="M36" s="185" t="n"/>
    </row>
    <row r="37" ht="16.5" customFormat="1" customHeight="1" s="17" thickBot="1">
      <c r="B37" s="83" t="inlineStr">
        <is>
          <t>대행수수료 (C)</t>
        </is>
      </c>
      <c r="C37" s="84" t="inlineStr">
        <is>
          <t xml:space="preserve"> (B)항목 * 17.65%</t>
        </is>
      </c>
      <c r="D37" s="84" t="n"/>
      <c r="E37" s="193" t="n"/>
      <c r="F37" s="86" t="n"/>
      <c r="G37" s="86" t="n"/>
      <c r="H37" s="194">
        <f>H36*17.65%</f>
        <v/>
      </c>
      <c r="I37" s="194">
        <f>I36*10%</f>
        <v/>
      </c>
      <c r="J37" s="194">
        <f>J36*10%</f>
        <v/>
      </c>
      <c r="K37" s="97" t="inlineStr">
        <is>
          <t>광고대행사 대행수수료 조정 (17.65% → 10%)</t>
        </is>
      </c>
      <c r="L37" s="185" t="n"/>
    </row>
    <row r="38" ht="16.5" customFormat="1" customHeight="1" s="17" thickBot="1">
      <c r="B38" s="55" t="inlineStr">
        <is>
          <t>합계금액</t>
        </is>
      </c>
      <c r="C38" s="33" t="inlineStr">
        <is>
          <t xml:space="preserve"> (A)+(B)+(C)</t>
        </is>
      </c>
      <c r="D38" s="34" t="n"/>
      <c r="E38" s="195" t="n"/>
      <c r="F38" s="36" t="n"/>
      <c r="G38" s="36" t="n"/>
      <c r="H38" s="196">
        <f>H22+H36+H37</f>
        <v/>
      </c>
      <c r="I38" s="196">
        <f>I22+I36+I37</f>
        <v/>
      </c>
      <c r="J38" s="196">
        <f>J22+J36+J37</f>
        <v/>
      </c>
      <c r="K38" s="73" t="n"/>
    </row>
    <row r="39" ht="23.25" customFormat="1" customHeight="1" s="61" thickBot="1">
      <c r="B39" s="63" t="inlineStr">
        <is>
          <t>청구금액</t>
        </is>
      </c>
      <c r="C39" s="64" t="inlineStr">
        <is>
          <t xml:space="preserve"> (VAT 포함)</t>
        </is>
      </c>
      <c r="D39" s="65" t="n"/>
      <c r="E39" s="197" t="n"/>
      <c r="F39" s="67" t="n"/>
      <c r="G39" s="67" t="n"/>
      <c r="H39" s="198">
        <f>H38*1.1</f>
        <v/>
      </c>
      <c r="I39" s="198">
        <f>I38*1.1</f>
        <v/>
      </c>
      <c r="J39" s="198">
        <f>J38*1.1</f>
        <v/>
      </c>
      <c r="K39" s="69" t="n"/>
      <c r="M39" s="199" t="inlineStr">
        <is>
          <t> </t>
        </is>
      </c>
    </row>
    <row r="40" ht="24" customHeight="1" s="156">
      <c r="B40" s="106" t="n"/>
      <c r="C40" s="200" t="n"/>
      <c r="D40" s="200" t="n"/>
      <c r="E40" s="200" t="n"/>
      <c r="F40" s="200" t="n"/>
      <c r="G40" s="200" t="n"/>
      <c r="H40" s="200" t="n"/>
      <c r="I40" s="200" t="n"/>
      <c r="J40" s="200" t="n"/>
      <c r="K40" s="200" t="n"/>
      <c r="M40" s="1" t="inlineStr">
        <is>
          <t> </t>
        </is>
      </c>
    </row>
    <row r="41" ht="14.25" customHeight="1" s="156">
      <c r="H41" s="201" t="n"/>
      <c r="I41" s="202" t="n"/>
      <c r="J41" s="202" t="n"/>
      <c r="K41" s="203" t="n"/>
      <c r="M41" s="204" t="inlineStr">
        <is>
          <t> </t>
        </is>
      </c>
    </row>
    <row r="42" ht="14.25" customHeight="1" s="156">
      <c r="H42" s="205" t="n"/>
    </row>
    <row r="43"/>
    <row r="44" ht="14.25" customHeight="1" s="156">
      <c r="H44" s="205" t="n"/>
      <c r="I44" s="205" t="n"/>
      <c r="J44" s="205" t="n"/>
    </row>
    <row r="45" ht="14.25" customHeight="1" s="156">
      <c r="I45" s="206" t="n"/>
      <c r="J45" s="206" t="n"/>
    </row>
    <row r="46"/>
    <row r="47" ht="14.25" customHeight="1" s="156">
      <c r="D47" s="30" t="n"/>
      <c r="G47" s="207" t="n"/>
    </row>
    <row r="48"/>
    <row r="49"/>
    <row r="50"/>
    <row r="51"/>
    <row r="52" ht="14.25" customHeight="1" s="156">
      <c r="E52" s="205" t="n"/>
    </row>
  </sheetData>
  <mergeCells count="31">
    <mergeCell ref="C6:D6"/>
    <mergeCell ref="B23:B31"/>
    <mergeCell ref="C15:D15"/>
    <mergeCell ref="B40:K40"/>
    <mergeCell ref="K16:K21"/>
    <mergeCell ref="C5:D5"/>
    <mergeCell ref="B16:B21"/>
    <mergeCell ref="I3:K3"/>
    <mergeCell ref="C4:D4"/>
    <mergeCell ref="C20:D20"/>
    <mergeCell ref="E2:G2"/>
    <mergeCell ref="C26:C31"/>
    <mergeCell ref="C16:D16"/>
    <mergeCell ref="I5:K5"/>
    <mergeCell ref="B2:D2"/>
    <mergeCell ref="I4:K4"/>
    <mergeCell ref="C21:D21"/>
    <mergeCell ref="C17:D17"/>
    <mergeCell ref="I6:K6"/>
    <mergeCell ref="E3:G7"/>
    <mergeCell ref="B1:K1"/>
    <mergeCell ref="F16:F20"/>
    <mergeCell ref="B14:K14"/>
    <mergeCell ref="C7:D7"/>
    <mergeCell ref="C19:D19"/>
    <mergeCell ref="H2:K2"/>
    <mergeCell ref="E16:E21"/>
    <mergeCell ref="C18:D18"/>
    <mergeCell ref="C3:D3"/>
    <mergeCell ref="B32:B35"/>
    <mergeCell ref="I7:K7"/>
  </mergeCells>
  <pageMargins left="0.1574803149606299" right="0.1574803149606299" top="0.3543307086614174" bottom="0.2" header="0.1968503937007874" footer="0.23"/>
  <pageSetup orientation="landscape" paperSize="8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김인수</dc:creator>
  <dcterms:created xsi:type="dcterms:W3CDTF">2008-06-30T06:05:31Z</dcterms:created>
  <dcterms:modified xsi:type="dcterms:W3CDTF">2026-05-18T12:22:50Z</dcterms:modified>
  <cp:lastModifiedBy>CHEIL</cp:lastModifiedBy>
  <cp:lastPrinted>2020-07-31T06:22:09Z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NSCPROP" fmtid="{D5CDD505-2E9C-101B-9397-08002B2CF9AE}" pid="2">
    <vt:lpwstr>NSCCustomProperty</vt:lpwstr>
  </property>
</Properties>
</file>