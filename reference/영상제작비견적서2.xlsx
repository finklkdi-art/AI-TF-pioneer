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CHEIL\Desktop\AI TF - pioneer\reference\"/>
    </mc:Choice>
  </mc:AlternateContent>
  <xr:revisionPtr revIDLastSave="0" documentId="13_ncr:1_{213661E7-CC98-4383-AD82-E925C7222E92}" xr6:coauthVersionLast="47" xr6:coauthVersionMax="47" xr10:uidLastSave="{00000000-0000-0000-0000-000000000000}"/>
  <bookViews>
    <workbookView xWindow="-120" yWindow="-120" windowWidth="29040" windowHeight="15720" tabRatio="984" xr2:uid="{00000000-000D-0000-FFFF-FFFF00000000}"/>
  </bookViews>
  <sheets>
    <sheet name="자동차보험" sheetId="63" r:id="rId1"/>
    <sheet name="운전자보험" sheetId="65" r:id="rId2"/>
  </sheets>
  <externalReferences>
    <externalReference r:id="rId3"/>
    <externalReference r:id="rId4"/>
  </externalReferences>
  <definedNames>
    <definedName name="_1" localSheetId="1">[1]I一般比!#REF!</definedName>
    <definedName name="_1" localSheetId="0">[1]I一般比!#REF!</definedName>
    <definedName name="_1">[1]I一般比!#REF!</definedName>
    <definedName name="_2" localSheetId="1">[1]I一般比!#REF!</definedName>
    <definedName name="_2" localSheetId="0">[1]I一般比!#REF!</definedName>
    <definedName name="_2">[1]I一般比!#REF!</definedName>
    <definedName name="_3">#N/A</definedName>
    <definedName name="_4" localSheetId="1">[1]I一般比!#REF!</definedName>
    <definedName name="_4" localSheetId="0">[1]I一般比!#REF!</definedName>
    <definedName name="_4">[1]I一般比!#REF!</definedName>
    <definedName name="\0">#N/A</definedName>
    <definedName name="\a">#N/A</definedName>
    <definedName name="\g" localSheetId="1">'[1]N賃率-職'!#REF!</definedName>
    <definedName name="\g" localSheetId="0">'[1]N賃率-職'!#REF!</definedName>
    <definedName name="\g">'[1]N賃率-職'!#REF!</definedName>
    <definedName name="\x">#N/A</definedName>
    <definedName name="\z">#N/A</definedName>
    <definedName name="dddd" localSheetId="1">[2]I一般比!#REF!</definedName>
    <definedName name="dddd" localSheetId="0">[2]I一般比!#REF!</definedName>
    <definedName name="dddd">[2]I一般比!#REF!</definedName>
    <definedName name="_xlnm.Print_Area" localSheetId="1">운전자보험!$A$1:$L$40</definedName>
    <definedName name="_xlnm.Print_Area" localSheetId="0">자동차보험!$A$1:$L$34</definedName>
    <definedName name="기ㅏㅓㅣㅏㅓㅏㅣㅓ" localSheetId="1">[1]I一般比!#REF!</definedName>
    <definedName name="기ㅏㅓㅣㅏㅓㅏㅣㅓ" localSheetId="0">[1]I一般比!#REF!</definedName>
    <definedName name="기ㅏㅓㅣㅏㅓㅏㅣㅓ">[1]I一般比!#REF!</definedName>
    <definedName name="ㄴㄴ" localSheetId="1">[1]I一般比!#REF!</definedName>
    <definedName name="ㄴㄴ" localSheetId="0">[1]I一般比!#REF!</definedName>
    <definedName name="ㄴㄴ">[1]I一般比!#REF!</definedName>
    <definedName name="ㄷㄱㄷ" localSheetId="1">'[1]N賃率-職'!#REF!</definedName>
    <definedName name="ㄷㄱㄷ" localSheetId="0">'[1]N賃率-職'!#REF!</definedName>
    <definedName name="ㄷㄱㄷ">'[1]N賃率-職'!#REF!</definedName>
    <definedName name="ㅇㅇ" localSheetId="1">[1]I一般比!#REF!</definedName>
    <definedName name="ㅇㅇ" localSheetId="0">[1]I一般比!#REF!</definedName>
    <definedName name="ㅇㅇ">[1]I一般比!#REF!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36" i="65" l="1"/>
  <c r="J37" i="65" s="1"/>
  <c r="J22" i="65"/>
  <c r="J30" i="63"/>
  <c r="J31" i="63" s="1"/>
  <c r="J16" i="63"/>
  <c r="J32" i="63" l="1"/>
  <c r="J33" i="63" s="1"/>
  <c r="J38" i="65"/>
  <c r="J39" i="65" s="1"/>
  <c r="H30" i="63"/>
  <c r="I36" i="65" l="1"/>
  <c r="I37" i="65" l="1"/>
  <c r="I30" i="63"/>
  <c r="I31" i="63" s="1"/>
  <c r="H36" i="65" l="1"/>
  <c r="H37" i="65" l="1"/>
  <c r="I22" i="65"/>
  <c r="I38" i="65" s="1"/>
  <c r="H22" i="65"/>
  <c r="H31" i="63" l="1"/>
  <c r="H38" i="65"/>
  <c r="H39" i="65" s="1"/>
  <c r="I39" i="65"/>
  <c r="C6" i="65" s="1"/>
  <c r="H16" i="63"/>
  <c r="H32" i="63" l="1"/>
  <c r="I16" i="63"/>
  <c r="I32" i="63" s="1"/>
  <c r="I33" i="63" s="1"/>
  <c r="H33" i="63" l="1"/>
</calcChain>
</file>

<file path=xl/sharedStrings.xml><?xml version="1.0" encoding="utf-8"?>
<sst xmlns="http://schemas.openxmlformats.org/spreadsheetml/2006/main" count="187" uniqueCount="100">
  <si>
    <t>세부내용</t>
  </si>
  <si>
    <t>협력회사</t>
  </si>
  <si>
    <t xml:space="preserve">제 작 항 목 </t>
  </si>
  <si>
    <t>외주항목계 (B)</t>
    <phoneticPr fontId="6" type="noConversion"/>
  </si>
  <si>
    <t>공급자</t>
  </si>
  <si>
    <t xml:space="preserve">CLIENT </t>
  </si>
  <si>
    <t>회사명</t>
  </si>
  <si>
    <t>대표이사</t>
  </si>
  <si>
    <t>유 정 근</t>
  </si>
  <si>
    <t>사업자등록번호</t>
  </si>
  <si>
    <t>202-81-45960</t>
  </si>
  <si>
    <t>견적금액</t>
  </si>
  <si>
    <t>사업장주소</t>
  </si>
  <si>
    <t>서울특별시 용산구 이태원로 222 (한남동)</t>
  </si>
  <si>
    <t>담당자/연락처</t>
  </si>
  <si>
    <t>아래와 같이
견적 합니다.</t>
    <phoneticPr fontId="6" type="noConversion"/>
  </si>
  <si>
    <t>비고</t>
    <phoneticPr fontId="7" type="noConversion"/>
  </si>
  <si>
    <t>담당자</t>
    <phoneticPr fontId="6" type="noConversion"/>
  </si>
  <si>
    <t>수량</t>
    <phoneticPr fontId="6" type="noConversion"/>
  </si>
  <si>
    <t>정가항목</t>
    <phoneticPr fontId="6" type="noConversion"/>
  </si>
  <si>
    <t>정가항목 (A)</t>
    <phoneticPr fontId="6" type="noConversion"/>
  </si>
  <si>
    <t>기 획 료</t>
  </si>
  <si>
    <t>COPY료</t>
  </si>
  <si>
    <t>Creative Work료</t>
  </si>
  <si>
    <t>Direction료</t>
  </si>
  <si>
    <t>자료조사비</t>
  </si>
  <si>
    <t>청구금액</t>
    <phoneticPr fontId="6" type="noConversion"/>
  </si>
  <si>
    <t xml:space="preserve"> </t>
    <phoneticPr fontId="6" type="noConversion"/>
  </si>
  <si>
    <t>프로젝트 매니저료</t>
    <phoneticPr fontId="6" type="noConversion"/>
  </si>
  <si>
    <t>합계금액</t>
    <phoneticPr fontId="6" type="noConversion"/>
  </si>
  <si>
    <t>Job Name</t>
    <phoneticPr fontId="6" type="noConversion"/>
  </si>
  <si>
    <t>Job</t>
    <phoneticPr fontId="6" type="noConversion"/>
  </si>
  <si>
    <t xml:space="preserve">CW : </t>
    <phoneticPr fontId="6" type="noConversion"/>
  </si>
  <si>
    <t xml:space="preserve">AD : </t>
    <phoneticPr fontId="7" type="noConversion"/>
  </si>
  <si>
    <t>On-Air :</t>
    <phoneticPr fontId="6" type="noConversion"/>
  </si>
  <si>
    <t>촬영일 :</t>
    <phoneticPr fontId="6" type="noConversion"/>
  </si>
  <si>
    <t>협력업체 :</t>
    <phoneticPr fontId="7" type="noConversion"/>
  </si>
  <si>
    <t>CD(제작팀) :</t>
    <phoneticPr fontId="7" type="noConversion"/>
  </si>
  <si>
    <t>Job :</t>
    <phoneticPr fontId="6" type="noConversion"/>
  </si>
  <si>
    <t>Job Name :</t>
    <phoneticPr fontId="6" type="noConversion"/>
  </si>
  <si>
    <t>제일기획
(작품당)</t>
    <phoneticPr fontId="6" type="noConversion"/>
  </si>
  <si>
    <t>Post프로덕션</t>
    <phoneticPr fontId="6" type="noConversion"/>
  </si>
  <si>
    <t>BGM</t>
    <phoneticPr fontId="6" type="noConversion"/>
  </si>
  <si>
    <t>라이브러리</t>
    <phoneticPr fontId="6" type="noConversion"/>
  </si>
  <si>
    <t>폰트</t>
    <phoneticPr fontId="6" type="noConversion"/>
  </si>
  <si>
    <t>이미지</t>
    <phoneticPr fontId="6" type="noConversion"/>
  </si>
  <si>
    <t>저작권
라이선스</t>
    <phoneticPr fontId="6" type="noConversion"/>
  </si>
  <si>
    <t>[CM영상제작 표준 견적서 ]</t>
    <phoneticPr fontId="6" type="noConversion"/>
  </si>
  <si>
    <t>제작비 명세서</t>
    <phoneticPr fontId="6" type="noConversion"/>
  </si>
  <si>
    <t>(주)제일기획</t>
    <phoneticPr fontId="6" type="noConversion"/>
  </si>
  <si>
    <t>매체 :</t>
    <phoneticPr fontId="6" type="noConversion"/>
  </si>
  <si>
    <t>기타</t>
    <phoneticPr fontId="6" type="noConversion"/>
  </si>
  <si>
    <t>대행수수료 (C)</t>
    <phoneticPr fontId="6" type="noConversion"/>
  </si>
  <si>
    <t xml:space="preserve"> (B)항목 * 17.65%</t>
    <phoneticPr fontId="7" type="noConversion"/>
  </si>
  <si>
    <t xml:space="preserve"> (A)+(B)+(C)</t>
    <phoneticPr fontId="6" type="noConversion"/>
  </si>
  <si>
    <t>녹음실</t>
    <phoneticPr fontId="6" type="noConversion"/>
  </si>
  <si>
    <t>오디오PD</t>
    <phoneticPr fontId="6" type="noConversion"/>
  </si>
  <si>
    <t>이재환
김형운
조영찬
권두인</t>
    <phoneticPr fontId="6" type="noConversion"/>
  </si>
  <si>
    <t>제작</t>
    <phoneticPr fontId="6" type="noConversion"/>
  </si>
  <si>
    <t>공급받는자</t>
    <phoneticPr fontId="6" type="noConversion"/>
  </si>
  <si>
    <t>프로덕션</t>
    <phoneticPr fontId="6" type="noConversion"/>
  </si>
  <si>
    <t>CF 프로덕션</t>
    <phoneticPr fontId="6" type="noConversion"/>
  </si>
  <si>
    <t xml:space="preserve">AE : </t>
    <phoneticPr fontId="6" type="noConversion"/>
  </si>
  <si>
    <t>PM :</t>
    <phoneticPr fontId="6" type="noConversion"/>
  </si>
  <si>
    <t>편집</t>
    <phoneticPr fontId="6" type="noConversion"/>
  </si>
  <si>
    <t>NTC</t>
    <phoneticPr fontId="6" type="noConversion"/>
  </si>
  <si>
    <t>성우</t>
    <phoneticPr fontId="6" type="noConversion"/>
  </si>
  <si>
    <t>프리랜서</t>
    <phoneticPr fontId="6" type="noConversion"/>
  </si>
  <si>
    <t>제일기획 정가항목 미적용</t>
    <phoneticPr fontId="6" type="noConversion"/>
  </si>
  <si>
    <t xml:space="preserve"> (VAT 포함)</t>
    <phoneticPr fontId="6" type="noConversion"/>
  </si>
  <si>
    <t xml:space="preserve"> (B)항목 * 17.65%</t>
    <phoneticPr fontId="7" type="noConversion"/>
  </si>
  <si>
    <t>우경훈 프로
권두인 프로
조영찬 프로</t>
    <phoneticPr fontId="6" type="noConversion"/>
  </si>
  <si>
    <t>박현정</t>
    <phoneticPr fontId="6" type="noConversion"/>
  </si>
  <si>
    <t>오창규 등</t>
    <phoneticPr fontId="6" type="noConversion"/>
  </si>
  <si>
    <t>박지환 등</t>
    <phoneticPr fontId="6" type="noConversion"/>
  </si>
  <si>
    <t>이재환, 우경훈, 권두인 조영찬</t>
    <phoneticPr fontId="6" type="noConversion"/>
  </si>
  <si>
    <t>김미애</t>
    <phoneticPr fontId="6" type="noConversion"/>
  </si>
  <si>
    <t>1차 사전견적</t>
    <phoneticPr fontId="6" type="noConversion"/>
  </si>
  <si>
    <t>2차 사전견적</t>
    <phoneticPr fontId="6" type="noConversion"/>
  </si>
  <si>
    <t>PD</t>
    <phoneticPr fontId="6" type="noConversion"/>
  </si>
  <si>
    <t>Producer</t>
    <phoneticPr fontId="6" type="noConversion"/>
  </si>
  <si>
    <t>크림치즈필름</t>
    <phoneticPr fontId="6" type="noConversion"/>
  </si>
  <si>
    <t>오드아이</t>
    <phoneticPr fontId="6" type="noConversion"/>
  </si>
  <si>
    <t>포나인</t>
    <phoneticPr fontId="6" type="noConversion"/>
  </si>
  <si>
    <t>합성</t>
    <phoneticPr fontId="6" type="noConversion"/>
  </si>
  <si>
    <t>킹콩</t>
    <phoneticPr fontId="6" type="noConversion"/>
  </si>
  <si>
    <t>레솔트뮤지끄</t>
    <phoneticPr fontId="6" type="noConversion"/>
  </si>
  <si>
    <t>데이브레이크_넌언제나</t>
    <phoneticPr fontId="6" type="noConversion"/>
  </si>
  <si>
    <t>15" x 2</t>
    <phoneticPr fontId="6" type="noConversion"/>
  </si>
  <si>
    <t>30", 15" 등</t>
    <phoneticPr fontId="6" type="noConversion"/>
  </si>
  <si>
    <t>콘티</t>
    <phoneticPr fontId="6" type="noConversion"/>
  </si>
  <si>
    <t>콘티/일러스트</t>
    <phoneticPr fontId="6" type="noConversion"/>
  </si>
  <si>
    <t>투디</t>
    <phoneticPr fontId="6" type="noConversion"/>
  </si>
  <si>
    <t>제일기획 대행수수료 조정 (17.65% → 10%)</t>
    <phoneticPr fontId="6" type="noConversion"/>
  </si>
  <si>
    <t>이동건</t>
    <phoneticPr fontId="6" type="noConversion"/>
  </si>
  <si>
    <t>데이브레이크_들었다놨다</t>
    <phoneticPr fontId="6" type="noConversion"/>
  </si>
  <si>
    <t>조정견적</t>
    <phoneticPr fontId="6" type="noConversion"/>
  </si>
  <si>
    <t>사전견적</t>
    <phoneticPr fontId="6" type="noConversion"/>
  </si>
  <si>
    <t>1차 조정견적</t>
    <phoneticPr fontId="6" type="noConversion"/>
  </si>
  <si>
    <t>최종견적</t>
    <phoneticPr fontId="6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</si>
</sst>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6">
    <numFmt numFmtId="41" formatCode="_-* #,##0_-;\-* #,##0_-;_-* &quot;-&quot;_-;_-@_-"/>
    <numFmt numFmtId="43" formatCode="_-* #,##0.00_-;\-* #,##0.00_-;_-* &quot;-&quot;??_-;_-@_-"/>
    <numFmt numFmtId="24" formatCode="\$#,##0_);[Red]\(\$#,##0\)"/>
    <numFmt numFmtId="176" formatCode="#,##0_ "/>
    <numFmt numFmtId="177" formatCode="_(* #,##0_);_(* \(#,##0\);_(* &quot;-&quot;_);_(@_)"/>
    <numFmt numFmtId="178" formatCode="&quot;₩&quot;#,##0"/>
    <numFmt numFmtId="179" formatCode="_ * #,##0_ ;_ * \-#,##0_ ;_ * &quot;-&quot;_ ;_ @_ "/>
    <numFmt numFmtId="180" formatCode="_(* #,##0.00_);_(* \(#,##0.00\);_(* &quot;-&quot;??_);_(@_)"/>
    <numFmt numFmtId="181" formatCode="_ * #,##0.00_ ;_ * \-#,##0.00_ ;_ * &quot;-&quot;??_ ;_ @_ "/>
    <numFmt numFmtId="182" formatCode="_(&quot;$&quot;* #,##0_);_(&quot;$&quot;* \(#,##0\);_(&quot;$&quot;* &quot;-&quot;_);_(@_)"/>
    <numFmt numFmtId="183" formatCode="_(&quot;$&quot;* #,##0.00_);_(&quot;$&quot;* \(#,##0.00\);_(&quot;$&quot;* &quot;-&quot;??_);_(@_)"/>
    <numFmt numFmtId="184" formatCode="#,##0.00_ "/>
    <numFmt numFmtId="185" formatCode="0.000%"/>
    <numFmt numFmtId="186" formatCode="&quot;₩&quot;#,##0.0"/>
    <numFmt numFmtId="187" formatCode="&quot;₩&quot;\ #,##0\ &quot;원&quot;\(\V\A\T&quot;별&quot;&quot;도&quot;\)"/>
    <numFmt numFmtId="188" formatCode="mm&quot;월&quot;\ dd&quot;일&quot;"/>
  </numFmts>
  <fonts count="30" x14ac:knownFonts="1">
    <font>
      <sz val="11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name val="돋움"/>
      <family val="3"/>
      <charset val="129"/>
    </font>
    <font>
      <sz val="8"/>
      <name val="돋움"/>
      <family val="3"/>
      <charset val="129"/>
    </font>
    <font>
      <sz val="8"/>
      <name val="돋움"/>
      <family val="3"/>
    </font>
    <font>
      <sz val="11"/>
      <name val="돋움"/>
      <family val="3"/>
    </font>
    <font>
      <sz val="10"/>
      <color indexed="8"/>
      <name val="ARIAL"/>
      <family val="2"/>
    </font>
    <font>
      <sz val="10"/>
      <name val="Arial"/>
      <family val="2"/>
    </font>
    <font>
      <sz val="10"/>
      <name val="Times New Roman"/>
      <family val="1"/>
    </font>
    <font>
      <b/>
      <u/>
      <sz val="13"/>
      <name val="굴림체"/>
      <family val="3"/>
      <charset val="129"/>
    </font>
    <font>
      <sz val="12"/>
      <name val="굴림체"/>
      <family val="3"/>
      <charset val="129"/>
    </font>
    <font>
      <sz val="11"/>
      <name val="굴림체"/>
      <family val="3"/>
      <charset val="129"/>
    </font>
    <font>
      <sz val="12"/>
      <name val="바탕체"/>
      <family val="1"/>
      <charset val="129"/>
    </font>
    <font>
      <sz val="11"/>
      <color theme="1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1"/>
      <color indexed="8"/>
      <name val="맑은 고딕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24"/>
      <name val="맑은 고딕"/>
      <family val="3"/>
      <charset val="129"/>
      <scheme val="minor"/>
    </font>
    <font>
      <b/>
      <sz val="12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indexed="42"/>
      </patternFill>
    </fill>
    <fill>
      <patternFill patternType="solid">
        <fgColor indexed="9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60">
    <border>
      <left/>
      <right/>
      <top/>
      <bottom/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hair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85">
    <xf numFmtId="0" fontId="0" fillId="0" borderId="0">
      <alignment vertical="center"/>
    </xf>
    <xf numFmtId="179" fontId="10" fillId="0" borderId="0" applyFont="0" applyFill="0" applyBorder="0" applyAlignment="0" applyProtection="0"/>
    <xf numFmtId="181" fontId="10" fillId="0" borderId="0" applyFont="0" applyFill="0" applyBorder="0" applyAlignment="0" applyProtection="0"/>
    <xf numFmtId="182" fontId="10" fillId="0" borderId="0" applyFont="0" applyFill="0" applyBorder="0" applyAlignment="0" applyProtection="0"/>
    <xf numFmtId="183" fontId="10" fillId="0" borderId="0" applyFont="0" applyFill="0" applyBorder="0" applyAlignment="0" applyProtection="0"/>
    <xf numFmtId="0" fontId="11" fillId="0" borderId="0"/>
    <xf numFmtId="0" fontId="12" fillId="0" borderId="0" applyFill="0" applyBorder="0" applyProtection="0">
      <alignment horizontal="centerContinuous" vertical="center"/>
    </xf>
    <xf numFmtId="0" fontId="12" fillId="0" borderId="0" applyFill="0" applyBorder="0" applyProtection="0">
      <alignment horizontal="centerContinuous" vertical="center"/>
    </xf>
    <xf numFmtId="0" fontId="13" fillId="3" borderId="0" applyFill="0" applyBorder="0" applyProtection="0">
      <alignment horizontal="center" vertical="center"/>
    </xf>
    <xf numFmtId="0" fontId="13" fillId="3" borderId="0" applyFill="0" applyBorder="0" applyProtection="0">
      <alignment horizontal="center" vertical="center"/>
    </xf>
    <xf numFmtId="9" fontId="5" fillId="0" borderId="0" applyFont="0" applyFill="0" applyBorder="0" applyAlignment="0" applyProtection="0">
      <alignment vertical="center"/>
    </xf>
    <xf numFmtId="9" fontId="14" fillId="3" borderId="0" applyFill="0" applyBorder="0" applyProtection="0">
      <alignment horizontal="right"/>
    </xf>
    <xf numFmtId="9" fontId="14" fillId="3" borderId="0" applyFill="0" applyBorder="0" applyProtection="0">
      <alignment horizontal="right"/>
    </xf>
    <xf numFmtId="10" fontId="14" fillId="0" borderId="0" applyFill="0" applyBorder="0" applyProtection="0">
      <alignment horizontal="right"/>
    </xf>
    <xf numFmtId="10" fontId="14" fillId="0" borderId="0" applyFill="0" applyBorder="0" applyProtection="0">
      <alignment horizontal="right"/>
    </xf>
    <xf numFmtId="41" fontId="5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180" fontId="9" fillId="0" borderId="0"/>
    <xf numFmtId="179" fontId="13" fillId="0" borderId="0" applyFont="0" applyFill="0" applyBorder="0" applyAlignment="0" applyProtection="0"/>
    <xf numFmtId="180" fontId="9" fillId="0" borderId="0"/>
    <xf numFmtId="179" fontId="13" fillId="0" borderId="0" applyFont="0" applyFill="0" applyBorder="0" applyAlignment="0" applyProtection="0"/>
    <xf numFmtId="41" fontId="16" fillId="0" borderId="0" applyFont="0" applyFill="0" applyBorder="0" applyAlignment="0" applyProtection="0">
      <alignment vertical="center"/>
    </xf>
    <xf numFmtId="180" fontId="9" fillId="0" borderId="0"/>
    <xf numFmtId="41" fontId="5" fillId="0" borderId="0" applyFont="0" applyFill="0" applyBorder="0" applyAlignment="0" applyProtection="0"/>
    <xf numFmtId="41" fontId="16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179" fontId="15" fillId="0" borderId="0" applyFont="0" applyFill="0" applyBorder="0" applyAlignment="0" applyProtection="0"/>
    <xf numFmtId="184" fontId="14" fillId="3" borderId="0" applyFill="0" applyBorder="0" applyProtection="0">
      <alignment horizontal="right"/>
    </xf>
    <xf numFmtId="184" fontId="14" fillId="3" borderId="0" applyFill="0" applyBorder="0" applyProtection="0">
      <alignment horizontal="right"/>
    </xf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16" fillId="0" borderId="0" applyAlignment="0">
      <alignment vertical="center"/>
    </xf>
    <xf numFmtId="0" fontId="16" fillId="0" borderId="0" applyAlignment="0">
      <alignment vertical="center"/>
    </xf>
    <xf numFmtId="0" fontId="9" fillId="0" borderId="0"/>
    <xf numFmtId="0" fontId="13" fillId="0" borderId="0"/>
    <xf numFmtId="0" fontId="9" fillId="0" borderId="0"/>
    <xf numFmtId="0" fontId="13" fillId="0" borderId="0"/>
    <xf numFmtId="0" fontId="16" fillId="0" borderId="0">
      <alignment vertical="center"/>
    </xf>
    <xf numFmtId="0" fontId="16" fillId="0" borderId="0">
      <alignment vertical="center"/>
    </xf>
    <xf numFmtId="0" fontId="9" fillId="0" borderId="0"/>
    <xf numFmtId="0" fontId="5" fillId="0" borderId="0"/>
    <xf numFmtId="0" fontId="5" fillId="0" borderId="0"/>
    <xf numFmtId="0" fontId="16" fillId="0" borderId="0">
      <alignment vertical="center"/>
    </xf>
    <xf numFmtId="0" fontId="5" fillId="0" borderId="0"/>
    <xf numFmtId="0" fontId="5" fillId="0" borderId="0"/>
    <xf numFmtId="0" fontId="23" fillId="0" borderId="0">
      <alignment vertical="center"/>
    </xf>
    <xf numFmtId="41" fontId="23" fillId="0" borderId="0" applyFont="0" applyFill="0" applyBorder="0" applyAlignment="0" applyProtection="0">
      <alignment vertical="center"/>
    </xf>
    <xf numFmtId="0" fontId="24" fillId="0" borderId="0" applyNumberFormat="0" applyFill="0" applyBorder="0" applyProtection="0">
      <alignment vertical="center"/>
    </xf>
    <xf numFmtId="41" fontId="24" fillId="0" borderId="0" applyFont="0" applyFill="0" applyBorder="0" applyAlignment="0" applyProtection="0">
      <alignment vertical="center"/>
    </xf>
    <xf numFmtId="41" fontId="4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0" fontId="3" fillId="0" borderId="0">
      <alignment vertical="center"/>
    </xf>
    <xf numFmtId="0" fontId="3" fillId="0" borderId="0">
      <alignment vertical="center"/>
    </xf>
    <xf numFmtId="41" fontId="2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9" fillId="0" borderId="0"/>
    <xf numFmtId="43" fontId="9" fillId="0" borderId="0"/>
    <xf numFmtId="0" fontId="29" fillId="0" borderId="4" applyNumberFormat="0" applyAlignment="0" applyProtection="0">
      <alignment horizontal="left" vertical="center"/>
    </xf>
    <xf numFmtId="0" fontId="29" fillId="0" borderId="59">
      <alignment horizontal="left" vertical="center"/>
    </xf>
    <xf numFmtId="181" fontId="15" fillId="0" borderId="0" applyFont="0" applyFill="0" applyBorder="0" applyAlignment="0" applyProtection="0"/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6" fillId="0" borderId="0">
      <alignment vertical="center"/>
    </xf>
    <xf numFmtId="41" fontId="16" fillId="0" borderId="0" applyFont="0" applyFill="0" applyBorder="0" applyAlignment="0" applyProtection="0">
      <alignment vertical="center"/>
    </xf>
    <xf numFmtId="43" fontId="9" fillId="0" borderId="0"/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41" fontId="16" fillId="0" borderId="0" applyFont="0" applyFill="0" applyBorder="0" applyAlignment="0" applyProtection="0">
      <alignment vertical="center"/>
    </xf>
    <xf numFmtId="0" fontId="16" fillId="0" borderId="0">
      <alignment vertical="center"/>
    </xf>
    <xf numFmtId="0" fontId="16" fillId="0" borderId="0">
      <alignment vertical="center"/>
    </xf>
    <xf numFmtId="0" fontId="8" fillId="0" borderId="0"/>
    <xf numFmtId="0" fontId="16" fillId="0" borderId="0">
      <alignment vertical="center"/>
    </xf>
    <xf numFmtId="0" fontId="16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56">
    <xf numFmtId="0" fontId="0" fillId="0" borderId="0" xfId="0">
      <alignment vertical="center"/>
    </xf>
    <xf numFmtId="0" fontId="16" fillId="0" borderId="0" xfId="39" applyFont="1" applyAlignment="1">
      <alignment vertical="center"/>
    </xf>
    <xf numFmtId="0" fontId="17" fillId="0" borderId="0" xfId="39" applyFont="1" applyAlignment="1">
      <alignment horizontal="center"/>
    </xf>
    <xf numFmtId="0" fontId="18" fillId="0" borderId="0" xfId="39" applyFont="1" applyAlignment="1">
      <alignment vertical="center"/>
    </xf>
    <xf numFmtId="0" fontId="17" fillId="0" borderId="0" xfId="39" applyFont="1" applyAlignment="1">
      <alignment horizontal="left"/>
    </xf>
    <xf numFmtId="0" fontId="17" fillId="0" borderId="0" xfId="39" applyFont="1" applyAlignment="1">
      <alignment vertical="center"/>
    </xf>
    <xf numFmtId="0" fontId="19" fillId="2" borderId="1" xfId="39" applyFont="1" applyFill="1" applyBorder="1" applyAlignment="1">
      <alignment horizontal="left" vertical="center"/>
    </xf>
    <xf numFmtId="0" fontId="19" fillId="2" borderId="1" xfId="39" applyFont="1" applyFill="1" applyBorder="1" applyAlignment="1">
      <alignment horizontal="right" vertical="center"/>
    </xf>
    <xf numFmtId="0" fontId="19" fillId="0" borderId="0" xfId="39" applyFont="1" applyAlignment="1">
      <alignment vertical="center"/>
    </xf>
    <xf numFmtId="0" fontId="19" fillId="0" borderId="2" xfId="39" applyFont="1" applyBorder="1" applyAlignment="1">
      <alignment horizontal="left" vertical="center"/>
    </xf>
    <xf numFmtId="0" fontId="19" fillId="0" borderId="2" xfId="39" applyFont="1" applyBorder="1" applyAlignment="1">
      <alignment horizontal="right" vertical="center"/>
    </xf>
    <xf numFmtId="0" fontId="19" fillId="2" borderId="2" xfId="39" applyFont="1" applyFill="1" applyBorder="1" applyAlignment="1">
      <alignment horizontal="right" vertical="center"/>
    </xf>
    <xf numFmtId="0" fontId="20" fillId="2" borderId="3" xfId="39" applyFont="1" applyFill="1" applyBorder="1" applyAlignment="1">
      <alignment horizontal="center" vertical="center"/>
    </xf>
    <xf numFmtId="0" fontId="20" fillId="2" borderId="4" xfId="39" applyFont="1" applyFill="1" applyBorder="1" applyAlignment="1">
      <alignment horizontal="center" vertical="center"/>
    </xf>
    <xf numFmtId="24" fontId="20" fillId="2" borderId="4" xfId="39" applyNumberFormat="1" applyFont="1" applyFill="1" applyBorder="1" applyAlignment="1">
      <alignment horizontal="left" vertical="center"/>
    </xf>
    <xf numFmtId="0" fontId="20" fillId="0" borderId="0" xfId="39" applyFont="1" applyBorder="1" applyAlignment="1">
      <alignment vertical="center"/>
    </xf>
    <xf numFmtId="0" fontId="21" fillId="2" borderId="4" xfId="39" applyFont="1" applyFill="1" applyBorder="1" applyAlignment="1">
      <alignment horizontal="left" vertical="center"/>
    </xf>
    <xf numFmtId="0" fontId="20" fillId="0" borderId="0" xfId="39" applyFont="1" applyAlignment="1">
      <alignment vertical="center"/>
    </xf>
    <xf numFmtId="0" fontId="20" fillId="0" borderId="15" xfId="15" applyNumberFormat="1" applyFont="1" applyFill="1" applyBorder="1" applyAlignment="1">
      <alignment horizontal="center" vertical="center"/>
    </xf>
    <xf numFmtId="0" fontId="20" fillId="0" borderId="16" xfId="15" applyNumberFormat="1" applyFont="1" applyFill="1" applyBorder="1" applyAlignment="1">
      <alignment horizontal="center" vertical="center"/>
    </xf>
    <xf numFmtId="0" fontId="20" fillId="0" borderId="15" xfId="39" applyNumberFormat="1" applyFont="1" applyFill="1" applyBorder="1" applyAlignment="1">
      <alignment horizontal="center" vertical="center" wrapText="1"/>
    </xf>
    <xf numFmtId="0" fontId="20" fillId="0" borderId="18" xfId="39" applyNumberFormat="1" applyFont="1" applyFill="1" applyBorder="1" applyAlignment="1">
      <alignment horizontal="center" vertical="center" wrapText="1"/>
    </xf>
    <xf numFmtId="41" fontId="22" fillId="0" borderId="18" xfId="15" applyFont="1" applyFill="1" applyBorder="1" applyAlignment="1">
      <alignment horizontal="center" vertical="center" wrapText="1"/>
    </xf>
    <xf numFmtId="0" fontId="22" fillId="0" borderId="15" xfId="39" applyFont="1" applyFill="1" applyBorder="1" applyAlignment="1">
      <alignment horizontal="center" vertical="center" wrapText="1"/>
    </xf>
    <xf numFmtId="178" fontId="17" fillId="0" borderId="0" xfId="39" applyNumberFormat="1" applyFont="1" applyAlignment="1">
      <alignment vertical="center"/>
    </xf>
    <xf numFmtId="185" fontId="17" fillId="0" borderId="0" xfId="10" applyNumberFormat="1" applyFont="1" applyAlignment="1">
      <alignment vertical="center"/>
    </xf>
    <xf numFmtId="177" fontId="17" fillId="0" borderId="0" xfId="39" applyNumberFormat="1" applyFont="1" applyAlignment="1">
      <alignment vertical="center"/>
    </xf>
    <xf numFmtId="186" fontId="17" fillId="0" borderId="0" xfId="39" applyNumberFormat="1" applyFont="1" applyAlignment="1">
      <alignment vertical="center"/>
    </xf>
    <xf numFmtId="177" fontId="20" fillId="0" borderId="0" xfId="39" applyNumberFormat="1" applyFont="1" applyAlignment="1">
      <alignment vertical="center"/>
    </xf>
    <xf numFmtId="41" fontId="17" fillId="0" borderId="0" xfId="15" applyFont="1" applyAlignment="1">
      <alignment horizontal="center"/>
    </xf>
    <xf numFmtId="9" fontId="17" fillId="0" borderId="0" xfId="10" applyFont="1" applyAlignment="1">
      <alignment horizontal="left"/>
    </xf>
    <xf numFmtId="178" fontId="16" fillId="0" borderId="0" xfId="39" applyNumberFormat="1" applyFont="1" applyAlignment="1">
      <alignment vertical="center"/>
    </xf>
    <xf numFmtId="41" fontId="20" fillId="0" borderId="15" xfId="15" applyFont="1" applyFill="1" applyBorder="1" applyAlignment="1">
      <alignment horizontal="center" vertical="center" wrapText="1"/>
    </xf>
    <xf numFmtId="0" fontId="20" fillId="6" borderId="5" xfId="39" applyFont="1" applyFill="1" applyBorder="1" applyAlignment="1">
      <alignment horizontal="left" vertical="center"/>
    </xf>
    <xf numFmtId="0" fontId="19" fillId="6" borderId="4" xfId="39" applyFont="1" applyFill="1" applyBorder="1" applyAlignment="1">
      <alignment horizontal="left" vertical="center"/>
    </xf>
    <xf numFmtId="24" fontId="19" fillId="6" borderId="4" xfId="39" applyNumberFormat="1" applyFont="1" applyFill="1" applyBorder="1" applyAlignment="1">
      <alignment horizontal="left" vertical="center"/>
    </xf>
    <xf numFmtId="0" fontId="20" fillId="6" borderId="4" xfId="39" applyFont="1" applyFill="1" applyBorder="1" applyAlignment="1">
      <alignment horizontal="center" vertical="center"/>
    </xf>
    <xf numFmtId="177" fontId="25" fillId="0" borderId="0" xfId="39" applyNumberFormat="1" applyFont="1" applyAlignment="1">
      <alignment vertical="center"/>
    </xf>
    <xf numFmtId="0" fontId="22" fillId="0" borderId="18" xfId="39" applyFont="1" applyFill="1" applyBorder="1" applyAlignment="1">
      <alignment horizontal="center" vertical="center" wrapText="1"/>
    </xf>
    <xf numFmtId="177" fontId="20" fillId="6" borderId="31" xfId="39" applyNumberFormat="1" applyFont="1" applyFill="1" applyBorder="1" applyAlignment="1">
      <alignment horizontal="left" vertical="center"/>
    </xf>
    <xf numFmtId="41" fontId="20" fillId="6" borderId="32" xfId="15" applyFont="1" applyFill="1" applyBorder="1" applyAlignment="1">
      <alignment horizontal="center" vertical="center"/>
    </xf>
    <xf numFmtId="0" fontId="20" fillId="2" borderId="46" xfId="39" applyFont="1" applyFill="1" applyBorder="1" applyAlignment="1">
      <alignment horizontal="center" vertical="center"/>
    </xf>
    <xf numFmtId="177" fontId="20" fillId="0" borderId="47" xfId="39" applyNumberFormat="1" applyFont="1" applyFill="1" applyBorder="1" applyAlignment="1">
      <alignment horizontal="left" vertical="center"/>
    </xf>
    <xf numFmtId="177" fontId="20" fillId="0" borderId="48" xfId="39" applyNumberFormat="1" applyFont="1" applyFill="1" applyBorder="1" applyAlignment="1">
      <alignment horizontal="left" vertical="center"/>
    </xf>
    <xf numFmtId="177" fontId="20" fillId="2" borderId="46" xfId="39" applyNumberFormat="1" applyFont="1" applyFill="1" applyBorder="1" applyAlignment="1">
      <alignment horizontal="left" vertical="center"/>
    </xf>
    <xf numFmtId="41" fontId="20" fillId="0" borderId="48" xfId="15" applyFont="1" applyFill="1" applyBorder="1" applyAlignment="1">
      <alignment horizontal="center" vertical="center"/>
    </xf>
    <xf numFmtId="177" fontId="20" fillId="6" borderId="46" xfId="39" applyNumberFormat="1" applyFont="1" applyFill="1" applyBorder="1" applyAlignment="1">
      <alignment horizontal="left" vertical="center"/>
    </xf>
    <xf numFmtId="0" fontId="20" fillId="2" borderId="1" xfId="39" applyFont="1" applyFill="1" applyBorder="1" applyAlignment="1">
      <alignment horizontal="left" vertical="center"/>
    </xf>
    <xf numFmtId="0" fontId="20" fillId="2" borderId="1" xfId="39" applyFont="1" applyFill="1" applyBorder="1" applyAlignment="1">
      <alignment horizontal="right" vertical="center"/>
    </xf>
    <xf numFmtId="0" fontId="20" fillId="0" borderId="2" xfId="39" applyFont="1" applyBorder="1" applyAlignment="1">
      <alignment horizontal="left" vertical="center"/>
    </xf>
    <xf numFmtId="0" fontId="20" fillId="0" borderId="2" xfId="39" applyFont="1" applyBorder="1" applyAlignment="1">
      <alignment horizontal="right" vertical="center"/>
    </xf>
    <xf numFmtId="0" fontId="20" fillId="2" borderId="2" xfId="39" applyFont="1" applyFill="1" applyBorder="1" applyAlignment="1">
      <alignment horizontal="left" vertical="center"/>
    </xf>
    <xf numFmtId="0" fontId="21" fillId="2" borderId="19" xfId="39" applyFont="1" applyFill="1" applyBorder="1" applyAlignment="1">
      <alignment horizontal="left" vertical="center"/>
    </xf>
    <xf numFmtId="0" fontId="20" fillId="2" borderId="19" xfId="39" applyFont="1" applyFill="1" applyBorder="1" applyAlignment="1">
      <alignment horizontal="left" vertical="center"/>
    </xf>
    <xf numFmtId="176" fontId="22" fillId="0" borderId="15" xfId="39" applyNumberFormat="1" applyFont="1" applyFill="1" applyBorder="1" applyAlignment="1">
      <alignment horizontal="center" vertical="center" wrapText="1"/>
    </xf>
    <xf numFmtId="0" fontId="19" fillId="6" borderId="6" xfId="39" applyFont="1" applyFill="1" applyBorder="1" applyAlignment="1">
      <alignment horizontal="center" vertical="center"/>
    </xf>
    <xf numFmtId="0" fontId="19" fillId="2" borderId="57" xfId="39" applyFont="1" applyFill="1" applyBorder="1" applyAlignment="1">
      <alignment horizontal="right" vertical="center"/>
    </xf>
    <xf numFmtId="0" fontId="20" fillId="2" borderId="57" xfId="39" quotePrefix="1" applyFont="1" applyFill="1" applyBorder="1" applyAlignment="1">
      <alignment horizontal="left" vertical="center"/>
    </xf>
    <xf numFmtId="0" fontId="20" fillId="2" borderId="57" xfId="39" applyFont="1" applyFill="1" applyBorder="1" applyAlignment="1">
      <alignment horizontal="right" vertical="center"/>
    </xf>
    <xf numFmtId="0" fontId="20" fillId="2" borderId="57" xfId="39" applyFont="1" applyFill="1" applyBorder="1" applyAlignment="1">
      <alignment horizontal="left" vertical="center"/>
    </xf>
    <xf numFmtId="176" fontId="22" fillId="0" borderId="58" xfId="39" applyNumberFormat="1" applyFont="1" applyFill="1" applyBorder="1" applyAlignment="1">
      <alignment horizontal="center" vertical="center" wrapText="1"/>
    </xf>
    <xf numFmtId="0" fontId="26" fillId="0" borderId="0" xfId="39" applyFont="1" applyBorder="1" applyAlignment="1">
      <alignment vertical="center"/>
    </xf>
    <xf numFmtId="178" fontId="26" fillId="0" borderId="0" xfId="39" applyNumberFormat="1" applyFont="1" applyBorder="1" applyAlignment="1">
      <alignment vertical="center"/>
    </xf>
    <xf numFmtId="0" fontId="27" fillId="7" borderId="6" xfId="39" applyFont="1" applyFill="1" applyBorder="1" applyAlignment="1">
      <alignment horizontal="center" vertical="center"/>
    </xf>
    <xf numFmtId="0" fontId="26" fillId="7" borderId="5" xfId="39" applyFont="1" applyFill="1" applyBorder="1" applyAlignment="1">
      <alignment vertical="center"/>
    </xf>
    <xf numFmtId="0" fontId="27" fillId="7" borderId="4" xfId="39" applyFont="1" applyFill="1" applyBorder="1" applyAlignment="1">
      <alignment horizontal="left" vertical="center"/>
    </xf>
    <xf numFmtId="24" fontId="27" fillId="7" borderId="4" xfId="39" applyNumberFormat="1" applyFont="1" applyFill="1" applyBorder="1" applyAlignment="1">
      <alignment horizontal="left" vertical="center"/>
    </xf>
    <xf numFmtId="0" fontId="26" fillId="7" borderId="4" xfId="39" applyFont="1" applyFill="1" applyBorder="1" applyAlignment="1">
      <alignment horizontal="center" vertical="center"/>
    </xf>
    <xf numFmtId="41" fontId="27" fillId="7" borderId="46" xfId="39" applyNumberFormat="1" applyFont="1" applyFill="1" applyBorder="1" applyAlignment="1">
      <alignment horizontal="right" vertical="center"/>
    </xf>
    <xf numFmtId="0" fontId="20" fillId="7" borderId="4" xfId="39" applyNumberFormat="1" applyFont="1" applyFill="1" applyBorder="1" applyAlignment="1">
      <alignment vertical="center"/>
    </xf>
    <xf numFmtId="0" fontId="20" fillId="2" borderId="4" xfId="39" applyNumberFormat="1" applyFont="1" applyFill="1" applyBorder="1" applyAlignment="1">
      <alignment horizontal="center" vertical="center"/>
    </xf>
    <xf numFmtId="0" fontId="20" fillId="2" borderId="4" xfId="39" applyNumberFormat="1" applyFont="1" applyFill="1" applyBorder="1" applyAlignment="1">
      <alignment horizontal="left" vertical="center"/>
    </xf>
    <xf numFmtId="0" fontId="20" fillId="0" borderId="30" xfId="39" applyNumberFormat="1" applyFont="1" applyFill="1" applyBorder="1" applyAlignment="1">
      <alignment horizontal="left" vertical="center"/>
    </xf>
    <xf numFmtId="0" fontId="20" fillId="6" borderId="4" xfId="39" applyNumberFormat="1" applyFont="1" applyFill="1" applyBorder="1" applyAlignment="1">
      <alignment horizontal="left" vertical="center"/>
    </xf>
    <xf numFmtId="0" fontId="19" fillId="0" borderId="9" xfId="38" applyFont="1" applyBorder="1" applyAlignment="1">
      <alignment horizontal="center" vertical="center"/>
    </xf>
    <xf numFmtId="0" fontId="19" fillId="0" borderId="10" xfId="38" applyFont="1" applyBorder="1" applyAlignment="1">
      <alignment horizontal="center" vertical="center"/>
    </xf>
    <xf numFmtId="0" fontId="19" fillId="7" borderId="9" xfId="38" applyFont="1" applyFill="1" applyBorder="1" applyAlignment="1">
      <alignment horizontal="center" vertical="center"/>
    </xf>
    <xf numFmtId="0" fontId="19" fillId="0" borderId="11" xfId="38" applyFont="1" applyBorder="1" applyAlignment="1">
      <alignment horizontal="center" vertical="center"/>
    </xf>
    <xf numFmtId="0" fontId="19" fillId="0" borderId="12" xfId="38" applyFont="1" applyBorder="1" applyAlignment="1">
      <alignment horizontal="center" vertical="center"/>
    </xf>
    <xf numFmtId="176" fontId="20" fillId="4" borderId="6" xfId="29" applyNumberFormat="1" applyFont="1" applyFill="1" applyBorder="1" applyAlignment="1">
      <alignment horizontal="left" vertical="center" wrapText="1"/>
    </xf>
    <xf numFmtId="41" fontId="17" fillId="0" borderId="0" xfId="15" applyFont="1">
      <alignment vertical="center"/>
    </xf>
    <xf numFmtId="188" fontId="20" fillId="2" borderId="57" xfId="39" quotePrefix="1" applyNumberFormat="1" applyFont="1" applyFill="1" applyBorder="1" applyAlignment="1">
      <alignment horizontal="left" vertical="center"/>
    </xf>
    <xf numFmtId="0" fontId="20" fillId="0" borderId="30" xfId="39" applyNumberFormat="1" applyFont="1" applyFill="1" applyBorder="1" applyAlignment="1">
      <alignment horizontal="center" vertical="center"/>
    </xf>
    <xf numFmtId="0" fontId="20" fillId="5" borderId="56" xfId="39" applyFont="1" applyFill="1" applyBorder="1" applyAlignment="1">
      <alignment horizontal="center" vertical="center"/>
    </xf>
    <xf numFmtId="0" fontId="20" fillId="5" borderId="8" xfId="39" applyFont="1" applyFill="1" applyBorder="1" applyAlignment="1">
      <alignment horizontal="left" vertical="center"/>
    </xf>
    <xf numFmtId="24" fontId="20" fillId="5" borderId="8" xfId="39" applyNumberFormat="1" applyFont="1" applyFill="1" applyBorder="1" applyAlignment="1">
      <alignment horizontal="left" vertical="center"/>
    </xf>
    <xf numFmtId="0" fontId="20" fillId="5" borderId="8" xfId="39" applyFont="1" applyFill="1" applyBorder="1" applyAlignment="1">
      <alignment horizontal="center" vertical="center"/>
    </xf>
    <xf numFmtId="177" fontId="20" fillId="5" borderId="49" xfId="39" applyNumberFormat="1" applyFont="1" applyFill="1" applyBorder="1" applyAlignment="1">
      <alignment horizontal="left" vertical="center"/>
    </xf>
    <xf numFmtId="177" fontId="25" fillId="6" borderId="31" xfId="39" applyNumberFormat="1" applyFont="1" applyFill="1" applyBorder="1" applyAlignment="1">
      <alignment horizontal="left" vertical="center"/>
    </xf>
    <xf numFmtId="177" fontId="25" fillId="6" borderId="32" xfId="39" applyNumberFormat="1" applyFont="1" applyFill="1" applyBorder="1" applyAlignment="1">
      <alignment horizontal="left" vertical="center"/>
    </xf>
    <xf numFmtId="177" fontId="25" fillId="2" borderId="46" xfId="39" applyNumberFormat="1" applyFont="1" applyFill="1" applyBorder="1" applyAlignment="1">
      <alignment horizontal="left" vertical="center"/>
    </xf>
    <xf numFmtId="0" fontId="20" fillId="6" borderId="28" xfId="39" applyFont="1" applyFill="1" applyBorder="1" applyAlignment="1">
      <alignment horizontal="center" vertical="center"/>
    </xf>
    <xf numFmtId="0" fontId="20" fillId="2" borderId="5" xfId="39" applyFont="1" applyFill="1" applyBorder="1" applyAlignment="1">
      <alignment horizontal="center" vertical="center"/>
    </xf>
    <xf numFmtId="0" fontId="20" fillId="2" borderId="6" xfId="39" applyFont="1" applyFill="1" applyBorder="1" applyAlignment="1">
      <alignment horizontal="center" vertical="center"/>
    </xf>
    <xf numFmtId="177" fontId="22" fillId="6" borderId="31" xfId="39" applyNumberFormat="1" applyFont="1" applyFill="1" applyBorder="1" applyAlignment="1">
      <alignment horizontal="left" vertical="center"/>
    </xf>
    <xf numFmtId="0" fontId="19" fillId="0" borderId="0" xfId="39" applyFont="1" applyAlignment="1">
      <alignment horizontal="right" vertical="center"/>
    </xf>
    <xf numFmtId="0" fontId="25" fillId="2" borderId="4" xfId="39" applyNumberFormat="1" applyFont="1" applyFill="1" applyBorder="1" applyAlignment="1">
      <alignment horizontal="center" vertical="center"/>
    </xf>
    <xf numFmtId="0" fontId="25" fillId="5" borderId="8" xfId="39" applyNumberFormat="1" applyFont="1" applyFill="1" applyBorder="1" applyAlignment="1">
      <alignment horizontal="center" vertical="center"/>
    </xf>
    <xf numFmtId="0" fontId="20" fillId="0" borderId="30" xfId="39" applyNumberFormat="1" applyFont="1" applyFill="1" applyBorder="1" applyAlignment="1">
      <alignment horizontal="center" vertical="center" wrapText="1"/>
    </xf>
    <xf numFmtId="0" fontId="20" fillId="2" borderId="5" xfId="39" applyFont="1" applyFill="1" applyBorder="1" applyAlignment="1">
      <alignment horizontal="center" vertical="center"/>
    </xf>
    <xf numFmtId="0" fontId="20" fillId="2" borderId="6" xfId="39" applyFont="1" applyFill="1" applyBorder="1" applyAlignment="1">
      <alignment horizontal="center" vertical="center"/>
    </xf>
    <xf numFmtId="0" fontId="20" fillId="6" borderId="28" xfId="39" applyFont="1" applyFill="1" applyBorder="1" applyAlignment="1">
      <alignment horizontal="center" vertical="center"/>
    </xf>
    <xf numFmtId="176" fontId="22" fillId="0" borderId="22" xfId="39" applyNumberFormat="1" applyFont="1" applyFill="1" applyBorder="1" applyAlignment="1">
      <alignment horizontal="center" vertical="center" wrapText="1"/>
    </xf>
    <xf numFmtId="176" fontId="22" fillId="0" borderId="26" xfId="39" applyNumberFormat="1" applyFont="1" applyFill="1" applyBorder="1" applyAlignment="1">
      <alignment horizontal="center" vertical="center" wrapText="1"/>
    </xf>
    <xf numFmtId="0" fontId="20" fillId="0" borderId="44" xfId="39" applyFont="1" applyBorder="1" applyAlignment="1">
      <alignment horizontal="center" vertical="center" wrapText="1"/>
    </xf>
    <xf numFmtId="0" fontId="20" fillId="0" borderId="45" xfId="39" applyFont="1" applyBorder="1" applyAlignment="1">
      <alignment horizontal="center" vertical="center" wrapText="1"/>
    </xf>
    <xf numFmtId="0" fontId="17" fillId="0" borderId="8" xfId="39" applyFont="1" applyBorder="1" applyAlignment="1">
      <alignment horizontal="right" vertical="center"/>
    </xf>
    <xf numFmtId="0" fontId="25" fillId="0" borderId="54" xfId="15" applyNumberFormat="1" applyFont="1" applyFill="1" applyBorder="1" applyAlignment="1">
      <alignment horizontal="center" vertical="center" wrapText="1"/>
    </xf>
    <xf numFmtId="0" fontId="25" fillId="0" borderId="0" xfId="15" applyNumberFormat="1" applyFont="1" applyFill="1" applyBorder="1" applyAlignment="1">
      <alignment horizontal="center" vertical="center" wrapText="1"/>
    </xf>
    <xf numFmtId="0" fontId="25" fillId="0" borderId="0" xfId="15" applyNumberFormat="1" applyFont="1" applyFill="1" applyBorder="1" applyAlignment="1">
      <alignment horizontal="center" vertical="center"/>
    </xf>
    <xf numFmtId="0" fontId="25" fillId="0" borderId="19" xfId="15" applyNumberFormat="1" applyFont="1" applyFill="1" applyBorder="1" applyAlignment="1">
      <alignment horizontal="center" vertical="center"/>
    </xf>
    <xf numFmtId="0" fontId="20" fillId="0" borderId="56" xfId="39" applyFont="1" applyBorder="1" applyAlignment="1">
      <alignment horizontal="center" vertical="center" wrapText="1"/>
    </xf>
    <xf numFmtId="0" fontId="20" fillId="0" borderId="16" xfId="39" applyFont="1" applyBorder="1" applyAlignment="1">
      <alignment horizontal="center" vertical="center" wrapText="1"/>
    </xf>
    <xf numFmtId="0" fontId="20" fillId="2" borderId="5" xfId="39" applyFont="1" applyFill="1" applyBorder="1" applyAlignment="1">
      <alignment horizontal="center" vertical="center"/>
    </xf>
    <xf numFmtId="0" fontId="20" fillId="2" borderId="6" xfId="39" applyFont="1" applyFill="1" applyBorder="1" applyAlignment="1">
      <alignment horizontal="center" vertical="center"/>
    </xf>
    <xf numFmtId="176" fontId="20" fillId="0" borderId="50" xfId="39" applyNumberFormat="1" applyFont="1" applyFill="1" applyBorder="1" applyAlignment="1">
      <alignment horizontal="center" vertical="center" wrapText="1"/>
    </xf>
    <xf numFmtId="176" fontId="20" fillId="0" borderId="51" xfId="39" applyNumberFormat="1" applyFont="1" applyFill="1" applyBorder="1" applyAlignment="1">
      <alignment horizontal="center" vertical="center" wrapText="1"/>
    </xf>
    <xf numFmtId="0" fontId="20" fillId="6" borderId="7" xfId="39" applyFont="1" applyFill="1" applyBorder="1" applyAlignment="1">
      <alignment horizontal="center" vertical="center" wrapText="1"/>
    </xf>
    <xf numFmtId="0" fontId="20" fillId="6" borderId="26" xfId="39" applyFont="1" applyFill="1" applyBorder="1" applyAlignment="1">
      <alignment horizontal="center" vertical="center"/>
    </xf>
    <xf numFmtId="0" fontId="20" fillId="6" borderId="28" xfId="39" applyFont="1" applyFill="1" applyBorder="1" applyAlignment="1">
      <alignment horizontal="center" vertical="center"/>
    </xf>
    <xf numFmtId="0" fontId="20" fillId="6" borderId="26" xfId="39" applyFont="1" applyFill="1" applyBorder="1" applyAlignment="1">
      <alignment horizontal="center" vertical="center" wrapText="1"/>
    </xf>
    <xf numFmtId="0" fontId="20" fillId="6" borderId="18" xfId="39" applyFont="1" applyFill="1" applyBorder="1" applyAlignment="1">
      <alignment horizontal="center" vertical="center" wrapText="1"/>
    </xf>
    <xf numFmtId="176" fontId="20" fillId="0" borderId="27" xfId="39" applyNumberFormat="1" applyFont="1" applyFill="1" applyBorder="1" applyAlignment="1">
      <alignment horizontal="center" vertical="center" wrapText="1"/>
    </xf>
    <xf numFmtId="176" fontId="20" fillId="0" borderId="17" xfId="39" applyNumberFormat="1" applyFont="1" applyFill="1" applyBorder="1" applyAlignment="1">
      <alignment horizontal="center" vertical="center" wrapText="1"/>
    </xf>
    <xf numFmtId="176" fontId="20" fillId="0" borderId="52" xfId="39" applyNumberFormat="1" applyFont="1" applyFill="1" applyBorder="1" applyAlignment="1">
      <alignment horizontal="center" vertical="center" wrapText="1"/>
    </xf>
    <xf numFmtId="176" fontId="20" fillId="0" borderId="53" xfId="39" applyNumberFormat="1" applyFont="1" applyFill="1" applyBorder="1" applyAlignment="1">
      <alignment horizontal="center" vertical="center" wrapText="1"/>
    </xf>
    <xf numFmtId="0" fontId="19" fillId="6" borderId="55" xfId="39" applyFont="1" applyFill="1" applyBorder="1" applyAlignment="1">
      <alignment horizontal="center" vertical="center"/>
    </xf>
    <xf numFmtId="0" fontId="28" fillId="0" borderId="19" xfId="39" applyFont="1" applyBorder="1" applyAlignment="1">
      <alignment horizontal="center" vertical="center"/>
    </xf>
    <xf numFmtId="0" fontId="19" fillId="5" borderId="20" xfId="38" applyFont="1" applyFill="1" applyBorder="1" applyAlignment="1">
      <alignment horizontal="center" vertical="center"/>
    </xf>
    <xf numFmtId="0" fontId="19" fillId="5" borderId="25" xfId="38" applyFont="1" applyFill="1" applyBorder="1" applyAlignment="1">
      <alignment horizontal="center" vertical="center"/>
    </xf>
    <xf numFmtId="0" fontId="19" fillId="5" borderId="35" xfId="38" applyFont="1" applyFill="1" applyBorder="1" applyAlignment="1">
      <alignment horizontal="center" vertical="center"/>
    </xf>
    <xf numFmtId="0" fontId="19" fillId="0" borderId="36" xfId="38" applyFont="1" applyBorder="1" applyAlignment="1">
      <alignment horizontal="center" vertical="center"/>
    </xf>
    <xf numFmtId="0" fontId="19" fillId="0" borderId="37" xfId="38" applyFont="1" applyBorder="1" applyAlignment="1">
      <alignment horizontal="center" vertical="center"/>
    </xf>
    <xf numFmtId="0" fontId="19" fillId="0" borderId="38" xfId="38" applyFont="1" applyBorder="1" applyAlignment="1">
      <alignment horizontal="center" vertical="center"/>
    </xf>
    <xf numFmtId="0" fontId="19" fillId="5" borderId="37" xfId="38" applyFont="1" applyFill="1" applyBorder="1" applyAlignment="1">
      <alignment horizontal="center" vertical="center"/>
    </xf>
    <xf numFmtId="0" fontId="19" fillId="5" borderId="38" xfId="38" applyFont="1" applyFill="1" applyBorder="1" applyAlignment="1">
      <alignment horizontal="center" vertical="center"/>
    </xf>
    <xf numFmtId="0" fontId="20" fillId="0" borderId="13" xfId="38" applyFont="1" applyBorder="1" applyAlignment="1">
      <alignment horizontal="center" vertical="center"/>
    </xf>
    <xf numFmtId="0" fontId="20" fillId="0" borderId="14" xfId="38" applyFont="1" applyBorder="1" applyAlignment="1">
      <alignment horizontal="center" vertical="center"/>
    </xf>
    <xf numFmtId="0" fontId="20" fillId="0" borderId="39" xfId="38" applyFont="1" applyBorder="1" applyAlignment="1">
      <alignment horizontal="center" vertical="center" wrapText="1"/>
    </xf>
    <xf numFmtId="0" fontId="20" fillId="0" borderId="23" xfId="38" applyFont="1" applyBorder="1" applyAlignment="1">
      <alignment horizontal="center" vertical="center" wrapText="1"/>
    </xf>
    <xf numFmtId="0" fontId="20" fillId="0" borderId="24" xfId="38" applyFont="1" applyBorder="1" applyAlignment="1">
      <alignment horizontal="center" vertical="center" wrapText="1"/>
    </xf>
    <xf numFmtId="0" fontId="20" fillId="0" borderId="40" xfId="38" applyFont="1" applyBorder="1" applyAlignment="1">
      <alignment horizontal="center" vertical="center" wrapText="1"/>
    </xf>
    <xf numFmtId="0" fontId="20" fillId="0" borderId="0" xfId="38" applyFont="1" applyBorder="1" applyAlignment="1">
      <alignment horizontal="center" vertical="center" wrapText="1"/>
    </xf>
    <xf numFmtId="0" fontId="20" fillId="0" borderId="41" xfId="38" applyFont="1" applyBorder="1" applyAlignment="1">
      <alignment horizontal="center" vertical="center" wrapText="1"/>
    </xf>
    <xf numFmtId="0" fontId="20" fillId="0" borderId="42" xfId="38" applyFont="1" applyBorder="1" applyAlignment="1">
      <alignment horizontal="center" vertical="center" wrapText="1"/>
    </xf>
    <xf numFmtId="0" fontId="20" fillId="0" borderId="19" xfId="38" applyFont="1" applyBorder="1" applyAlignment="1">
      <alignment horizontal="center" vertical="center" wrapText="1"/>
    </xf>
    <xf numFmtId="0" fontId="20" fillId="0" borderId="43" xfId="38" applyFont="1" applyBorder="1" applyAlignment="1">
      <alignment horizontal="center" vertical="center" wrapText="1"/>
    </xf>
    <xf numFmtId="0" fontId="20" fillId="0" borderId="59" xfId="38" applyFont="1" applyBorder="1" applyAlignment="1">
      <alignment horizontal="center" vertical="center"/>
    </xf>
    <xf numFmtId="0" fontId="20" fillId="0" borderId="29" xfId="38" applyFont="1" applyBorder="1" applyAlignment="1">
      <alignment horizontal="center" vertical="center"/>
    </xf>
    <xf numFmtId="187" fontId="19" fillId="7" borderId="14" xfId="38" applyNumberFormat="1" applyFont="1" applyFill="1" applyBorder="1" applyAlignment="1">
      <alignment horizontal="center" vertical="center"/>
    </xf>
    <xf numFmtId="187" fontId="19" fillId="7" borderId="29" xfId="38" applyNumberFormat="1" applyFont="1" applyFill="1" applyBorder="1" applyAlignment="1">
      <alignment horizontal="center" vertical="center"/>
    </xf>
    <xf numFmtId="0" fontId="19" fillId="0" borderId="33" xfId="38" applyFont="1" applyBorder="1" applyAlignment="1">
      <alignment horizontal="center" vertical="center" wrapText="1"/>
    </xf>
    <xf numFmtId="0" fontId="19" fillId="0" borderId="34" xfId="38" applyFont="1" applyBorder="1" applyAlignment="1">
      <alignment horizontal="center" vertical="center"/>
    </xf>
    <xf numFmtId="0" fontId="20" fillId="0" borderId="34" xfId="38" applyFont="1" applyBorder="1" applyAlignment="1">
      <alignment horizontal="center" vertical="center" wrapText="1"/>
    </xf>
    <xf numFmtId="0" fontId="20" fillId="0" borderId="55" xfId="38" applyFont="1" applyBorder="1" applyAlignment="1">
      <alignment horizontal="center" vertical="center" wrapText="1"/>
    </xf>
    <xf numFmtId="0" fontId="20" fillId="0" borderId="21" xfId="38" applyFont="1" applyBorder="1" applyAlignment="1">
      <alignment horizontal="center" vertical="center" wrapText="1"/>
    </xf>
  </cellXfs>
  <cellStyles count="85">
    <cellStyle name="Comma [0]_laroux" xfId="1" xr:uid="{00000000-0005-0000-0000-000000000000}"/>
    <cellStyle name="Comma_laroux" xfId="2" xr:uid="{00000000-0005-0000-0000-000001000000}"/>
    <cellStyle name="Currency [0]_laroux" xfId="3" xr:uid="{00000000-0005-0000-0000-000002000000}"/>
    <cellStyle name="Currency_laroux" xfId="4" xr:uid="{00000000-0005-0000-0000-000003000000}"/>
    <cellStyle name="Header1" xfId="64" xr:uid="{00000000-0005-0000-0000-000004000000}"/>
    <cellStyle name="Header2" xfId="65" xr:uid="{00000000-0005-0000-0000-000005000000}"/>
    <cellStyle name="Normal_Certs Q2" xfId="5" xr:uid="{00000000-0005-0000-0000-000006000000}"/>
    <cellStyle name="title [1]" xfId="6" xr:uid="{00000000-0005-0000-0000-000007000000}"/>
    <cellStyle name="title [1] 2" xfId="7" xr:uid="{00000000-0005-0000-0000-000008000000}"/>
    <cellStyle name="title [2]" xfId="8" xr:uid="{00000000-0005-0000-0000-000009000000}"/>
    <cellStyle name="title [2] 2" xfId="9" xr:uid="{00000000-0005-0000-0000-00000A000000}"/>
    <cellStyle name="백분율" xfId="10" builtinId="5"/>
    <cellStyle name="백분율 [0]" xfId="11" xr:uid="{00000000-0005-0000-0000-00000C000000}"/>
    <cellStyle name="백분율 [0] 2" xfId="12" xr:uid="{00000000-0005-0000-0000-00000D000000}"/>
    <cellStyle name="백분율 [2]" xfId="13" xr:uid="{00000000-0005-0000-0000-00000E000000}"/>
    <cellStyle name="백분율 [2] 2" xfId="14" xr:uid="{00000000-0005-0000-0000-00000F000000}"/>
    <cellStyle name="쉼표 [0]" xfId="15" builtinId="6"/>
    <cellStyle name="쉼표 [0] 10" xfId="60" xr:uid="{00000000-0005-0000-0000-000011000000}"/>
    <cellStyle name="쉼표 [0] 11" xfId="84" xr:uid="{00000000-0005-0000-0000-000012000000}"/>
    <cellStyle name="쉼표 [0] 2" xfId="16" xr:uid="{00000000-0005-0000-0000-000013000000}"/>
    <cellStyle name="쉼표 [0] 2 15" xfId="17" xr:uid="{00000000-0005-0000-0000-000014000000}"/>
    <cellStyle name="쉼표 [0] 2 2" xfId="18" xr:uid="{00000000-0005-0000-0000-000015000000}"/>
    <cellStyle name="쉼표 [0] 2 2 2" xfId="19" xr:uid="{00000000-0005-0000-0000-000016000000}"/>
    <cellStyle name="쉼표 [0] 2 2 3" xfId="72" xr:uid="{00000000-0005-0000-0000-000017000000}"/>
    <cellStyle name="쉼표 [0] 2 3" xfId="20" xr:uid="{00000000-0005-0000-0000-000018000000}"/>
    <cellStyle name="쉼표 [0] 2 4" xfId="21" xr:uid="{00000000-0005-0000-0000-000019000000}"/>
    <cellStyle name="쉼표 [0] 2 5" xfId="56" xr:uid="{00000000-0005-0000-0000-00001A000000}"/>
    <cellStyle name="쉼표 [0] 3" xfId="22" xr:uid="{00000000-0005-0000-0000-00001B000000}"/>
    <cellStyle name="쉼표 [0] 3 2" xfId="71" xr:uid="{00000000-0005-0000-0000-00001C000000}"/>
    <cellStyle name="쉼표 [0] 3 3" xfId="68" xr:uid="{00000000-0005-0000-0000-00001D000000}"/>
    <cellStyle name="쉼표 [0] 4" xfId="23" xr:uid="{00000000-0005-0000-0000-00001E000000}"/>
    <cellStyle name="쉼표 [0] 4 2" xfId="77" xr:uid="{00000000-0005-0000-0000-00001F000000}"/>
    <cellStyle name="쉼표 [0] 4 3" xfId="74" xr:uid="{00000000-0005-0000-0000-000020000000}"/>
    <cellStyle name="쉼표 [0] 5" xfId="24" xr:uid="{00000000-0005-0000-0000-000021000000}"/>
    <cellStyle name="쉼표 [0] 5 2" xfId="78" xr:uid="{00000000-0005-0000-0000-000022000000}"/>
    <cellStyle name="쉼표 [0] 5 3" xfId="76" xr:uid="{00000000-0005-0000-0000-000023000000}"/>
    <cellStyle name="쉼표 [0] 6" xfId="25" xr:uid="{00000000-0005-0000-0000-000024000000}"/>
    <cellStyle name="쉼표 [0] 6 2" xfId="63" xr:uid="{00000000-0005-0000-0000-000025000000}"/>
    <cellStyle name="쉼표 [0] 7" xfId="53" xr:uid="{00000000-0005-0000-0000-000026000000}"/>
    <cellStyle name="쉼표 [0] 8" xfId="55" xr:uid="{00000000-0005-0000-0000-000027000000}"/>
    <cellStyle name="쉼표 [0] 9" xfId="57" xr:uid="{00000000-0005-0000-0000-000028000000}"/>
    <cellStyle name="콤마 [0]_1안" xfId="26" xr:uid="{00000000-0005-0000-0000-000029000000}"/>
    <cellStyle name="콤마 [2]" xfId="27" xr:uid="{00000000-0005-0000-0000-00002A000000}"/>
    <cellStyle name="콤마 [2] 2" xfId="28" xr:uid="{00000000-0005-0000-0000-00002B000000}"/>
    <cellStyle name="콤마_6월실적" xfId="66" xr:uid="{00000000-0005-0000-0000-00002C000000}"/>
    <cellStyle name="표준" xfId="0" builtinId="0"/>
    <cellStyle name="표준 - Styl1" xfId="29" xr:uid="{00000000-0005-0000-0000-00002E000000}"/>
    <cellStyle name="표준 10" xfId="30" xr:uid="{00000000-0005-0000-0000-00002F000000}"/>
    <cellStyle name="표준 11" xfId="31" xr:uid="{00000000-0005-0000-0000-000030000000}"/>
    <cellStyle name="표준 12" xfId="32" xr:uid="{00000000-0005-0000-0000-000031000000}"/>
    <cellStyle name="표준 13" xfId="33" xr:uid="{00000000-0005-0000-0000-000032000000}"/>
    <cellStyle name="표준 14" xfId="34" xr:uid="{00000000-0005-0000-0000-000033000000}"/>
    <cellStyle name="표준 15" xfId="35" xr:uid="{00000000-0005-0000-0000-000034000000}"/>
    <cellStyle name="표준 16" xfId="36" xr:uid="{00000000-0005-0000-0000-000035000000}"/>
    <cellStyle name="표준 17" xfId="37" xr:uid="{00000000-0005-0000-0000-000036000000}"/>
    <cellStyle name="표준 18" xfId="38" xr:uid="{00000000-0005-0000-0000-000037000000}"/>
    <cellStyle name="표준 19" xfId="52" xr:uid="{00000000-0005-0000-0000-000038000000}"/>
    <cellStyle name="표준 19 2" xfId="59" xr:uid="{00000000-0005-0000-0000-000039000000}"/>
    <cellStyle name="표준 2" xfId="39" xr:uid="{00000000-0005-0000-0000-00003A000000}"/>
    <cellStyle name="표준 2 10 3" xfId="40" xr:uid="{00000000-0005-0000-0000-00003B000000}"/>
    <cellStyle name="표준 2 2" xfId="41" xr:uid="{00000000-0005-0000-0000-00003C000000}"/>
    <cellStyle name="표준 2 2 2" xfId="42" xr:uid="{00000000-0005-0000-0000-00003D000000}"/>
    <cellStyle name="표준 2 3" xfId="43" xr:uid="{00000000-0005-0000-0000-00003E000000}"/>
    <cellStyle name="표준 20" xfId="54" xr:uid="{00000000-0005-0000-0000-00003F000000}"/>
    <cellStyle name="표준 21" xfId="58" xr:uid="{00000000-0005-0000-0000-000040000000}"/>
    <cellStyle name="표준 22" xfId="61" xr:uid="{00000000-0005-0000-0000-000041000000}"/>
    <cellStyle name="표준 3" xfId="44" xr:uid="{00000000-0005-0000-0000-000042000000}"/>
    <cellStyle name="표준 3 2" xfId="45" xr:uid="{00000000-0005-0000-0000-000043000000}"/>
    <cellStyle name="표준 3 2 2" xfId="79" xr:uid="{00000000-0005-0000-0000-000044000000}"/>
    <cellStyle name="표준 3 2 3" xfId="69" xr:uid="{00000000-0005-0000-0000-000045000000}"/>
    <cellStyle name="표준 4" xfId="46" xr:uid="{00000000-0005-0000-0000-000046000000}"/>
    <cellStyle name="표준 4 2" xfId="80" xr:uid="{00000000-0005-0000-0000-000047000000}"/>
    <cellStyle name="표준 4 3" xfId="67" xr:uid="{00000000-0005-0000-0000-000048000000}"/>
    <cellStyle name="표준 5" xfId="47" xr:uid="{00000000-0005-0000-0000-000049000000}"/>
    <cellStyle name="표준 5 2" xfId="70" xr:uid="{00000000-0005-0000-0000-00004A000000}"/>
    <cellStyle name="표준 6" xfId="48" xr:uid="{00000000-0005-0000-0000-00004B000000}"/>
    <cellStyle name="표준 6 2" xfId="81" xr:uid="{00000000-0005-0000-0000-00004C000000}"/>
    <cellStyle name="표준 7" xfId="49" xr:uid="{00000000-0005-0000-0000-00004D000000}"/>
    <cellStyle name="표준 7 2" xfId="82" xr:uid="{00000000-0005-0000-0000-00004E000000}"/>
    <cellStyle name="표준 7 3" xfId="73" xr:uid="{00000000-0005-0000-0000-00004F000000}"/>
    <cellStyle name="표준 8" xfId="50" xr:uid="{00000000-0005-0000-0000-000050000000}"/>
    <cellStyle name="표준 8 2" xfId="83" xr:uid="{00000000-0005-0000-0000-000051000000}"/>
    <cellStyle name="표준 8 3" xfId="75" xr:uid="{00000000-0005-0000-0000-000052000000}"/>
    <cellStyle name="표준 9" xfId="51" xr:uid="{00000000-0005-0000-0000-000053000000}"/>
    <cellStyle name="표준 9 2" xfId="62" xr:uid="{00000000-0005-0000-0000-000054000000}"/>
  </cellStyles>
  <dxfs count="0"/>
  <tableStyles count="0" defaultTableStyle="TableStyleMedium9" defaultPivotStyle="PivotStyleLight16"/>
  <colors>
    <mruColors>
      <color rgb="FFCCFFCC"/>
      <color rgb="FF0000FF"/>
      <color rgb="FFC0C0C0"/>
      <color rgb="FF00CC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15973</xdr:colOff>
      <xdr:row>0</xdr:row>
      <xdr:rowOff>178137</xdr:rowOff>
    </xdr:from>
    <xdr:to>
      <xdr:col>2</xdr:col>
      <xdr:colOff>102564</xdr:colOff>
      <xdr:row>0</xdr:row>
      <xdr:rowOff>481205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698" y="178137"/>
          <a:ext cx="1039091" cy="30306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16</xdr:col>
      <xdr:colOff>0</xdr:colOff>
      <xdr:row>25</xdr:row>
      <xdr:rowOff>0</xdr:rowOff>
    </xdr:from>
    <xdr:to>
      <xdr:col>16</xdr:col>
      <xdr:colOff>304800</xdr:colOff>
      <xdr:row>26</xdr:row>
      <xdr:rowOff>114300</xdr:rowOff>
    </xdr:to>
    <xdr:sp macro="" textlink="">
      <xdr:nvSpPr>
        <xdr:cNvPr id="1025" name="AutoShape 1">
          <a:extLst>
            <a:ext uri="{FF2B5EF4-FFF2-40B4-BE49-F238E27FC236}">
              <a16:creationId xmlns:a16="http://schemas.microsoft.com/office/drawing/2014/main" id="{00000000-0008-0000-0100-000001040000}"/>
            </a:ext>
          </a:extLst>
        </xdr:cNvPr>
        <xdr:cNvSpPr>
          <a:spLocks noChangeAspect="1" noChangeArrowheads="1"/>
        </xdr:cNvSpPr>
      </xdr:nvSpPr>
      <xdr:spPr bwMode="auto">
        <a:xfrm>
          <a:off x="14887575" y="76962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82648</xdr:colOff>
      <xdr:row>0</xdr:row>
      <xdr:rowOff>206712</xdr:rowOff>
    </xdr:from>
    <xdr:to>
      <xdr:col>2</xdr:col>
      <xdr:colOff>83514</xdr:colOff>
      <xdr:row>0</xdr:row>
      <xdr:rowOff>509780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2648" y="206712"/>
          <a:ext cx="1039091" cy="303068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mySingle/TEMP/file:/&#45224;&#44592;&#54840;/&#44032;&#51256;&#44032;&#49464;&#50836;/work-form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&#45224;&#44592;&#54840;\&#44032;&#51256;&#44032;&#49464;&#50836;\work-form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製總"/>
      <sheetName val="I一般比"/>
      <sheetName val="IS"/>
      <sheetName val="J間材"/>
      <sheetName val="J輸入計"/>
      <sheetName val="J輸入率1"/>
      <sheetName val="J輸入材"/>
      <sheetName val="J作計"/>
      <sheetName val="J材料量1"/>
      <sheetName val="J材料量2"/>
      <sheetName val="J直材1"/>
      <sheetName val="J直材2"/>
      <sheetName val="J直材3"/>
      <sheetName val="J直材4"/>
      <sheetName val="K減象却"/>
      <sheetName val="K經計"/>
      <sheetName val="K經配賦"/>
      <sheetName val="K經調整"/>
      <sheetName val="K消耗分"/>
      <sheetName val="MS"/>
      <sheetName val="N間勞計"/>
      <sheetName val="N間比率"/>
      <sheetName val="N間時率"/>
      <sheetName val="N工數1"/>
      <sheetName val="N工數2"/>
      <sheetName val="N勞計"/>
      <sheetName val="N勞務分"/>
      <sheetName val="N勞務實"/>
      <sheetName val="N勞作"/>
      <sheetName val="N賃率-職"/>
      <sheetName val="입찰품의서"/>
      <sheetName val="갑지1"/>
      <sheetName val="ELECTRIC"/>
      <sheetName val="수량산출"/>
      <sheetName val="제직재"/>
      <sheetName val="연습"/>
      <sheetName val="EJ"/>
      <sheetName val="N賃率_職"/>
      <sheetName val="증감대비"/>
      <sheetName val="노무비"/>
      <sheetName val="제-노임"/>
      <sheetName val="설직재-1"/>
      <sheetName val="약품설비"/>
      <sheetName val="일위"/>
      <sheetName val="경산"/>
      <sheetName val="직재"/>
      <sheetName val="2공구산출내역"/>
      <sheetName val="예가표"/>
      <sheetName val="제경집계"/>
      <sheetName val="내역"/>
      <sheetName val="mcc일위대가"/>
      <sheetName val="노임단가표"/>
      <sheetName val="총괄 CCTV수량"/>
      <sheetName val="일위대가(VDS)"/>
      <sheetName val="노임"/>
      <sheetName val="6. 직접경비"/>
      <sheetName val="내역서"/>
      <sheetName val="직노"/>
      <sheetName val="단위일위"/>
      <sheetName val="b_balju_cho"/>
      <sheetName val="공조기"/>
      <sheetName val="을"/>
      <sheetName val="단"/>
      <sheetName val="토사(PE)"/>
      <sheetName val="work-form"/>
      <sheetName val="기초자료입력"/>
      <sheetName val="원가 (2)"/>
      <sheetName val="Sheet3"/>
      <sheetName val="5.설치내역"/>
      <sheetName val="EQ-R1"/>
      <sheetName val="7단가"/>
      <sheetName val="재집"/>
      <sheetName val="Total"/>
      <sheetName val="시행후면적"/>
      <sheetName val="수지예산"/>
      <sheetName val="약품공급2"/>
      <sheetName val="금액내역서"/>
      <sheetName val="20관리비율"/>
      <sheetName val="예정(3)"/>
      <sheetName val="동원(3)"/>
      <sheetName val="#REF"/>
      <sheetName val="품셈표"/>
      <sheetName val="납부서"/>
      <sheetName val="EP0618"/>
      <sheetName val="노임단가"/>
      <sheetName val="단가조사"/>
      <sheetName val="工완성공사율"/>
      <sheetName val="DATA"/>
      <sheetName val="데이타"/>
      <sheetName val="일위대가(가설)"/>
      <sheetName val="9811"/>
      <sheetName val="A4-結果 "/>
      <sheetName val="기본일위"/>
      <sheetName val="sheet1"/>
      <sheetName val="내역서2안"/>
      <sheetName val="기준"/>
      <sheetName val="Articles"/>
      <sheetName val="기성금내역서"/>
      <sheetName val="밸브설치"/>
      <sheetName val="인덱스_유효성검사"/>
      <sheetName val="IMPEADENCE MAP 취수장"/>
      <sheetName val="9-1차이내역"/>
      <sheetName val="물가"/>
      <sheetName val="년도별실"/>
      <sheetName val="실행내역"/>
      <sheetName val="2F 회의실견적(5_14 일대)"/>
      <sheetName val="진천"/>
      <sheetName val="단가"/>
      <sheetName val="월별수입"/>
      <sheetName val="하이스캔(내수용)"/>
      <sheetName val="2001년고정자산"/>
      <sheetName val="원재료출고수량"/>
      <sheetName val="정산자료"/>
      <sheetName val="본부"/>
      <sheetName val="전주"/>
      <sheetName val="광주"/>
      <sheetName val="순천"/>
      <sheetName val="남원"/>
      <sheetName val="목포"/>
      <sheetName val="군산"/>
      <sheetName val="표지"/>
      <sheetName val="인건-측정"/>
      <sheetName val="하조서"/>
      <sheetName val="한강운반비"/>
      <sheetName val="Sheet2"/>
      <sheetName val="A-4"/>
      <sheetName val="ABUT수량-A1"/>
      <sheetName val="입찰안"/>
      <sheetName val="HVAC"/>
      <sheetName val="금호"/>
      <sheetName val="신우"/>
      <sheetName val="일위대가1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소요자재"/>
      <sheetName val="노무산출서"/>
      <sheetName val="CT "/>
      <sheetName val="전체"/>
      <sheetName val="조도계산서 (도서)"/>
      <sheetName val="일위대가(계측기설치)"/>
      <sheetName val="정공공사"/>
      <sheetName val="날개벽"/>
      <sheetName val="중기사용료"/>
      <sheetName val="유기공정"/>
      <sheetName val="9GNG운반"/>
      <sheetName val="DATE"/>
      <sheetName val="예비품"/>
      <sheetName val="매립"/>
      <sheetName val="Sheet6"/>
      <sheetName val="적용토목"/>
      <sheetName val="실행철강하도"/>
      <sheetName val="공정집계_국별"/>
      <sheetName val="공사내역"/>
      <sheetName val="CP-E2 (품셈표)"/>
      <sheetName val="포장복구집계"/>
      <sheetName val="1.수인터널"/>
      <sheetName val="ETC"/>
      <sheetName val="자재단가비교표"/>
      <sheetName val="집수정"/>
      <sheetName val="원효펌프교체020812"/>
      <sheetName val="LEGEND"/>
      <sheetName val="1.설계조건"/>
      <sheetName val="GAEYO"/>
      <sheetName val="양천현"/>
      <sheetName val="을 1"/>
      <sheetName val="을 2"/>
      <sheetName val="손익분석"/>
      <sheetName val="내역서-CCTV"/>
      <sheetName val="설비단가표"/>
      <sheetName val="지구단위계획"/>
      <sheetName val="심사계산"/>
      <sheetName val="심사물량"/>
      <sheetName val="도로정위치부표"/>
      <sheetName val="DB구축"/>
      <sheetName val="도로조사부표"/>
      <sheetName val="재정비내역"/>
      <sheetName val="입력변수"/>
      <sheetName val="지적고시내역"/>
      <sheetName val="예방접종계획"/>
      <sheetName val="버스운행안내"/>
      <sheetName val="근태계획서"/>
      <sheetName val="진입부 단위수량"/>
      <sheetName val="조명시설"/>
      <sheetName val="홍보비디오"/>
      <sheetName val="_REF"/>
      <sheetName val="총괄표"/>
      <sheetName val="Sheet4"/>
      <sheetName val="갑지(추정)"/>
      <sheetName val="패널"/>
      <sheetName val="잡철물"/>
      <sheetName val="일위대가"/>
      <sheetName val="역T형"/>
      <sheetName val="노임조서"/>
      <sheetName val="SP-B1"/>
      <sheetName val="Curves"/>
      <sheetName val="Tables"/>
      <sheetName val="환율"/>
      <sheetName val="여수토공사비"/>
      <sheetName val="재고"/>
      <sheetName val="전차선로 물량표"/>
      <sheetName val="가압장(토목)"/>
      <sheetName val="작성기준"/>
      <sheetName val="수불카드"/>
      <sheetName val="연부97-1"/>
      <sheetName val="단가표"/>
      <sheetName val="접속도로1"/>
      <sheetName val="대치판정"/>
      <sheetName val="품셈TABLE"/>
      <sheetName val="위치조서"/>
      <sheetName val="집계표"/>
      <sheetName val="각형맨홀"/>
      <sheetName val="견적서"/>
      <sheetName val="2"/>
      <sheetName val="96갑지"/>
      <sheetName val="건축내역"/>
      <sheetName val="입력"/>
      <sheetName val="말뚝지지력산정"/>
      <sheetName val="99노임기준"/>
      <sheetName val="평자재단가"/>
      <sheetName val="조건표"/>
      <sheetName val="주차구획선수량"/>
      <sheetName val="부대공Ⅱ"/>
      <sheetName val="과천MAIN"/>
      <sheetName val="전신환매도율"/>
      <sheetName val="969910( R)"/>
      <sheetName val="다목적갑"/>
      <sheetName val="수량산출서"/>
      <sheetName val="_산근2_"/>
      <sheetName val="_산근4_"/>
      <sheetName val="_산근5_"/>
      <sheetName val="1단계"/>
      <sheetName val="일위대가목차"/>
      <sheetName val="TYPE-A"/>
      <sheetName val="총괄내역서"/>
      <sheetName val="정부노임단가"/>
      <sheetName val="48전력선로일위"/>
      <sheetName val="총수량집계표"/>
      <sheetName val="산출근거"/>
      <sheetName val="우수공"/>
      <sheetName val="INPUT DATA"/>
      <sheetName val="8.PILE  (돌출)"/>
      <sheetName val="생산수량"/>
      <sheetName val="C-노임단가"/>
      <sheetName val="공정코드"/>
      <sheetName val="횡배수관집현황(2공구)"/>
      <sheetName val="DATA 입력란"/>
      <sheetName val="기계경비총괄표"/>
      <sheetName val="일위대가_현장"/>
      <sheetName val="자재단가표"/>
      <sheetName val="변압기 및 발전기 용량"/>
      <sheetName val="인건비"/>
      <sheetName val="하부철근수량"/>
      <sheetName val="노무비 "/>
      <sheetName val="수목표준대가"/>
      <sheetName val="산출기준자료"/>
      <sheetName val="발전계획"/>
      <sheetName val="기존단가 (2)"/>
      <sheetName val="기계경비"/>
      <sheetName val="코드표"/>
      <sheetName val="SLAB&quot;1&quot;"/>
      <sheetName val="을지"/>
      <sheetName val="단가 "/>
      <sheetName val="수목데이타 "/>
      <sheetName val="단위수량"/>
      <sheetName val="공사현황"/>
      <sheetName val="송전재료비"/>
      <sheetName val="1.우편집중내역서"/>
      <sheetName val="6PILE  (돌출)"/>
      <sheetName val="인건비 "/>
      <sheetName val="유동표"/>
      <sheetName val="단가산출2"/>
      <sheetName val="단가 및 재료비"/>
      <sheetName val="단가산출1"/>
      <sheetName val="Price List"/>
      <sheetName val="일위대가목록"/>
      <sheetName val="일위대가(4층원격)"/>
      <sheetName val="HP1AMLIST"/>
      <sheetName val="2.4 자재단가비교표"/>
      <sheetName val="청천내"/>
      <sheetName val="갑지"/>
      <sheetName val="EQ"/>
      <sheetName val="CABLE"/>
      <sheetName val="산출기초(기계터파기)3열"/>
      <sheetName val="전송망집계"/>
      <sheetName val="철거수량(전송)"/>
      <sheetName val="일위대가(1)"/>
      <sheetName val="재료"/>
      <sheetName val="설치자재"/>
      <sheetName val="일위목록"/>
      <sheetName val="요율"/>
      <sheetName val="2000년1차"/>
      <sheetName val="2000전체분"/>
      <sheetName val="기본단가표"/>
      <sheetName val="제노임"/>
      <sheetName val="DB"/>
      <sheetName val="시약"/>
      <sheetName val="재료비"/>
      <sheetName val="전기2005"/>
      <sheetName val="통신2005"/>
      <sheetName val="노임단가 (2)"/>
      <sheetName val="원가계산서구조조정"/>
      <sheetName val="접지수량"/>
      <sheetName val="ELEC"/>
      <sheetName val="옥외외등집계표"/>
      <sheetName val="공사원가계산서"/>
      <sheetName val="자재단가"/>
      <sheetName val="봉양~조차장간고하개명(신설)"/>
      <sheetName val="COST"/>
      <sheetName val="원가총괄"/>
      <sheetName val="자재테이블"/>
      <sheetName val="대포2교접속"/>
      <sheetName val="천방교접속"/>
      <sheetName val="교각계산"/>
      <sheetName val="신호등일위대가"/>
      <sheetName val=" HIT-&gt;HMC 견적(3900)"/>
      <sheetName val="SHEET PILE단가"/>
      <sheetName val="Resource2"/>
      <sheetName val="관급"/>
      <sheetName val="수량총괄"/>
      <sheetName val="정류기"/>
      <sheetName val="급,배기팬"/>
      <sheetName val="내   역"/>
      <sheetName val="#3_일위대가목록"/>
      <sheetName val="#2_일위대가목록"/>
      <sheetName val="노단"/>
      <sheetName val="산출(2)"/>
      <sheetName val="전체제잡비"/>
      <sheetName val="재료비집계"/>
      <sheetName val="제조노임"/>
      <sheetName val="현장조사"/>
      <sheetName val="프로젝트"/>
      <sheetName val="서식시트"/>
      <sheetName val="방송일위대가"/>
      <sheetName val="input"/>
      <sheetName val="CODE1"/>
      <sheetName val="토공"/>
      <sheetName val="원형1호맨홀토공수량"/>
      <sheetName val="1안"/>
      <sheetName val="현금예금"/>
      <sheetName val="견적대비표"/>
      <sheetName val="공문"/>
      <sheetName val="가로등기초"/>
      <sheetName val="PAD TR보호대기초"/>
      <sheetName val="횡배수관토공수량"/>
      <sheetName val="정SW_원_"/>
      <sheetName val="합천내역"/>
      <sheetName val="노무비단가"/>
      <sheetName val="제작기술지원센터"/>
      <sheetName val="구조물철거타공정이월"/>
      <sheetName val="1.1서버도입"/>
      <sheetName val="노임단가 및 기계경비"/>
      <sheetName val="설치공사2"/>
      <sheetName val="기본DATA"/>
      <sheetName val="원본(갑지)"/>
      <sheetName val="시화점실행"/>
      <sheetName val="A4-結果_"/>
      <sheetName val="투자-국내2"/>
      <sheetName val="토적계산"/>
      <sheetName val="sh1"/>
      <sheetName val="제출내역 (2)"/>
      <sheetName val="총괄"/>
      <sheetName val="샘플표지"/>
      <sheetName val="01"/>
      <sheetName val="총괄집계표"/>
      <sheetName val="임율"/>
      <sheetName val="부하(성남)"/>
      <sheetName val="C3"/>
      <sheetName val="토공총괄표"/>
      <sheetName val="감가상각"/>
      <sheetName val="HD01"/>
      <sheetName val="98연계표"/>
      <sheetName val="CODE"/>
      <sheetName val="cal"/>
      <sheetName val="성곽내역서"/>
      <sheetName val="Sheet17"/>
      <sheetName val="내역을"/>
      <sheetName val="내역서1-2"/>
      <sheetName val="시설수량표"/>
      <sheetName val="식재수량표"/>
      <sheetName val="건축일위"/>
      <sheetName val="그라우팅일위"/>
      <sheetName val="전기"/>
      <sheetName val="현장관리비"/>
      <sheetName val="단위세대물량"/>
      <sheetName val="기초DATA(2)"/>
      <sheetName val="터파기및재료"/>
      <sheetName val="Baby일위대가"/>
      <sheetName val="목록"/>
      <sheetName val="BSD _2_"/>
      <sheetName val="유림골조"/>
      <sheetName val=" 냉각수펌프"/>
      <sheetName val="LH3 동양시스템"/>
      <sheetName val="일위대가표"/>
      <sheetName val="을-ATYPE"/>
      <sheetName val="danga"/>
      <sheetName val="ilch"/>
      <sheetName val="제36-40호표"/>
      <sheetName val="샤워실위생"/>
      <sheetName val="unit 4"/>
      <sheetName val="설계조건"/>
      <sheetName val="조경"/>
      <sheetName val="소비자가"/>
      <sheetName val="FANDBS"/>
      <sheetName val="GRDATA"/>
      <sheetName val="SHAFTDBSE"/>
      <sheetName val="산출내역서"/>
      <sheetName val="직공비"/>
      <sheetName val="일(4)"/>
      <sheetName val="식재인부"/>
      <sheetName val="TABLE"/>
      <sheetName val="수목단가"/>
      <sheetName val="제수"/>
      <sheetName val="공기"/>
      <sheetName val="설계명세서"/>
      <sheetName val="총(철거)"/>
      <sheetName val="총물량표"/>
      <sheetName val="배관단가조사서"/>
      <sheetName val="단가산출"/>
      <sheetName val="NÒ¾íÂ"/>
      <sheetName val="NìüëÒ-òÅ"/>
      <sheetName val="JòÁî§1"/>
      <sheetName val="JòÁî§2"/>
      <sheetName val="JòÁî§3"/>
      <sheetName val="JòÁî§4"/>
      <sheetName val="KÊõßÚÊ¿"/>
      <sheetName val="KÌèÍª"/>
      <sheetName val="KÌèÛÕÝ·"/>
      <sheetName val="KÌèðàïÚ"/>
      <sheetName val="Ká¼ÙÄÝÂ"/>
      <sheetName val="NÊàÒ¾Íª"/>
      <sheetName val="NÊàÝïëÒ"/>
      <sheetName val="NÊàãÁëÒ"/>
      <sheetName val="NÍïâ¦1"/>
      <sheetName val="NÍïâ¦2"/>
      <sheetName val="NÒ¾Íª"/>
      <sheetName val="NÒ¾ÙâÝÂ"/>
      <sheetName val="NÒ¾Ùâãù"/>
      <sheetName val="Að²õÅ"/>
      <sheetName val="IìéÚõÝï"/>
      <sheetName val="JâÃìýî§"/>
      <sheetName val="JíÂÍª"/>
      <sheetName val="Jî§ÖùÕá1"/>
      <sheetName val="Jî§ÖùÕá2"/>
      <sheetName val="JÊàî§"/>
      <sheetName val="JâÃìýÍª"/>
      <sheetName val="JâÃìýëÒ1"/>
      <sheetName val="A4-Ì¿Íý "/>
      <sheetName val="Á¤»êÀÚ·á"/>
      <sheetName val="º»ºÎ"/>
      <sheetName val="ÀüÁÖ"/>
      <sheetName val="±¤ÁÖ"/>
      <sheetName val="¼øÃµ"/>
      <sheetName val="³²¿ø"/>
      <sheetName val="¸ñÆ÷"/>
      <sheetName val="±º»ê"/>
      <sheetName val="Ç¥Áö"/>
      <sheetName val="ÀÎ°Ç-ÃøÁ¤"/>
      <sheetName val="ÇÑ°­¿î¹Ýºñ"/>
      <sheetName val="ÇÏÁ¶¼­"/>
      <sheetName val="¼³Á÷Àç-1"/>
      <sheetName val="´Ü"/>
      <sheetName val="NìüëÒ_òÅ"/>
      <sheetName val="CP-E2_(품셈표)"/>
      <sheetName val="1_설계조건"/>
      <sheetName val="1_수인터널"/>
      <sheetName val="C-직노1"/>
      <sheetName val="D-경비1"/>
      <sheetName val="인수공"/>
      <sheetName val="DB단가"/>
      <sheetName val="원형맨홀수량"/>
      <sheetName val="OPT7"/>
      <sheetName val="견적율"/>
      <sheetName val="사급자재"/>
      <sheetName val="토목"/>
      <sheetName val="조도계산"/>
      <sheetName val="AL공사(원)"/>
      <sheetName val="기계경비목록"/>
      <sheetName val="DATA_입력란"/>
      <sheetName val="총괄_CCTV수량"/>
      <sheetName val="식재가격"/>
      <sheetName val="식재총괄"/>
      <sheetName val="돈암사업"/>
      <sheetName val="횡 연장"/>
      <sheetName val="Sheet13"/>
      <sheetName val="발전기"/>
      <sheetName val="공사비"/>
      <sheetName val="DATA_입력란1"/>
      <sheetName val="총괄_CCTV수량1"/>
      <sheetName val="기존단가_(2)"/>
      <sheetName val="단가_"/>
      <sheetName val="수목데이타_"/>
      <sheetName val="변압기_및_발전기_용량"/>
      <sheetName val="6__직접경비"/>
      <sheetName val="노무비_"/>
      <sheetName val="수량 산출서"/>
      <sheetName val="정SW(원)"/>
      <sheetName val="결과조달"/>
      <sheetName val="예산대비"/>
      <sheetName val="소방"/>
      <sheetName val="Sheet14"/>
      <sheetName val="석재장조사"/>
      <sheetName val="소요자재명세서"/>
      <sheetName val="노무비명세서"/>
      <sheetName val="남양구조시험동"/>
      <sheetName val="G.R300경비"/>
      <sheetName val="교각1"/>
      <sheetName val="단가대비표"/>
      <sheetName val="제품별"/>
      <sheetName val="Y-WORK"/>
      <sheetName val="백암비스타내역"/>
      <sheetName val="BID"/>
      <sheetName val="환산"/>
      <sheetName val="발신정보"/>
      <sheetName val="wall"/>
      <sheetName val="Sheet1 (2)"/>
      <sheetName val="HW일위"/>
      <sheetName val="분석"/>
      <sheetName val="969910(_R)"/>
      <sheetName val="용소리교"/>
      <sheetName val="품셈"/>
      <sheetName val="Macro(전선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/>
      <sheetData sheetId="544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製總"/>
      <sheetName val="I一般比"/>
      <sheetName val="IS"/>
      <sheetName val="J間材"/>
      <sheetName val="J輸入計"/>
      <sheetName val="J輸入率1"/>
      <sheetName val="J輸入材"/>
      <sheetName val="J作計"/>
      <sheetName val="J材料量1"/>
      <sheetName val="J材料量2"/>
      <sheetName val="J直材1"/>
      <sheetName val="J直材2"/>
      <sheetName val="J直材3"/>
      <sheetName val="J直材4"/>
      <sheetName val="K減象却"/>
      <sheetName val="K經計"/>
      <sheetName val="K經配賦"/>
      <sheetName val="K經調整"/>
      <sheetName val="K消耗分"/>
      <sheetName val="MS"/>
      <sheetName val="N間勞計"/>
      <sheetName val="N間比率"/>
      <sheetName val="N間時率"/>
      <sheetName val="N工數1"/>
      <sheetName val="N工數2"/>
      <sheetName val="N勞計"/>
      <sheetName val="N勞務分"/>
      <sheetName val="N勞務實"/>
      <sheetName val="N勞作"/>
      <sheetName val="N賃率-職"/>
      <sheetName val="입찰품의서"/>
      <sheetName val="갑지1"/>
      <sheetName val="ELECTRIC"/>
      <sheetName val="수량산출"/>
      <sheetName val="제직재"/>
      <sheetName val="연습"/>
      <sheetName val="EJ"/>
      <sheetName val="N賃率_職"/>
      <sheetName val="증감대비"/>
      <sheetName val="노무비"/>
      <sheetName val="제-노임"/>
      <sheetName val="설직재-1"/>
      <sheetName val="약품설비"/>
      <sheetName val="일위"/>
      <sheetName val="경산"/>
      <sheetName val="직재"/>
      <sheetName val="2공구산출내역"/>
      <sheetName val="예가표"/>
      <sheetName val="제경집계"/>
      <sheetName val="내역"/>
      <sheetName val="mcc일위대가"/>
      <sheetName val="노임단가표"/>
      <sheetName val="총괄 CCTV수량"/>
      <sheetName val="일위대가(VDS)"/>
      <sheetName val="노임"/>
      <sheetName val="6. 직접경비"/>
      <sheetName val="내역서"/>
      <sheetName val="직노"/>
      <sheetName val="단위일위"/>
      <sheetName val="b_balju_cho"/>
      <sheetName val="공조기"/>
      <sheetName val="을"/>
      <sheetName val="단"/>
      <sheetName val="토사(PE)"/>
      <sheetName val="work-form"/>
      <sheetName val="기초자료입력"/>
      <sheetName val="원가 (2)"/>
      <sheetName val="Sheet3"/>
      <sheetName val="5.설치내역"/>
      <sheetName val="EQ-R1"/>
      <sheetName val="7단가"/>
      <sheetName val="재집"/>
      <sheetName val="Total"/>
      <sheetName val="시행후면적"/>
      <sheetName val="수지예산"/>
      <sheetName val="약품공급2"/>
      <sheetName val="금액내역서"/>
      <sheetName val="20관리비율"/>
      <sheetName val="예정(3)"/>
      <sheetName val="동원(3)"/>
      <sheetName val="#REF"/>
      <sheetName val="품셈표"/>
      <sheetName val="납부서"/>
      <sheetName val="EP0618"/>
      <sheetName val="노임단가"/>
      <sheetName val="단가조사"/>
      <sheetName val="工완성공사율"/>
      <sheetName val="DATA"/>
      <sheetName val="데이타"/>
      <sheetName val="일위대가(가설)"/>
      <sheetName val="9811"/>
      <sheetName val="A4-結果 "/>
      <sheetName val="기본일위"/>
      <sheetName val="sheet1"/>
      <sheetName val="내역서2안"/>
      <sheetName val="기준"/>
      <sheetName val="Articles"/>
      <sheetName val="기성금내역서"/>
      <sheetName val="밸브설치"/>
      <sheetName val="인덱스_유효성검사"/>
      <sheetName val="IMPEADENCE MAP 취수장"/>
      <sheetName val="9-1차이내역"/>
      <sheetName val="물가"/>
      <sheetName val="년도별실"/>
      <sheetName val="실행내역"/>
      <sheetName val="2F 회의실견적(5_14 일대)"/>
      <sheetName val="진천"/>
      <sheetName val="단가"/>
      <sheetName val="월별수입"/>
      <sheetName val="하이스캔(내수용)"/>
      <sheetName val="2001년고정자산"/>
      <sheetName val="원재료출고수량"/>
      <sheetName val="정산자료"/>
      <sheetName val="본부"/>
      <sheetName val="전주"/>
      <sheetName val="광주"/>
      <sheetName val="순천"/>
      <sheetName val="남원"/>
      <sheetName val="목포"/>
      <sheetName val="군산"/>
      <sheetName val="표지"/>
      <sheetName val="인건-측정"/>
      <sheetName val="하조서"/>
      <sheetName val="한강운반비"/>
      <sheetName val="Sheet2"/>
      <sheetName val="A-4"/>
      <sheetName val="ABUT수량-A1"/>
      <sheetName val="입찰안"/>
      <sheetName val="HVAC"/>
      <sheetName val="금호"/>
      <sheetName val="신우"/>
      <sheetName val="일위대가1"/>
      <sheetName val="일위대가10"/>
      <sheetName val="일위대가11"/>
      <sheetName val="일위대가12"/>
      <sheetName val="일위대가13"/>
      <sheetName val="일위대가14"/>
      <sheetName val="일위대가15"/>
      <sheetName val="일위대가16"/>
      <sheetName val="일위대가17"/>
      <sheetName val="일위대가2"/>
      <sheetName val="일위대가3"/>
      <sheetName val="일위대가4"/>
      <sheetName val="일위대가5"/>
      <sheetName val="일위대가6"/>
      <sheetName val="일위대가7"/>
      <sheetName val="일위대가8"/>
      <sheetName val="일위대가9"/>
      <sheetName val="일위대가18-1"/>
      <sheetName val="일위대가19-1"/>
      <sheetName val="일위대가20-1"/>
      <sheetName val="일위대가21-1"/>
      <sheetName val="일위대가22-1"/>
      <sheetName val="일위대가23-1"/>
      <sheetName val="일위대가24-1"/>
      <sheetName val="일위대가25-1"/>
      <sheetName val="일위대가26-1"/>
      <sheetName val="일위대가27-1"/>
      <sheetName val="일위대가28-1"/>
      <sheetName val="일위대가29-1"/>
      <sheetName val="일위대가30-1"/>
      <sheetName val="일위대가31-1"/>
      <sheetName val="일위대가32-1"/>
      <sheetName val="일위대가33-1"/>
      <sheetName val="일위대가34-1"/>
      <sheetName val="일위대가35-1"/>
      <sheetName val="일위대가36-1"/>
      <sheetName val="일위대가37-1"/>
      <sheetName val="일위대가38-1"/>
      <sheetName val="일위대가39-1"/>
      <sheetName val="일위대가40-1"/>
      <sheetName val="일위대가41-1"/>
      <sheetName val="일위대가42-1"/>
      <sheetName val="일위대가43-1"/>
      <sheetName val="일위대가44-1"/>
      <sheetName val="일위대가45-1"/>
      <sheetName val="일위대가46-1"/>
      <sheetName val="일위대가47-1"/>
      <sheetName val="일위대가48-1"/>
      <sheetName val="일위대가49-1"/>
      <sheetName val="일위대가50-1"/>
      <sheetName val="일위대가51-1"/>
      <sheetName val="일위대가52-1"/>
      <sheetName val="일위대가53-1"/>
      <sheetName val="일위대가54-1"/>
      <sheetName val="일위대가55-1"/>
      <sheetName val="일위대가56-1 "/>
      <sheetName val="일위대가57-1"/>
      <sheetName val="일위대가58-1"/>
      <sheetName val="일위대가59-1"/>
      <sheetName val="일위대가60-1"/>
      <sheetName val="일위대가61-1"/>
      <sheetName val="일위대가62-1"/>
      <sheetName val="일위대가63-1"/>
      <sheetName val="일위대가64-1"/>
      <sheetName val="일위대가65-1"/>
      <sheetName val="일위대가66-1"/>
      <sheetName val="일위대가67-1"/>
      <sheetName val="일위대가68-1"/>
      <sheetName val="일위대가69-1"/>
      <sheetName val="일위대가70-1"/>
      <sheetName val="일위대가71-1 "/>
      <sheetName val="일위대가72-1"/>
      <sheetName val="일위대가73-1"/>
      <sheetName val="일위대가74-1 "/>
      <sheetName val="일위대가75-1"/>
      <sheetName val="일위대가76-1 "/>
      <sheetName val="일위대가77-1 "/>
      <sheetName val="일위대가78-1 "/>
      <sheetName val="일위대가79-1"/>
      <sheetName val="일위대가80-1"/>
      <sheetName val="일위대가81-1"/>
      <sheetName val="일위대가82-1"/>
      <sheetName val="일위대가92-1"/>
      <sheetName val="소요자재"/>
      <sheetName val="노무산출서"/>
      <sheetName val="CT "/>
      <sheetName val="전체"/>
      <sheetName val="조도계산서 (도서)"/>
      <sheetName val="일위대가(계측기설치)"/>
      <sheetName val="정공공사"/>
      <sheetName val="날개벽"/>
      <sheetName val="중기사용료"/>
      <sheetName val="유기공정"/>
      <sheetName val="9GNG운반"/>
      <sheetName val="DATE"/>
      <sheetName val="예비품"/>
      <sheetName val="매립"/>
      <sheetName val="Sheet6"/>
      <sheetName val="적용토목"/>
      <sheetName val="실행철강하도"/>
      <sheetName val="공정집계_국별"/>
      <sheetName val="공사내역"/>
      <sheetName val="CP-E2 (품셈표)"/>
      <sheetName val="포장복구집계"/>
      <sheetName val="1.수인터널"/>
      <sheetName val="ETC"/>
      <sheetName val="자재단가비교표"/>
      <sheetName val="집수정"/>
      <sheetName val="원효펌프교체020812"/>
      <sheetName val="LEGEND"/>
      <sheetName val="1.설계조건"/>
      <sheetName val="GAEYO"/>
      <sheetName val="양천현"/>
      <sheetName val="을 1"/>
      <sheetName val="을 2"/>
      <sheetName val="손익분석"/>
      <sheetName val="내역서-CCTV"/>
      <sheetName val="설비단가표"/>
      <sheetName val="지구단위계획"/>
      <sheetName val="심사계산"/>
      <sheetName val="심사물량"/>
      <sheetName val="도로정위치부표"/>
      <sheetName val="DB구축"/>
      <sheetName val="도로조사부표"/>
      <sheetName val="재정비내역"/>
      <sheetName val="입력변수"/>
      <sheetName val="지적고시내역"/>
      <sheetName val="예방접종계획"/>
      <sheetName val="버스운행안내"/>
      <sheetName val="근태계획서"/>
      <sheetName val="진입부 단위수량"/>
      <sheetName val="조명시설"/>
      <sheetName val="홍보비디오"/>
      <sheetName val="_REF"/>
      <sheetName val="총괄표"/>
      <sheetName val="Sheet4"/>
      <sheetName val="갑지(추정)"/>
      <sheetName val="패널"/>
      <sheetName val="잡철물"/>
      <sheetName val="일위대가"/>
      <sheetName val="역T형"/>
      <sheetName val="노임조서"/>
      <sheetName val="SP-B1"/>
      <sheetName val="Curves"/>
      <sheetName val="Tables"/>
      <sheetName val="환율"/>
      <sheetName val="여수토공사비"/>
      <sheetName val="재고"/>
      <sheetName val="전차선로 물량표"/>
      <sheetName val="가압장(토목)"/>
      <sheetName val="작성기준"/>
      <sheetName val="수불카드"/>
      <sheetName val="연부97-1"/>
      <sheetName val="단가표"/>
      <sheetName val="접속도로1"/>
      <sheetName val="대치판정"/>
      <sheetName val="품셈TABLE"/>
      <sheetName val="위치조서"/>
      <sheetName val="집계표"/>
      <sheetName val="각형맨홀"/>
      <sheetName val="견적서"/>
      <sheetName val="2"/>
      <sheetName val="96갑지"/>
      <sheetName val="건축내역"/>
      <sheetName val="입력"/>
      <sheetName val="말뚝지지력산정"/>
      <sheetName val="99노임기준"/>
      <sheetName val="평자재단가"/>
      <sheetName val="조건표"/>
      <sheetName val="주차구획선수량"/>
      <sheetName val="부대공Ⅱ"/>
      <sheetName val="과천MAIN"/>
      <sheetName val="전신환매도율"/>
      <sheetName val="969910( R)"/>
      <sheetName val="다목적갑"/>
      <sheetName val="수량산출서"/>
      <sheetName val="_산근2_"/>
      <sheetName val="_산근4_"/>
      <sheetName val="_산근5_"/>
      <sheetName val="1단계"/>
      <sheetName val="일위대가목차"/>
      <sheetName val="TYPE-A"/>
      <sheetName val="총괄내역서"/>
      <sheetName val="정부노임단가"/>
      <sheetName val="48전력선로일위"/>
      <sheetName val="총수량집계표"/>
      <sheetName val="산출근거"/>
      <sheetName val="우수공"/>
      <sheetName val="INPUT DATA"/>
      <sheetName val="8.PILE  (돌출)"/>
      <sheetName val="생산수량"/>
      <sheetName val="C-노임단가"/>
      <sheetName val="공정코드"/>
      <sheetName val="횡배수관집현황(2공구)"/>
      <sheetName val="DATA 입력란"/>
      <sheetName val="기계경비총괄표"/>
      <sheetName val="일위대가_현장"/>
      <sheetName val="자재단가표"/>
      <sheetName val="변압기 및 발전기 용량"/>
      <sheetName val="인건비"/>
      <sheetName val="하부철근수량"/>
      <sheetName val="노무비 "/>
      <sheetName val="수목표준대가"/>
      <sheetName val="산출기준자료"/>
      <sheetName val="발전계획"/>
      <sheetName val="기존단가 (2)"/>
      <sheetName val="기계경비"/>
      <sheetName val="코드표"/>
      <sheetName val="SLAB&quot;1&quot;"/>
      <sheetName val="을지"/>
      <sheetName val="단가 "/>
      <sheetName val="수목데이타 "/>
      <sheetName val="단위수량"/>
      <sheetName val="공사현황"/>
      <sheetName val="송전재료비"/>
      <sheetName val="1.우편집중내역서"/>
      <sheetName val="6PILE  (돌출)"/>
      <sheetName val="인건비 "/>
      <sheetName val="유동표"/>
      <sheetName val="단가산출2"/>
      <sheetName val="단가 및 재료비"/>
      <sheetName val="단가산출1"/>
      <sheetName val="Price List"/>
      <sheetName val="일위대가목록"/>
      <sheetName val="일위대가(4층원격)"/>
      <sheetName val="HP1AMLIST"/>
      <sheetName val="2.4 자재단가비교표"/>
      <sheetName val="청천내"/>
      <sheetName val="갑지"/>
      <sheetName val="EQ"/>
      <sheetName val="CABLE"/>
      <sheetName val="산출기초(기계터파기)3열"/>
      <sheetName val="전송망집계"/>
      <sheetName val="철거수량(전송)"/>
      <sheetName val="일위대가(1)"/>
      <sheetName val="재료"/>
      <sheetName val="설치자재"/>
      <sheetName val="일위목록"/>
      <sheetName val="요율"/>
      <sheetName val="2000년1차"/>
      <sheetName val="2000전체분"/>
      <sheetName val="기본단가표"/>
      <sheetName val="제노임"/>
      <sheetName val="DB"/>
      <sheetName val="시약"/>
      <sheetName val="재료비"/>
      <sheetName val="전기2005"/>
      <sheetName val="통신2005"/>
      <sheetName val="노임단가 (2)"/>
      <sheetName val="원가계산서구조조정"/>
      <sheetName val="접지수량"/>
      <sheetName val="ELEC"/>
      <sheetName val="옥외외등집계표"/>
      <sheetName val="공사원가계산서"/>
      <sheetName val="자재단가"/>
      <sheetName val="봉양~조차장간고하개명(신설)"/>
      <sheetName val="COST"/>
      <sheetName val="원가총괄"/>
      <sheetName val="자재테이블"/>
      <sheetName val="대포2교접속"/>
      <sheetName val="천방교접속"/>
      <sheetName val="교각계산"/>
      <sheetName val="신호등일위대가"/>
      <sheetName val=" HIT-&gt;HMC 견적(3900)"/>
      <sheetName val="SHEET PILE단가"/>
      <sheetName val="Resource2"/>
      <sheetName val="관급"/>
      <sheetName val="수량총괄"/>
      <sheetName val="정류기"/>
      <sheetName val="급,배기팬"/>
      <sheetName val="내   역"/>
      <sheetName val="#3_일위대가목록"/>
      <sheetName val="#2_일위대가목록"/>
      <sheetName val="노단"/>
      <sheetName val="산출(2)"/>
      <sheetName val="전체제잡비"/>
      <sheetName val="재료비집계"/>
      <sheetName val="제조노임"/>
      <sheetName val="현장조사"/>
      <sheetName val="프로젝트"/>
      <sheetName val="서식시트"/>
      <sheetName val="방송일위대가"/>
      <sheetName val="input"/>
      <sheetName val="CODE1"/>
      <sheetName val="토공"/>
      <sheetName val="원형1호맨홀토공수량"/>
      <sheetName val="1안"/>
      <sheetName val="현금예금"/>
      <sheetName val="견적대비표"/>
      <sheetName val="공문"/>
      <sheetName val="가로등기초"/>
      <sheetName val="PAD TR보호대기초"/>
      <sheetName val="횡배수관토공수량"/>
      <sheetName val="정SW_원_"/>
      <sheetName val="합천내역"/>
      <sheetName val="노무비단가"/>
      <sheetName val="제작기술지원센터"/>
      <sheetName val="구조물철거타공정이월"/>
      <sheetName val="1.1서버도입"/>
      <sheetName val="노임단가 및 기계경비"/>
      <sheetName val="설치공사2"/>
      <sheetName val="기본DATA"/>
      <sheetName val="원본(갑지)"/>
      <sheetName val="시화점실행"/>
      <sheetName val="A4-結果_"/>
      <sheetName val="투자-국내2"/>
      <sheetName val="토적계산"/>
      <sheetName val="sh1"/>
      <sheetName val="제출내역 (2)"/>
      <sheetName val="총괄"/>
      <sheetName val="샘플표지"/>
      <sheetName val="01"/>
      <sheetName val="총괄집계표"/>
      <sheetName val="임율"/>
      <sheetName val="부하(성남)"/>
      <sheetName val="C3"/>
      <sheetName val="토공총괄표"/>
      <sheetName val="감가상각"/>
      <sheetName val="HD01"/>
      <sheetName val="98연계표"/>
      <sheetName val="CODE"/>
      <sheetName val="cal"/>
      <sheetName val="성곽내역서"/>
      <sheetName val="Sheet17"/>
      <sheetName val="내역을"/>
      <sheetName val="내역서1-2"/>
      <sheetName val="시설수량표"/>
      <sheetName val="식재수량표"/>
      <sheetName val="건축일위"/>
      <sheetName val="그라우팅일위"/>
      <sheetName val="전기"/>
      <sheetName val="현장관리비"/>
      <sheetName val="단위세대물량"/>
      <sheetName val="기초DATA(2)"/>
      <sheetName val="터파기및재료"/>
      <sheetName val="Baby일위대가"/>
      <sheetName val="목록"/>
      <sheetName val="BSD _2_"/>
      <sheetName val="유림골조"/>
      <sheetName val=" 냉각수펌프"/>
      <sheetName val="LH3 동양시스템"/>
      <sheetName val="일위대가표"/>
      <sheetName val="을-ATYPE"/>
      <sheetName val="danga"/>
      <sheetName val="ilch"/>
      <sheetName val="제36-40호표"/>
      <sheetName val="샤워실위생"/>
      <sheetName val="unit 4"/>
      <sheetName val="설계조건"/>
      <sheetName val="조경"/>
      <sheetName val="소비자가"/>
      <sheetName val="FANDBS"/>
      <sheetName val="GRDATA"/>
      <sheetName val="SHAFTDBSE"/>
      <sheetName val="산출내역서"/>
      <sheetName val="직공비"/>
      <sheetName val="일(4)"/>
      <sheetName val="식재인부"/>
      <sheetName val="TABLE"/>
      <sheetName val="수목단가"/>
      <sheetName val="제수"/>
      <sheetName val="공기"/>
      <sheetName val="설계명세서"/>
      <sheetName val="총(철거)"/>
      <sheetName val="총물량표"/>
      <sheetName val="배관단가조사서"/>
      <sheetName val="단가산출"/>
      <sheetName val="NÒ¾íÂ"/>
      <sheetName val="NìüëÒ-òÅ"/>
      <sheetName val="JòÁî§1"/>
      <sheetName val="JòÁî§2"/>
      <sheetName val="JòÁî§3"/>
      <sheetName val="JòÁî§4"/>
      <sheetName val="KÊõßÚÊ¿"/>
      <sheetName val="KÌèÍª"/>
      <sheetName val="KÌèÛÕÝ·"/>
      <sheetName val="KÌèðàïÚ"/>
      <sheetName val="Ká¼ÙÄÝÂ"/>
      <sheetName val="NÊàÒ¾Íª"/>
      <sheetName val="NÊàÝïëÒ"/>
      <sheetName val="NÊàãÁëÒ"/>
      <sheetName val="NÍïâ¦1"/>
      <sheetName val="NÍïâ¦2"/>
      <sheetName val="NÒ¾Íª"/>
      <sheetName val="NÒ¾ÙâÝÂ"/>
      <sheetName val="NÒ¾Ùâãù"/>
      <sheetName val="Að²õÅ"/>
      <sheetName val="IìéÚõÝï"/>
      <sheetName val="JâÃìýî§"/>
      <sheetName val="JíÂÍª"/>
      <sheetName val="Jî§ÖùÕá1"/>
      <sheetName val="Jî§ÖùÕá2"/>
      <sheetName val="JÊàî§"/>
      <sheetName val="JâÃìýÍª"/>
      <sheetName val="JâÃìýëÒ1"/>
      <sheetName val="A4-Ì¿Íý "/>
      <sheetName val="Á¤»êÀÚ·á"/>
      <sheetName val="º»ºÎ"/>
      <sheetName val="ÀüÁÖ"/>
      <sheetName val="±¤ÁÖ"/>
      <sheetName val="¼øÃµ"/>
      <sheetName val="³²¿ø"/>
      <sheetName val="¸ñÆ÷"/>
      <sheetName val="±º»ê"/>
      <sheetName val="Ç¥Áö"/>
      <sheetName val="ÀÎ°Ç-ÃøÁ¤"/>
      <sheetName val="ÇÑ°­¿î¹Ýºñ"/>
      <sheetName val="ÇÏÁ¶¼­"/>
      <sheetName val="¼³Á÷Àç-1"/>
      <sheetName val="´Ü"/>
      <sheetName val="NìüëÒ_òÅ"/>
      <sheetName val="CP-E2_(품셈표)"/>
      <sheetName val="1_설계조건"/>
      <sheetName val="1_수인터널"/>
      <sheetName val="C-직노1"/>
      <sheetName val="D-경비1"/>
      <sheetName val="인수공"/>
      <sheetName val="DB단가"/>
      <sheetName val="원형맨홀수량"/>
      <sheetName val="OPT7"/>
      <sheetName val="견적율"/>
      <sheetName val="사급자재"/>
      <sheetName val="토목"/>
      <sheetName val="조도계산"/>
      <sheetName val="AL공사(원)"/>
      <sheetName val="기계경비목록"/>
      <sheetName val="DATA_입력란"/>
      <sheetName val="총괄_CCTV수량"/>
      <sheetName val="식재가격"/>
      <sheetName val="식재총괄"/>
      <sheetName val="돈암사업"/>
      <sheetName val="횡 연장"/>
      <sheetName val="Sheet13"/>
      <sheetName val="발전기"/>
      <sheetName val="공사비"/>
      <sheetName val="DATA_입력란1"/>
      <sheetName val="총괄_CCTV수량1"/>
      <sheetName val="기존단가_(2)"/>
      <sheetName val="단가_"/>
      <sheetName val="수목데이타_"/>
      <sheetName val="변압기_및_발전기_용량"/>
      <sheetName val="6__직접경비"/>
      <sheetName val="노무비_"/>
      <sheetName val="수량 산출서"/>
      <sheetName val="정SW(원)"/>
      <sheetName val="결과조달"/>
      <sheetName val="예산대비"/>
      <sheetName val="소방"/>
      <sheetName val="Sheet14"/>
      <sheetName val="석재장조사"/>
      <sheetName val="소요자재명세서"/>
      <sheetName val="노무비명세서"/>
      <sheetName val="남양구조시험동"/>
      <sheetName val="G.R300경비"/>
      <sheetName val="교각1"/>
      <sheetName val="단가대비표"/>
      <sheetName val="제품별"/>
      <sheetName val="Y-WORK"/>
      <sheetName val="백암비스타내역"/>
      <sheetName val="BID"/>
      <sheetName val="환산"/>
      <sheetName val="발신정보"/>
      <sheetName val="wall"/>
      <sheetName val="Sheet1 (2)"/>
      <sheetName val="HW일위"/>
      <sheetName val="분석"/>
      <sheetName val="969910(_R)"/>
      <sheetName val="용소리교"/>
      <sheetName val="품셈"/>
      <sheetName val="Macro(전선)"/>
      <sheetName val="SheゃᲓ_x0000__x0000_"/>
      <sheetName val="Лист1"/>
      <sheetName val="I???"/>
      <sheetName val="N??-?"/>
      <sheetName val="База данных"/>
      <sheetName val="Sheẍ_x0000__x0000_"/>
      <sheetName val="총괄_CCTV수량2"/>
      <sheetName val="6__직접경비1"/>
      <sheetName val="원가_(2)"/>
      <sheetName val="5_설치내역"/>
      <sheetName val="A4-結果_1"/>
      <sheetName val="IMPEADENCE_MAP_취수장"/>
      <sheetName val="2F_회의실견적(5_14_일대)"/>
      <sheetName val="일위대가56-1_"/>
      <sheetName val="일위대가71-1_"/>
      <sheetName val="일위대가74-1_"/>
      <sheetName val="일위대가76-1_"/>
      <sheetName val="일위대가77-1_"/>
      <sheetName val="일위대가78-1_"/>
      <sheetName val="CT_"/>
      <sheetName val="조도계산서_(도서)"/>
      <sheetName val="CP-E2_(품셈표)1"/>
      <sheetName val="1_수인터널1"/>
      <sheetName val="1_설계조건1"/>
      <sheetName val="을_1"/>
      <sheetName val="을_2"/>
      <sheetName val="진입부_단위수량"/>
      <sheetName val="전차선로_물량표"/>
      <sheetName val="969910(_R)1"/>
      <sheetName val="INPUT_DATA"/>
      <sheetName val="8_PILE__(돌출)"/>
      <sheetName val="DATA_입력란2"/>
      <sheetName val="변압기_및_발전기_용량1"/>
      <sheetName val="노무비_1"/>
      <sheetName val="기존단가_(2)1"/>
      <sheetName val="단가_1"/>
      <sheetName val="수목데이타_1"/>
      <sheetName val="1_우편집중내역서"/>
      <sheetName val="6PILE__(돌출)"/>
      <sheetName val="인건비_"/>
      <sheetName val="단가_및_재료비"/>
      <sheetName val="Price_List"/>
      <sheetName val="2_4_자재단가비교표"/>
      <sheetName val="노임단가_(2)"/>
      <sheetName val="_HIT-&gt;HMC_견적(3900)"/>
      <sheetName val="SHEET_PILE단가"/>
      <sheetName val="내___역"/>
      <sheetName val="PAD_TR보호대기초"/>
      <sheetName val="1_1서버도입"/>
      <sheetName val="노임단가_및_기계경비"/>
      <sheetName val="제출내역_(2)"/>
      <sheetName val="BSD__2_"/>
      <sheetName val="_냉각수펌프"/>
      <sheetName val="LH3_동양시스템"/>
      <sheetName val="unit_4"/>
      <sheetName val="A4-Ì¿Íý_"/>
      <sheetName val="횡_연장"/>
      <sheetName val="수량_산출서"/>
      <sheetName val="G_R300경비"/>
      <sheetName val="Sheet1_(2)"/>
      <sheetName val="База_данных"/>
      <sheetName val="She_xd86f_漴봀"/>
      <sheetName val="She胡꙱/_x0000_"/>
      <sheetName val="인력기준(삭제하지마세요)"/>
      <sheetName val="She漴봀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/>
      <sheetData sheetId="101"/>
      <sheetData sheetId="102"/>
      <sheetData sheetId="103"/>
      <sheetData sheetId="104"/>
      <sheetData sheetId="105"/>
      <sheetData sheetId="106"/>
      <sheetData sheetId="107" refreshError="1"/>
      <sheetData sheetId="108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 refreshError="1"/>
      <sheetData sheetId="253" refreshError="1"/>
      <sheetData sheetId="254" refreshError="1"/>
      <sheetData sheetId="255" refreshError="1"/>
      <sheetData sheetId="256" refreshError="1"/>
      <sheetData sheetId="257" refreshError="1"/>
      <sheetData sheetId="258" refreshError="1"/>
      <sheetData sheetId="259" refreshError="1"/>
      <sheetData sheetId="260" refreshError="1"/>
      <sheetData sheetId="261" refreshError="1"/>
      <sheetData sheetId="262" refreshError="1"/>
      <sheetData sheetId="263" refreshError="1"/>
      <sheetData sheetId="264" refreshError="1"/>
      <sheetData sheetId="265" refreshError="1"/>
      <sheetData sheetId="266" refreshError="1"/>
      <sheetData sheetId="267" refreshError="1"/>
      <sheetData sheetId="268" refreshError="1"/>
      <sheetData sheetId="269" refreshError="1"/>
      <sheetData sheetId="270" refreshError="1"/>
      <sheetData sheetId="271" refreshError="1"/>
      <sheetData sheetId="272" refreshError="1"/>
      <sheetData sheetId="273" refreshError="1"/>
      <sheetData sheetId="274" refreshError="1"/>
      <sheetData sheetId="275" refreshError="1"/>
      <sheetData sheetId="276" refreshError="1"/>
      <sheetData sheetId="277" refreshError="1"/>
      <sheetData sheetId="278" refreshError="1"/>
      <sheetData sheetId="279" refreshError="1"/>
      <sheetData sheetId="280" refreshError="1"/>
      <sheetData sheetId="281" refreshError="1"/>
      <sheetData sheetId="282" refreshError="1"/>
      <sheetData sheetId="283" refreshError="1"/>
      <sheetData sheetId="284" refreshError="1"/>
      <sheetData sheetId="285" refreshError="1"/>
      <sheetData sheetId="286" refreshError="1"/>
      <sheetData sheetId="287" refreshError="1"/>
      <sheetData sheetId="288" refreshError="1"/>
      <sheetData sheetId="289" refreshError="1"/>
      <sheetData sheetId="290" refreshError="1"/>
      <sheetData sheetId="291" refreshError="1"/>
      <sheetData sheetId="292" refreshError="1"/>
      <sheetData sheetId="293" refreshError="1"/>
      <sheetData sheetId="294" refreshError="1"/>
      <sheetData sheetId="295" refreshError="1"/>
      <sheetData sheetId="296" refreshError="1"/>
      <sheetData sheetId="297" refreshError="1"/>
      <sheetData sheetId="298" refreshError="1"/>
      <sheetData sheetId="299" refreshError="1"/>
      <sheetData sheetId="300" refreshError="1"/>
      <sheetData sheetId="301" refreshError="1"/>
      <sheetData sheetId="302" refreshError="1"/>
      <sheetData sheetId="303" refreshError="1"/>
      <sheetData sheetId="304" refreshError="1"/>
      <sheetData sheetId="305" refreshError="1"/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 refreshError="1"/>
      <sheetData sheetId="326" refreshError="1"/>
      <sheetData sheetId="327" refreshError="1"/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 refreshError="1"/>
      <sheetData sheetId="350" refreshError="1"/>
      <sheetData sheetId="351" refreshError="1"/>
      <sheetData sheetId="352" refreshError="1"/>
      <sheetData sheetId="353" refreshError="1"/>
      <sheetData sheetId="354" refreshError="1"/>
      <sheetData sheetId="355" refreshError="1"/>
      <sheetData sheetId="356" refreshError="1"/>
      <sheetData sheetId="357" refreshError="1"/>
      <sheetData sheetId="358" refreshError="1"/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 refreshError="1"/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 refreshError="1"/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 refreshError="1"/>
      <sheetData sheetId="432" refreshError="1"/>
      <sheetData sheetId="433" refreshError="1"/>
      <sheetData sheetId="434" refreshError="1"/>
      <sheetData sheetId="435" refreshError="1"/>
      <sheetData sheetId="436" refreshError="1"/>
      <sheetData sheetId="437" refreshError="1"/>
      <sheetData sheetId="438" refreshError="1"/>
      <sheetData sheetId="439" refreshError="1"/>
      <sheetData sheetId="440" refreshError="1"/>
      <sheetData sheetId="441" refreshError="1"/>
      <sheetData sheetId="442" refreshError="1"/>
      <sheetData sheetId="443" refreshError="1"/>
      <sheetData sheetId="444" refreshError="1"/>
      <sheetData sheetId="445" refreshError="1"/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 refreshError="1"/>
      <sheetData sheetId="461" refreshError="1"/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/>
      <sheetData sheetId="543"/>
      <sheetData sheetId="544"/>
      <sheetData sheetId="545" refreshError="1"/>
      <sheetData sheetId="546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 refreshError="1"/>
      <sheetData sheetId="582" refreshError="1"/>
      <sheetData sheetId="583" refreshError="1"/>
      <sheetData sheetId="584" refreshError="1"/>
      <sheetData sheetId="585" refreshError="1"/>
      <sheetData sheetId="586" refreshError="1"/>
      <sheetData sheetId="587" refreshError="1"/>
      <sheetData sheetId="588" refreshError="1"/>
      <sheetData sheetId="589" refreshError="1"/>
      <sheetData sheetId="590" refreshError="1"/>
      <sheetData sheetId="591" refreshError="1"/>
      <sheetData sheetId="592" refreshError="1"/>
      <sheetData sheetId="593" refreshError="1"/>
      <sheetData sheetId="594" refreshError="1"/>
      <sheetData sheetId="595" refreshError="1"/>
      <sheetData sheetId="596" refreshError="1"/>
      <sheetData sheetId="597" refreshError="1"/>
      <sheetData sheetId="598" refreshError="1"/>
      <sheetData sheetId="599" refreshError="1"/>
      <sheetData sheetId="600" refreshError="1"/>
      <sheetData sheetId="601" refreshError="1"/>
      <sheetData sheetId="602" refreshError="1"/>
      <sheetData sheetId="603"/>
      <sheetData sheetId="604"/>
      <sheetData sheetId="605"/>
      <sheetData sheetId="606" refreshError="1"/>
      <sheetData sheetId="607"/>
      <sheetData sheetId="608"/>
      <sheetData sheetId="609"/>
      <sheetData sheetId="610"/>
      <sheetData sheetId="611"/>
      <sheetData sheetId="612"/>
      <sheetData sheetId="613"/>
      <sheetData sheetId="614"/>
      <sheetData sheetId="615"/>
      <sheetData sheetId="616"/>
      <sheetData sheetId="617"/>
      <sheetData sheetId="618"/>
      <sheetData sheetId="619"/>
      <sheetData sheetId="620"/>
      <sheetData sheetId="621"/>
      <sheetData sheetId="622"/>
      <sheetData sheetId="623"/>
      <sheetData sheetId="624"/>
      <sheetData sheetId="625"/>
      <sheetData sheetId="626"/>
      <sheetData sheetId="627"/>
      <sheetData sheetId="628"/>
      <sheetData sheetId="629"/>
      <sheetData sheetId="630"/>
      <sheetData sheetId="631"/>
      <sheetData sheetId="632"/>
      <sheetData sheetId="633"/>
      <sheetData sheetId="634"/>
      <sheetData sheetId="635"/>
      <sheetData sheetId="636"/>
      <sheetData sheetId="637"/>
      <sheetData sheetId="638"/>
      <sheetData sheetId="639"/>
      <sheetData sheetId="640"/>
      <sheetData sheetId="641"/>
      <sheetData sheetId="642"/>
      <sheetData sheetId="643"/>
      <sheetData sheetId="644"/>
      <sheetData sheetId="645"/>
      <sheetData sheetId="646"/>
      <sheetData sheetId="647"/>
      <sheetData sheetId="648"/>
      <sheetData sheetId="649"/>
      <sheetData sheetId="650"/>
      <sheetData sheetId="651"/>
      <sheetData sheetId="652"/>
      <sheetData sheetId="653"/>
      <sheetData sheetId="654"/>
      <sheetData sheetId="655"/>
      <sheetData sheetId="656"/>
      <sheetData sheetId="657"/>
      <sheetData sheetId="658"/>
      <sheetData sheetId="659"/>
      <sheetData sheetId="660"/>
      <sheetData sheetId="661"/>
      <sheetData sheetId="662" refreshError="1"/>
      <sheetData sheetId="663" refreshError="1"/>
      <sheetData sheetId="664" refreshError="1"/>
      <sheetData sheetId="66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B1:Q46"/>
  <sheetViews>
    <sheetView showGridLines="0" tabSelected="1" view="pageBreakPreview" zoomScaleNormal="100" zoomScaleSheetLayoutView="100" workbookViewId="0">
      <selection activeCell="B1" sqref="B1:K1"/>
    </sheetView>
  </sheetViews>
  <sheetFormatPr defaultColWidth="7.88671875" defaultRowHeight="14.25" customHeight="1" x14ac:dyDescent="0.3"/>
  <cols>
    <col min="1" max="1" width="1" style="1" customWidth="1"/>
    <col min="2" max="2" width="11.109375" style="2" customWidth="1"/>
    <col min="3" max="3" width="11.109375" style="5" customWidth="1"/>
    <col min="4" max="4" width="20.44140625" style="4" customWidth="1"/>
    <col min="5" max="5" width="12.33203125" style="5" customWidth="1"/>
    <col min="6" max="6" width="11.109375" style="2" customWidth="1"/>
    <col min="7" max="7" width="8.44140625" style="2" customWidth="1"/>
    <col min="8" max="8" width="12.44140625" style="5" customWidth="1"/>
    <col min="9" max="10" width="12.88671875" style="5" customWidth="1"/>
    <col min="11" max="11" width="32.88671875" style="5" bestFit="1" customWidth="1"/>
    <col min="12" max="12" width="0.88671875" style="1" customWidth="1"/>
    <col min="13" max="13" width="15.33203125" style="1" customWidth="1"/>
    <col min="14" max="16384" width="7.88671875" style="1"/>
  </cols>
  <sheetData>
    <row r="1" spans="2:11" ht="48" customHeight="1" thickBot="1" x14ac:dyDescent="0.2">
      <c r="B1" s="127" t="s">
        <v>48</v>
      </c>
      <c r="C1" s="127"/>
      <c r="D1" s="127"/>
      <c r="E1" s="127"/>
      <c r="F1" s="127"/>
      <c r="G1" s="127"/>
      <c r="H1" s="127"/>
      <c r="I1" s="127"/>
      <c r="J1" s="127"/>
      <c r="K1" s="127"/>
    </row>
    <row r="2" spans="2:11" ht="12" customHeight="1" x14ac:dyDescent="0.3">
      <c r="C2" s="3"/>
    </row>
    <row r="3" spans="2:11" s="8" customFormat="1" ht="18" customHeight="1" x14ac:dyDescent="0.15">
      <c r="B3" s="7" t="s">
        <v>38</v>
      </c>
      <c r="C3" s="47"/>
      <c r="D3" s="6"/>
      <c r="E3" s="47"/>
      <c r="F3" s="48"/>
      <c r="G3" s="48"/>
      <c r="H3" s="47"/>
      <c r="I3" s="47"/>
      <c r="J3" s="47"/>
      <c r="K3" s="47"/>
    </row>
    <row r="4" spans="2:11" s="8" customFormat="1" ht="18" customHeight="1" x14ac:dyDescent="0.15">
      <c r="B4" s="10" t="s">
        <v>39</v>
      </c>
      <c r="C4" s="49"/>
      <c r="D4" s="9"/>
      <c r="E4" s="49"/>
      <c r="F4" s="10" t="s">
        <v>50</v>
      </c>
      <c r="G4" s="49" t="s">
        <v>88</v>
      </c>
      <c r="H4" s="49"/>
      <c r="I4" s="50"/>
      <c r="J4" s="50"/>
      <c r="K4" s="50"/>
    </row>
    <row r="5" spans="2:11" s="8" customFormat="1" ht="18" customHeight="1" x14ac:dyDescent="0.15">
      <c r="B5" s="11" t="s">
        <v>37</v>
      </c>
      <c r="C5" s="51" t="s">
        <v>72</v>
      </c>
      <c r="D5" s="11" t="s">
        <v>33</v>
      </c>
      <c r="E5" s="51" t="s">
        <v>73</v>
      </c>
      <c r="F5" s="11" t="s">
        <v>32</v>
      </c>
      <c r="G5" s="51" t="s">
        <v>74</v>
      </c>
      <c r="H5" s="11" t="s">
        <v>62</v>
      </c>
      <c r="I5" s="51" t="s">
        <v>75</v>
      </c>
      <c r="J5" s="51" t="s">
        <v>75</v>
      </c>
      <c r="K5" s="51"/>
    </row>
    <row r="6" spans="2:11" s="8" customFormat="1" ht="18" customHeight="1" x14ac:dyDescent="0.15">
      <c r="B6" s="10" t="s">
        <v>36</v>
      </c>
      <c r="C6" s="49"/>
      <c r="D6" s="10"/>
      <c r="E6" s="49"/>
      <c r="F6" s="50"/>
      <c r="G6" s="50"/>
      <c r="H6" s="95" t="s">
        <v>63</v>
      </c>
      <c r="I6" s="49" t="s">
        <v>76</v>
      </c>
      <c r="J6" s="49" t="s">
        <v>76</v>
      </c>
      <c r="K6" s="49"/>
    </row>
    <row r="7" spans="2:11" s="8" customFormat="1" ht="18" customHeight="1" x14ac:dyDescent="0.15">
      <c r="B7" s="56" t="s">
        <v>35</v>
      </c>
      <c r="C7" s="81"/>
      <c r="D7" s="56" t="s">
        <v>34</v>
      </c>
      <c r="E7" s="57"/>
      <c r="F7" s="58"/>
      <c r="G7" s="58"/>
      <c r="H7" s="59"/>
      <c r="I7" s="59"/>
      <c r="J7" s="59"/>
      <c r="K7" s="59"/>
    </row>
    <row r="8" spans="2:11" s="8" customFormat="1" ht="13.5" customHeight="1" thickBot="1" x14ac:dyDescent="0.2">
      <c r="B8" s="126"/>
      <c r="C8" s="126"/>
      <c r="D8" s="126"/>
      <c r="E8" s="126"/>
      <c r="F8" s="126"/>
      <c r="G8" s="126"/>
      <c r="H8" s="126"/>
      <c r="I8" s="126"/>
      <c r="J8" s="126"/>
      <c r="K8" s="126"/>
    </row>
    <row r="9" spans="2:11" s="17" customFormat="1" thickBot="1" x14ac:dyDescent="0.2">
      <c r="B9" s="93" t="s">
        <v>2</v>
      </c>
      <c r="C9" s="113" t="s">
        <v>0</v>
      </c>
      <c r="D9" s="114"/>
      <c r="E9" s="92" t="s">
        <v>1</v>
      </c>
      <c r="F9" s="12" t="s">
        <v>17</v>
      </c>
      <c r="G9" s="93" t="s">
        <v>18</v>
      </c>
      <c r="H9" s="41" t="s">
        <v>97</v>
      </c>
      <c r="I9" s="41" t="s">
        <v>98</v>
      </c>
      <c r="J9" s="41" t="s">
        <v>99</v>
      </c>
      <c r="K9" s="70" t="s">
        <v>16</v>
      </c>
    </row>
    <row r="10" spans="2:11" s="17" customFormat="1" ht="16.5" customHeight="1" x14ac:dyDescent="0.15">
      <c r="B10" s="104" t="s">
        <v>19</v>
      </c>
      <c r="C10" s="115" t="s">
        <v>21</v>
      </c>
      <c r="D10" s="116"/>
      <c r="E10" s="117" t="s">
        <v>40</v>
      </c>
      <c r="F10" s="117" t="s">
        <v>57</v>
      </c>
      <c r="G10" s="18">
        <v>1</v>
      </c>
      <c r="H10" s="42">
        <v>3000000</v>
      </c>
      <c r="I10" s="88">
        <v>0</v>
      </c>
      <c r="J10" s="88">
        <v>0</v>
      </c>
      <c r="K10" s="107"/>
    </row>
    <row r="11" spans="2:11" s="17" customFormat="1" ht="16.5" customHeight="1" x14ac:dyDescent="0.15">
      <c r="B11" s="105"/>
      <c r="C11" s="122" t="s">
        <v>22</v>
      </c>
      <c r="D11" s="123"/>
      <c r="E11" s="118"/>
      <c r="F11" s="120"/>
      <c r="G11" s="20">
        <v>1</v>
      </c>
      <c r="H11" s="43">
        <v>2000000</v>
      </c>
      <c r="I11" s="89">
        <v>0</v>
      </c>
      <c r="J11" s="89">
        <v>0</v>
      </c>
      <c r="K11" s="108"/>
    </row>
    <row r="12" spans="2:11" s="17" customFormat="1" ht="16.5" customHeight="1" x14ac:dyDescent="0.15">
      <c r="B12" s="105"/>
      <c r="C12" s="122" t="s">
        <v>23</v>
      </c>
      <c r="D12" s="123"/>
      <c r="E12" s="118"/>
      <c r="F12" s="120"/>
      <c r="G12" s="21">
        <v>1</v>
      </c>
      <c r="H12" s="43">
        <v>2000000</v>
      </c>
      <c r="I12" s="89">
        <v>0</v>
      </c>
      <c r="J12" s="89">
        <v>0</v>
      </c>
      <c r="K12" s="108"/>
    </row>
    <row r="13" spans="2:11" s="17" customFormat="1" ht="16.5" customHeight="1" x14ac:dyDescent="0.15">
      <c r="B13" s="105"/>
      <c r="C13" s="122" t="s">
        <v>24</v>
      </c>
      <c r="D13" s="123"/>
      <c r="E13" s="118"/>
      <c r="F13" s="120"/>
      <c r="G13" s="21">
        <v>1</v>
      </c>
      <c r="H13" s="42">
        <v>2000000</v>
      </c>
      <c r="I13" s="88">
        <v>0</v>
      </c>
      <c r="J13" s="88">
        <v>0</v>
      </c>
      <c r="K13" s="109"/>
    </row>
    <row r="14" spans="2:11" s="17" customFormat="1" ht="16.5" customHeight="1" x14ac:dyDescent="0.15">
      <c r="B14" s="105"/>
      <c r="C14" s="122" t="s">
        <v>25</v>
      </c>
      <c r="D14" s="123"/>
      <c r="E14" s="118"/>
      <c r="F14" s="121"/>
      <c r="G14" s="19">
        <v>1</v>
      </c>
      <c r="H14" s="43">
        <v>250000</v>
      </c>
      <c r="I14" s="89">
        <v>0</v>
      </c>
      <c r="J14" s="89">
        <v>0</v>
      </c>
      <c r="K14" s="109"/>
    </row>
    <row r="15" spans="2:11" s="17" customFormat="1" ht="16.5" customHeight="1" thickBot="1" x14ac:dyDescent="0.2">
      <c r="B15" s="105"/>
      <c r="C15" s="124" t="s">
        <v>28</v>
      </c>
      <c r="D15" s="125"/>
      <c r="E15" s="119"/>
      <c r="F15" s="91" t="s">
        <v>76</v>
      </c>
      <c r="G15" s="19">
        <v>1</v>
      </c>
      <c r="H15" s="43">
        <v>250000</v>
      </c>
      <c r="I15" s="89">
        <v>0</v>
      </c>
      <c r="J15" s="89">
        <v>0</v>
      </c>
      <c r="K15" s="110"/>
    </row>
    <row r="16" spans="2:11" s="17" customFormat="1" ht="16.5" customHeight="1" thickBot="1" x14ac:dyDescent="0.2">
      <c r="B16" s="93" t="s">
        <v>20</v>
      </c>
      <c r="C16" s="16"/>
      <c r="D16" s="79"/>
      <c r="E16" s="14"/>
      <c r="F16" s="13"/>
      <c r="G16" s="13"/>
      <c r="H16" s="44">
        <f>SUM(H10:H15)</f>
        <v>9500000</v>
      </c>
      <c r="I16" s="90">
        <f>SUM(I10:I15)</f>
        <v>0</v>
      </c>
      <c r="J16" s="90">
        <f>SUM(J10:J15)</f>
        <v>0</v>
      </c>
      <c r="K16" s="96" t="s">
        <v>68</v>
      </c>
    </row>
    <row r="17" spans="2:17" s="17" customFormat="1" ht="16.5" customHeight="1" x14ac:dyDescent="0.15">
      <c r="B17" s="111" t="s">
        <v>58</v>
      </c>
      <c r="C17" s="54" t="s">
        <v>79</v>
      </c>
      <c r="D17" s="54" t="s">
        <v>80</v>
      </c>
      <c r="E17" s="23" t="s">
        <v>81</v>
      </c>
      <c r="F17" s="32"/>
      <c r="G17" s="18">
        <v>1</v>
      </c>
      <c r="H17" s="42">
        <v>4000000</v>
      </c>
      <c r="I17" s="42">
        <v>4000000</v>
      </c>
      <c r="J17" s="42">
        <v>4000000</v>
      </c>
      <c r="K17" s="82"/>
      <c r="M17" s="28" t="s">
        <v>27</v>
      </c>
    </row>
    <row r="18" spans="2:17" s="17" customFormat="1" ht="16.5" customHeight="1" x14ac:dyDescent="0.15">
      <c r="B18" s="105"/>
      <c r="C18" s="54" t="s">
        <v>60</v>
      </c>
      <c r="D18" s="54" t="s">
        <v>61</v>
      </c>
      <c r="E18" s="23" t="s">
        <v>82</v>
      </c>
      <c r="F18" s="32"/>
      <c r="G18" s="18">
        <v>1</v>
      </c>
      <c r="H18" s="42">
        <v>40000000</v>
      </c>
      <c r="I18" s="42">
        <v>36000000</v>
      </c>
      <c r="J18" s="42">
        <v>36000000</v>
      </c>
      <c r="K18" s="82"/>
      <c r="M18" s="28" t="s">
        <v>27</v>
      </c>
    </row>
    <row r="19" spans="2:17" s="17" customFormat="1" ht="16.5" customHeight="1" x14ac:dyDescent="0.15">
      <c r="B19" s="105"/>
      <c r="C19" s="54" t="s">
        <v>90</v>
      </c>
      <c r="D19" s="54" t="s">
        <v>91</v>
      </c>
      <c r="E19" s="23" t="s">
        <v>92</v>
      </c>
      <c r="F19" s="32"/>
      <c r="G19" s="18">
        <v>1</v>
      </c>
      <c r="H19" s="42">
        <v>65300000</v>
      </c>
      <c r="I19" s="42">
        <v>65300000</v>
      </c>
      <c r="J19" s="42">
        <v>65300000</v>
      </c>
      <c r="K19" s="82"/>
      <c r="M19" s="28" t="s">
        <v>27</v>
      </c>
    </row>
    <row r="20" spans="2:17" s="17" customFormat="1" ht="16.5" customHeight="1" x14ac:dyDescent="0.15">
      <c r="B20" s="105"/>
      <c r="C20" s="102" t="s">
        <v>41</v>
      </c>
      <c r="D20" s="54" t="s">
        <v>65</v>
      </c>
      <c r="E20" s="23"/>
      <c r="F20" s="32"/>
      <c r="G20" s="18">
        <v>1</v>
      </c>
      <c r="H20" s="42">
        <v>0</v>
      </c>
      <c r="I20" s="42">
        <v>0</v>
      </c>
      <c r="J20" s="42">
        <v>0</v>
      </c>
      <c r="K20" s="82"/>
      <c r="M20" s="28"/>
    </row>
    <row r="21" spans="2:17" s="17" customFormat="1" ht="16.5" customHeight="1" x14ac:dyDescent="0.15">
      <c r="B21" s="105"/>
      <c r="C21" s="103"/>
      <c r="D21" s="54" t="s">
        <v>64</v>
      </c>
      <c r="E21" s="23" t="s">
        <v>83</v>
      </c>
      <c r="F21" s="32"/>
      <c r="G21" s="18">
        <v>1</v>
      </c>
      <c r="H21" s="42">
        <v>10000000</v>
      </c>
      <c r="I21" s="42">
        <v>10000000</v>
      </c>
      <c r="J21" s="42">
        <v>10000000</v>
      </c>
      <c r="K21" s="82"/>
      <c r="M21" s="28"/>
    </row>
    <row r="22" spans="2:17" s="17" customFormat="1" ht="15.75" customHeight="1" x14ac:dyDescent="0.15">
      <c r="B22" s="105"/>
      <c r="C22" s="103"/>
      <c r="D22" s="54" t="s">
        <v>84</v>
      </c>
      <c r="E22" s="23" t="s">
        <v>83</v>
      </c>
      <c r="F22" s="32"/>
      <c r="G22" s="18">
        <v>1</v>
      </c>
      <c r="H22" s="42">
        <v>66000000</v>
      </c>
      <c r="I22" s="42">
        <v>65000000</v>
      </c>
      <c r="J22" s="42">
        <v>65000000</v>
      </c>
      <c r="K22" s="82"/>
      <c r="M22" s="28"/>
    </row>
    <row r="23" spans="2:17" s="17" customFormat="1" ht="16.5" customHeight="1" x14ac:dyDescent="0.15">
      <c r="B23" s="105"/>
      <c r="C23" s="103"/>
      <c r="D23" s="54" t="s">
        <v>55</v>
      </c>
      <c r="E23" s="23" t="s">
        <v>85</v>
      </c>
      <c r="F23" s="32"/>
      <c r="G23" s="18">
        <v>1</v>
      </c>
      <c r="H23" s="42">
        <v>6400000</v>
      </c>
      <c r="I23" s="42">
        <v>6400000</v>
      </c>
      <c r="J23" s="42">
        <v>6400000</v>
      </c>
      <c r="K23" s="82"/>
      <c r="M23" s="28"/>
    </row>
    <row r="24" spans="2:17" s="17" customFormat="1" ht="16.5" customHeight="1" x14ac:dyDescent="0.15">
      <c r="B24" s="105"/>
      <c r="C24" s="103"/>
      <c r="D24" s="54" t="s">
        <v>56</v>
      </c>
      <c r="E24" s="23" t="s">
        <v>86</v>
      </c>
      <c r="F24" s="32"/>
      <c r="G24" s="18">
        <v>1</v>
      </c>
      <c r="H24" s="42">
        <v>2000000</v>
      </c>
      <c r="I24" s="42">
        <v>2000000</v>
      </c>
      <c r="J24" s="42">
        <v>2000000</v>
      </c>
      <c r="K24" s="82"/>
      <c r="M24" s="28"/>
    </row>
    <row r="25" spans="2:17" s="17" customFormat="1" ht="16.5" customHeight="1" x14ac:dyDescent="0.15">
      <c r="B25" s="112"/>
      <c r="C25" s="103"/>
      <c r="D25" s="54" t="s">
        <v>66</v>
      </c>
      <c r="E25" s="23" t="s">
        <v>67</v>
      </c>
      <c r="F25" s="32"/>
      <c r="G25" s="18">
        <v>1</v>
      </c>
      <c r="H25" s="42">
        <v>2000000</v>
      </c>
      <c r="I25" s="42">
        <v>2000000</v>
      </c>
      <c r="J25" s="42">
        <v>2000000</v>
      </c>
      <c r="K25" s="82"/>
      <c r="M25" s="28"/>
    </row>
    <row r="26" spans="2:17" s="17" customFormat="1" ht="15" customHeight="1" x14ac:dyDescent="0.15">
      <c r="B26" s="104" t="s">
        <v>46</v>
      </c>
      <c r="C26" s="54" t="s">
        <v>42</v>
      </c>
      <c r="D26" s="54" t="s">
        <v>43</v>
      </c>
      <c r="E26" s="38"/>
      <c r="F26" s="22"/>
      <c r="G26" s="18">
        <v>1</v>
      </c>
      <c r="H26" s="45">
        <v>55000000</v>
      </c>
      <c r="I26" s="45">
        <v>55000000</v>
      </c>
      <c r="J26" s="45">
        <v>55000000</v>
      </c>
      <c r="K26" s="98" t="s">
        <v>87</v>
      </c>
      <c r="Q26"/>
    </row>
    <row r="27" spans="2:17" s="17" customFormat="1" ht="13.5" x14ac:dyDescent="0.15">
      <c r="B27" s="105"/>
      <c r="C27" s="54" t="s">
        <v>44</v>
      </c>
      <c r="D27" s="54"/>
      <c r="E27" s="38"/>
      <c r="F27" s="22"/>
      <c r="G27" s="18"/>
      <c r="H27" s="45"/>
      <c r="I27" s="40"/>
      <c r="J27" s="40"/>
      <c r="K27" s="82"/>
    </row>
    <row r="28" spans="2:17" s="17" customFormat="1" ht="16.5" customHeight="1" x14ac:dyDescent="0.15">
      <c r="B28" s="105"/>
      <c r="C28" s="54" t="s">
        <v>45</v>
      </c>
      <c r="D28" s="54"/>
      <c r="E28" s="38"/>
      <c r="F28" s="22"/>
      <c r="G28" s="18"/>
      <c r="H28" s="45"/>
      <c r="I28" s="40"/>
      <c r="J28" s="40"/>
      <c r="K28" s="72"/>
    </row>
    <row r="29" spans="2:17" s="17" customFormat="1" ht="16.5" customHeight="1" thickBot="1" x14ac:dyDescent="0.2">
      <c r="B29" s="105"/>
      <c r="C29" s="60" t="s">
        <v>51</v>
      </c>
      <c r="D29" s="60"/>
      <c r="E29" s="38"/>
      <c r="F29" s="22"/>
      <c r="G29" s="18"/>
      <c r="H29" s="45"/>
      <c r="I29" s="40"/>
      <c r="J29" s="40"/>
      <c r="K29" s="72"/>
    </row>
    <row r="30" spans="2:17" s="17" customFormat="1" ht="15.75" customHeight="1" thickBot="1" x14ac:dyDescent="0.2">
      <c r="B30" s="93" t="s">
        <v>3</v>
      </c>
      <c r="C30" s="52"/>
      <c r="D30" s="53"/>
      <c r="E30" s="14"/>
      <c r="F30" s="13"/>
      <c r="G30" s="13"/>
      <c r="H30" s="44">
        <f>SUM(H17:H29)</f>
        <v>250700000</v>
      </c>
      <c r="I30" s="44">
        <f>SUM(I17:I29)</f>
        <v>245700000</v>
      </c>
      <c r="J30" s="44">
        <f>SUM(J17:J29)</f>
        <v>245700000</v>
      </c>
      <c r="K30" s="71"/>
      <c r="L30" s="37"/>
      <c r="M30" s="28"/>
    </row>
    <row r="31" spans="2:17" s="17" customFormat="1" ht="16.5" customHeight="1" thickBot="1" x14ac:dyDescent="0.2">
      <c r="B31" s="83" t="s">
        <v>52</v>
      </c>
      <c r="C31" s="84" t="s">
        <v>70</v>
      </c>
      <c r="D31" s="84"/>
      <c r="E31" s="85"/>
      <c r="F31" s="86"/>
      <c r="G31" s="86"/>
      <c r="H31" s="87">
        <f>H30*17.65%</f>
        <v>44248550</v>
      </c>
      <c r="I31" s="87">
        <f>I30*10%</f>
        <v>24570000</v>
      </c>
      <c r="J31" s="87">
        <f>J30*10%</f>
        <v>24570000</v>
      </c>
      <c r="K31" s="97" t="s">
        <v>93</v>
      </c>
      <c r="L31" s="28"/>
    </row>
    <row r="32" spans="2:17" s="15" customFormat="1" ht="16.5" customHeight="1" thickBot="1" x14ac:dyDescent="0.2">
      <c r="B32" s="55" t="s">
        <v>29</v>
      </c>
      <c r="C32" s="33" t="s">
        <v>54</v>
      </c>
      <c r="D32" s="34"/>
      <c r="E32" s="35"/>
      <c r="F32" s="36"/>
      <c r="G32" s="36"/>
      <c r="H32" s="46">
        <f>H16+H30+H31</f>
        <v>304448550</v>
      </c>
      <c r="I32" s="46">
        <f>I16+I30+I31</f>
        <v>270270000</v>
      </c>
      <c r="J32" s="46">
        <f>J16+J30+J31</f>
        <v>270270000</v>
      </c>
      <c r="K32" s="73"/>
    </row>
    <row r="33" spans="2:13" s="61" customFormat="1" ht="23.25" customHeight="1" thickBot="1" x14ac:dyDescent="0.2">
      <c r="B33" s="63" t="s">
        <v>26</v>
      </c>
      <c r="C33" s="64" t="s">
        <v>69</v>
      </c>
      <c r="D33" s="65"/>
      <c r="E33" s="66"/>
      <c r="F33" s="67"/>
      <c r="G33" s="67"/>
      <c r="H33" s="68">
        <f>H32*1.1</f>
        <v>334893405</v>
      </c>
      <c r="I33" s="68">
        <f>I32*1.1</f>
        <v>297297000</v>
      </c>
      <c r="J33" s="68">
        <f>J32*1.1</f>
        <v>297297000</v>
      </c>
      <c r="K33" s="69"/>
      <c r="M33" s="62" t="s">
        <v>27</v>
      </c>
    </row>
    <row r="34" spans="2:13" ht="24" customHeight="1" x14ac:dyDescent="0.15">
      <c r="B34" s="106"/>
      <c r="C34" s="106"/>
      <c r="D34" s="106"/>
      <c r="E34" s="106"/>
      <c r="F34" s="106"/>
      <c r="G34" s="106"/>
      <c r="H34" s="106"/>
      <c r="I34" s="106"/>
      <c r="J34" s="106"/>
      <c r="K34" s="106"/>
      <c r="M34" s="1" t="s">
        <v>27</v>
      </c>
    </row>
    <row r="35" spans="2:13" ht="14.25" customHeight="1" x14ac:dyDescent="0.3">
      <c r="H35" s="27"/>
      <c r="I35" s="80"/>
      <c r="J35" s="80"/>
      <c r="K35" s="26"/>
      <c r="M35" s="31" t="s">
        <v>27</v>
      </c>
    </row>
    <row r="36" spans="2:13" ht="14.25" customHeight="1" x14ac:dyDescent="0.3">
      <c r="H36" s="24"/>
    </row>
    <row r="38" spans="2:13" ht="14.25" customHeight="1" x14ac:dyDescent="0.3">
      <c r="H38" s="24"/>
      <c r="I38" s="24"/>
      <c r="J38" s="24"/>
    </row>
    <row r="39" spans="2:13" ht="14.25" customHeight="1" x14ac:dyDescent="0.3">
      <c r="I39" s="25"/>
      <c r="J39" s="25"/>
    </row>
    <row r="41" spans="2:13" ht="14.25" customHeight="1" x14ac:dyDescent="0.3">
      <c r="D41" s="30"/>
      <c r="G41" s="29"/>
    </row>
    <row r="46" spans="2:13" ht="14.25" customHeight="1" x14ac:dyDescent="0.3">
      <c r="E46" s="24"/>
    </row>
  </sheetData>
  <mergeCells count="17">
    <mergeCell ref="B8:K8"/>
    <mergeCell ref="B1:K1"/>
    <mergeCell ref="C9:D9"/>
    <mergeCell ref="B10:B15"/>
    <mergeCell ref="C10:D10"/>
    <mergeCell ref="E10:E15"/>
    <mergeCell ref="F10:F14"/>
    <mergeCell ref="C11:D11"/>
    <mergeCell ref="C12:D12"/>
    <mergeCell ref="C13:D13"/>
    <mergeCell ref="C14:D14"/>
    <mergeCell ref="C15:D15"/>
    <mergeCell ref="C20:C25"/>
    <mergeCell ref="B26:B29"/>
    <mergeCell ref="B34:K34"/>
    <mergeCell ref="K10:K15"/>
    <mergeCell ref="B17:B25"/>
  </mergeCells>
  <phoneticPr fontId="6" type="noConversion"/>
  <pageMargins left="0.15748031496062992" right="0.15748031496062992" top="0.35433070866141736" bottom="0.2" header="0.19685039370078741" footer="0.23"/>
  <pageSetup paperSize="8" orientation="landscape" verticalDpi="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B1:M52"/>
  <sheetViews>
    <sheetView showGridLines="0" view="pageBreakPreview" zoomScaleNormal="100" zoomScaleSheetLayoutView="100" workbookViewId="0">
      <selection activeCell="C10" sqref="C10"/>
    </sheetView>
  </sheetViews>
  <sheetFormatPr defaultColWidth="7.88671875" defaultRowHeight="14.25" customHeight="1" x14ac:dyDescent="0.3"/>
  <cols>
    <col min="1" max="1" width="1" style="1" customWidth="1"/>
    <col min="2" max="2" width="11.109375" style="2" customWidth="1"/>
    <col min="3" max="3" width="11.109375" style="5" customWidth="1"/>
    <col min="4" max="4" width="20.44140625" style="4" customWidth="1"/>
    <col min="5" max="5" width="12.33203125" style="5" customWidth="1"/>
    <col min="6" max="6" width="11.109375" style="2" customWidth="1"/>
    <col min="7" max="7" width="8.44140625" style="2" customWidth="1"/>
    <col min="8" max="8" width="12.44140625" style="5" customWidth="1"/>
    <col min="9" max="10" width="12.88671875" style="5" customWidth="1"/>
    <col min="11" max="11" width="32.88671875" style="5" bestFit="1" customWidth="1"/>
    <col min="12" max="12" width="0.88671875" style="1" customWidth="1"/>
    <col min="13" max="13" width="15.33203125" style="1" customWidth="1"/>
    <col min="14" max="16384" width="7.88671875" style="1"/>
  </cols>
  <sheetData>
    <row r="1" spans="2:11" ht="48" customHeight="1" thickBot="1" x14ac:dyDescent="0.2">
      <c r="B1" s="127" t="s">
        <v>48</v>
      </c>
      <c r="C1" s="127"/>
      <c r="D1" s="127"/>
      <c r="E1" s="127"/>
      <c r="F1" s="127"/>
      <c r="G1" s="127"/>
      <c r="H1" s="127"/>
      <c r="I1" s="127"/>
      <c r="J1" s="127"/>
      <c r="K1" s="127"/>
    </row>
    <row r="2" spans="2:11" ht="22.5" customHeight="1" x14ac:dyDescent="0.15">
      <c r="B2" s="128" t="s">
        <v>59</v>
      </c>
      <c r="C2" s="129"/>
      <c r="D2" s="130"/>
      <c r="E2" s="131" t="s">
        <v>47</v>
      </c>
      <c r="F2" s="132"/>
      <c r="G2" s="133"/>
      <c r="H2" s="134" t="s">
        <v>4</v>
      </c>
      <c r="I2" s="134"/>
      <c r="J2" s="134"/>
      <c r="K2" s="135"/>
    </row>
    <row r="3" spans="2:11" ht="22.5" customHeight="1" x14ac:dyDescent="0.15">
      <c r="B3" s="74" t="s">
        <v>5</v>
      </c>
      <c r="C3" s="136"/>
      <c r="D3" s="137"/>
      <c r="E3" s="138" t="s">
        <v>15</v>
      </c>
      <c r="F3" s="139"/>
      <c r="G3" s="140"/>
      <c r="H3" s="75" t="s">
        <v>6</v>
      </c>
      <c r="I3" s="137" t="s">
        <v>49</v>
      </c>
      <c r="J3" s="147"/>
      <c r="K3" s="148"/>
    </row>
    <row r="4" spans="2:11" ht="22.5" customHeight="1" x14ac:dyDescent="0.15">
      <c r="B4" s="74" t="s">
        <v>30</v>
      </c>
      <c r="C4" s="136"/>
      <c r="D4" s="137"/>
      <c r="E4" s="141"/>
      <c r="F4" s="142"/>
      <c r="G4" s="143"/>
      <c r="H4" s="75" t="s">
        <v>7</v>
      </c>
      <c r="I4" s="137" t="s">
        <v>8</v>
      </c>
      <c r="J4" s="147"/>
      <c r="K4" s="148"/>
    </row>
    <row r="5" spans="2:11" ht="22.5" customHeight="1" x14ac:dyDescent="0.15">
      <c r="B5" s="74" t="s">
        <v>31</v>
      </c>
      <c r="C5" s="136"/>
      <c r="D5" s="137"/>
      <c r="E5" s="141"/>
      <c r="F5" s="142"/>
      <c r="G5" s="143"/>
      <c r="H5" s="75" t="s">
        <v>9</v>
      </c>
      <c r="I5" s="137" t="s">
        <v>10</v>
      </c>
      <c r="J5" s="147"/>
      <c r="K5" s="148"/>
    </row>
    <row r="6" spans="2:11" ht="22.5" customHeight="1" x14ac:dyDescent="0.15">
      <c r="B6" s="76" t="s">
        <v>11</v>
      </c>
      <c r="C6" s="149">
        <f>I39</f>
        <v>275638000</v>
      </c>
      <c r="D6" s="150"/>
      <c r="E6" s="141"/>
      <c r="F6" s="142"/>
      <c r="G6" s="143"/>
      <c r="H6" s="75" t="s">
        <v>12</v>
      </c>
      <c r="I6" s="137" t="s">
        <v>13</v>
      </c>
      <c r="J6" s="147"/>
      <c r="K6" s="148"/>
    </row>
    <row r="7" spans="2:11" ht="52.5" customHeight="1" thickBot="1" x14ac:dyDescent="0.2">
      <c r="B7" s="77" t="s">
        <v>14</v>
      </c>
      <c r="C7" s="151"/>
      <c r="D7" s="152"/>
      <c r="E7" s="144"/>
      <c r="F7" s="145"/>
      <c r="G7" s="146"/>
      <c r="H7" s="78" t="s">
        <v>14</v>
      </c>
      <c r="I7" s="153" t="s">
        <v>71</v>
      </c>
      <c r="J7" s="154"/>
      <c r="K7" s="155"/>
    </row>
    <row r="8" spans="2:11" ht="12" customHeight="1" x14ac:dyDescent="0.3">
      <c r="C8" s="3"/>
    </row>
    <row r="9" spans="2:11" s="8" customFormat="1" ht="18" customHeight="1" x14ac:dyDescent="0.15">
      <c r="B9" s="7" t="s">
        <v>38</v>
      </c>
      <c r="C9" s="47"/>
      <c r="D9" s="6"/>
      <c r="E9" s="47"/>
      <c r="F9" s="48"/>
      <c r="G9" s="48"/>
      <c r="H9" s="47"/>
      <c r="I9" s="47"/>
      <c r="J9" s="47"/>
      <c r="K9" s="47"/>
    </row>
    <row r="10" spans="2:11" s="8" customFormat="1" ht="18" customHeight="1" x14ac:dyDescent="0.15">
      <c r="B10" s="10" t="s">
        <v>39</v>
      </c>
      <c r="C10" s="49"/>
      <c r="D10" s="9"/>
      <c r="E10" s="49"/>
      <c r="F10" s="10" t="s">
        <v>50</v>
      </c>
      <c r="G10" s="49" t="s">
        <v>89</v>
      </c>
      <c r="H10" s="49"/>
      <c r="I10" s="50"/>
      <c r="J10" s="50"/>
      <c r="K10" s="50"/>
    </row>
    <row r="11" spans="2:11" s="8" customFormat="1" ht="18" customHeight="1" x14ac:dyDescent="0.15">
      <c r="B11" s="11" t="s">
        <v>37</v>
      </c>
      <c r="C11" s="51" t="s">
        <v>72</v>
      </c>
      <c r="D11" s="11" t="s">
        <v>33</v>
      </c>
      <c r="E11" s="51" t="s">
        <v>73</v>
      </c>
      <c r="F11" s="11" t="s">
        <v>32</v>
      </c>
      <c r="G11" s="51" t="s">
        <v>74</v>
      </c>
      <c r="H11" s="11" t="s">
        <v>62</v>
      </c>
      <c r="I11" s="51" t="s">
        <v>75</v>
      </c>
      <c r="J11" s="51" t="s">
        <v>75</v>
      </c>
      <c r="K11" s="51"/>
    </row>
    <row r="12" spans="2:11" s="8" customFormat="1" ht="18" customHeight="1" x14ac:dyDescent="0.15">
      <c r="B12" s="10" t="s">
        <v>36</v>
      </c>
      <c r="C12" s="49"/>
      <c r="D12" s="10"/>
      <c r="E12" s="49"/>
      <c r="F12" s="50"/>
      <c r="G12" s="50"/>
      <c r="H12" s="95" t="s">
        <v>63</v>
      </c>
      <c r="I12" s="49" t="s">
        <v>76</v>
      </c>
      <c r="J12" s="49" t="s">
        <v>76</v>
      </c>
      <c r="K12" s="49"/>
    </row>
    <row r="13" spans="2:11" s="8" customFormat="1" ht="18" customHeight="1" x14ac:dyDescent="0.15">
      <c r="B13" s="56" t="s">
        <v>35</v>
      </c>
      <c r="C13" s="81"/>
      <c r="D13" s="56" t="s">
        <v>34</v>
      </c>
      <c r="E13" s="57"/>
      <c r="F13" s="58"/>
      <c r="G13" s="58"/>
      <c r="H13" s="59"/>
      <c r="I13" s="59"/>
      <c r="J13" s="59"/>
      <c r="K13" s="59"/>
    </row>
    <row r="14" spans="2:11" s="8" customFormat="1" ht="13.5" customHeight="1" thickBot="1" x14ac:dyDescent="0.2">
      <c r="B14" s="126"/>
      <c r="C14" s="126"/>
      <c r="D14" s="126"/>
      <c r="E14" s="126"/>
      <c r="F14" s="126"/>
      <c r="G14" s="126"/>
      <c r="H14" s="126"/>
      <c r="I14" s="126"/>
      <c r="J14" s="126"/>
      <c r="K14" s="126"/>
    </row>
    <row r="15" spans="2:11" s="17" customFormat="1" thickBot="1" x14ac:dyDescent="0.2">
      <c r="B15" s="100" t="s">
        <v>2</v>
      </c>
      <c r="C15" s="113" t="s">
        <v>0</v>
      </c>
      <c r="D15" s="114"/>
      <c r="E15" s="99" t="s">
        <v>1</v>
      </c>
      <c r="F15" s="12" t="s">
        <v>17</v>
      </c>
      <c r="G15" s="100" t="s">
        <v>18</v>
      </c>
      <c r="H15" s="41" t="s">
        <v>77</v>
      </c>
      <c r="I15" s="41" t="s">
        <v>78</v>
      </c>
      <c r="J15" s="41" t="s">
        <v>96</v>
      </c>
      <c r="K15" s="70" t="s">
        <v>16</v>
      </c>
    </row>
    <row r="16" spans="2:11" s="17" customFormat="1" ht="16.5" customHeight="1" x14ac:dyDescent="0.15">
      <c r="B16" s="104" t="s">
        <v>19</v>
      </c>
      <c r="C16" s="115" t="s">
        <v>21</v>
      </c>
      <c r="D16" s="116"/>
      <c r="E16" s="117" t="s">
        <v>40</v>
      </c>
      <c r="F16" s="117" t="s">
        <v>57</v>
      </c>
      <c r="G16" s="18">
        <v>1</v>
      </c>
      <c r="H16" s="42">
        <v>3000000</v>
      </c>
      <c r="I16" s="88">
        <v>0</v>
      </c>
      <c r="J16" s="88">
        <v>0</v>
      </c>
      <c r="K16" s="107"/>
    </row>
    <row r="17" spans="2:13" s="17" customFormat="1" ht="16.5" customHeight="1" x14ac:dyDescent="0.15">
      <c r="B17" s="105"/>
      <c r="C17" s="122" t="s">
        <v>22</v>
      </c>
      <c r="D17" s="123"/>
      <c r="E17" s="118"/>
      <c r="F17" s="120"/>
      <c r="G17" s="20">
        <v>1</v>
      </c>
      <c r="H17" s="43">
        <v>2000000</v>
      </c>
      <c r="I17" s="89">
        <v>0</v>
      </c>
      <c r="J17" s="89">
        <v>0</v>
      </c>
      <c r="K17" s="108"/>
    </row>
    <row r="18" spans="2:13" s="17" customFormat="1" ht="16.5" customHeight="1" x14ac:dyDescent="0.15">
      <c r="B18" s="105"/>
      <c r="C18" s="122" t="s">
        <v>23</v>
      </c>
      <c r="D18" s="123"/>
      <c r="E18" s="118"/>
      <c r="F18" s="120"/>
      <c r="G18" s="21">
        <v>1</v>
      </c>
      <c r="H18" s="43">
        <v>2000000</v>
      </c>
      <c r="I18" s="89">
        <v>0</v>
      </c>
      <c r="J18" s="89">
        <v>0</v>
      </c>
      <c r="K18" s="108"/>
    </row>
    <row r="19" spans="2:13" s="17" customFormat="1" ht="16.5" customHeight="1" x14ac:dyDescent="0.15">
      <c r="B19" s="105"/>
      <c r="C19" s="122" t="s">
        <v>24</v>
      </c>
      <c r="D19" s="123"/>
      <c r="E19" s="118"/>
      <c r="F19" s="120"/>
      <c r="G19" s="21">
        <v>1</v>
      </c>
      <c r="H19" s="42">
        <v>2000000</v>
      </c>
      <c r="I19" s="88">
        <v>0</v>
      </c>
      <c r="J19" s="88">
        <v>0</v>
      </c>
      <c r="K19" s="109"/>
    </row>
    <row r="20" spans="2:13" s="17" customFormat="1" ht="16.5" customHeight="1" x14ac:dyDescent="0.15">
      <c r="B20" s="105"/>
      <c r="C20" s="122" t="s">
        <v>25</v>
      </c>
      <c r="D20" s="123"/>
      <c r="E20" s="118"/>
      <c r="F20" s="121"/>
      <c r="G20" s="19">
        <v>1</v>
      </c>
      <c r="H20" s="43">
        <v>250000</v>
      </c>
      <c r="I20" s="89">
        <v>0</v>
      </c>
      <c r="J20" s="89">
        <v>0</v>
      </c>
      <c r="K20" s="109"/>
    </row>
    <row r="21" spans="2:13" s="17" customFormat="1" ht="16.5" customHeight="1" thickBot="1" x14ac:dyDescent="0.2">
      <c r="B21" s="105"/>
      <c r="C21" s="124" t="s">
        <v>28</v>
      </c>
      <c r="D21" s="125"/>
      <c r="E21" s="119"/>
      <c r="F21" s="101" t="s">
        <v>76</v>
      </c>
      <c r="G21" s="19">
        <v>1</v>
      </c>
      <c r="H21" s="43">
        <v>250000</v>
      </c>
      <c r="I21" s="89">
        <v>0</v>
      </c>
      <c r="J21" s="89">
        <v>0</v>
      </c>
      <c r="K21" s="110"/>
    </row>
    <row r="22" spans="2:13" s="17" customFormat="1" ht="16.5" customHeight="1" thickBot="1" x14ac:dyDescent="0.2">
      <c r="B22" s="100" t="s">
        <v>20</v>
      </c>
      <c r="C22" s="16"/>
      <c r="D22" s="79"/>
      <c r="E22" s="14"/>
      <c r="F22" s="13"/>
      <c r="G22" s="13"/>
      <c r="H22" s="44">
        <f>SUM(H16:H21)</f>
        <v>9500000</v>
      </c>
      <c r="I22" s="90">
        <f>SUM(I16:I21)</f>
        <v>0</v>
      </c>
      <c r="J22" s="90">
        <f>SUM(J16:J21)</f>
        <v>0</v>
      </c>
      <c r="K22" s="96" t="s">
        <v>68</v>
      </c>
    </row>
    <row r="23" spans="2:13" s="17" customFormat="1" ht="16.5" customHeight="1" x14ac:dyDescent="0.15">
      <c r="B23" s="111" t="s">
        <v>58</v>
      </c>
      <c r="C23" s="54" t="s">
        <v>79</v>
      </c>
      <c r="D23" s="54" t="s">
        <v>80</v>
      </c>
      <c r="E23" s="23" t="s">
        <v>81</v>
      </c>
      <c r="F23" s="32"/>
      <c r="G23" s="18">
        <v>1</v>
      </c>
      <c r="H23" s="42">
        <v>4000000</v>
      </c>
      <c r="I23" s="94">
        <v>4000000</v>
      </c>
      <c r="J23" s="94">
        <v>4000000</v>
      </c>
      <c r="K23" s="82"/>
      <c r="M23" s="28" t="s">
        <v>27</v>
      </c>
    </row>
    <row r="24" spans="2:13" s="17" customFormat="1" ht="16.5" customHeight="1" x14ac:dyDescent="0.15">
      <c r="B24" s="105"/>
      <c r="C24" s="54" t="s">
        <v>60</v>
      </c>
      <c r="D24" s="54" t="s">
        <v>61</v>
      </c>
      <c r="E24" s="23" t="s">
        <v>82</v>
      </c>
      <c r="F24" s="32"/>
      <c r="G24" s="18">
        <v>1</v>
      </c>
      <c r="H24" s="42">
        <v>40000000</v>
      </c>
      <c r="I24" s="94">
        <v>36000000</v>
      </c>
      <c r="J24" s="94">
        <v>36000000</v>
      </c>
      <c r="K24" s="82"/>
      <c r="M24" s="28" t="s">
        <v>27</v>
      </c>
    </row>
    <row r="25" spans="2:13" s="17" customFormat="1" ht="16.5" customHeight="1" x14ac:dyDescent="0.15">
      <c r="B25" s="105"/>
      <c r="C25" s="54" t="s">
        <v>60</v>
      </c>
      <c r="D25" s="54" t="s">
        <v>91</v>
      </c>
      <c r="E25" s="23" t="s">
        <v>94</v>
      </c>
      <c r="F25" s="32"/>
      <c r="G25" s="18">
        <v>1</v>
      </c>
      <c r="H25" s="42">
        <v>78000000</v>
      </c>
      <c r="I25" s="94">
        <v>78000000</v>
      </c>
      <c r="J25" s="94">
        <v>78000000</v>
      </c>
      <c r="K25" s="82"/>
      <c r="M25" s="28" t="s">
        <v>27</v>
      </c>
    </row>
    <row r="26" spans="2:13" s="17" customFormat="1" ht="16.5" customHeight="1" x14ac:dyDescent="0.15">
      <c r="B26" s="105"/>
      <c r="C26" s="102" t="s">
        <v>41</v>
      </c>
      <c r="D26" s="54" t="s">
        <v>65</v>
      </c>
      <c r="E26" s="23"/>
      <c r="F26" s="32"/>
      <c r="G26" s="18">
        <v>1</v>
      </c>
      <c r="H26" s="42">
        <v>0</v>
      </c>
      <c r="I26" s="94">
        <v>0</v>
      </c>
      <c r="J26" s="94">
        <v>0</v>
      </c>
      <c r="K26" s="82"/>
      <c r="M26" s="28"/>
    </row>
    <row r="27" spans="2:13" s="17" customFormat="1" ht="16.5" customHeight="1" x14ac:dyDescent="0.15">
      <c r="B27" s="105"/>
      <c r="C27" s="103"/>
      <c r="D27" s="54" t="s">
        <v>64</v>
      </c>
      <c r="E27" s="23" t="s">
        <v>83</v>
      </c>
      <c r="F27" s="32"/>
      <c r="G27" s="18">
        <v>1</v>
      </c>
      <c r="H27" s="42">
        <v>7500000</v>
      </c>
      <c r="I27" s="94">
        <v>7500000</v>
      </c>
      <c r="J27" s="94">
        <v>7500000</v>
      </c>
      <c r="K27" s="82"/>
      <c r="M27" s="28"/>
    </row>
    <row r="28" spans="2:13" s="17" customFormat="1" ht="15.75" customHeight="1" x14ac:dyDescent="0.15">
      <c r="B28" s="105"/>
      <c r="C28" s="103"/>
      <c r="D28" s="54" t="s">
        <v>84</v>
      </c>
      <c r="E28" s="23" t="s">
        <v>83</v>
      </c>
      <c r="F28" s="32"/>
      <c r="G28" s="18">
        <v>1</v>
      </c>
      <c r="H28" s="42">
        <v>55000000</v>
      </c>
      <c r="I28" s="39">
        <v>40400000</v>
      </c>
      <c r="J28" s="39">
        <v>40400000</v>
      </c>
      <c r="K28" s="82"/>
      <c r="M28" s="28"/>
    </row>
    <row r="29" spans="2:13" s="17" customFormat="1" ht="16.5" customHeight="1" x14ac:dyDescent="0.15">
      <c r="B29" s="105"/>
      <c r="C29" s="103"/>
      <c r="D29" s="54" t="s">
        <v>55</v>
      </c>
      <c r="E29" s="23" t="s">
        <v>85</v>
      </c>
      <c r="F29" s="32"/>
      <c r="G29" s="18">
        <v>1</v>
      </c>
      <c r="H29" s="42">
        <v>4700000</v>
      </c>
      <c r="I29" s="39">
        <v>4700000</v>
      </c>
      <c r="J29" s="39">
        <v>4700000</v>
      </c>
      <c r="K29" s="82"/>
      <c r="M29" s="28"/>
    </row>
    <row r="30" spans="2:13" s="17" customFormat="1" ht="16.5" customHeight="1" x14ac:dyDescent="0.15">
      <c r="B30" s="105"/>
      <c r="C30" s="103"/>
      <c r="D30" s="54" t="s">
        <v>56</v>
      </c>
      <c r="E30" s="23" t="s">
        <v>86</v>
      </c>
      <c r="F30" s="32"/>
      <c r="G30" s="18">
        <v>1</v>
      </c>
      <c r="H30" s="42">
        <v>1200000</v>
      </c>
      <c r="I30" s="39">
        <v>1200000</v>
      </c>
      <c r="J30" s="39">
        <v>1200000</v>
      </c>
      <c r="K30" s="82"/>
      <c r="M30" s="28"/>
    </row>
    <row r="31" spans="2:13" s="17" customFormat="1" ht="16.5" customHeight="1" x14ac:dyDescent="0.15">
      <c r="B31" s="112"/>
      <c r="C31" s="103"/>
      <c r="D31" s="54" t="s">
        <v>66</v>
      </c>
      <c r="E31" s="23" t="s">
        <v>67</v>
      </c>
      <c r="F31" s="32"/>
      <c r="G31" s="18">
        <v>1</v>
      </c>
      <c r="H31" s="42">
        <v>1000000</v>
      </c>
      <c r="I31" s="39">
        <v>1000000</v>
      </c>
      <c r="J31" s="39">
        <v>1000000</v>
      </c>
      <c r="K31" s="82"/>
      <c r="M31" s="28"/>
    </row>
    <row r="32" spans="2:13" s="17" customFormat="1" ht="15" customHeight="1" x14ac:dyDescent="0.15">
      <c r="B32" s="104" t="s">
        <v>46</v>
      </c>
      <c r="C32" s="54" t="s">
        <v>42</v>
      </c>
      <c r="D32" s="54" t="s">
        <v>43</v>
      </c>
      <c r="E32" s="38"/>
      <c r="F32" s="22"/>
      <c r="G32" s="18">
        <v>1</v>
      </c>
      <c r="H32" s="45">
        <v>55000000</v>
      </c>
      <c r="I32" s="40">
        <v>55000000</v>
      </c>
      <c r="J32" s="40">
        <v>55000000</v>
      </c>
      <c r="K32" s="98" t="s">
        <v>95</v>
      </c>
    </row>
    <row r="33" spans="2:13" s="17" customFormat="1" ht="13.5" x14ac:dyDescent="0.15">
      <c r="B33" s="105"/>
      <c r="C33" s="54" t="s">
        <v>44</v>
      </c>
      <c r="D33" s="54"/>
      <c r="E33" s="38"/>
      <c r="F33" s="22"/>
      <c r="G33" s="18"/>
      <c r="H33" s="45"/>
      <c r="I33" s="40"/>
      <c r="J33" s="40"/>
      <c r="K33" s="82"/>
    </row>
    <row r="34" spans="2:13" s="17" customFormat="1" ht="16.5" customHeight="1" x14ac:dyDescent="0.15">
      <c r="B34" s="105"/>
      <c r="C34" s="54" t="s">
        <v>45</v>
      </c>
      <c r="D34" s="54"/>
      <c r="E34" s="38"/>
      <c r="F34" s="22"/>
      <c r="G34" s="18"/>
      <c r="H34" s="45"/>
      <c r="I34" s="40"/>
      <c r="J34" s="40"/>
      <c r="K34" s="72"/>
    </row>
    <row r="35" spans="2:13" s="17" customFormat="1" ht="16.5" customHeight="1" thickBot="1" x14ac:dyDescent="0.2">
      <c r="B35" s="105"/>
      <c r="C35" s="60" t="s">
        <v>51</v>
      </c>
      <c r="D35" s="60"/>
      <c r="E35" s="38"/>
      <c r="F35" s="22"/>
      <c r="G35" s="18"/>
      <c r="H35" s="45"/>
      <c r="I35" s="40"/>
      <c r="J35" s="40"/>
      <c r="K35" s="72"/>
    </row>
    <row r="36" spans="2:13" s="17" customFormat="1" ht="16.5" customHeight="1" thickBot="1" x14ac:dyDescent="0.2">
      <c r="B36" s="100" t="s">
        <v>3</v>
      </c>
      <c r="C36" s="52"/>
      <c r="D36" s="53"/>
      <c r="E36" s="14"/>
      <c r="F36" s="13"/>
      <c r="G36" s="13"/>
      <c r="H36" s="44">
        <f>SUM(H23:H35)</f>
        <v>246400000</v>
      </c>
      <c r="I36" s="44">
        <f>SUM(I23:I35)</f>
        <v>227800000</v>
      </c>
      <c r="J36" s="44">
        <f>SUM(J23:J35)</f>
        <v>227800000</v>
      </c>
      <c r="K36" s="71"/>
      <c r="L36" s="37"/>
      <c r="M36" s="28"/>
    </row>
    <row r="37" spans="2:13" s="17" customFormat="1" ht="16.5" customHeight="1" thickBot="1" x14ac:dyDescent="0.2">
      <c r="B37" s="83" t="s">
        <v>52</v>
      </c>
      <c r="C37" s="84" t="s">
        <v>53</v>
      </c>
      <c r="D37" s="84"/>
      <c r="E37" s="85"/>
      <c r="F37" s="86"/>
      <c r="G37" s="86"/>
      <c r="H37" s="87">
        <f>H36*17.65%</f>
        <v>43489600</v>
      </c>
      <c r="I37" s="87">
        <f>I36*10%</f>
        <v>22780000</v>
      </c>
      <c r="J37" s="87">
        <f>J36*10%</f>
        <v>22780000</v>
      </c>
      <c r="K37" s="97" t="s">
        <v>93</v>
      </c>
      <c r="L37" s="28"/>
    </row>
    <row r="38" spans="2:13" s="15" customFormat="1" ht="16.5" customHeight="1" thickBot="1" x14ac:dyDescent="0.2">
      <c r="B38" s="55" t="s">
        <v>29</v>
      </c>
      <c r="C38" s="33" t="s">
        <v>54</v>
      </c>
      <c r="D38" s="34"/>
      <c r="E38" s="35"/>
      <c r="F38" s="36"/>
      <c r="G38" s="36"/>
      <c r="H38" s="46">
        <f>H22+H36+H37</f>
        <v>299389600</v>
      </c>
      <c r="I38" s="46">
        <f>I22+I36+I37</f>
        <v>250580000</v>
      </c>
      <c r="J38" s="46">
        <f>J22+J36+J37</f>
        <v>250580000</v>
      </c>
      <c r="K38" s="73"/>
    </row>
    <row r="39" spans="2:13" s="61" customFormat="1" ht="23.25" customHeight="1" thickBot="1" x14ac:dyDescent="0.2">
      <c r="B39" s="63" t="s">
        <v>26</v>
      </c>
      <c r="C39" s="64" t="s">
        <v>69</v>
      </c>
      <c r="D39" s="65"/>
      <c r="E39" s="66"/>
      <c r="F39" s="67"/>
      <c r="G39" s="67"/>
      <c r="H39" s="68">
        <f>H38*1.1</f>
        <v>329328560</v>
      </c>
      <c r="I39" s="68">
        <f>I38*1.1</f>
        <v>275638000</v>
      </c>
      <c r="J39" s="68">
        <f>J38*1.1</f>
        <v>275638000</v>
      </c>
      <c r="K39" s="69"/>
      <c r="M39" s="62" t="s">
        <v>27</v>
      </c>
    </row>
    <row r="40" spans="2:13" ht="24" customHeight="1" x14ac:dyDescent="0.15"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M40" s="1" t="s">
        <v>27</v>
      </c>
    </row>
    <row r="41" spans="2:13" ht="14.25" customHeight="1" x14ac:dyDescent="0.3">
      <c r="H41" s="27"/>
      <c r="I41" s="80"/>
      <c r="J41" s="80"/>
      <c r="K41" s="26"/>
      <c r="M41" s="31" t="s">
        <v>27</v>
      </c>
    </row>
    <row r="42" spans="2:13" ht="14.25" customHeight="1" x14ac:dyDescent="0.3">
      <c r="H42" s="24"/>
    </row>
    <row r="44" spans="2:13" ht="14.25" customHeight="1" x14ac:dyDescent="0.3">
      <c r="H44" s="24"/>
      <c r="I44" s="24"/>
      <c r="J44" s="24"/>
    </row>
    <row r="45" spans="2:13" ht="14.25" customHeight="1" x14ac:dyDescent="0.3">
      <c r="I45" s="25"/>
      <c r="J45" s="25"/>
    </row>
    <row r="47" spans="2:13" ht="14.25" customHeight="1" x14ac:dyDescent="0.3">
      <c r="D47" s="30"/>
      <c r="G47" s="29"/>
    </row>
    <row r="52" spans="5:5" ht="14.25" customHeight="1" x14ac:dyDescent="0.3">
      <c r="E52" s="24"/>
    </row>
  </sheetData>
  <mergeCells count="31">
    <mergeCell ref="B23:B31"/>
    <mergeCell ref="C26:C31"/>
    <mergeCell ref="B32:B35"/>
    <mergeCell ref="B40:K40"/>
    <mergeCell ref="K16:K21"/>
    <mergeCell ref="C15:D15"/>
    <mergeCell ref="B16:B21"/>
    <mergeCell ref="C16:D16"/>
    <mergeCell ref="E16:E21"/>
    <mergeCell ref="F16:F20"/>
    <mergeCell ref="C17:D17"/>
    <mergeCell ref="C18:D18"/>
    <mergeCell ref="C19:D19"/>
    <mergeCell ref="C20:D20"/>
    <mergeCell ref="C21:D21"/>
    <mergeCell ref="B14:K14"/>
    <mergeCell ref="B1:K1"/>
    <mergeCell ref="B2:D2"/>
    <mergeCell ref="E2:G2"/>
    <mergeCell ref="H2:K2"/>
    <mergeCell ref="C3:D3"/>
    <mergeCell ref="E3:G7"/>
    <mergeCell ref="I3:K3"/>
    <mergeCell ref="C4:D4"/>
    <mergeCell ref="I4:K4"/>
    <mergeCell ref="C5:D5"/>
    <mergeCell ref="I5:K5"/>
    <mergeCell ref="C6:D6"/>
    <mergeCell ref="I6:K6"/>
    <mergeCell ref="C7:D7"/>
    <mergeCell ref="I7:K7"/>
  </mergeCells>
  <phoneticPr fontId="6" type="noConversion"/>
  <pageMargins left="0.15748031496062992" right="0.15748031496062992" top="0.35433070866141736" bottom="0.2" header="0.19685039370078741" footer="0.23"/>
  <pageSetup paperSize="8" orientation="landscape" verticalDpi="200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2</vt:i4>
      </vt:variant>
    </vt:vector>
  </HeadingPairs>
  <TitlesOfParts>
    <vt:vector size="4" baseType="lpstr">
      <vt:lpstr>자동차보험</vt:lpstr>
      <vt:lpstr>운전자보험</vt:lpstr>
      <vt:lpstr>운전자보험!Print_Area</vt:lpstr>
      <vt:lpstr>자동차보험!Print_Area</vt:lpstr>
    </vt:vector>
  </TitlesOfParts>
  <Company>HOME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김인수</dc:creator>
  <cp:lastModifiedBy>CHEIL</cp:lastModifiedBy>
  <cp:lastPrinted>2020-07-31T06:22:09Z</cp:lastPrinted>
  <dcterms:created xsi:type="dcterms:W3CDTF">2008-06-30T06:05:31Z</dcterms:created>
  <dcterms:modified xsi:type="dcterms:W3CDTF">2026-05-18T05:27:42Z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NSCPROP">
    <vt:lpwstr>NSCCustomProperty</vt:lpwstr>
  </property>
</Properties>
</file>